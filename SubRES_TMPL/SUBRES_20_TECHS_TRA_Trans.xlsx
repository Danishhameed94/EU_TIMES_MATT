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comments3.xml" ContentType="application/vnd.openxmlformats-officedocument.spreadsheetml.comments+xml"/>
  <Default Extension="vml" ContentType="application/vnd.openxmlformats-officedocument.vmlDrawing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025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liana.barbosa\Documents\EU_TIMES_Veda2.0-master\EU_TIMES_Veda2.0-master\SubRES_TMPL\"/>
    </mc:Choice>
  </mc:AlternateContent>
  <bookViews>
    <workbookView xWindow="1428" yWindow="1428" windowWidth="17280" windowHeight="8964" tabRatio="909" activeTab="1"/>
  </bookViews>
  <sheets>
    <sheet name="Fill Data" sheetId="25" r:id="rId3"/>
    <sheet name="RdTRABYVals" sheetId="27" r:id="rId4"/>
    <sheet name="INS" sheetId="28" r:id="rId5"/>
    <sheet name="Average km per veh" sheetId="29" r:id="rId6"/>
  </sheets>
  <externalReferences>
    <externalReference r:id="rId11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8" i="29" l="1"/>
</calcChain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F2" authorId="0" shapeId="0" xr:uid="{00000000-0006-0000-0200-000001000000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10/7/2015
default values - will apply to regions with no value</t>
        </r>
      </text>
    </comment>
    <comment ref="F22" authorId="0" shapeId="0" xr:uid="{00000000-0006-0000-0200-000002000000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10/7/2015
default values - will apply to regions with no value</t>
        </r>
      </text>
    </comment>
    <comment ref="F93" authorId="0" shapeId="0" xr:uid="{00000000-0006-0000-0200-000003000000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10/7/2015
default values - will apply to regions with no value</t>
        </r>
      </text>
    </comment>
  </commentList>
</comments>
</file>

<file path=xl/sharedStrings.xml><?xml version="1.0" encoding="utf-8"?>
<sst xmlns="http://schemas.openxmlformats.org/spreadsheetml/2006/main" count="2666" uniqueCount="228">
  <si>
    <t>AT</t>
  </si>
  <si>
    <t>BE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</si>
  <si>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</si>
  <si>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</si>
  <si>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</si>
  <si>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</si>
  <si>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</si>
  <si>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</si>
  <si>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</si>
  <si>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</si>
  <si>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</si>
  <si>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</si>
  <si>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</si>
  <si>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</si>
  <si>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</si>
  <si>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</si>
  <si>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</si>
  <si>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</si>
  <si>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</si>
  <si>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</si>
  <si>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</si>
  <si>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</si>
  <si>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</si>
  <si>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</si>
  <si>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</si>
  <si>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</si>
  <si>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</si>
  <si>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IT</t>
  </si>
  <si>
    <t>ACTFLO</t>
  </si>
  <si>
    <t>EFF</t>
  </si>
  <si>
    <t>AF</t>
  </si>
  <si>
    <t>BG</t>
  </si>
  <si>
    <t>HR</t>
  </si>
  <si>
    <t>MK</t>
  </si>
  <si>
    <t>TimeSlice</t>
  </si>
  <si>
    <t>LimType</t>
  </si>
  <si>
    <t>Attribute</t>
  </si>
  <si>
    <t>Year</t>
  </si>
  <si>
    <t>Pset_PN</t>
  </si>
  <si>
    <t>Pset_CI</t>
  </si>
  <si>
    <t>Cset_CN</t>
  </si>
  <si>
    <t>AL</t>
  </si>
  <si>
    <t>ME</t>
  </si>
  <si>
    <t>RS</t>
  </si>
  <si>
    <t>Pset_CO</t>
  </si>
  <si>
    <t>BA</t>
  </si>
  <si>
    <t>KS</t>
  </si>
  <si>
    <t>AllRegions</t>
  </si>
  <si>
    <t>EL</t>
  </si>
  <si>
    <t>commodity</t>
  </si>
  <si>
    <t>TRA_Hdt_Gas</t>
  </si>
  <si>
    <t>scenario</t>
  </si>
  <si>
    <t>TRA_Hdt_Dis</t>
  </si>
  <si>
    <t>TRA_Bus_Lpg_Urb</t>
  </si>
  <si>
    <t>TRA_Bus_Lpg_Coa</t>
  </si>
  <si>
    <t>TRA_Bus_Dis_Urb</t>
  </si>
  <si>
    <t>TRA_Bus_Dis_Coa</t>
  </si>
  <si>
    <t>TRA_Car_Cng_Exe</t>
  </si>
  <si>
    <t>TRA_Car_Cng_Lom</t>
  </si>
  <si>
    <t>TRA_Car_Cng_Sma</t>
  </si>
  <si>
    <t>TRA_Car_Cng_Upm</t>
  </si>
  <si>
    <t>TRA_Car_Dis_Exe</t>
  </si>
  <si>
    <t>TRA_Car_Dis_Lom</t>
  </si>
  <si>
    <t>TRA_Car_Dis_Sma</t>
  </si>
  <si>
    <t>TRA_Car_Dis_Upm</t>
  </si>
  <si>
    <t>TRA_Car_Lpg_Exe</t>
  </si>
  <si>
    <t>TRA_Car_Lpg_Lom</t>
  </si>
  <si>
    <t>TRA_Car_Lpg_Sma</t>
  </si>
  <si>
    <t>TRA_Car_Lpg_Upm</t>
  </si>
  <si>
    <t>TBus,TCar,THDT,TLCV,TMop,TMot</t>
  </si>
  <si>
    <t>CAP2ACT</t>
  </si>
  <si>
    <t>~TFM_Fill-R: w=RdTRABYVals; Hcol=Region</t>
  </si>
  <si>
    <t>TRA_Lcv_Cng</t>
  </si>
  <si>
    <t>attribute</t>
  </si>
  <si>
    <t>TRA*</t>
  </si>
  <si>
    <t>TRA_Bus_Gas_Urb</t>
  </si>
  <si>
    <t>TRA_Bus_Gas_Coa</t>
  </si>
  <si>
    <t>TRA_Car_Fle_Fue_Exe</t>
  </si>
  <si>
    <t>TRA_Car_Fle_Fue_Lom</t>
  </si>
  <si>
    <t>TRA_Car_Fle_Fue_Sma</t>
  </si>
  <si>
    <t>TRA_Car_Fle_Fue_Upm</t>
  </si>
  <si>
    <t>TRA_Car_Gas_Exe</t>
  </si>
  <si>
    <t>TRA_Car_Gas_Lom</t>
  </si>
  <si>
    <t>TRA_Car_Gas_Sma</t>
  </si>
  <si>
    <t>TRA_Car_Gas_Upm</t>
  </si>
  <si>
    <t>TRA_Car_Oth_Exe</t>
  </si>
  <si>
    <t>TRA_Car_Oth_Lom</t>
  </si>
  <si>
    <t>TRA_Car_Oth_Sma</t>
  </si>
  <si>
    <t>TRA_Car_Oth_Upm</t>
  </si>
  <si>
    <t>TRA_Bus_Cng_Urb</t>
  </si>
  <si>
    <t>2010</t>
  </si>
  <si>
    <t>-</t>
  </si>
  <si>
    <t>TRA_Bus_Cng_Coa</t>
  </si>
  <si>
    <t>BASE</t>
  </si>
  <si>
    <t>year2</t>
  </si>
  <si>
    <t>sow</t>
  </si>
  <si>
    <t>stage</t>
  </si>
  <si>
    <t>TRA_Bus*</t>
  </si>
  <si>
    <t>TRA_Car*</t>
  </si>
  <si>
    <t>TRA_Hdt*</t>
  </si>
  <si>
    <t>TRA_Lcv*</t>
  </si>
  <si>
    <t>TRA_Mop*</t>
  </si>
  <si>
    <t>TRA_Mot*</t>
  </si>
  <si>
    <t>PSET_PN</t>
  </si>
  <si>
    <t>Other_Indexes</t>
  </si>
  <si>
    <t>DEMO</t>
  </si>
  <si>
    <t>~TFM_INS</t>
  </si>
  <si>
    <t>TRA_Bus_Cng_Coa*</t>
  </si>
  <si>
    <t>TRA_Bus_Cng_Urb*</t>
  </si>
  <si>
    <t>TRA_Bus_Dis_Coa*</t>
  </si>
  <si>
    <t>TRA_Bus_Dis_Urb*</t>
  </si>
  <si>
    <t>TRA_Bus_Gas_Coa*</t>
  </si>
  <si>
    <t>TRA_Bus_Gas_Urb*</t>
  </si>
  <si>
    <t>TRA_Bus_Lpg_Coa*</t>
  </si>
  <si>
    <t>TRA_Bus_Lpg_Urb*</t>
  </si>
  <si>
    <t>TRA_Car_Cng_Exe*</t>
  </si>
  <si>
    <t>TRA_Car_Cng_Lom*</t>
  </si>
  <si>
    <t>TRA_Car_Cng_Sma*</t>
  </si>
  <si>
    <t>TRA_Car_Cng_Upm*</t>
  </si>
  <si>
    <t>TRA_Car_Dis_Exe*</t>
  </si>
  <si>
    <t>TRA_Car_Dis_Lom*</t>
  </si>
  <si>
    <t>TRA_Car_Dis_Sma*</t>
  </si>
  <si>
    <t>TRA_Car_Dis_Upm*</t>
  </si>
  <si>
    <t>TRA_Car_Fle_Fue_Exe*</t>
  </si>
  <si>
    <t>TRA_Car_Fle_Fue_Lom*</t>
  </si>
  <si>
    <t>TRA_Car_Fle_Fue_Sma*</t>
  </si>
  <si>
    <t>TRA_Car_Fle_Fue_Upm*</t>
  </si>
  <si>
    <t>TRA_Car_Gas_Exe*</t>
  </si>
  <si>
    <t>TRA_Car_Gas_Lom*</t>
  </si>
  <si>
    <t>TRA_Car_Gas_Sma*</t>
  </si>
  <si>
    <t>TRA_Car_Gas_Upm*</t>
  </si>
  <si>
    <t>TRA_Car_Lpg_Exe*</t>
  </si>
  <si>
    <t>TRA_Car_Lpg_Lom*</t>
  </si>
  <si>
    <t>TRA_Car_Lpg_Sma*</t>
  </si>
  <si>
    <t>TRA_Car_Lpg_Upm*</t>
  </si>
  <si>
    <t>TRA_Car_Oth_Exe*</t>
  </si>
  <si>
    <t>TRA_Car_Oth_Lom*</t>
  </si>
  <si>
    <t>TRA_Car_Oth_Sma*</t>
  </si>
  <si>
    <t>TRA_Car_Oth_Upm*</t>
  </si>
  <si>
    <t>TRA_Hdt_Dis*</t>
  </si>
  <si>
    <t>TRA_Hdt_Gas*</t>
  </si>
  <si>
    <t>TRA_Lcv_Cng*</t>
  </si>
  <si>
    <t>TRA_Lcv_Dis*</t>
  </si>
  <si>
    <t>TRA_Lcv_Gas*</t>
  </si>
  <si>
    <t>TRA_Lcv_Lpg*</t>
  </si>
  <si>
    <t>TRA_Mop_Gas*</t>
  </si>
  <si>
    <t>TRA_Mot_Gas*</t>
  </si>
  <si>
    <t>~TFM_UPD</t>
  </si>
  <si>
    <t>TRA_Car_PIH_Exe*</t>
  </si>
  <si>
    <t>TRA_Car_PIH_LoM*</t>
  </si>
  <si>
    <t>TRA_Car_PIH_Sma*</t>
  </si>
  <si>
    <t>TRA_Car_PIH_UpM*</t>
  </si>
  <si>
    <t>TRA_Car_GH2_Exe*</t>
  </si>
  <si>
    <t>TRA_Car_GH2_LoM*</t>
  </si>
  <si>
    <t>TRA_Car_GH2_Sma*</t>
  </si>
  <si>
    <t>TRA_Car_GH2_UpM*</t>
  </si>
  <si>
    <t>TRA_Bus_GH2_Coa*</t>
  </si>
  <si>
    <t>TRA_Bus_Eth_Coa*</t>
  </si>
  <si>
    <t>TRA_Bus_GH2_Urb*</t>
  </si>
  <si>
    <t>TRA_Bus_Eth_Urb*</t>
  </si>
  <si>
    <t>TRA_Car_Elc_Exe*</t>
  </si>
  <si>
    <t>TRA_Car_Elc_LoM*</t>
  </si>
  <si>
    <t>TRA_Car_Elc_Sma*</t>
  </si>
  <si>
    <t>TRA_Car_Elc_UpM*</t>
  </si>
  <si>
    <t>TRA_Car_LH2_Exe*</t>
  </si>
  <si>
    <t>TRA_Car_LH2_LoM*</t>
  </si>
  <si>
    <t>TRA_Car_LH2_Sma*</t>
  </si>
  <si>
    <t>TRA_Car_LH2_UpM*</t>
  </si>
  <si>
    <t>TRA_Lcv_GH2*</t>
  </si>
  <si>
    <t>TRA_Lcv_LH2*</t>
  </si>
  <si>
    <t>TRA_Lcv_Elc*</t>
  </si>
  <si>
    <t>TRA_Hdt_Cng*</t>
  </si>
  <si>
    <t>TRA_Hdt_GH2*</t>
  </si>
  <si>
    <t>TRA_Rai_Frt_Dis*</t>
  </si>
  <si>
    <t>TRA_Rai_Frt_Elc*</t>
  </si>
  <si>
    <t>TRA_Rai_Pas_Metro*</t>
  </si>
  <si>
    <t>TRA_Rai_Pas_Conv_Dis*</t>
  </si>
  <si>
    <t>TRA_Rai_Pas_Conv_Elc*</t>
  </si>
  <si>
    <t>TRA_Rai_Pas_Hspd*</t>
  </si>
  <si>
    <t>TBus,TCar,THDT,TLCV,TMop,Tmot,TRai_Frt,TRai_Pas_Conv,TRai_Pas_Hspd,TRai_Pas_Metro</t>
  </si>
  <si>
    <t>TRA_Mot_Elc*</t>
  </si>
  <si>
    <t>TRA_Mop_Elc*</t>
  </si>
  <si>
    <t>currency</t>
  </si>
  <si>
    <t>commodity_group</t>
  </si>
  <si>
    <t>year</t>
  </si>
  <si>
    <t>time_slice</t>
  </si>
  <si>
    <t>lim_type</t>
  </si>
  <si>
    <t>process</t>
  </si>
  <si>
    <t>TRA_Rai_Frt-Dsl*</t>
  </si>
  <si>
    <t>TRA_Rai_Frt-Elc*</t>
  </si>
  <si>
    <t>TRA_Rai_Pas_Conv-Elc*</t>
  </si>
  <si>
    <t>TRA_Rai_Pas_Conv-Dsl*</t>
  </si>
  <si>
    <t>'2010</t>
  </si>
  <si>
    <t>Baseline_HRE32</t>
  </si>
  <si>
    <t>Table Name: T_010817_102356</t>
  </si>
  <si>
    <t>Region\Attribute</t>
  </si>
  <si>
    <t>Mt</t>
  </si>
  <si>
    <t>VAR_Act</t>
  </si>
  <si>
    <t>VAR_Cap</t>
  </si>
  <si>
    <t>TechName</t>
  </si>
  <si>
    <t>Comm-IN</t>
  </si>
  <si>
    <t>Comm-OUT</t>
  </si>
  <si>
    <t>TRAGAS</t>
  </si>
  <si>
    <t>TRADST</t>
  </si>
  <si>
    <t>TRAGSLSP95</t>
  </si>
  <si>
    <t>TRALPG</t>
  </si>
  <si>
    <t>TCar</t>
  </si>
  <si>
    <t>Exe</t>
  </si>
  <si>
    <t>Lom</t>
  </si>
  <si>
    <t>Sma</t>
  </si>
  <si>
    <t>Ump</t>
  </si>
  <si>
    <t>STOCK</t>
  </si>
  <si>
    <t>Km per veh</t>
  </si>
  <si>
    <t>Weighted average</t>
  </si>
  <si>
    <t>Product</t>
  </si>
  <si>
    <t>TRA_Rai_Pas_Conv-Elc</t>
  </si>
  <si>
    <t>TRA_Rai_Pas_Conv-Dsl</t>
  </si>
  <si>
    <t>TRA_Rai_Frt-Elc</t>
  </si>
  <si>
    <t>TRA_Rai_Frt-Dsl</t>
  </si>
  <si>
    <t>ANNUAL</t>
  </si>
  <si>
    <t>UP</t>
  </si>
  <si>
    <t>TRA_Mot_Gas</t>
  </si>
  <si>
    <t>TRA_Lcv_Dis</t>
  </si>
  <si>
    <t>TRA_Mop_Gas</t>
  </si>
  <si>
    <t>TRA_Lcv_Lpg</t>
  </si>
  <si>
    <t>TRA_Lcv_Gas</t>
  </si>
  <si>
    <t>TRA_Rai_Pas_Hspd</t>
  </si>
  <si>
    <t>TRA_Rai_Pas_Metro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</si>
</sst>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_);_(* \(#,##0\);_(* &quot;-&quot;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0.0%"/>
    <numFmt numFmtId="168" formatCode="_-[$€-2]\ * #,##0.00_-;\-[$€-2]\ * #,##0.00_-;_-[$€-2]\ * &quot;-&quot;??_-"/>
    <numFmt numFmtId="169" formatCode="#,##0;\-\ #,##0;_-\ &quot;- &quot;"/>
    <numFmt numFmtId="170" formatCode="0.0"/>
    <numFmt numFmtId="171" formatCode="_([$€]* #,##0.00_);_([$€]* \(#,##0.00\);_([$€]* &quot;-&quot;??_);_(@_)"/>
    <numFmt numFmtId="172" formatCode="_ &quot;kr&quot;\ * #,##0_ ;_ &quot;kr&quot;\ * \-#,##0_ ;_ &quot;kr&quot;\ * &quot;-&quot;_ ;_ @_ "/>
    <numFmt numFmtId="173" formatCode="_ &quot;kr&quot;\ * #,##0.00_ ;_ &quot;kr&quot;\ * \-#,##0.00_ ;_ &quot;kr&quot;\ * &quot;-&quot;??_ ;_ @_ "/>
    <numFmt numFmtId="174" formatCode="_([$€-2]* #,##0.00_);_([$€-2]* \(#,##0.00\);_([$€-2]* &quot;-&quot;??_)"/>
    <numFmt numFmtId="175" formatCode="\(##\);\(##\)"/>
    <numFmt numFmtId="176" formatCode="#,##0.0"/>
  </numFmts>
  <fonts count="57"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0"/>
      <name val="Helvetica"/>
      <family val="2"/>
    </font>
    <font>
      <sz val="8"/>
      <color indexed="9"/>
      <name val="Arial"/>
      <family val="2"/>
    </font>
    <font>
      <u val="single"/>
      <sz val="12"/>
      <color indexed="20"/>
      <name val="宋体"/>
      <family val="2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70C0"/>
      <name val="Arial"/>
      <family val="2"/>
    </font>
    <font>
      <b/>
      <sz val="11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63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6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</borders>
  <cellStyleXfs count="37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8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38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38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38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38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38" fillId="20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2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38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0" fillId="0" borderId="0" applyNumberFormat="0" applyFont="0" applyFill="0" applyBorder="0" applyProtection="0">
      <alignment horizontal="left" vertical="center" indent="5"/>
    </xf>
    <xf numFmtId="0" fontId="39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39" fillId="2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39" fillId="27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39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39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39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39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39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39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39" fillId="40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39" fillId="4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39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4" fontId="4" fillId="13" borderId="1">
      <alignment horizontal="right" vertical="center"/>
      <protection/>
    </xf>
    <xf numFmtId="4" fontId="4" fillId="13" borderId="1">
      <alignment horizontal="right" vertical="center"/>
      <protection/>
    </xf>
    <xf numFmtId="0" fontId="40" fillId="4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41" fillId="45" borderId="2" applyNumberFormat="0" applyAlignment="0" applyProtection="0"/>
    <xf numFmtId="0" fontId="10" fillId="46" borderId="3" applyNumberFormat="0" applyAlignment="0" applyProtection="0"/>
    <xf numFmtId="0" fontId="10" fillId="46" borderId="3" applyNumberFormat="0" applyAlignment="0" applyProtection="0"/>
    <xf numFmtId="0" fontId="10" fillId="46" borderId="3" applyNumberFormat="0" applyAlignment="0" applyProtection="0"/>
    <xf numFmtId="0" fontId="10" fillId="46" borderId="3" applyNumberFormat="0" applyAlignment="0" applyProtection="0"/>
    <xf numFmtId="0" fontId="42" fillId="47" borderId="4" applyNumberFormat="0" applyAlignment="0" applyProtection="0"/>
    <xf numFmtId="0" fontId="11" fillId="48" borderId="5" applyNumberFormat="0" applyAlignment="0" applyProtection="0"/>
    <xf numFmtId="0" fontId="11" fillId="48" borderId="5" applyNumberFormat="0" applyAlignment="0" applyProtection="0"/>
    <xf numFmtId="0" fontId="11" fillId="48" borderId="5" applyNumberFormat="0" applyAlignment="0" applyProtection="0"/>
    <xf numFmtId="0" fontId="11" fillId="48" borderId="5" applyNumberFormat="0" applyAlignment="0" applyProtection="0"/>
    <xf numFmtId="49" fontId="0" fillId="11" borderId="6">
      <alignment vertical="top" wrapText="1"/>
      <protection/>
    </xf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5" fillId="0" borderId="7">
      <alignment horizontal="left" vertical="center" wrapText="1" indent="2"/>
      <protection/>
    </xf>
    <xf numFmtId="3" fontId="28" fillId="0" borderId="6">
      <alignment horizontal="right" vertical="top"/>
      <protection/>
    </xf>
    <xf numFmtId="0" fontId="2" fillId="31" borderId="1">
      <alignment horizontal="centerContinuous" vertical="top" wrapText="1"/>
      <protection/>
    </xf>
    <xf numFmtId="0" fontId="29" fillId="0" borderId="0">
      <alignment vertical="top" wrapText="1"/>
      <protection/>
    </xf>
    <xf numFmtId="168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0" fontId="44" fillId="49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44" fillId="49" borderId="0" applyNumberFormat="0" applyBorder="0" applyAlignment="0" applyProtection="0"/>
    <xf numFmtId="0" fontId="13" fillId="7" borderId="0" applyNumberFormat="0" applyBorder="0" applyAlignment="0" applyProtection="0"/>
    <xf numFmtId="0" fontId="45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46" fillId="0" borderId="10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47" fillId="0" borderId="12" applyNumberFormat="0" applyFill="0" applyAlignment="0" applyProtection="0"/>
    <xf numFmtId="0" fontId="16" fillId="0" borderId="13" applyNumberFormat="0" applyFill="0" applyAlignment="0" applyProtection="0"/>
    <xf numFmtId="0" fontId="16" fillId="0" borderId="13" applyNumberFormat="0" applyFill="0" applyAlignment="0" applyProtection="0"/>
    <xf numFmtId="0" fontId="16" fillId="0" borderId="13" applyNumberFormat="0" applyFill="0" applyAlignment="0" applyProtection="0"/>
    <xf numFmtId="0" fontId="16" fillId="0" borderId="13" applyNumberFormat="0" applyFill="0" applyAlignment="0" applyProtection="0"/>
    <xf numFmtId="0" fontId="4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8" fillId="50" borderId="2" applyNumberFormat="0" applyAlignment="0" applyProtection="0"/>
    <xf numFmtId="0" fontId="17" fillId="13" borderId="3" applyNumberFormat="0" applyAlignment="0" applyProtection="0"/>
    <xf numFmtId="0" fontId="48" fillId="50" borderId="2" applyNumberFormat="0" applyAlignment="0" applyProtection="0"/>
    <xf numFmtId="0" fontId="17" fillId="13" borderId="3" applyNumberFormat="0" applyAlignment="0" applyProtection="0"/>
    <xf numFmtId="0" fontId="17" fillId="13" borderId="3" applyNumberFormat="0" applyAlignment="0" applyProtection="0"/>
    <xf numFmtId="0" fontId="17" fillId="13" borderId="3" applyNumberFormat="0" applyAlignment="0" applyProtection="0"/>
    <xf numFmtId="4" fontId="5" fillId="0" borderId="0" applyBorder="0">
      <alignment horizontal="right" vertical="center"/>
      <protection/>
    </xf>
    <xf numFmtId="0" fontId="30" fillId="0" borderId="0">
      <alignment/>
      <protection/>
    </xf>
    <xf numFmtId="0" fontId="49" fillId="0" borderId="14" applyNumberFormat="0" applyFill="0" applyAlignment="0" applyProtection="0"/>
    <xf numFmtId="0" fontId="18" fillId="0" borderId="15" applyNumberFormat="0" applyFill="0" applyAlignment="0" applyProtection="0"/>
    <xf numFmtId="0" fontId="18" fillId="0" borderId="15" applyNumberFormat="0" applyFill="0" applyAlignment="0" applyProtection="0"/>
    <xf numFmtId="0" fontId="18" fillId="0" borderId="15" applyNumberFormat="0" applyFill="0" applyAlignment="0" applyProtection="0"/>
    <xf numFmtId="0" fontId="18" fillId="0" borderId="15" applyNumberFormat="0" applyFill="0" applyAlignment="0" applyProtection="0"/>
    <xf numFmtId="0" fontId="50" fillId="51" borderId="0" applyNumberFormat="0" applyBorder="0" applyAlignment="0" applyProtection="0"/>
    <xf numFmtId="0" fontId="19" fillId="52" borderId="0" applyNumberFormat="0" applyBorder="0" applyAlignment="0" applyProtection="0"/>
    <xf numFmtId="0" fontId="19" fillId="52" borderId="0" applyNumberFormat="0" applyBorder="0" applyAlignment="0" applyProtection="0"/>
    <xf numFmtId="0" fontId="19" fillId="52" borderId="0" applyNumberFormat="0" applyBorder="0" applyAlignment="0" applyProtection="0"/>
    <xf numFmtId="0" fontId="19" fillId="5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7" fillId="0" borderId="0">
      <alignment/>
      <protection/>
    </xf>
    <xf numFmtId="0" fontId="0" fillId="0" borderId="0">
      <alignment/>
      <protection/>
    </xf>
    <xf numFmtId="0" fontId="7" fillId="0" borderId="0">
      <alignment/>
      <protection/>
    </xf>
    <xf numFmtId="0" fontId="38" fillId="0" borderId="0">
      <alignment/>
      <protection/>
    </xf>
    <xf numFmtId="0" fontId="3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7" fillId="0" borderId="0">
      <alignment/>
      <protection/>
    </xf>
    <xf numFmtId="0" fontId="38" fillId="0" borderId="0">
      <alignment/>
      <protection/>
    </xf>
    <xf numFmtId="0" fontId="7" fillId="0" borderId="0">
      <alignment/>
      <protection/>
    </xf>
    <xf numFmtId="0" fontId="0" fillId="0" borderId="0">
      <alignment/>
      <protection/>
    </xf>
    <xf numFmtId="0" fontId="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7" fillId="0" borderId="0">
      <alignment/>
      <protection/>
    </xf>
    <xf numFmtId="0" fontId="7" fillId="0" borderId="0">
      <alignment/>
      <protection/>
    </xf>
    <xf numFmtId="0" fontId="7" fillId="0" borderId="0">
      <alignment/>
      <protection/>
    </xf>
    <xf numFmtId="0" fontId="38" fillId="0" borderId="0">
      <alignment/>
      <protection/>
    </xf>
    <xf numFmtId="0" fontId="7" fillId="0" borderId="0">
      <alignment/>
      <protection/>
    </xf>
    <xf numFmtId="0" fontId="38" fillId="0" borderId="0">
      <alignment/>
      <protection/>
    </xf>
    <xf numFmtId="0" fontId="7" fillId="0" borderId="0">
      <alignment/>
      <protection/>
    </xf>
    <xf numFmtId="0" fontId="7" fillId="0" borderId="0">
      <alignment/>
      <protection/>
    </xf>
    <xf numFmtId="0" fontId="0" fillId="0" borderId="0">
      <alignment/>
      <protection/>
    </xf>
    <xf numFmtId="0" fontId="7" fillId="0" borderId="0">
      <alignment/>
      <protection/>
    </xf>
    <xf numFmtId="0" fontId="0" fillId="0" borderId="0">
      <alignment/>
      <protection/>
    </xf>
    <xf numFmtId="0" fontId="38" fillId="0" borderId="0">
      <alignment/>
      <protection/>
    </xf>
    <xf numFmtId="0" fontId="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8" fillId="0" borderId="0">
      <alignment/>
      <protection/>
    </xf>
    <xf numFmtId="4" fontId="5" fillId="0" borderId="1" applyFill="0" applyBorder="0" applyProtection="0">
      <alignment horizontal="right" vertical="center"/>
    </xf>
    <xf numFmtId="0" fontId="6" fillId="0" borderId="0" applyNumberFormat="0" applyFill="0" applyBorder="0" applyProtection="0">
      <alignment horizontal="left" vertical="center"/>
    </xf>
    <xf numFmtId="0" fontId="0" fillId="48" borderId="0" applyNumberFormat="0" applyFont="0" applyBorder="0" applyAlignment="0" applyProtection="0"/>
    <xf numFmtId="0" fontId="24" fillId="0" borderId="0">
      <alignment/>
      <protection/>
    </xf>
    <xf numFmtId="0" fontId="7" fillId="53" borderId="16" applyNumberFormat="0" applyFont="0" applyAlignment="0" applyProtection="0"/>
    <xf numFmtId="0" fontId="0" fillId="53" borderId="16" applyNumberFormat="0" applyFont="0" applyAlignment="0" applyProtection="0"/>
    <xf numFmtId="0" fontId="0" fillId="53" borderId="16" applyNumberFormat="0" applyFont="0" applyAlignment="0" applyProtection="0"/>
    <xf numFmtId="0" fontId="0" fillId="53" borderId="16" applyNumberFormat="0" applyFont="0" applyAlignment="0" applyProtection="0"/>
    <xf numFmtId="0" fontId="0" fillId="53" borderId="16" applyNumberFormat="0" applyFont="0" applyAlignment="0" applyProtection="0"/>
    <xf numFmtId="0" fontId="0" fillId="53" borderId="16" applyNumberFormat="0" applyFont="0" applyAlignment="0" applyProtection="0"/>
    <xf numFmtId="0" fontId="0" fillId="53" borderId="16" applyNumberFormat="0" applyFont="0" applyAlignment="0" applyProtection="0"/>
    <xf numFmtId="0" fontId="0" fillId="53" borderId="16" applyNumberFormat="0" applyFont="0" applyAlignment="0" applyProtection="0"/>
    <xf numFmtId="0" fontId="0" fillId="53" borderId="16" applyNumberFormat="0" applyFont="0" applyAlignment="0" applyProtection="0"/>
    <xf numFmtId="0" fontId="38" fillId="54" borderId="17" applyNumberFormat="0" applyFont="0" applyAlignment="0" applyProtection="0"/>
    <xf numFmtId="175" fontId="31" fillId="0" borderId="0">
      <alignment horizontal="right"/>
      <protection/>
    </xf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0" fontId="51" fillId="45" borderId="18" applyNumberFormat="0" applyAlignment="0" applyProtection="0"/>
    <xf numFmtId="0" fontId="20" fillId="46" borderId="19" applyNumberFormat="0" applyAlignment="0" applyProtection="0"/>
    <xf numFmtId="0" fontId="20" fillId="46" borderId="19" applyNumberFormat="0" applyAlignment="0" applyProtection="0"/>
    <xf numFmtId="0" fontId="20" fillId="46" borderId="19" applyNumberFormat="0" applyAlignment="0" applyProtection="0"/>
    <xf numFmtId="0" fontId="20" fillId="46" borderId="19" applyNumberFormat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8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72" fontId="25" fillId="0" borderId="0" applyFont="0" applyFill="0" applyBorder="0" applyAlignment="0" applyProtection="0"/>
    <xf numFmtId="0" fontId="29" fillId="0" borderId="0">
      <alignment vertical="top" wrapText="1"/>
      <protection/>
    </xf>
    <xf numFmtId="0" fontId="29" fillId="0" borderId="0">
      <alignment vertical="top" wrapText="1"/>
      <protection/>
    </xf>
    <xf numFmtId="0" fontId="29" fillId="0" borderId="0">
      <alignment vertical="top" wrapText="1"/>
      <protection/>
    </xf>
    <xf numFmtId="0" fontId="0" fillId="0" borderId="1" applyNumberFormat="0" applyFill="0" applyProtection="0">
      <alignment horizontal="right"/>
    </xf>
    <xf numFmtId="0" fontId="0" fillId="0" borderId="1" applyNumberFormat="0" applyFill="0" applyProtection="0">
      <alignment horizontal="right"/>
    </xf>
    <xf numFmtId="0" fontId="2" fillId="55" borderId="1" applyNumberFormat="0" applyProtection="0">
      <alignment horizontal="right"/>
    </xf>
    <xf numFmtId="0" fontId="3" fillId="55" borderId="0" applyNumberFormat="0" applyBorder="0" applyProtection="0">
      <alignment horizontal="left"/>
    </xf>
    <xf numFmtId="0" fontId="2" fillId="55" borderId="1" applyNumberFormat="0" applyProtection="0">
      <alignment horizontal="left"/>
    </xf>
    <xf numFmtId="0" fontId="0" fillId="0" borderId="1" applyNumberFormat="0" applyFill="0" applyProtection="0">
      <alignment horizontal="right"/>
    </xf>
    <xf numFmtId="0" fontId="0" fillId="0" borderId="1" applyNumberFormat="0" applyFill="0" applyProtection="0">
      <alignment horizontal="right"/>
    </xf>
    <xf numFmtId="0" fontId="26" fillId="35" borderId="0" applyNumberFormat="0" applyBorder="0" applyProtection="0">
      <alignment horizontal="left"/>
    </xf>
    <xf numFmtId="176" fontId="32" fillId="56" borderId="20">
      <alignment vertical="center"/>
      <protection/>
    </xf>
    <xf numFmtId="167" fontId="33" fillId="56" borderId="20">
      <alignment vertical="center"/>
      <protection/>
    </xf>
    <xf numFmtId="176" fontId="34" fillId="57" borderId="20">
      <alignment vertical="center"/>
      <protection/>
    </xf>
    <xf numFmtId="0" fontId="0" fillId="58" borderId="21" applyBorder="0">
      <alignment horizontal="left" vertical="center"/>
      <protection/>
    </xf>
    <xf numFmtId="49" fontId="0" fillId="59" borderId="1">
      <alignment vertical="center" wrapText="1"/>
      <protection/>
    </xf>
    <xf numFmtId="0" fontId="0" fillId="60" borderId="22">
      <alignment horizontal="left" vertical="center" wrapText="1"/>
      <protection/>
    </xf>
    <xf numFmtId="0" fontId="35" fillId="61" borderId="1">
      <alignment horizontal="left" vertical="center" wrapText="1"/>
      <protection/>
    </xf>
    <xf numFmtId="0" fontId="0" fillId="33" borderId="1">
      <alignment horizontal="left" vertical="center" wrapText="1"/>
      <protection/>
    </xf>
    <xf numFmtId="0" fontId="0" fillId="62" borderId="1">
      <alignment horizontal="left" vertical="center" wrapText="1"/>
      <protection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23" applyNumberFormat="0" applyFill="0" applyAlignment="0" applyProtection="0"/>
    <xf numFmtId="0" fontId="22" fillId="0" borderId="24" applyNumberFormat="0" applyFill="0" applyAlignment="0" applyProtection="0"/>
    <xf numFmtId="0" fontId="22" fillId="0" borderId="24" applyNumberFormat="0" applyFill="0" applyAlignment="0" applyProtection="0"/>
    <xf numFmtId="0" fontId="22" fillId="0" borderId="24" applyNumberFormat="0" applyFill="0" applyAlignment="0" applyProtection="0"/>
    <xf numFmtId="0" fontId="22" fillId="0" borderId="24" applyNumberFormat="0" applyFill="0" applyAlignment="0" applyProtection="0"/>
    <xf numFmtId="173" fontId="25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" fontId="5" fillId="0" borderId="0">
      <alignment/>
      <protection/>
    </xf>
    <xf numFmtId="0" fontId="27" fillId="0" borderId="0" applyNumberFormat="0" applyFill="0" applyBorder="0" applyProtection="0">
      <alignment/>
    </xf>
  </cellStyleXfs>
  <cellXfs count="22">
    <xf numFmtId="0" fontId="0" fillId="0" borderId="0" xfId="0"/>
    <xf numFmtId="0" fontId="0" fillId="0" borderId="0" xfId="0" applyFont="1"/>
    <xf numFmtId="2" fontId="0" fillId="0" borderId="0" xfId="0" applyNumberFormat="1"/>
    <xf numFmtId="0" fontId="50" fillId="51" borderId="0" xfId="227"/>
    <xf numFmtId="2" fontId="0" fillId="0" borderId="0" xfId="0" applyNumberFormat="1" applyFont="1"/>
    <xf numFmtId="0" fontId="55" fillId="0" borderId="0" xfId="0" applyFont="1"/>
    <xf numFmtId="2" fontId="50" fillId="51" borderId="0" xfId="227" applyNumberFormat="1"/>
    <xf numFmtId="0" fontId="50" fillId="51" borderId="25" xfId="227" applyBorder="1"/>
    <xf numFmtId="0" fontId="0" fillId="0" borderId="25" xfId="0" applyBorder="1"/>
    <xf numFmtId="0" fontId="0" fillId="0" borderId="25" xfId="0" applyFont="1" applyBorder="1"/>
    <xf numFmtId="2" fontId="50" fillId="51" borderId="25" xfId="227" applyNumberFormat="1" applyBorder="1"/>
    <xf numFmtId="2" fontId="50" fillId="51" borderId="0" xfId="227" applyNumberFormat="1" applyBorder="1"/>
    <xf numFmtId="0" fontId="50" fillId="51" borderId="0" xfId="227" applyBorder="1"/>
    <xf numFmtId="0" fontId="38" fillId="0" borderId="0" xfId="237" applyAlignment="1">
      <alignment horizontal="right"/>
      <protection/>
    </xf>
    <xf numFmtId="0" fontId="38" fillId="0" borderId="0" xfId="237">
      <alignment/>
      <protection/>
    </xf>
    <xf numFmtId="1" fontId="38" fillId="0" borderId="0" xfId="237" applyNumberFormat="1">
      <alignment/>
      <protection/>
    </xf>
    <xf numFmtId="170" fontId="38" fillId="0" borderId="0" xfId="237" applyNumberFormat="1">
      <alignment/>
      <protection/>
    </xf>
    <xf numFmtId="1" fontId="56" fillId="2" borderId="26" xfId="237" applyNumberFormat="1" applyFont="1" applyFill="1" applyBorder="1" applyAlignment="1">
      <alignment horizontal="right" vertical="center"/>
      <protection/>
    </xf>
    <xf numFmtId="170" fontId="0" fillId="0" borderId="0" xfId="0" applyNumberFormat="1"/>
    <xf numFmtId="1" fontId="0" fillId="0" borderId="0" xfId="0" applyNumberFormat="1"/>
    <xf numFmtId="0" fontId="56" fillId="54" borderId="26" xfId="237" applyFont="1" applyFill="1" applyBorder="1" applyAlignment="1">
      <alignment vertical="center"/>
      <protection/>
    </xf>
    <xf numFmtId="1" fontId="56" fillId="2" borderId="26" xfId="237" applyNumberFormat="1" applyFont="1" applyFill="1" applyBorder="1" applyAlignment="1">
      <alignment vertical="center"/>
      <protection/>
    </xf>
  </cellXfs>
  <cellStyles count="361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Cor1" xfId="20" builtinId="30"/>
    <cellStyle name="20% - Accent1 2" xfId="21"/>
    <cellStyle name="20% - Accent1 3" xfId="22"/>
    <cellStyle name="20% - Accent1 4" xfId="23"/>
    <cellStyle name="20% - Accent1 5" xfId="24"/>
    <cellStyle name="20% - Cor2" xfId="25" builtinId="34"/>
    <cellStyle name="20% - Accent2 2" xfId="26"/>
    <cellStyle name="20% - Accent2 3" xfId="27"/>
    <cellStyle name="20% - Accent2 4" xfId="28"/>
    <cellStyle name="20% - Accent2 5" xfId="29"/>
    <cellStyle name="20% - Cor3" xfId="30" builtinId="38"/>
    <cellStyle name="20% - Accent3 2" xfId="31"/>
    <cellStyle name="20% - Accent3 3" xfId="32"/>
    <cellStyle name="20% - Accent3 4" xfId="33"/>
    <cellStyle name="20% - Accent3 5" xfId="34"/>
    <cellStyle name="20% - Cor4" xfId="35" builtinId="42"/>
    <cellStyle name="20% - Accent4 2" xfId="36"/>
    <cellStyle name="20% - Accent4 3" xfId="37"/>
    <cellStyle name="20% - Accent4 4" xfId="38"/>
    <cellStyle name="20% - Accent4 5" xfId="39"/>
    <cellStyle name="20% - Cor5" xfId="40" builtinId="46"/>
    <cellStyle name="20% - Accent5 2" xfId="41"/>
    <cellStyle name="20% - Accent5 3" xfId="42"/>
    <cellStyle name="20% - Accent5 4" xfId="43"/>
    <cellStyle name="20% - Accent5 5" xfId="44"/>
    <cellStyle name="20% - Cor6" xfId="45" builtinId="50"/>
    <cellStyle name="20% - Accent6 2" xfId="46"/>
    <cellStyle name="20% - Accent6 3" xfId="47"/>
    <cellStyle name="20% - Accent6 4" xfId="48"/>
    <cellStyle name="20% - Accent6 5" xfId="49"/>
    <cellStyle name="40% - Cor1" xfId="50" builtinId="31"/>
    <cellStyle name="40% - Accent1 2" xfId="51"/>
    <cellStyle name="40% - Accent1 3" xfId="52"/>
    <cellStyle name="40% - Accent1 4" xfId="53"/>
    <cellStyle name="40% - Accent1 5" xfId="54"/>
    <cellStyle name="40% - Cor2" xfId="55" builtinId="35"/>
    <cellStyle name="40% - Accent2 2" xfId="56"/>
    <cellStyle name="40% - Accent2 3" xfId="57"/>
    <cellStyle name="40% - Accent2 4" xfId="58"/>
    <cellStyle name="40% - Accent2 5" xfId="59"/>
    <cellStyle name="40% - Cor3" xfId="60" builtinId="39"/>
    <cellStyle name="40% - Accent3 2" xfId="61"/>
    <cellStyle name="40% - Accent3 3" xfId="62"/>
    <cellStyle name="40% - Accent3 4" xfId="63"/>
    <cellStyle name="40% - Accent3 5" xfId="64"/>
    <cellStyle name="40% - Cor4" xfId="65" builtinId="43"/>
    <cellStyle name="40% - Accent4 2" xfId="66"/>
    <cellStyle name="40% - Accent4 3" xfId="67"/>
    <cellStyle name="40% - Accent4 4" xfId="68"/>
    <cellStyle name="40% - Accent4 5" xfId="69"/>
    <cellStyle name="40% - Cor5" xfId="70" builtinId="47"/>
    <cellStyle name="40% - Accent5 2" xfId="71"/>
    <cellStyle name="40% - Accent5 3" xfId="72"/>
    <cellStyle name="40% - Accent5 4" xfId="73"/>
    <cellStyle name="40% - Accent5 5" xfId="74"/>
    <cellStyle name="40% - Cor6" xfId="75" builtinId="51"/>
    <cellStyle name="40% - Accent6 2" xfId="76"/>
    <cellStyle name="40% - Accent6 3" xfId="77"/>
    <cellStyle name="40% - Accent6 4" xfId="78"/>
    <cellStyle name="40% - Accent6 5" xfId="79"/>
    <cellStyle name="5x indented GHG Textfiels" xfId="80"/>
    <cellStyle name="60% - Cor1" xfId="81" builtinId="32"/>
    <cellStyle name="60% - Accent1 2" xfId="82"/>
    <cellStyle name="60% - Accent1 3" xfId="83"/>
    <cellStyle name="60% - Accent1 4" xfId="84"/>
    <cellStyle name="60% - Accent1 5" xfId="85"/>
    <cellStyle name="60% - Cor2" xfId="86" builtinId="36"/>
    <cellStyle name="60% - Accent2 2" xfId="87"/>
    <cellStyle name="60% - Accent2 3" xfId="88"/>
    <cellStyle name="60% - Accent2 4" xfId="89"/>
    <cellStyle name="60% - Accent2 5" xfId="90"/>
    <cellStyle name="60% - Cor3" xfId="91" builtinId="40"/>
    <cellStyle name="60% - Accent3 2" xfId="92"/>
    <cellStyle name="60% - Accent3 3" xfId="93"/>
    <cellStyle name="60% - Accent3 4" xfId="94"/>
    <cellStyle name="60% - Accent3 5" xfId="95"/>
    <cellStyle name="60% - Cor4" xfId="96" builtinId="44"/>
    <cellStyle name="60% - Accent4 2" xfId="97"/>
    <cellStyle name="60% - Accent4 3" xfId="98"/>
    <cellStyle name="60% - Accent4 4" xfId="99"/>
    <cellStyle name="60% - Accent4 5" xfId="100"/>
    <cellStyle name="60% - Cor5" xfId="101" builtinId="48"/>
    <cellStyle name="60% - Accent5 2" xfId="102"/>
    <cellStyle name="60% - Accent5 3" xfId="103"/>
    <cellStyle name="60% - Accent5 4" xfId="104"/>
    <cellStyle name="60% - Accent5 5" xfId="105"/>
    <cellStyle name="60% - Cor6" xfId="106" builtinId="52"/>
    <cellStyle name="60% - Accent6 2" xfId="107"/>
    <cellStyle name="60% - Accent6 3" xfId="108"/>
    <cellStyle name="60% - Accent6 4" xfId="109"/>
    <cellStyle name="60% - Accent6 5" xfId="110"/>
    <cellStyle name="Cor1" xfId="111" builtinId="29"/>
    <cellStyle name="Accent1 2" xfId="112"/>
    <cellStyle name="Accent1 3" xfId="113"/>
    <cellStyle name="Accent1 4" xfId="114"/>
    <cellStyle name="Accent1 5" xfId="115"/>
    <cellStyle name="Cor2" xfId="116" builtinId="33"/>
    <cellStyle name="Accent2 2" xfId="117"/>
    <cellStyle name="Accent2 3" xfId="118"/>
    <cellStyle name="Accent2 4" xfId="119"/>
    <cellStyle name="Accent2 5" xfId="120"/>
    <cellStyle name="Cor3" xfId="121" builtinId="37"/>
    <cellStyle name="Accent3 2" xfId="122"/>
    <cellStyle name="Accent3 3" xfId="123"/>
    <cellStyle name="Accent3 4" xfId="124"/>
    <cellStyle name="Accent3 5" xfId="125"/>
    <cellStyle name="Cor4" xfId="126" builtinId="41"/>
    <cellStyle name="Accent4 2" xfId="127"/>
    <cellStyle name="Accent4 3" xfId="128"/>
    <cellStyle name="Accent4 4" xfId="129"/>
    <cellStyle name="Accent4 5" xfId="130"/>
    <cellStyle name="Cor5" xfId="131" builtinId="45"/>
    <cellStyle name="Accent5 2" xfId="132"/>
    <cellStyle name="Accent5 3" xfId="133"/>
    <cellStyle name="Accent5 4" xfId="134"/>
    <cellStyle name="Accent5 5" xfId="135"/>
    <cellStyle name="Cor6" xfId="136" builtinId="49"/>
    <cellStyle name="Accent6 2" xfId="137"/>
    <cellStyle name="Accent6 3" xfId="138"/>
    <cellStyle name="Accent6 4" xfId="139"/>
    <cellStyle name="Accent6 5" xfId="140"/>
    <cellStyle name="AggOrange_CRFReport-template" xfId="141"/>
    <cellStyle name="AggOrange9_CRFReport-template" xfId="142"/>
    <cellStyle name="Incorreto" xfId="143" builtinId="27"/>
    <cellStyle name="Bad 2" xfId="144"/>
    <cellStyle name="Bad 3" xfId="145"/>
    <cellStyle name="Bad 4" xfId="146"/>
    <cellStyle name="Bad 5" xfId="147"/>
    <cellStyle name="Cálculo" xfId="148" builtinId="22"/>
    <cellStyle name="Calculation 2" xfId="149"/>
    <cellStyle name="Calculation 3" xfId="150"/>
    <cellStyle name="Calculation 4" xfId="151"/>
    <cellStyle name="Calculation 5" xfId="152"/>
    <cellStyle name="Verificar Célula" xfId="153" builtinId="23"/>
    <cellStyle name="Check Cell 2" xfId="154"/>
    <cellStyle name="Check Cell 3" xfId="155"/>
    <cellStyle name="Check Cell 4" xfId="156"/>
    <cellStyle name="Check Cell 5" xfId="157"/>
    <cellStyle name="coin" xfId="158"/>
    <cellStyle name="Comma 2" xfId="159"/>
    <cellStyle name="Comma 2 2" xfId="160"/>
    <cellStyle name="Comma 2 3" xfId="161"/>
    <cellStyle name="Comma 2 3 2" xfId="162"/>
    <cellStyle name="Comma 2 4" xfId="163"/>
    <cellStyle name="Comma 2 4 2" xfId="164"/>
    <cellStyle name="Comma 2 4 3" xfId="165"/>
    <cellStyle name="Currency 2" xfId="166"/>
    <cellStyle name="CustomizationCells" xfId="167"/>
    <cellStyle name="donn_normal" xfId="168"/>
    <cellStyle name="ent_col_ser" xfId="169"/>
    <cellStyle name="entete_source" xfId="170"/>
    <cellStyle name="Euro" xfId="171"/>
    <cellStyle name="Euro 2" xfId="172"/>
    <cellStyle name="Euro 2 2" xfId="173"/>
    <cellStyle name="Euro 2 2 2" xfId="174"/>
    <cellStyle name="Euro 3" xfId="175"/>
    <cellStyle name="Euro 4" xfId="176"/>
    <cellStyle name="Euro 5" xfId="177"/>
    <cellStyle name="Euro 5 2" xfId="178"/>
    <cellStyle name="Euro 5 3" xfId="179"/>
    <cellStyle name="Euro 6" xfId="180"/>
    <cellStyle name="Texto Explicativo" xfId="181" builtinId="53"/>
    <cellStyle name="Explanatory Text 2" xfId="182"/>
    <cellStyle name="Explanatory Text 3" xfId="183"/>
    <cellStyle name="Explanatory Text 4" xfId="184"/>
    <cellStyle name="Explanatory Text 5" xfId="185"/>
    <cellStyle name="Float" xfId="186"/>
    <cellStyle name="Float 2" xfId="187"/>
    <cellStyle name="Correto" xfId="188" builtinId="26"/>
    <cellStyle name="Good 2" xfId="189"/>
    <cellStyle name="Good 3" xfId="190"/>
    <cellStyle name="Good 4" xfId="191"/>
    <cellStyle name="Good 5" xfId="192"/>
    <cellStyle name="Good 6" xfId="193"/>
    <cellStyle name="Cabeçalho 1" xfId="194" builtinId="16"/>
    <cellStyle name="Heading 1 2" xfId="195"/>
    <cellStyle name="Heading 1 3" xfId="196"/>
    <cellStyle name="Heading 1 4" xfId="197"/>
    <cellStyle name="Heading 1 5" xfId="198"/>
    <cellStyle name="Cabeçalho 2" xfId="199" builtinId="17"/>
    <cellStyle name="Heading 2 2" xfId="200"/>
    <cellStyle name="Heading 2 3" xfId="201"/>
    <cellStyle name="Heading 2 4" xfId="202"/>
    <cellStyle name="Heading 2 5" xfId="203"/>
    <cellStyle name="Cabeçalho 3" xfId="204" builtinId="18"/>
    <cellStyle name="Heading 3 2" xfId="205"/>
    <cellStyle name="Heading 3 3" xfId="206"/>
    <cellStyle name="Heading 3 4" xfId="207"/>
    <cellStyle name="Heading 3 5" xfId="208"/>
    <cellStyle name="Cabeçalho 4" xfId="209" builtinId="19"/>
    <cellStyle name="Heading 4 2" xfId="210"/>
    <cellStyle name="Heading 4 3" xfId="211"/>
    <cellStyle name="Heading 4 4" xfId="212"/>
    <cellStyle name="Heading 4 5" xfId="213"/>
    <cellStyle name="Entrada" xfId="214" builtinId="20"/>
    <cellStyle name="Input 2" xfId="215"/>
    <cellStyle name="Input 3" xfId="216"/>
    <cellStyle name="Input 3 2" xfId="217"/>
    <cellStyle name="Input 4" xfId="218"/>
    <cellStyle name="Input 5" xfId="219"/>
    <cellStyle name="InputCells" xfId="220"/>
    <cellStyle name="ligne_titre_0" xfId="221"/>
    <cellStyle name="Célula Ligada" xfId="222" builtinId="24"/>
    <cellStyle name="Linked Cell 2" xfId="223"/>
    <cellStyle name="Linked Cell 3" xfId="224"/>
    <cellStyle name="Linked Cell 4" xfId="225"/>
    <cellStyle name="Linked Cell 5" xfId="226"/>
    <cellStyle name="Neutro" xfId="227" builtinId="28"/>
    <cellStyle name="Neutral 2" xfId="228"/>
    <cellStyle name="Neutral 3" xfId="229"/>
    <cellStyle name="Neutral 4" xfId="230"/>
    <cellStyle name="Neutral 5" xfId="231"/>
    <cellStyle name="Normal 10" xfId="232"/>
    <cellStyle name="Normal 11" xfId="233"/>
    <cellStyle name="Normal 2 2" xfId="234"/>
    <cellStyle name="Normal 2 2 2" xfId="235"/>
    <cellStyle name="Normal 2 2 3" xfId="236"/>
    <cellStyle name="Normal 2 3" xfId="237"/>
    <cellStyle name="Normal 2 3 2" xfId="238"/>
    <cellStyle name="Normal 2 3 3" xfId="239"/>
    <cellStyle name="Normal 2 4" xfId="240"/>
    <cellStyle name="Normal 2 5" xfId="241"/>
    <cellStyle name="Normal 2 6" xfId="242"/>
    <cellStyle name="Normal 2 7" xfId="243"/>
    <cellStyle name="Normal 3" xfId="244"/>
    <cellStyle name="Normal 3 2" xfId="245"/>
    <cellStyle name="Normal 3 2 2" xfId="246"/>
    <cellStyle name="Normal 3 3" xfId="247"/>
    <cellStyle name="Normal 3 4" xfId="248"/>
    <cellStyle name="Normal 3 4 2" xfId="249"/>
    <cellStyle name="Normal 3 5" xfId="250"/>
    <cellStyle name="Normal 3 6" xfId="251"/>
    <cellStyle name="Normal 4" xfId="252"/>
    <cellStyle name="Normal 4 2" xfId="253"/>
    <cellStyle name="Normal 4 2 2" xfId="254"/>
    <cellStyle name="Normal 4 3" xfId="255"/>
    <cellStyle name="Normal 4 4" xfId="256"/>
    <cellStyle name="Normal 5" xfId="257"/>
    <cellStyle name="Normal 5 2" xfId="258"/>
    <cellStyle name="Normal 5 3" xfId="259"/>
    <cellStyle name="Normal 5 4" xfId="260"/>
    <cellStyle name="Normal 5 5" xfId="261"/>
    <cellStyle name="Normal 6" xfId="262"/>
    <cellStyle name="Normal 6 2" xfId="263"/>
    <cellStyle name="Normal 6 2 2" xfId="264"/>
    <cellStyle name="Normal 6 3" xfId="265"/>
    <cellStyle name="Normal 6 4" xfId="266"/>
    <cellStyle name="Normal 7" xfId="267"/>
    <cellStyle name="Normal 7 2" xfId="268"/>
    <cellStyle name="Normal 8" xfId="269"/>
    <cellStyle name="Normal 8 2" xfId="270"/>
    <cellStyle name="Normal 9" xfId="271"/>
    <cellStyle name="Normal GHG Numbers (0.00)" xfId="272"/>
    <cellStyle name="Normal GHG Textfiels Bold" xfId="273"/>
    <cellStyle name="Normal GHG-Shade" xfId="274"/>
    <cellStyle name="Normale_B2020" xfId="275"/>
    <cellStyle name="Note 2" xfId="276"/>
    <cellStyle name="Note 2 2" xfId="277"/>
    <cellStyle name="Note 3" xfId="278"/>
    <cellStyle name="Note 3 2" xfId="279"/>
    <cellStyle name="Note 4" xfId="280"/>
    <cellStyle name="Note 4 2" xfId="281"/>
    <cellStyle name="Note 4 3" xfId="282"/>
    <cellStyle name="Note 5" xfId="283"/>
    <cellStyle name="Note 6" xfId="284"/>
    <cellStyle name="Note 7" xfId="285"/>
    <cellStyle name="num_note" xfId="286"/>
    <cellStyle name="Nuovo" xfId="287"/>
    <cellStyle name="Nuovo 2" xfId="288"/>
    <cellStyle name="Nuovo 2 2" xfId="289"/>
    <cellStyle name="Nuovo 2 3" xfId="290"/>
    <cellStyle name="Nuovo 3" xfId="291"/>
    <cellStyle name="Saída" xfId="292" builtinId="21"/>
    <cellStyle name="Output 2" xfId="293"/>
    <cellStyle name="Output 3" xfId="294"/>
    <cellStyle name="Output 4" xfId="295"/>
    <cellStyle name="Output 5" xfId="296"/>
    <cellStyle name="Percent 2" xfId="297"/>
    <cellStyle name="Percent 2 2" xfId="298"/>
    <cellStyle name="Percent 2 2 2" xfId="299"/>
    <cellStyle name="Percent 2 2 3" xfId="300"/>
    <cellStyle name="Percent 2 2 3 2" xfId="301"/>
    <cellStyle name="Percent 2 3" xfId="302"/>
    <cellStyle name="Percent 2 3 2" xfId="303"/>
    <cellStyle name="Percent 2 3 3" xfId="304"/>
    <cellStyle name="Percent 2 3 3 2" xfId="305"/>
    <cellStyle name="Percent 2 4" xfId="306"/>
    <cellStyle name="Percent 2 5" xfId="307"/>
    <cellStyle name="Percent 2 5 2" xfId="308"/>
    <cellStyle name="Percent 2 5 3" xfId="309"/>
    <cellStyle name="Percent 3" xfId="310"/>
    <cellStyle name="Percent 3 2" xfId="311"/>
    <cellStyle name="Percent 3 2 2" xfId="312"/>
    <cellStyle name="Percent 3 2 3" xfId="313"/>
    <cellStyle name="Percent 3 3" xfId="314"/>
    <cellStyle name="Percent 3 3 2" xfId="315"/>
    <cellStyle name="Percent 3 3 3" xfId="316"/>
    <cellStyle name="Percent 3 3 3 2" xfId="317"/>
    <cellStyle name="Percent 3 4" xfId="318"/>
    <cellStyle name="Percent 3 4 2" xfId="319"/>
    <cellStyle name="Percent 3 5" xfId="320"/>
    <cellStyle name="Percent 3 6" xfId="321"/>
    <cellStyle name="Percent 3 6 2" xfId="322"/>
    <cellStyle name="Percent 3 6 3" xfId="323"/>
    <cellStyle name="Percent 4" xfId="324"/>
    <cellStyle name="Percent 4 2" xfId="325"/>
    <cellStyle name="Percent 4 2 2" xfId="326"/>
    <cellStyle name="Percent 4 3" xfId="327"/>
    <cellStyle name="Percent 4 4" xfId="328"/>
    <cellStyle name="Percent 4 5" xfId="329"/>
    <cellStyle name="Percent 4 5 2" xfId="330"/>
    <cellStyle name="Percent 5" xfId="331"/>
    <cellStyle name="Percent 5 2" xfId="332"/>
    <cellStyle name="Percent 6" xfId="333"/>
    <cellStyle name="Pilkku_Layo9704" xfId="334"/>
    <cellStyle name="Pyör. luku_Layo9704" xfId="335"/>
    <cellStyle name="Pyör. valuutta_Layo9704" xfId="336"/>
    <cellStyle name="source" xfId="337"/>
    <cellStyle name="source 2" xfId="338"/>
    <cellStyle name="source 3" xfId="339"/>
    <cellStyle name="Style 21" xfId="340"/>
    <cellStyle name="Style 21 2" xfId="341"/>
    <cellStyle name="Style 22" xfId="342"/>
    <cellStyle name="Style 23" xfId="343"/>
    <cellStyle name="Style 24" xfId="344"/>
    <cellStyle name="Style 25" xfId="345"/>
    <cellStyle name="Style 25 2" xfId="346"/>
    <cellStyle name="Style 26" xfId="347"/>
    <cellStyle name="tableau | cellule | normal | decimal 1" xfId="348"/>
    <cellStyle name="tableau | cellule | normal | pourcentage | decimal 1" xfId="349"/>
    <cellStyle name="tableau | cellule | total | decimal 1" xfId="350"/>
    <cellStyle name="tableau | coin superieur gauche" xfId="351"/>
    <cellStyle name="tableau | entete-colonne | series" xfId="352"/>
    <cellStyle name="tableau | entete-ligne | normal" xfId="353"/>
    <cellStyle name="tableau | entete-ligne | total" xfId="354"/>
    <cellStyle name="tableau | ligne-titre | niveau1" xfId="355"/>
    <cellStyle name="tableau | ligne-titre | niveau2" xfId="356"/>
    <cellStyle name="Title 2" xfId="357"/>
    <cellStyle name="Title 3" xfId="358"/>
    <cellStyle name="Title 4" xfId="359"/>
    <cellStyle name="Title 5" xfId="360"/>
    <cellStyle name="Title 6" xfId="361"/>
    <cellStyle name="Total" xfId="362" builtinId="25"/>
    <cellStyle name="Total 2" xfId="363"/>
    <cellStyle name="Total 3" xfId="364"/>
    <cellStyle name="Total 4" xfId="365"/>
    <cellStyle name="Total 5" xfId="366"/>
    <cellStyle name="Valuutta_Layo9704" xfId="367"/>
    <cellStyle name="Texto de Aviso" xfId="368" builtinId="11"/>
    <cellStyle name="Warning Text 2" xfId="369"/>
    <cellStyle name="Warning Text 3" xfId="370"/>
    <cellStyle name="Warning Text 4" xfId="371"/>
    <cellStyle name="Warning Text 5" xfId="372"/>
    <cellStyle name="Обычный_CRF2002 (1)" xfId="373"/>
    <cellStyle name="已访问的超链接" xfId="37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customXml" Target="../customXml/item2.xml" /><Relationship Id="rId1" Type="http://schemas.openxmlformats.org/officeDocument/2006/relationships/theme" Target="theme/theme1.xml" /><Relationship Id="rId12" Type="http://schemas.openxmlformats.org/officeDocument/2006/relationships/calcChain" Target="calcChain.xml" /><Relationship Id="rId8" Type="http://schemas.openxmlformats.org/officeDocument/2006/relationships/customXml" Target="../customXml/item1.xml" /><Relationship Id="rId6" Type="http://schemas.openxmlformats.org/officeDocument/2006/relationships/worksheet" Target="worksheets/sheet4.xml" /><Relationship Id="rId7" Type="http://schemas.openxmlformats.org/officeDocument/2006/relationships/sharedStrings" Target="sharedStrings.xml" /><Relationship Id="rId11" Type="http://schemas.openxmlformats.org/officeDocument/2006/relationships/externalLink" Target="externalLinks/externalLink1.xml" /><Relationship Id="rId10" Type="http://schemas.openxmlformats.org/officeDocument/2006/relationships/customXml" Target="../customXml/item3.xml" /><Relationship Id="rId5" Type="http://schemas.openxmlformats.org/officeDocument/2006/relationships/worksheet" Target="worksheets/sheet3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Wolfgang\c\temphold\TMPL_RE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2.bin" /><Relationship Id="rId1" Type="http://schemas.openxmlformats.org/officeDocument/2006/relationships/comments" Target="../comments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0"/>
  <sheetViews>
    <sheetView workbookViewId="0" topLeftCell="A1">
      <selection pane="topLeft" activeCell="I19" sqref="I19"/>
    </sheetView>
  </sheetViews>
  <sheetFormatPr defaultRowHeight="13.2"/>
  <cols>
    <col min="2" max="2" width="35.2857142857143" bestFit="1" customWidth="1"/>
    <col min="9" max="9" width="81.5714285714286" bestFit="1" customWidth="1"/>
  </cols>
  <sheetData>
    <row r="2" spans="2:2" ht="13.2">
      <c r="B2" s="1" t="s">
        <v>71</v>
      </c>
    </row>
    <row r="3" spans="2:10" ht="13.2">
      <c r="B3" t="s">
        <v>34</v>
      </c>
      <c r="C3" t="s">
        <v>35</v>
      </c>
      <c r="D3" t="s">
        <v>36</v>
      </c>
      <c r="E3" t="s">
        <v>37</v>
      </c>
      <c r="F3" t="s">
        <v>47</v>
      </c>
      <c r="G3" t="s">
        <v>39</v>
      </c>
      <c r="H3" t="s">
        <v>38</v>
      </c>
      <c r="I3" t="s">
        <v>44</v>
      </c>
      <c r="J3" t="s">
        <v>40</v>
      </c>
    </row>
    <row r="4" spans="4:9" ht="13.2">
      <c r="D4" t="s">
        <v>28</v>
      </c>
      <c r="F4">
        <v>1</v>
      </c>
      <c r="G4" s="1" t="s">
        <v>74</v>
      </c>
      <c r="I4" t="s">
        <v>69</v>
      </c>
    </row>
    <row r="5" spans="4:9" ht="13.2">
      <c r="D5" s="1" t="s">
        <v>30</v>
      </c>
      <c r="F5">
        <v>1</v>
      </c>
      <c r="G5" s="1" t="s">
        <v>74</v>
      </c>
      <c r="I5" t="s">
        <v>69</v>
      </c>
    </row>
    <row r="6" spans="4:9" ht="13.2">
      <c r="D6" s="1" t="s">
        <v>29</v>
      </c>
      <c r="F6">
        <v>1</v>
      </c>
      <c r="G6" s="1" t="s">
        <v>74</v>
      </c>
      <c r="I6" s="1" t="s">
        <v>179</v>
      </c>
    </row>
    <row r="7" spans="4:9" ht="13.2">
      <c r="D7" s="1" t="s">
        <v>70</v>
      </c>
      <c r="F7">
        <v>1</v>
      </c>
      <c r="G7" s="1" t="s">
        <v>74</v>
      </c>
      <c r="I7" t="s">
        <v>69</v>
      </c>
    </row>
    <row r="10" spans="16:16" ht="13.2">
      <c r="P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67"/>
  <sheetViews>
    <sheetView tabSelected="1" workbookViewId="0" topLeftCell="A148">
      <selection pane="topLeft" activeCell="T50" sqref="T50"/>
    </sheetView>
  </sheetViews>
  <sheetFormatPr defaultRowHeight="13.2"/>
  <cols>
    <col min="3" max="3" width="21.4285714285714" bestFit="1" customWidth="1"/>
    <col min="8" max="8" width="24.4285714285714" customWidth="1"/>
    <col min="12" max="13" width="6.57142857142857" style="2" bestFit="1" customWidth="1"/>
    <col min="14" max="22" width="5.57142857142857" style="2" bestFit="1" customWidth="1"/>
    <col min="23" max="23" width="6.57142857142857" style="2" bestFit="1" customWidth="1"/>
    <col min="24" max="27" width="5.57142857142857" style="2" bestFit="1" customWidth="1"/>
    <col min="28" max="29" width="6.57142857142857" style="2" bestFit="1" customWidth="1"/>
    <col min="30" max="33" width="5.57142857142857" style="2" bestFit="1" customWidth="1"/>
    <col min="34" max="34" width="6.57142857142857" style="2" bestFit="1" customWidth="1"/>
    <col min="35" max="35" width="5.57142857142857" style="2" bestFit="1" customWidth="1"/>
    <col min="36" max="36" width="6.57142857142857" style="2" bestFit="1" customWidth="1"/>
    <col min="37" max="44" width="5.57142857142857" style="2" bestFit="1" customWidth="1"/>
    <col min="45" max="46" width="6.57142857142857" style="2" bestFit="1" customWidth="1"/>
    <col min="47" max="47" width="5.57142857142857" style="2" bestFit="1" customWidth="1"/>
    <col min="48" max="48" width="6.57142857142857" style="2" bestFit="1" customWidth="1"/>
  </cols>
  <sheetData>
    <row r="1" spans="1:49" ht="13.2">
      <c r="A1" t="s">
        <v>51</v>
      </c>
      <c r="B1" t="s">
        <v>73</v>
      </c>
      <c r="C1" t="s">
        <v>187</v>
      </c>
      <c r="D1" t="s">
        <v>49</v>
      </c>
      <c r="E1" t="s">
        <v>186</v>
      </c>
      <c r="F1" t="s">
        <v>185</v>
      </c>
      <c r="G1" t="s">
        <v>184</v>
      </c>
      <c r="H1" t="s">
        <v>183</v>
      </c>
      <c r="I1" t="s">
        <v>182</v>
      </c>
      <c r="J1" t="s">
        <v>96</v>
      </c>
      <c r="K1" t="s">
        <v>95</v>
      </c>
      <c r="L1" t="s">
        <v>41</v>
      </c>
      <c r="M1" t="s">
        <v>0</v>
      </c>
      <c r="N1" t="s">
        <v>45</v>
      </c>
      <c r="O1" t="s">
        <v>1</v>
      </c>
      <c r="P1" t="s">
        <v>31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48</v>
      </c>
      <c r="X1" t="s">
        <v>8</v>
      </c>
      <c r="Y1" t="s">
        <v>9</v>
      </c>
      <c r="Z1" t="s">
        <v>10</v>
      </c>
      <c r="AA1" t="s">
        <v>32</v>
      </c>
      <c r="AB1" t="s">
        <v>11</v>
      </c>
      <c r="AC1" t="s">
        <v>12</v>
      </c>
      <c r="AD1" t="s">
        <v>13</v>
      </c>
      <c r="AE1" t="s">
        <v>27</v>
      </c>
      <c r="AF1" t="s">
        <v>46</v>
      </c>
      <c r="AG1" t="s">
        <v>14</v>
      </c>
      <c r="AH1" t="s">
        <v>15</v>
      </c>
      <c r="AI1" t="s">
        <v>16</v>
      </c>
      <c r="AJ1" t="s">
        <v>42</v>
      </c>
      <c r="AK1" t="s">
        <v>33</v>
      </c>
      <c r="AL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43</v>
      </c>
      <c r="AS1" t="s">
        <v>23</v>
      </c>
      <c r="AT1" t="s">
        <v>24</v>
      </c>
      <c r="AU1" t="s">
        <v>25</v>
      </c>
      <c r="AV1" t="s">
        <v>26</v>
      </c>
      <c r="AW1" t="s">
        <v>94</v>
      </c>
    </row>
    <row r="2" spans="1:49" ht="13.2">
      <c r="A2" t="s">
        <v>93</v>
      </c>
      <c r="B2" t="s">
        <v>28</v>
      </c>
      <c r="C2" t="s">
        <v>92</v>
      </c>
      <c r="D2" t="s">
        <v>105</v>
      </c>
      <c r="E2" t="s">
        <v>91</v>
      </c>
      <c r="F2" t="s">
        <v>91</v>
      </c>
      <c r="G2" t="s">
        <v>90</v>
      </c>
      <c r="H2" t="s">
        <v>183</v>
      </c>
      <c r="I2" t="s">
        <v>91</v>
      </c>
      <c r="J2" t="s">
        <v>91</v>
      </c>
      <c r="K2" t="s">
        <v>91</v>
      </c>
      <c r="L2"/>
      <c r="M2"/>
      <c r="N2">
        <v>8.8645162582397496</v>
      </c>
      <c r="O2"/>
      <c r="P2"/>
      <c r="Q2">
        <v>22.708028793335</v>
      </c>
      <c r="R2"/>
      <c r="S2"/>
      <c r="T2">
        <v>20.808900833129901</v>
      </c>
      <c r="U2"/>
      <c r="V2"/>
      <c r="W2"/>
      <c r="X2"/>
      <c r="Y2"/>
      <c r="Z2"/>
      <c r="AA2">
        <v>8.8645162582397496</v>
      </c>
      <c r="AB2"/>
      <c r="AC2"/>
      <c r="AD2"/>
      <c r="AE2">
        <v>18</v>
      </c>
      <c r="AF2">
        <v>8.8645162582397496</v>
      </c>
      <c r="AG2"/>
      <c r="AH2"/>
      <c r="AI2"/>
      <c r="AJ2"/>
      <c r="AK2"/>
      <c r="AL2"/>
      <c r="AM2">
        <v>32.8548393249512</v>
      </c>
      <c r="AN2"/>
      <c r="AO2"/>
      <c r="AP2"/>
      <c r="AQ2"/>
      <c r="AR2">
        <v>8.8645162582397496</v>
      </c>
      <c r="AS2">
        <v>9.5039014816284197</v>
      </c>
      <c r="AT2"/>
      <c r="AU2"/>
      <c r="AV2"/>
      <c r="AW2" t="s">
        <v>91</v>
      </c>
    </row>
    <row r="3" spans="1:49" ht="13.2">
      <c r="A3" t="s">
        <v>93</v>
      </c>
      <c r="B3" t="s">
        <v>28</v>
      </c>
      <c r="C3" t="s">
        <v>89</v>
      </c>
      <c r="D3" t="s">
        <v>105</v>
      </c>
      <c r="E3" t="s">
        <v>91</v>
      </c>
      <c r="F3" t="s">
        <v>91</v>
      </c>
      <c r="G3" t="s">
        <v>90</v>
      </c>
      <c r="H3" t="s">
        <v>183</v>
      </c>
      <c r="I3" t="s">
        <v>91</v>
      </c>
      <c r="J3" t="s">
        <v>91</v>
      </c>
      <c r="K3" t="s">
        <v>91</v>
      </c>
      <c r="L3"/>
      <c r="M3"/>
      <c r="N3">
        <v>8.8645162582397496</v>
      </c>
      <c r="O3"/>
      <c r="P3"/>
      <c r="Q3">
        <v>22.708028793335</v>
      </c>
      <c r="R3"/>
      <c r="S3"/>
      <c r="T3">
        <v>20.808900833129901</v>
      </c>
      <c r="U3"/>
      <c r="V3"/>
      <c r="W3"/>
      <c r="X3"/>
      <c r="Y3"/>
      <c r="Z3"/>
      <c r="AA3">
        <v>8.8645162582397496</v>
      </c>
      <c r="AB3"/>
      <c r="AC3"/>
      <c r="AD3"/>
      <c r="AE3">
        <v>18</v>
      </c>
      <c r="AF3">
        <v>8.8645162582397496</v>
      </c>
      <c r="AG3"/>
      <c r="AH3"/>
      <c r="AI3"/>
      <c r="AJ3"/>
      <c r="AK3"/>
      <c r="AL3"/>
      <c r="AM3">
        <v>32.8548393249512</v>
      </c>
      <c r="AN3"/>
      <c r="AO3"/>
      <c r="AP3"/>
      <c r="AQ3"/>
      <c r="AR3">
        <v>8.8645162582397496</v>
      </c>
      <c r="AS3">
        <v>9.5039014816284197</v>
      </c>
      <c r="AT3"/>
      <c r="AU3"/>
      <c r="AV3"/>
      <c r="AW3" t="s">
        <v>91</v>
      </c>
    </row>
    <row r="4" spans="1:49" ht="13.2">
      <c r="A4" t="s">
        <v>93</v>
      </c>
      <c r="B4" t="s">
        <v>28</v>
      </c>
      <c r="C4" t="s">
        <v>56</v>
      </c>
      <c r="D4" t="s">
        <v>105</v>
      </c>
      <c r="E4" t="s">
        <v>91</v>
      </c>
      <c r="F4" t="s">
        <v>91</v>
      </c>
      <c r="G4" t="s">
        <v>90</v>
      </c>
      <c r="H4" t="s">
        <v>183</v>
      </c>
      <c r="I4" t="s">
        <v>91</v>
      </c>
      <c r="J4" t="s">
        <v>91</v>
      </c>
      <c r="K4" t="s">
        <v>91</v>
      </c>
      <c r="L4">
        <v>27.25</v>
      </c>
      <c r="M4">
        <v>18.844230651855501</v>
      </c>
      <c r="N4">
        <v>8.8645162582397496</v>
      </c>
      <c r="O4">
        <v>32.8548393249512</v>
      </c>
      <c r="P4">
        <v>19.464134216308601</v>
      </c>
      <c r="Q4">
        <v>22.708028793335</v>
      </c>
      <c r="R4">
        <v>9.6167755126953107</v>
      </c>
      <c r="S4">
        <v>24.425664901733398</v>
      </c>
      <c r="T4">
        <v>20.808900833129901</v>
      </c>
      <c r="U4">
        <v>12</v>
      </c>
      <c r="V4">
        <v>11.5324859619141</v>
      </c>
      <c r="W4">
        <v>27.25</v>
      </c>
      <c r="X4">
        <v>24.2999992370606</v>
      </c>
      <c r="Y4">
        <v>13</v>
      </c>
      <c r="Z4">
        <v>17.698154449462901</v>
      </c>
      <c r="AA4">
        <v>8.8645162582397496</v>
      </c>
      <c r="AB4">
        <v>30</v>
      </c>
      <c r="AC4">
        <v>27.25</v>
      </c>
      <c r="AD4">
        <v>9.6172838211059499</v>
      </c>
      <c r="AE4">
        <v>18</v>
      </c>
      <c r="AF4">
        <v>8.8645162582397496</v>
      </c>
      <c r="AG4">
        <v>31.7471389770507</v>
      </c>
      <c r="AH4">
        <v>32.8548393249512</v>
      </c>
      <c r="AI4">
        <v>12</v>
      </c>
      <c r="AJ4">
        <v>27.25</v>
      </c>
      <c r="AK4">
        <v>35.676471710205099</v>
      </c>
      <c r="AL4">
        <v>32.8548393249512</v>
      </c>
      <c r="AM4">
        <v>32.8548393249512</v>
      </c>
      <c r="AN4">
        <v>12.9441175460815</v>
      </c>
      <c r="AO4">
        <v>9.9356021881103498</v>
      </c>
      <c r="AP4">
        <v>27.800828933715799</v>
      </c>
      <c r="AQ4">
        <v>19.464134216308601</v>
      </c>
      <c r="AR4">
        <v>8.8645162582397496</v>
      </c>
      <c r="AS4">
        <v>9.5039014816284197</v>
      </c>
      <c r="AT4">
        <v>21.951725006103501</v>
      </c>
      <c r="AU4">
        <v>17.130739212036101</v>
      </c>
      <c r="AV4">
        <v>17</v>
      </c>
      <c r="AW4" t="s">
        <v>91</v>
      </c>
    </row>
    <row r="5" spans="1:49" ht="13.2">
      <c r="A5" t="s">
        <v>93</v>
      </c>
      <c r="B5" t="s">
        <v>28</v>
      </c>
      <c r="C5" t="s">
        <v>55</v>
      </c>
      <c r="D5" t="s">
        <v>105</v>
      </c>
      <c r="E5" t="s">
        <v>91</v>
      </c>
      <c r="F5" t="s">
        <v>91</v>
      </c>
      <c r="G5" t="s">
        <v>90</v>
      </c>
      <c r="H5" t="s">
        <v>183</v>
      </c>
      <c r="I5" t="s">
        <v>91</v>
      </c>
      <c r="J5" t="s">
        <v>91</v>
      </c>
      <c r="K5" t="s">
        <v>91</v>
      </c>
      <c r="L5">
        <v>27.25</v>
      </c>
      <c r="M5">
        <v>18.844230651855501</v>
      </c>
      <c r="N5">
        <v>8.8645162582397496</v>
      </c>
      <c r="O5">
        <v>32.8548393249512</v>
      </c>
      <c r="P5">
        <v>19.464134216308601</v>
      </c>
      <c r="Q5">
        <v>22.708028793335</v>
      </c>
      <c r="R5">
        <v>9.6167755126953107</v>
      </c>
      <c r="S5">
        <v>24.425664901733398</v>
      </c>
      <c r="T5">
        <v>20.808900833129901</v>
      </c>
      <c r="U5">
        <v>12</v>
      </c>
      <c r="V5">
        <v>11.5324859619141</v>
      </c>
      <c r="W5">
        <v>27.25</v>
      </c>
      <c r="X5">
        <v>24.2999992370606</v>
      </c>
      <c r="Y5">
        <v>13</v>
      </c>
      <c r="Z5">
        <v>17.698154449462901</v>
      </c>
      <c r="AA5">
        <v>8.8645162582397496</v>
      </c>
      <c r="AB5">
        <v>30</v>
      </c>
      <c r="AC5">
        <v>27.25</v>
      </c>
      <c r="AD5">
        <v>9.6172838211059499</v>
      </c>
      <c r="AE5">
        <v>18</v>
      </c>
      <c r="AF5">
        <v>8.8645162582397496</v>
      </c>
      <c r="AG5">
        <v>31.7471389770507</v>
      </c>
      <c r="AH5">
        <v>32.8548393249512</v>
      </c>
      <c r="AI5">
        <v>12</v>
      </c>
      <c r="AJ5">
        <v>27.25</v>
      </c>
      <c r="AK5">
        <v>35.676471710205099</v>
      </c>
      <c r="AL5">
        <v>32.8548393249512</v>
      </c>
      <c r="AM5">
        <v>32.8548393249512</v>
      </c>
      <c r="AN5">
        <v>12.9441175460815</v>
      </c>
      <c r="AO5">
        <v>9.9356021881103498</v>
      </c>
      <c r="AP5">
        <v>27.800828933715799</v>
      </c>
      <c r="AQ5">
        <v>19.464134216308601</v>
      </c>
      <c r="AR5">
        <v>8.8645162582397496</v>
      </c>
      <c r="AS5">
        <v>9.5039014816284197</v>
      </c>
      <c r="AT5">
        <v>21.951725006103501</v>
      </c>
      <c r="AU5">
        <v>17.130739212036101</v>
      </c>
      <c r="AV5">
        <v>17</v>
      </c>
      <c r="AW5" t="s">
        <v>91</v>
      </c>
    </row>
    <row r="6" spans="1:49" ht="13.2">
      <c r="A6" t="s">
        <v>93</v>
      </c>
      <c r="B6" t="s">
        <v>28</v>
      </c>
      <c r="C6" t="s">
        <v>76</v>
      </c>
      <c r="D6" t="s">
        <v>105</v>
      </c>
      <c r="E6" t="s">
        <v>91</v>
      </c>
      <c r="F6" t="s">
        <v>91</v>
      </c>
      <c r="G6" t="s">
        <v>90</v>
      </c>
      <c r="H6" t="s">
        <v>183</v>
      </c>
      <c r="I6" t="s">
        <v>91</v>
      </c>
      <c r="J6" t="s">
        <v>91</v>
      </c>
      <c r="K6" t="s">
        <v>91</v>
      </c>
      <c r="L6"/>
      <c r="M6"/>
      <c r="N6"/>
      <c r="O6"/>
      <c r="P6"/>
      <c r="Q6"/>
      <c r="R6"/>
      <c r="S6">
        <v>24.425664901733398</v>
      </c>
      <c r="T6"/>
      <c r="U6">
        <v>12</v>
      </c>
      <c r="V6"/>
      <c r="W6"/>
      <c r="X6"/>
      <c r="Y6"/>
      <c r="Z6"/>
      <c r="AA6"/>
      <c r="AB6"/>
      <c r="AC6"/>
      <c r="AD6">
        <v>9.6172838211059606</v>
      </c>
      <c r="AE6"/>
      <c r="AF6"/>
      <c r="AG6"/>
      <c r="AH6"/>
      <c r="AI6"/>
      <c r="AJ6"/>
      <c r="AK6">
        <v>35.676471710205099</v>
      </c>
      <c r="AL6"/>
      <c r="AM6">
        <v>32.8548393249512</v>
      </c>
      <c r="AN6"/>
      <c r="AO6">
        <v>9.9356021881103498</v>
      </c>
      <c r="AP6">
        <v>27.800828933715799</v>
      </c>
      <c r="AQ6"/>
      <c r="AR6"/>
      <c r="AS6"/>
      <c r="AT6"/>
      <c r="AU6"/>
      <c r="AV6">
        <v>17</v>
      </c>
      <c r="AW6" t="s">
        <v>91</v>
      </c>
    </row>
    <row r="7" spans="1:49" ht="13.2">
      <c r="A7" t="s">
        <v>93</v>
      </c>
      <c r="B7" t="s">
        <v>28</v>
      </c>
      <c r="C7" t="s">
        <v>75</v>
      </c>
      <c r="D7" t="s">
        <v>105</v>
      </c>
      <c r="E7" t="s">
        <v>91</v>
      </c>
      <c r="F7" t="s">
        <v>91</v>
      </c>
      <c r="G7" t="s">
        <v>90</v>
      </c>
      <c r="H7" t="s">
        <v>183</v>
      </c>
      <c r="I7" t="s">
        <v>91</v>
      </c>
      <c r="J7" t="s">
        <v>91</v>
      </c>
      <c r="K7" t="s">
        <v>91</v>
      </c>
      <c r="L7"/>
      <c r="M7"/>
      <c r="N7"/>
      <c r="O7"/>
      <c r="P7"/>
      <c r="Q7"/>
      <c r="R7"/>
      <c r="S7">
        <v>24.425664901733398</v>
      </c>
      <c r="T7"/>
      <c r="U7">
        <v>12</v>
      </c>
      <c r="V7"/>
      <c r="W7"/>
      <c r="X7"/>
      <c r="Y7"/>
      <c r="Z7"/>
      <c r="AA7"/>
      <c r="AB7"/>
      <c r="AC7"/>
      <c r="AD7">
        <v>9.6172838211059606</v>
      </c>
      <c r="AE7"/>
      <c r="AF7"/>
      <c r="AG7"/>
      <c r="AH7"/>
      <c r="AI7"/>
      <c r="AJ7"/>
      <c r="AK7">
        <v>35.676471710205099</v>
      </c>
      <c r="AL7"/>
      <c r="AM7">
        <v>32.8548393249512</v>
      </c>
      <c r="AN7"/>
      <c r="AO7">
        <v>9.9356021881103498</v>
      </c>
      <c r="AP7">
        <v>27.800828933715799</v>
      </c>
      <c r="AQ7"/>
      <c r="AR7"/>
      <c r="AS7"/>
      <c r="AT7"/>
      <c r="AU7"/>
      <c r="AV7">
        <v>17</v>
      </c>
      <c r="AW7" t="s">
        <v>91</v>
      </c>
    </row>
    <row r="8" spans="1:49" ht="13.2">
      <c r="A8" t="s">
        <v>93</v>
      </c>
      <c r="B8" t="s">
        <v>28</v>
      </c>
      <c r="C8" t="s">
        <v>54</v>
      </c>
      <c r="D8" t="s">
        <v>105</v>
      </c>
      <c r="E8" t="s">
        <v>91</v>
      </c>
      <c r="F8" t="s">
        <v>91</v>
      </c>
      <c r="G8" t="s">
        <v>90</v>
      </c>
      <c r="H8" t="s">
        <v>183</v>
      </c>
      <c r="I8" t="s">
        <v>91</v>
      </c>
      <c r="J8" t="s">
        <v>91</v>
      </c>
      <c r="K8" t="s">
        <v>91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12</v>
      </c>
      <c r="AJ8"/>
      <c r="AK8">
        <v>35.676471710205099</v>
      </c>
      <c r="AL8"/>
      <c r="AM8">
        <v>32.8548393249512</v>
      </c>
      <c r="AN8"/>
      <c r="AO8">
        <v>9.9356021881103498</v>
      </c>
      <c r="AP8">
        <v>27.800828933715799</v>
      </c>
      <c r="AQ8"/>
      <c r="AR8"/>
      <c r="AS8"/>
      <c r="AT8"/>
      <c r="AU8"/>
      <c r="AV8">
        <v>17</v>
      </c>
      <c r="AW8" t="s">
        <v>91</v>
      </c>
    </row>
    <row r="9" spans="1:49" ht="13.2">
      <c r="A9" t="s">
        <v>93</v>
      </c>
      <c r="B9" t="s">
        <v>28</v>
      </c>
      <c r="C9" t="s">
        <v>53</v>
      </c>
      <c r="D9" t="s">
        <v>105</v>
      </c>
      <c r="E9" t="s">
        <v>91</v>
      </c>
      <c r="F9" t="s">
        <v>91</v>
      </c>
      <c r="G9" t="s">
        <v>90</v>
      </c>
      <c r="H9" t="s">
        <v>183</v>
      </c>
      <c r="I9" t="s">
        <v>91</v>
      </c>
      <c r="J9" t="s">
        <v>91</v>
      </c>
      <c r="K9" t="s">
        <v>91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12</v>
      </c>
      <c r="AJ9"/>
      <c r="AK9">
        <v>35.676471710205099</v>
      </c>
      <c r="AL9"/>
      <c r="AM9">
        <v>32.8548393249512</v>
      </c>
      <c r="AN9"/>
      <c r="AO9">
        <v>9.9356021881103498</v>
      </c>
      <c r="AP9">
        <v>27.800828933715799</v>
      </c>
      <c r="AQ9"/>
      <c r="AR9"/>
      <c r="AS9"/>
      <c r="AT9"/>
      <c r="AU9"/>
      <c r="AV9">
        <v>17</v>
      </c>
      <c r="AW9" t="s">
        <v>91</v>
      </c>
    </row>
    <row r="10" spans="1:49" ht="13.2">
      <c r="A10" t="s">
        <v>93</v>
      </c>
      <c r="B10" t="s">
        <v>28</v>
      </c>
      <c r="C10" t="s">
        <v>57</v>
      </c>
      <c r="D10" t="s">
        <v>105</v>
      </c>
      <c r="E10" t="s">
        <v>91</v>
      </c>
      <c r="F10" t="s">
        <v>91</v>
      </c>
      <c r="G10" t="s">
        <v>90</v>
      </c>
      <c r="H10" t="s">
        <v>183</v>
      </c>
      <c r="I10" t="s">
        <v>91</v>
      </c>
      <c r="J10" t="s">
        <v>91</v>
      </c>
      <c r="K10" t="s">
        <v>91</v>
      </c>
      <c r="L10"/>
      <c r="M10"/>
      <c r="N10"/>
      <c r="O10"/>
      <c r="P10"/>
      <c r="Q10">
        <v>1.60651648044586</v>
      </c>
      <c r="R10"/>
      <c r="S10"/>
      <c r="T10">
        <v>1.4904687404632599</v>
      </c>
      <c r="U10"/>
      <c r="V10"/>
      <c r="W10"/>
      <c r="X10"/>
      <c r="Y10"/>
      <c r="Z10"/>
      <c r="AA10"/>
      <c r="AB10"/>
      <c r="AC10"/>
      <c r="AD10"/>
      <c r="AE10">
        <v>1.71000003814697</v>
      </c>
      <c r="AF10"/>
      <c r="AG10"/>
      <c r="AH10"/>
      <c r="AI10"/>
      <c r="AJ10"/>
      <c r="AK10"/>
      <c r="AL10"/>
      <c r="AM10">
        <v>1.33000004291535</v>
      </c>
      <c r="AN10"/>
      <c r="AO10"/>
      <c r="AP10"/>
      <c r="AQ10"/>
      <c r="AR10"/>
      <c r="AS10">
        <v>1.45347416400909</v>
      </c>
      <c r="AT10"/>
      <c r="AU10"/>
      <c r="AV10">
        <v>1.5599999427795399</v>
      </c>
      <c r="AW10" t="s">
        <v>91</v>
      </c>
    </row>
    <row r="11" spans="1:49" ht="13.2">
      <c r="A11" t="s">
        <v>93</v>
      </c>
      <c r="B11" t="s">
        <v>28</v>
      </c>
      <c r="C11" t="s">
        <v>58</v>
      </c>
      <c r="D11" t="s">
        <v>105</v>
      </c>
      <c r="E11" t="s">
        <v>91</v>
      </c>
      <c r="F11" t="s">
        <v>91</v>
      </c>
      <c r="G11" t="s">
        <v>90</v>
      </c>
      <c r="H11" t="s">
        <v>183</v>
      </c>
      <c r="I11" t="s">
        <v>91</v>
      </c>
      <c r="J11" t="s">
        <v>91</v>
      </c>
      <c r="K11" t="s">
        <v>91</v>
      </c>
      <c r="L11"/>
      <c r="M11"/>
      <c r="N11"/>
      <c r="O11"/>
      <c r="P11"/>
      <c r="Q11">
        <v>1.60651648044586</v>
      </c>
      <c r="R11"/>
      <c r="S11"/>
      <c r="T11">
        <v>1.4904687404632599</v>
      </c>
      <c r="U11"/>
      <c r="V11"/>
      <c r="W11"/>
      <c r="X11"/>
      <c r="Y11"/>
      <c r="Z11"/>
      <c r="AA11"/>
      <c r="AB11"/>
      <c r="AC11"/>
      <c r="AD11"/>
      <c r="AE11">
        <v>1.71000003814697</v>
      </c>
      <c r="AF11"/>
      <c r="AG11"/>
      <c r="AH11"/>
      <c r="AI11"/>
      <c r="AJ11"/>
      <c r="AK11"/>
      <c r="AL11"/>
      <c r="AM11">
        <v>1.33000004291535</v>
      </c>
      <c r="AN11"/>
      <c r="AO11"/>
      <c r="AP11"/>
      <c r="AQ11"/>
      <c r="AR11"/>
      <c r="AS11">
        <v>1.45347416400909</v>
      </c>
      <c r="AT11"/>
      <c r="AU11"/>
      <c r="AV11">
        <v>1.5599999427795399</v>
      </c>
      <c r="AW11" t="s">
        <v>91</v>
      </c>
    </row>
    <row r="12" spans="1:49" ht="13.2">
      <c r="A12" t="s">
        <v>93</v>
      </c>
      <c r="B12" t="s">
        <v>28</v>
      </c>
      <c r="C12" t="s">
        <v>59</v>
      </c>
      <c r="D12" t="s">
        <v>105</v>
      </c>
      <c r="E12" t="s">
        <v>91</v>
      </c>
      <c r="F12" t="s">
        <v>91</v>
      </c>
      <c r="G12" t="s">
        <v>90</v>
      </c>
      <c r="H12" t="s">
        <v>183</v>
      </c>
      <c r="I12" t="s">
        <v>91</v>
      </c>
      <c r="J12" t="s">
        <v>91</v>
      </c>
      <c r="K12" t="s">
        <v>91</v>
      </c>
      <c r="L12"/>
      <c r="M12"/>
      <c r="N12"/>
      <c r="O12"/>
      <c r="P12"/>
      <c r="Q12">
        <v>1.60651648044586</v>
      </c>
      <c r="R12"/>
      <c r="S12"/>
      <c r="T12">
        <v>1.4904687404632599</v>
      </c>
      <c r="U12"/>
      <c r="V12"/>
      <c r="W12"/>
      <c r="X12"/>
      <c r="Y12"/>
      <c r="Z12"/>
      <c r="AA12"/>
      <c r="AB12"/>
      <c r="AC12"/>
      <c r="AD12"/>
      <c r="AE12">
        <v>1.71000003814697</v>
      </c>
      <c r="AF12"/>
      <c r="AG12"/>
      <c r="AH12"/>
      <c r="AI12"/>
      <c r="AJ12"/>
      <c r="AK12"/>
      <c r="AL12"/>
      <c r="AM12">
        <v>1.33000004291535</v>
      </c>
      <c r="AN12"/>
      <c r="AO12"/>
      <c r="AP12"/>
      <c r="AQ12"/>
      <c r="AR12"/>
      <c r="AS12">
        <v>1.45347416400909</v>
      </c>
      <c r="AT12"/>
      <c r="AU12"/>
      <c r="AV12">
        <v>1.5599999427795399</v>
      </c>
      <c r="AW12" t="s">
        <v>91</v>
      </c>
    </row>
    <row r="13" spans="1:49" ht="13.2">
      <c r="A13" t="s">
        <v>93</v>
      </c>
      <c r="B13" t="s">
        <v>28</v>
      </c>
      <c r="C13" t="s">
        <v>60</v>
      </c>
      <c r="D13" t="s">
        <v>105</v>
      </c>
      <c r="E13" t="s">
        <v>91</v>
      </c>
      <c r="F13" t="s">
        <v>91</v>
      </c>
      <c r="G13" t="s">
        <v>90</v>
      </c>
      <c r="H13" t="s">
        <v>183</v>
      </c>
      <c r="I13" t="s">
        <v>91</v>
      </c>
      <c r="J13" t="s">
        <v>91</v>
      </c>
      <c r="K13" t="s">
        <v>91</v>
      </c>
      <c r="L13"/>
      <c r="M13"/>
      <c r="N13"/>
      <c r="O13"/>
      <c r="P13"/>
      <c r="Q13">
        <v>1.60651648044586</v>
      </c>
      <c r="R13"/>
      <c r="S13"/>
      <c r="T13">
        <v>1.4904687404632599</v>
      </c>
      <c r="U13"/>
      <c r="V13"/>
      <c r="W13"/>
      <c r="X13"/>
      <c r="Y13"/>
      <c r="Z13"/>
      <c r="AA13"/>
      <c r="AB13"/>
      <c r="AC13"/>
      <c r="AD13"/>
      <c r="AE13">
        <v>1.71000003814697</v>
      </c>
      <c r="AF13"/>
      <c r="AG13"/>
      <c r="AH13"/>
      <c r="AI13"/>
      <c r="AJ13"/>
      <c r="AK13"/>
      <c r="AL13"/>
      <c r="AM13">
        <v>1.33000004291535</v>
      </c>
      <c r="AN13"/>
      <c r="AO13"/>
      <c r="AP13"/>
      <c r="AQ13"/>
      <c r="AR13"/>
      <c r="AS13">
        <v>1.45347416400909</v>
      </c>
      <c r="AT13"/>
      <c r="AU13"/>
      <c r="AV13">
        <v>1.5599999427795399</v>
      </c>
      <c r="AW13" t="s">
        <v>91</v>
      </c>
    </row>
    <row r="14" spans="1:49" ht="13.2">
      <c r="A14" t="s">
        <v>93</v>
      </c>
      <c r="B14" t="s">
        <v>28</v>
      </c>
      <c r="C14" t="s">
        <v>61</v>
      </c>
      <c r="D14" t="s">
        <v>105</v>
      </c>
      <c r="E14" t="s">
        <v>91</v>
      </c>
      <c r="F14" t="s">
        <v>91</v>
      </c>
      <c r="G14" t="s">
        <v>90</v>
      </c>
      <c r="H14" t="s">
        <v>183</v>
      </c>
      <c r="I14" t="s">
        <v>91</v>
      </c>
      <c r="J14" t="s">
        <v>91</v>
      </c>
      <c r="K14" t="s">
        <v>91</v>
      </c>
      <c r="L14">
        <v>1.4975107908248899</v>
      </c>
      <c r="M14">
        <v>1.1799999475479099</v>
      </c>
      <c r="N14">
        <v>1.38246369361877</v>
      </c>
      <c r="O14">
        <v>1.51028192043304</v>
      </c>
      <c r="P14">
        <v>1.5599999427795399</v>
      </c>
      <c r="Q14">
        <v>1.60651648044586</v>
      </c>
      <c r="R14">
        <v>1.4644458293914799</v>
      </c>
      <c r="S14">
        <v>1.37999999523163</v>
      </c>
      <c r="T14">
        <v>1.4904687404632599</v>
      </c>
      <c r="U14">
        <v>1.5599999427795399</v>
      </c>
      <c r="V14">
        <v>1.45000004768372</v>
      </c>
      <c r="W14">
        <v>1.4975107908248899</v>
      </c>
      <c r="X14">
        <v>1.7400000095367401</v>
      </c>
      <c r="Y14">
        <v>1.4000432491302499</v>
      </c>
      <c r="Z14">
        <v>1.82858443260193</v>
      </c>
      <c r="AA14">
        <v>1.38246369361877</v>
      </c>
      <c r="AB14">
        <v>1.8400000333786</v>
      </c>
      <c r="AC14">
        <v>1.4975107908248899</v>
      </c>
      <c r="AD14">
        <v>2.0627906322479301</v>
      </c>
      <c r="AE14">
        <v>1.71000003814697</v>
      </c>
      <c r="AF14">
        <v>1.38246369361877</v>
      </c>
      <c r="AG14">
        <v>1.9999866485595701</v>
      </c>
      <c r="AH14">
        <v>1.51028192043304</v>
      </c>
      <c r="AI14">
        <v>1.43300044536591</v>
      </c>
      <c r="AJ14">
        <v>1.4975107908248899</v>
      </c>
      <c r="AK14">
        <v>1.5599999427795399</v>
      </c>
      <c r="AL14">
        <v>1.51028192043304</v>
      </c>
      <c r="AM14">
        <v>1.33000004291534</v>
      </c>
      <c r="AN14">
        <v>1.70000004768371</v>
      </c>
      <c r="AO14">
        <v>1.9665447473526001</v>
      </c>
      <c r="AP14">
        <v>1.4975107908248899</v>
      </c>
      <c r="AQ14">
        <v>1.9828243255615201</v>
      </c>
      <c r="AR14">
        <v>1.38246369361877</v>
      </c>
      <c r="AS14">
        <v>1.4534741640091</v>
      </c>
      <c r="AT14">
        <v>1.63986444473267</v>
      </c>
      <c r="AU14">
        <v>1.95000004768371</v>
      </c>
      <c r="AV14">
        <v>1.5599999427795399</v>
      </c>
      <c r="AW14" t="s">
        <v>91</v>
      </c>
    </row>
    <row r="15" spans="1:49" ht="13.2">
      <c r="A15" t="s">
        <v>93</v>
      </c>
      <c r="B15" t="s">
        <v>28</v>
      </c>
      <c r="C15" t="s">
        <v>62</v>
      </c>
      <c r="D15" t="s">
        <v>105</v>
      </c>
      <c r="E15" t="s">
        <v>91</v>
      </c>
      <c r="F15" t="s">
        <v>91</v>
      </c>
      <c r="G15" t="s">
        <v>90</v>
      </c>
      <c r="H15" t="s">
        <v>183</v>
      </c>
      <c r="I15" t="s">
        <v>91</v>
      </c>
      <c r="J15" t="s">
        <v>91</v>
      </c>
      <c r="K15" t="s">
        <v>91</v>
      </c>
      <c r="L15">
        <v>1.4975107908248899</v>
      </c>
      <c r="M15">
        <v>1.1799999475479099</v>
      </c>
      <c r="N15">
        <v>1.38246369361877</v>
      </c>
      <c r="O15">
        <v>1.51028192043304</v>
      </c>
      <c r="P15">
        <v>1.5599999427795399</v>
      </c>
      <c r="Q15">
        <v>1.60651648044586</v>
      </c>
      <c r="R15">
        <v>1.4644458293914799</v>
      </c>
      <c r="S15">
        <v>1.37999999523163</v>
      </c>
      <c r="T15">
        <v>1.4904687404632599</v>
      </c>
      <c r="U15">
        <v>1.5599999427795399</v>
      </c>
      <c r="V15">
        <v>1.45000004768372</v>
      </c>
      <c r="W15">
        <v>1.4975107908248899</v>
      </c>
      <c r="X15">
        <v>1.7400000095367401</v>
      </c>
      <c r="Y15">
        <v>1.4000432491302499</v>
      </c>
      <c r="Z15">
        <v>1.82858443260193</v>
      </c>
      <c r="AA15">
        <v>1.38246369361877</v>
      </c>
      <c r="AB15">
        <v>1.8400000333786</v>
      </c>
      <c r="AC15">
        <v>1.4975107908248899</v>
      </c>
      <c r="AD15">
        <v>2.0627906322479301</v>
      </c>
      <c r="AE15">
        <v>1.71000003814697</v>
      </c>
      <c r="AF15">
        <v>1.38246369361877</v>
      </c>
      <c r="AG15">
        <v>1.9999866485595701</v>
      </c>
      <c r="AH15">
        <v>1.51028192043304</v>
      </c>
      <c r="AI15">
        <v>1.43300044536591</v>
      </c>
      <c r="AJ15">
        <v>1.4975107908248899</v>
      </c>
      <c r="AK15">
        <v>1.5599999427795399</v>
      </c>
      <c r="AL15">
        <v>1.51028192043304</v>
      </c>
      <c r="AM15">
        <v>1.33000004291534</v>
      </c>
      <c r="AN15">
        <v>1.70000004768371</v>
      </c>
      <c r="AO15">
        <v>1.9665447473526001</v>
      </c>
      <c r="AP15">
        <v>1.4975107908248899</v>
      </c>
      <c r="AQ15">
        <v>1.9828243255615201</v>
      </c>
      <c r="AR15">
        <v>1.38246369361877</v>
      </c>
      <c r="AS15">
        <v>1.4534741640091</v>
      </c>
      <c r="AT15">
        <v>1.63986444473267</v>
      </c>
      <c r="AU15">
        <v>1.95000004768371</v>
      </c>
      <c r="AV15">
        <v>1.5599999427795399</v>
      </c>
      <c r="AW15" t="s">
        <v>91</v>
      </c>
    </row>
    <row r="16" spans="1:49" ht="13.2">
      <c r="A16" t="s">
        <v>93</v>
      </c>
      <c r="B16" t="s">
        <v>28</v>
      </c>
      <c r="C16" t="s">
        <v>63</v>
      </c>
      <c r="D16" t="s">
        <v>105</v>
      </c>
      <c r="E16" t="s">
        <v>91</v>
      </c>
      <c r="F16" t="s">
        <v>91</v>
      </c>
      <c r="G16" t="s">
        <v>90</v>
      </c>
      <c r="H16" t="s">
        <v>183</v>
      </c>
      <c r="I16" t="s">
        <v>91</v>
      </c>
      <c r="J16" t="s">
        <v>91</v>
      </c>
      <c r="K16" t="s">
        <v>91</v>
      </c>
      <c r="L16">
        <v>1.4975107908248899</v>
      </c>
      <c r="M16">
        <v>1.1799999475479099</v>
      </c>
      <c r="N16">
        <v>1.38246369361877</v>
      </c>
      <c r="O16">
        <v>1.51028192043304</v>
      </c>
      <c r="P16">
        <v>1.5599999427795399</v>
      </c>
      <c r="Q16">
        <v>1.60651648044586</v>
      </c>
      <c r="R16">
        <v>1.4644458293914799</v>
      </c>
      <c r="S16">
        <v>1.37999999523163</v>
      </c>
      <c r="T16">
        <v>1.4904687404632599</v>
      </c>
      <c r="U16">
        <v>1.5599999427795399</v>
      </c>
      <c r="V16">
        <v>1.45000004768372</v>
      </c>
      <c r="W16">
        <v>1.4975107908248899</v>
      </c>
      <c r="X16">
        <v>1.7400000095367401</v>
      </c>
      <c r="Y16">
        <v>1.4000432491302499</v>
      </c>
      <c r="Z16">
        <v>1.82858443260193</v>
      </c>
      <c r="AA16">
        <v>1.38246369361877</v>
      </c>
      <c r="AB16">
        <v>1.8400000333786</v>
      </c>
      <c r="AC16">
        <v>1.4975107908248899</v>
      </c>
      <c r="AD16">
        <v>2.0627906322479301</v>
      </c>
      <c r="AE16">
        <v>1.71000003814697</v>
      </c>
      <c r="AF16">
        <v>1.38246369361877</v>
      </c>
      <c r="AG16">
        <v>1.9999866485595701</v>
      </c>
      <c r="AH16">
        <v>1.51028192043304</v>
      </c>
      <c r="AI16">
        <v>1.43300044536591</v>
      </c>
      <c r="AJ16">
        <v>1.4975107908248899</v>
      </c>
      <c r="AK16">
        <v>1.5599999427795399</v>
      </c>
      <c r="AL16">
        <v>1.51028192043304</v>
      </c>
      <c r="AM16">
        <v>1.33000004291534</v>
      </c>
      <c r="AN16">
        <v>1.70000004768371</v>
      </c>
      <c r="AO16">
        <v>1.9665447473526001</v>
      </c>
      <c r="AP16">
        <v>1.4975107908248899</v>
      </c>
      <c r="AQ16">
        <v>1.9828243255615201</v>
      </c>
      <c r="AR16">
        <v>1.38246369361877</v>
      </c>
      <c r="AS16">
        <v>1.4534741640091</v>
      </c>
      <c r="AT16">
        <v>1.63986444473267</v>
      </c>
      <c r="AU16">
        <v>1.95000004768371</v>
      </c>
      <c r="AV16">
        <v>1.5599999427795399</v>
      </c>
      <c r="AW16" t="s">
        <v>91</v>
      </c>
    </row>
    <row r="17" spans="1:49" ht="13.2">
      <c r="A17" t="s">
        <v>93</v>
      </c>
      <c r="B17" t="s">
        <v>28</v>
      </c>
      <c r="C17" t="s">
        <v>64</v>
      </c>
      <c r="D17" t="s">
        <v>105</v>
      </c>
      <c r="E17" t="s">
        <v>91</v>
      </c>
      <c r="F17" t="s">
        <v>91</v>
      </c>
      <c r="G17" t="s">
        <v>90</v>
      </c>
      <c r="H17" t="s">
        <v>183</v>
      </c>
      <c r="I17" t="s">
        <v>91</v>
      </c>
      <c r="J17" t="s">
        <v>91</v>
      </c>
      <c r="K17" t="s">
        <v>91</v>
      </c>
      <c r="L17">
        <v>1.4975107908248899</v>
      </c>
      <c r="M17">
        <v>1.1799999475479099</v>
      </c>
      <c r="N17">
        <v>1.38246369361877</v>
      </c>
      <c r="O17">
        <v>1.51028192043304</v>
      </c>
      <c r="P17">
        <v>1.5599999427795399</v>
      </c>
      <c r="Q17">
        <v>1.60651648044586</v>
      </c>
      <c r="R17">
        <v>1.4644458293914799</v>
      </c>
      <c r="S17">
        <v>1.37999999523163</v>
      </c>
      <c r="T17">
        <v>1.4904687404632599</v>
      </c>
      <c r="U17">
        <v>1.5599999427795399</v>
      </c>
      <c r="V17">
        <v>1.45000004768372</v>
      </c>
      <c r="W17">
        <v>1.4975107908248899</v>
      </c>
      <c r="X17">
        <v>1.7400000095367401</v>
      </c>
      <c r="Y17">
        <v>1.4000432491302499</v>
      </c>
      <c r="Z17">
        <v>1.82858443260193</v>
      </c>
      <c r="AA17">
        <v>1.38246369361877</v>
      </c>
      <c r="AB17">
        <v>1.8400000333786</v>
      </c>
      <c r="AC17">
        <v>1.4975107908248899</v>
      </c>
      <c r="AD17">
        <v>2.0627906322479301</v>
      </c>
      <c r="AE17">
        <v>1.71000003814697</v>
      </c>
      <c r="AF17">
        <v>1.38246369361877</v>
      </c>
      <c r="AG17">
        <v>1.9999866485595701</v>
      </c>
      <c r="AH17">
        <v>1.51028192043304</v>
      </c>
      <c r="AI17">
        <v>1.43300044536591</v>
      </c>
      <c r="AJ17">
        <v>1.4975107908248899</v>
      </c>
      <c r="AK17">
        <v>1.5599999427795399</v>
      </c>
      <c r="AL17">
        <v>1.51028192043304</v>
      </c>
      <c r="AM17">
        <v>1.33000004291534</v>
      </c>
      <c r="AN17">
        <v>1.70000004768371</v>
      </c>
      <c r="AO17">
        <v>1.9665447473526001</v>
      </c>
      <c r="AP17">
        <v>1.4975107908248899</v>
      </c>
      <c r="AQ17">
        <v>1.9828243255615201</v>
      </c>
      <c r="AR17">
        <v>1.38246369361877</v>
      </c>
      <c r="AS17">
        <v>1.4534741640091</v>
      </c>
      <c r="AT17">
        <v>1.63986444473267</v>
      </c>
      <c r="AU17">
        <v>1.95000004768371</v>
      </c>
      <c r="AV17">
        <v>1.5599999427795399</v>
      </c>
      <c r="AW17" t="s">
        <v>91</v>
      </c>
    </row>
    <row r="18" spans="1:49" ht="13.2">
      <c r="A18" t="s">
        <v>93</v>
      </c>
      <c r="B18" t="s">
        <v>28</v>
      </c>
      <c r="C18" t="s">
        <v>77</v>
      </c>
      <c r="D18" t="s">
        <v>105</v>
      </c>
      <c r="E18" t="s">
        <v>91</v>
      </c>
      <c r="F18" t="s">
        <v>91</v>
      </c>
      <c r="G18" t="s">
        <v>90</v>
      </c>
      <c r="H18" t="s">
        <v>183</v>
      </c>
      <c r="I18" t="s">
        <v>91</v>
      </c>
      <c r="J18" t="s">
        <v>91</v>
      </c>
      <c r="K18" t="s">
        <v>91</v>
      </c>
      <c r="L18"/>
      <c r="M18"/>
      <c r="N18"/>
      <c r="O18"/>
      <c r="P18"/>
      <c r="Q18">
        <v>1.60651648044586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1.45347416400909</v>
      </c>
      <c r="AT18"/>
      <c r="AU18"/>
      <c r="AV18"/>
      <c r="AW18" t="s">
        <v>91</v>
      </c>
    </row>
    <row r="19" spans="1:49" ht="13.2">
      <c r="A19" t="s">
        <v>93</v>
      </c>
      <c r="B19" t="s">
        <v>28</v>
      </c>
      <c r="C19" t="s">
        <v>78</v>
      </c>
      <c r="D19" t="s">
        <v>105</v>
      </c>
      <c r="E19" t="s">
        <v>91</v>
      </c>
      <c r="F19" t="s">
        <v>91</v>
      </c>
      <c r="G19" t="s">
        <v>90</v>
      </c>
      <c r="H19" t="s">
        <v>183</v>
      </c>
      <c r="I19" t="s">
        <v>91</v>
      </c>
      <c r="J19" t="s">
        <v>91</v>
      </c>
      <c r="K19" t="s">
        <v>91</v>
      </c>
      <c r="L19"/>
      <c r="M19"/>
      <c r="N19"/>
      <c r="O19"/>
      <c r="P19"/>
      <c r="Q19">
        <v>1.60651648044586</v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1.45347416400909</v>
      </c>
      <c r="AT19"/>
      <c r="AU19"/>
      <c r="AV19"/>
      <c r="AW19" t="s">
        <v>91</v>
      </c>
    </row>
    <row r="20" spans="1:49" ht="13.2">
      <c r="A20" t="s">
        <v>93</v>
      </c>
      <c r="B20" t="s">
        <v>28</v>
      </c>
      <c r="C20" t="s">
        <v>79</v>
      </c>
      <c r="D20" t="s">
        <v>105</v>
      </c>
      <c r="E20" t="s">
        <v>91</v>
      </c>
      <c r="F20" t="s">
        <v>91</v>
      </c>
      <c r="G20" t="s">
        <v>90</v>
      </c>
      <c r="H20" t="s">
        <v>183</v>
      </c>
      <c r="I20" t="s">
        <v>91</v>
      </c>
      <c r="J20" t="s">
        <v>91</v>
      </c>
      <c r="K20" t="s">
        <v>91</v>
      </c>
      <c r="L20"/>
      <c r="M20"/>
      <c r="N20"/>
      <c r="O20"/>
      <c r="P20"/>
      <c r="Q20">
        <v>1.60651648044586</v>
      </c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1.45347416400909</v>
      </c>
      <c r="AT20"/>
      <c r="AU20"/>
      <c r="AV20"/>
      <c r="AW20" t="s">
        <v>91</v>
      </c>
    </row>
    <row r="21" spans="1:49" ht="13.2">
      <c r="A21" t="s">
        <v>93</v>
      </c>
      <c r="B21" t="s">
        <v>28</v>
      </c>
      <c r="C21" t="s">
        <v>80</v>
      </c>
      <c r="D21" t="s">
        <v>105</v>
      </c>
      <c r="E21" t="s">
        <v>91</v>
      </c>
      <c r="F21" t="s">
        <v>91</v>
      </c>
      <c r="G21" t="s">
        <v>90</v>
      </c>
      <c r="H21" t="s">
        <v>183</v>
      </c>
      <c r="I21" t="s">
        <v>91</v>
      </c>
      <c r="J21" t="s">
        <v>91</v>
      </c>
      <c r="K21" t="s">
        <v>91</v>
      </c>
      <c r="L21"/>
      <c r="M21"/>
      <c r="N21"/>
      <c r="O21"/>
      <c r="P21"/>
      <c r="Q21">
        <v>1.60651648044586</v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1.45347416400909</v>
      </c>
      <c r="AT21"/>
      <c r="AU21"/>
      <c r="AV21"/>
      <c r="AW21" t="s">
        <v>91</v>
      </c>
    </row>
    <row r="22" spans="1:49" ht="13.2">
      <c r="A22" t="s">
        <v>93</v>
      </c>
      <c r="B22" t="s">
        <v>28</v>
      </c>
      <c r="C22" t="s">
        <v>81</v>
      </c>
      <c r="D22" t="s">
        <v>105</v>
      </c>
      <c r="E22" t="s">
        <v>91</v>
      </c>
      <c r="F22" t="s">
        <v>91</v>
      </c>
      <c r="G22" t="s">
        <v>90</v>
      </c>
      <c r="H22" t="s">
        <v>183</v>
      </c>
      <c r="I22" t="s">
        <v>91</v>
      </c>
      <c r="J22" t="s">
        <v>91</v>
      </c>
      <c r="K22" t="s">
        <v>91</v>
      </c>
      <c r="L22">
        <v>1.4975107908248899</v>
      </c>
      <c r="M22">
        <v>1.1799999475479099</v>
      </c>
      <c r="N22">
        <v>1.38246369361877</v>
      </c>
      <c r="O22">
        <v>1.51028192043304</v>
      </c>
      <c r="P22">
        <v>1.5599999427795399</v>
      </c>
      <c r="Q22">
        <v>1.60651648044586</v>
      </c>
      <c r="R22">
        <v>1.4644458293914799</v>
      </c>
      <c r="S22">
        <v>1.37999999523163</v>
      </c>
      <c r="T22">
        <v>1.4904687404632599</v>
      </c>
      <c r="U22">
        <v>1.5599999427795399</v>
      </c>
      <c r="V22">
        <v>1.45000004768372</v>
      </c>
      <c r="W22">
        <v>1.4975107908248899</v>
      </c>
      <c r="X22">
        <v>1.7400000095367401</v>
      </c>
      <c r="Y22">
        <v>1.4000432491302499</v>
      </c>
      <c r="Z22">
        <v>1.82858443260193</v>
      </c>
      <c r="AA22">
        <v>1.38246369361877</v>
      </c>
      <c r="AB22">
        <v>1.8400000333786</v>
      </c>
      <c r="AC22">
        <v>1.4975107908248899</v>
      </c>
      <c r="AD22">
        <v>2.0627906322479301</v>
      </c>
      <c r="AE22">
        <v>1.71000003814697</v>
      </c>
      <c r="AF22">
        <v>1.38246369361877</v>
      </c>
      <c r="AG22">
        <v>1.9999866485595701</v>
      </c>
      <c r="AH22">
        <v>1.51028192043305</v>
      </c>
      <c r="AI22">
        <v>1.4330004453659</v>
      </c>
      <c r="AJ22">
        <v>1.4975107908248899</v>
      </c>
      <c r="AK22">
        <v>1.5599999427795399</v>
      </c>
      <c r="AL22">
        <v>1.51028192043304</v>
      </c>
      <c r="AM22">
        <v>1.33000004291534</v>
      </c>
      <c r="AN22">
        <v>1.70000004768372</v>
      </c>
      <c r="AO22">
        <v>1.9665447473526001</v>
      </c>
      <c r="AP22">
        <v>1.4975107908248899</v>
      </c>
      <c r="AQ22">
        <v>1.9828243255615201</v>
      </c>
      <c r="AR22">
        <v>1.38246369361877</v>
      </c>
      <c r="AS22">
        <v>1.45347416400909</v>
      </c>
      <c r="AT22">
        <v>1.63986444473267</v>
      </c>
      <c r="AU22">
        <v>1.95000004768372</v>
      </c>
      <c r="AV22">
        <v>1.5599999427795399</v>
      </c>
      <c r="AW22" t="s">
        <v>91</v>
      </c>
    </row>
    <row r="23" spans="1:49" ht="13.2">
      <c r="A23" t="s">
        <v>93</v>
      </c>
      <c r="B23" t="s">
        <v>28</v>
      </c>
      <c r="C23" t="s">
        <v>82</v>
      </c>
      <c r="D23" t="s">
        <v>105</v>
      </c>
      <c r="E23" t="s">
        <v>91</v>
      </c>
      <c r="F23" t="s">
        <v>91</v>
      </c>
      <c r="G23" t="s">
        <v>90</v>
      </c>
      <c r="H23" t="s">
        <v>183</v>
      </c>
      <c r="I23" t="s">
        <v>91</v>
      </c>
      <c r="J23" t="s">
        <v>91</v>
      </c>
      <c r="K23" t="s">
        <v>91</v>
      </c>
      <c r="L23">
        <v>1.4975107908248899</v>
      </c>
      <c r="M23">
        <v>1.1799999475479099</v>
      </c>
      <c r="N23">
        <v>1.38246369361877</v>
      </c>
      <c r="O23">
        <v>1.51028192043304</v>
      </c>
      <c r="P23">
        <v>1.5599999427795399</v>
      </c>
      <c r="Q23">
        <v>1.60651648044586</v>
      </c>
      <c r="R23">
        <v>1.4644458293914799</v>
      </c>
      <c r="S23">
        <v>1.37999999523163</v>
      </c>
      <c r="T23">
        <v>1.4904687404632599</v>
      </c>
      <c r="U23">
        <v>1.5599999427795399</v>
      </c>
      <c r="V23">
        <v>1.45000004768372</v>
      </c>
      <c r="W23">
        <v>1.4975107908248899</v>
      </c>
      <c r="X23">
        <v>1.7400000095367401</v>
      </c>
      <c r="Y23">
        <v>1.4000432491302499</v>
      </c>
      <c r="Z23">
        <v>1.82858443260193</v>
      </c>
      <c r="AA23">
        <v>1.38246369361877</v>
      </c>
      <c r="AB23">
        <v>1.8400000333786</v>
      </c>
      <c r="AC23">
        <v>1.4975107908248899</v>
      </c>
      <c r="AD23">
        <v>2.0627906322479301</v>
      </c>
      <c r="AE23">
        <v>1.71000003814697</v>
      </c>
      <c r="AF23">
        <v>1.38246369361877</v>
      </c>
      <c r="AG23">
        <v>1.9999866485595701</v>
      </c>
      <c r="AH23">
        <v>1.51028192043305</v>
      </c>
      <c r="AI23">
        <v>1.4330004453659</v>
      </c>
      <c r="AJ23">
        <v>1.4975107908248899</v>
      </c>
      <c r="AK23">
        <v>1.5599999427795399</v>
      </c>
      <c r="AL23">
        <v>1.51028192043304</v>
      </c>
      <c r="AM23">
        <v>1.33000004291534</v>
      </c>
      <c r="AN23">
        <v>1.70000004768372</v>
      </c>
      <c r="AO23">
        <v>1.9665447473526001</v>
      </c>
      <c r="AP23">
        <v>1.4975107908248899</v>
      </c>
      <c r="AQ23">
        <v>1.9828243255615201</v>
      </c>
      <c r="AR23">
        <v>1.38246369361877</v>
      </c>
      <c r="AS23">
        <v>1.45347416400909</v>
      </c>
      <c r="AT23">
        <v>1.63986444473267</v>
      </c>
      <c r="AU23">
        <v>1.95000004768372</v>
      </c>
      <c r="AV23">
        <v>1.5599999427795399</v>
      </c>
      <c r="AW23" t="s">
        <v>91</v>
      </c>
    </row>
    <row r="24" spans="1:49" ht="13.2">
      <c r="A24" t="s">
        <v>93</v>
      </c>
      <c r="B24" t="s">
        <v>28</v>
      </c>
      <c r="C24" t="s">
        <v>83</v>
      </c>
      <c r="D24" t="s">
        <v>105</v>
      </c>
      <c r="E24" t="s">
        <v>91</v>
      </c>
      <c r="F24" t="s">
        <v>91</v>
      </c>
      <c r="G24" t="s">
        <v>90</v>
      </c>
      <c r="H24" t="s">
        <v>183</v>
      </c>
      <c r="I24" t="s">
        <v>91</v>
      </c>
      <c r="J24" t="s">
        <v>91</v>
      </c>
      <c r="K24" t="s">
        <v>91</v>
      </c>
      <c r="L24">
        <v>1.4975107908248899</v>
      </c>
      <c r="M24">
        <v>1.1799999475479099</v>
      </c>
      <c r="N24">
        <v>1.38246369361877</v>
      </c>
      <c r="O24">
        <v>1.51028192043304</v>
      </c>
      <c r="P24">
        <v>1.5599999427795399</v>
      </c>
      <c r="Q24">
        <v>1.60651648044586</v>
      </c>
      <c r="R24">
        <v>1.4644458293914799</v>
      </c>
      <c r="S24">
        <v>1.37999999523163</v>
      </c>
      <c r="T24">
        <v>1.4904687404632599</v>
      </c>
      <c r="U24">
        <v>1.5599999427795399</v>
      </c>
      <c r="V24">
        <v>1.45000004768372</v>
      </c>
      <c r="W24">
        <v>1.4975107908248899</v>
      </c>
      <c r="X24">
        <v>1.7400000095367401</v>
      </c>
      <c r="Y24">
        <v>1.4000432491302499</v>
      </c>
      <c r="Z24">
        <v>1.82858443260193</v>
      </c>
      <c r="AA24">
        <v>1.38246369361877</v>
      </c>
      <c r="AB24">
        <v>1.8400000333786</v>
      </c>
      <c r="AC24">
        <v>1.4975107908248899</v>
      </c>
      <c r="AD24">
        <v>2.0627906322479301</v>
      </c>
      <c r="AE24">
        <v>1.71000003814697</v>
      </c>
      <c r="AF24">
        <v>1.38246369361877</v>
      </c>
      <c r="AG24">
        <v>1.9999866485595701</v>
      </c>
      <c r="AH24">
        <v>1.51028192043305</v>
      </c>
      <c r="AI24">
        <v>1.4330004453659</v>
      </c>
      <c r="AJ24">
        <v>1.4975107908248899</v>
      </c>
      <c r="AK24">
        <v>1.5599999427795399</v>
      </c>
      <c r="AL24">
        <v>1.51028192043304</v>
      </c>
      <c r="AM24">
        <v>1.33000004291534</v>
      </c>
      <c r="AN24">
        <v>1.70000004768372</v>
      </c>
      <c r="AO24">
        <v>1.9665447473526001</v>
      </c>
      <c r="AP24">
        <v>1.4975107908248899</v>
      </c>
      <c r="AQ24">
        <v>1.9828243255615201</v>
      </c>
      <c r="AR24">
        <v>1.38246369361877</v>
      </c>
      <c r="AS24">
        <v>1.45347416400909</v>
      </c>
      <c r="AT24">
        <v>1.63986444473267</v>
      </c>
      <c r="AU24">
        <v>1.95000004768372</v>
      </c>
      <c r="AV24">
        <v>1.5599999427795399</v>
      </c>
      <c r="AW24" t="s">
        <v>91</v>
      </c>
    </row>
    <row r="25" spans="1:49" ht="13.2">
      <c r="A25" t="s">
        <v>93</v>
      </c>
      <c r="B25" t="s">
        <v>28</v>
      </c>
      <c r="C25" t="s">
        <v>84</v>
      </c>
      <c r="D25" t="s">
        <v>105</v>
      </c>
      <c r="E25" t="s">
        <v>91</v>
      </c>
      <c r="F25" t="s">
        <v>91</v>
      </c>
      <c r="G25" t="s">
        <v>90</v>
      </c>
      <c r="H25" t="s">
        <v>183</v>
      </c>
      <c r="I25" t="s">
        <v>91</v>
      </c>
      <c r="J25" t="s">
        <v>91</v>
      </c>
      <c r="K25" t="s">
        <v>91</v>
      </c>
      <c r="L25">
        <v>1.4975107908248899</v>
      </c>
      <c r="M25">
        <v>1.1799999475479099</v>
      </c>
      <c r="N25">
        <v>1.38246369361877</v>
      </c>
      <c r="O25">
        <v>1.51028192043304</v>
      </c>
      <c r="P25">
        <v>1.5599999427795399</v>
      </c>
      <c r="Q25">
        <v>1.60651648044586</v>
      </c>
      <c r="R25">
        <v>1.4644458293914799</v>
      </c>
      <c r="S25">
        <v>1.37999999523163</v>
      </c>
      <c r="T25">
        <v>1.4904687404632599</v>
      </c>
      <c r="U25">
        <v>1.5599999427795399</v>
      </c>
      <c r="V25">
        <v>1.45000004768372</v>
      </c>
      <c r="W25">
        <v>1.4975107908248899</v>
      </c>
      <c r="X25">
        <v>1.7400000095367401</v>
      </c>
      <c r="Y25">
        <v>1.4000432491302499</v>
      </c>
      <c r="Z25">
        <v>1.82858443260193</v>
      </c>
      <c r="AA25">
        <v>1.38246369361877</v>
      </c>
      <c r="AB25">
        <v>1.8400000333786</v>
      </c>
      <c r="AC25">
        <v>1.4975107908248899</v>
      </c>
      <c r="AD25">
        <v>2.0627906322479301</v>
      </c>
      <c r="AE25">
        <v>1.71000003814697</v>
      </c>
      <c r="AF25">
        <v>1.38246369361877</v>
      </c>
      <c r="AG25">
        <v>1.9999866485595701</v>
      </c>
      <c r="AH25">
        <v>1.51028192043305</v>
      </c>
      <c r="AI25">
        <v>1.4330004453659</v>
      </c>
      <c r="AJ25">
        <v>1.4975107908248899</v>
      </c>
      <c r="AK25">
        <v>1.5599999427795399</v>
      </c>
      <c r="AL25">
        <v>1.51028192043304</v>
      </c>
      <c r="AM25">
        <v>1.33000004291534</v>
      </c>
      <c r="AN25">
        <v>1.70000004768372</v>
      </c>
      <c r="AO25">
        <v>1.9665447473526001</v>
      </c>
      <c r="AP25">
        <v>1.4975107908248899</v>
      </c>
      <c r="AQ25">
        <v>1.9828243255615201</v>
      </c>
      <c r="AR25">
        <v>1.38246369361877</v>
      </c>
      <c r="AS25">
        <v>1.45347416400909</v>
      </c>
      <c r="AT25">
        <v>1.63986444473267</v>
      </c>
      <c r="AU25">
        <v>1.95000004768372</v>
      </c>
      <c r="AV25">
        <v>1.5599999427795399</v>
      </c>
      <c r="AW25" t="s">
        <v>91</v>
      </c>
    </row>
    <row r="26" spans="1:49" ht="13.2">
      <c r="A26" t="s">
        <v>93</v>
      </c>
      <c r="B26" t="s">
        <v>28</v>
      </c>
      <c r="C26" t="s">
        <v>65</v>
      </c>
      <c r="D26" t="s">
        <v>105</v>
      </c>
      <c r="E26" t="s">
        <v>91</v>
      </c>
      <c r="F26" t="s">
        <v>91</v>
      </c>
      <c r="G26" t="s">
        <v>90</v>
      </c>
      <c r="H26" t="s">
        <v>183</v>
      </c>
      <c r="I26" t="s">
        <v>91</v>
      </c>
      <c r="J26" t="s">
        <v>91</v>
      </c>
      <c r="K26" t="s">
        <v>91</v>
      </c>
      <c r="L26">
        <v>1.4975107908248899</v>
      </c>
      <c r="M26"/>
      <c r="N26">
        <v>1.38246369361877</v>
      </c>
      <c r="O26">
        <v>1.51028192043305</v>
      </c>
      <c r="P26">
        <v>1.5599999427795399</v>
      </c>
      <c r="Q26"/>
      <c r="R26"/>
      <c r="S26"/>
      <c r="T26">
        <v>1.4904687404632599</v>
      </c>
      <c r="U26">
        <v>1.5599999427795399</v>
      </c>
      <c r="V26"/>
      <c r="W26">
        <v>1.4975107908248899</v>
      </c>
      <c r="X26"/>
      <c r="Y26"/>
      <c r="Z26">
        <v>1.82858443260193</v>
      </c>
      <c r="AA26">
        <v>1.38246369361877</v>
      </c>
      <c r="AB26">
        <v>1.8400000333786</v>
      </c>
      <c r="AC26">
        <v>1.4975107908248899</v>
      </c>
      <c r="AD26"/>
      <c r="AE26">
        <v>1.71000003814697</v>
      </c>
      <c r="AF26">
        <v>1.38246369361877</v>
      </c>
      <c r="AG26"/>
      <c r="AH26"/>
      <c r="AI26">
        <v>1.43300044536591</v>
      </c>
      <c r="AJ26">
        <v>1.4975107908248899</v>
      </c>
      <c r="AK26">
        <v>1.5599999427795399</v>
      </c>
      <c r="AL26"/>
      <c r="AM26">
        <v>1.33000004291534</v>
      </c>
      <c r="AN26"/>
      <c r="AO26">
        <v>1.9665447473526001</v>
      </c>
      <c r="AP26">
        <v>1.4975107908248899</v>
      </c>
      <c r="AQ26">
        <v>1.9828243255615201</v>
      </c>
      <c r="AR26">
        <v>1.38246369361877</v>
      </c>
      <c r="AS26"/>
      <c r="AT26"/>
      <c r="AU26">
        <v>1.95000004768372</v>
      </c>
      <c r="AV26">
        <v>1.5599999427795399</v>
      </c>
      <c r="AW26" t="s">
        <v>91</v>
      </c>
    </row>
    <row r="27" spans="1:49" ht="13.2">
      <c r="A27" t="s">
        <v>93</v>
      </c>
      <c r="B27" t="s">
        <v>28</v>
      </c>
      <c r="C27" t="s">
        <v>66</v>
      </c>
      <c r="D27" t="s">
        <v>105</v>
      </c>
      <c r="E27" t="s">
        <v>91</v>
      </c>
      <c r="F27" t="s">
        <v>91</v>
      </c>
      <c r="G27" t="s">
        <v>90</v>
      </c>
      <c r="H27" t="s">
        <v>183</v>
      </c>
      <c r="I27" t="s">
        <v>91</v>
      </c>
      <c r="J27" t="s">
        <v>91</v>
      </c>
      <c r="K27" t="s">
        <v>91</v>
      </c>
      <c r="L27">
        <v>1.4975107908248899</v>
      </c>
      <c r="M27"/>
      <c r="N27">
        <v>1.38246369361877</v>
      </c>
      <c r="O27">
        <v>1.51028192043305</v>
      </c>
      <c r="P27">
        <v>1.5599999427795399</v>
      </c>
      <c r="Q27"/>
      <c r="R27"/>
      <c r="S27"/>
      <c r="T27">
        <v>1.4904687404632599</v>
      </c>
      <c r="U27">
        <v>1.5599999427795399</v>
      </c>
      <c r="V27"/>
      <c r="W27">
        <v>1.4975107908248899</v>
      </c>
      <c r="X27"/>
      <c r="Y27"/>
      <c r="Z27">
        <v>1.82858443260193</v>
      </c>
      <c r="AA27">
        <v>1.38246369361877</v>
      </c>
      <c r="AB27">
        <v>1.8400000333786</v>
      </c>
      <c r="AC27">
        <v>1.4975107908248899</v>
      </c>
      <c r="AD27"/>
      <c r="AE27">
        <v>1.71000003814697</v>
      </c>
      <c r="AF27">
        <v>1.38246369361877</v>
      </c>
      <c r="AG27"/>
      <c r="AH27"/>
      <c r="AI27">
        <v>1.43300044536591</v>
      </c>
      <c r="AJ27">
        <v>1.4975107908248899</v>
      </c>
      <c r="AK27">
        <v>1.5599999427795399</v>
      </c>
      <c r="AL27"/>
      <c r="AM27">
        <v>1.33000004291534</v>
      </c>
      <c r="AN27"/>
      <c r="AO27">
        <v>1.9665447473526001</v>
      </c>
      <c r="AP27">
        <v>1.4975107908248899</v>
      </c>
      <c r="AQ27">
        <v>1.9828243255615201</v>
      </c>
      <c r="AR27">
        <v>1.38246369361877</v>
      </c>
      <c r="AS27"/>
      <c r="AT27"/>
      <c r="AU27">
        <v>1.95000004768372</v>
      </c>
      <c r="AV27">
        <v>1.5599999427795399</v>
      </c>
      <c r="AW27" t="s">
        <v>91</v>
      </c>
    </row>
    <row r="28" spans="1:49" ht="13.2">
      <c r="A28" t="s">
        <v>93</v>
      </c>
      <c r="B28" t="s">
        <v>28</v>
      </c>
      <c r="C28" t="s">
        <v>67</v>
      </c>
      <c r="D28" t="s">
        <v>105</v>
      </c>
      <c r="E28" t="s">
        <v>91</v>
      </c>
      <c r="F28" t="s">
        <v>91</v>
      </c>
      <c r="G28" t="s">
        <v>90</v>
      </c>
      <c r="H28" t="s">
        <v>183</v>
      </c>
      <c r="I28" t="s">
        <v>91</v>
      </c>
      <c r="J28" t="s">
        <v>91</v>
      </c>
      <c r="K28" t="s">
        <v>91</v>
      </c>
      <c r="L28">
        <v>1.4975107908248899</v>
      </c>
      <c r="M28"/>
      <c r="N28">
        <v>1.38246369361877</v>
      </c>
      <c r="O28">
        <v>1.51028192043305</v>
      </c>
      <c r="P28">
        <v>1.5599999427795399</v>
      </c>
      <c r="Q28"/>
      <c r="R28"/>
      <c r="S28"/>
      <c r="T28">
        <v>1.4904687404632599</v>
      </c>
      <c r="U28">
        <v>1.5599999427795399</v>
      </c>
      <c r="V28"/>
      <c r="W28">
        <v>1.4975107908248899</v>
      </c>
      <c r="X28"/>
      <c r="Y28"/>
      <c r="Z28">
        <v>1.82858443260193</v>
      </c>
      <c r="AA28">
        <v>1.38246369361877</v>
      </c>
      <c r="AB28">
        <v>1.8400000333786</v>
      </c>
      <c r="AC28">
        <v>1.4975107908248899</v>
      </c>
      <c r="AD28"/>
      <c r="AE28">
        <v>1.71000003814697</v>
      </c>
      <c r="AF28">
        <v>1.38246369361877</v>
      </c>
      <c r="AG28"/>
      <c r="AH28"/>
      <c r="AI28">
        <v>1.43300044536591</v>
      </c>
      <c r="AJ28">
        <v>1.4975107908248899</v>
      </c>
      <c r="AK28">
        <v>1.5599999427795399</v>
      </c>
      <c r="AL28"/>
      <c r="AM28">
        <v>1.33000004291534</v>
      </c>
      <c r="AN28"/>
      <c r="AO28">
        <v>1.9665447473526001</v>
      </c>
      <c r="AP28">
        <v>1.4975107908248899</v>
      </c>
      <c r="AQ28">
        <v>1.9828243255615201</v>
      </c>
      <c r="AR28">
        <v>1.38246369361877</v>
      </c>
      <c r="AS28"/>
      <c r="AT28"/>
      <c r="AU28">
        <v>1.95000004768372</v>
      </c>
      <c r="AV28">
        <v>1.5599999427795399</v>
      </c>
      <c r="AW28" t="s">
        <v>91</v>
      </c>
    </row>
    <row r="29" spans="1:49" ht="13.2">
      <c r="A29" t="s">
        <v>93</v>
      </c>
      <c r="B29" t="s">
        <v>28</v>
      </c>
      <c r="C29" t="s">
        <v>68</v>
      </c>
      <c r="D29" t="s">
        <v>105</v>
      </c>
      <c r="E29" t="s">
        <v>91</v>
      </c>
      <c r="F29" t="s">
        <v>91</v>
      </c>
      <c r="G29" t="s">
        <v>90</v>
      </c>
      <c r="H29" t="s">
        <v>183</v>
      </c>
      <c r="I29" t="s">
        <v>91</v>
      </c>
      <c r="J29" t="s">
        <v>91</v>
      </c>
      <c r="K29" t="s">
        <v>91</v>
      </c>
      <c r="L29">
        <v>1.4975107908248899</v>
      </c>
      <c r="M29"/>
      <c r="N29">
        <v>1.38246369361877</v>
      </c>
      <c r="O29">
        <v>1.51028192043305</v>
      </c>
      <c r="P29">
        <v>1.5599999427795399</v>
      </c>
      <c r="Q29"/>
      <c r="R29"/>
      <c r="S29"/>
      <c r="T29">
        <v>1.4904687404632599</v>
      </c>
      <c r="U29">
        <v>1.5599999427795399</v>
      </c>
      <c r="V29"/>
      <c r="W29">
        <v>1.4975107908248899</v>
      </c>
      <c r="X29"/>
      <c r="Y29"/>
      <c r="Z29">
        <v>1.82858443260193</v>
      </c>
      <c r="AA29">
        <v>1.38246369361877</v>
      </c>
      <c r="AB29">
        <v>1.8400000333786</v>
      </c>
      <c r="AC29">
        <v>1.4975107908248899</v>
      </c>
      <c r="AD29"/>
      <c r="AE29">
        <v>1.71000003814697</v>
      </c>
      <c r="AF29">
        <v>1.38246369361877</v>
      </c>
      <c r="AG29"/>
      <c r="AH29"/>
      <c r="AI29">
        <v>1.43300044536591</v>
      </c>
      <c r="AJ29">
        <v>1.4975107908248899</v>
      </c>
      <c r="AK29">
        <v>1.5599999427795399</v>
      </c>
      <c r="AL29"/>
      <c r="AM29">
        <v>1.33000004291534</v>
      </c>
      <c r="AN29"/>
      <c r="AO29">
        <v>1.9665447473526001</v>
      </c>
      <c r="AP29">
        <v>1.4975107908248899</v>
      </c>
      <c r="AQ29">
        <v>1.9828243255615201</v>
      </c>
      <c r="AR29">
        <v>1.38246369361877</v>
      </c>
      <c r="AS29"/>
      <c r="AT29"/>
      <c r="AU29">
        <v>1.95000004768372</v>
      </c>
      <c r="AV29">
        <v>1.5599999427795399</v>
      </c>
      <c r="AW29" t="s">
        <v>91</v>
      </c>
    </row>
    <row r="30" spans="1:49" ht="13.2">
      <c r="A30" t="s">
        <v>93</v>
      </c>
      <c r="B30" t="s">
        <v>28</v>
      </c>
      <c r="C30" t="s">
        <v>85</v>
      </c>
      <c r="D30" t="s">
        <v>105</v>
      </c>
      <c r="E30" t="s">
        <v>91</v>
      </c>
      <c r="F30" t="s">
        <v>91</v>
      </c>
      <c r="G30" t="s">
        <v>90</v>
      </c>
      <c r="H30" t="s">
        <v>183</v>
      </c>
      <c r="I30" t="s">
        <v>91</v>
      </c>
      <c r="J30" t="s">
        <v>91</v>
      </c>
      <c r="K30" t="s">
        <v>91</v>
      </c>
      <c r="L30"/>
      <c r="M30"/>
      <c r="N30"/>
      <c r="O30"/>
      <c r="P30"/>
      <c r="Q30"/>
      <c r="R30"/>
      <c r="S30">
        <v>1.37999999523163</v>
      </c>
      <c r="T30"/>
      <c r="U30">
        <v>1.5599999427795399</v>
      </c>
      <c r="V30"/>
      <c r="W30"/>
      <c r="X30"/>
      <c r="Y30"/>
      <c r="Z30"/>
      <c r="AA30"/>
      <c r="AB30"/>
      <c r="AC30"/>
      <c r="AD30">
        <v>2.0627906322479301</v>
      </c>
      <c r="AE30"/>
      <c r="AF30"/>
      <c r="AG30"/>
      <c r="AH30"/>
      <c r="AI30"/>
      <c r="AJ30"/>
      <c r="AK30"/>
      <c r="AL30"/>
      <c r="AM30">
        <v>1.33000004291534</v>
      </c>
      <c r="AN30"/>
      <c r="AO30">
        <v>1.9665447473526001</v>
      </c>
      <c r="AP30">
        <v>1.4975107908248899</v>
      </c>
      <c r="AQ30"/>
      <c r="AR30"/>
      <c r="AS30">
        <v>1.45347416400909</v>
      </c>
      <c r="AT30"/>
      <c r="AU30"/>
      <c r="AV30">
        <v>1.5599999427795399</v>
      </c>
      <c r="AW30" t="s">
        <v>91</v>
      </c>
    </row>
    <row r="31" spans="1:49" ht="13.2">
      <c r="A31" t="s">
        <v>93</v>
      </c>
      <c r="B31" t="s">
        <v>28</v>
      </c>
      <c r="C31" t="s">
        <v>86</v>
      </c>
      <c r="D31" t="s">
        <v>105</v>
      </c>
      <c r="E31" t="s">
        <v>91</v>
      </c>
      <c r="F31" t="s">
        <v>91</v>
      </c>
      <c r="G31" t="s">
        <v>90</v>
      </c>
      <c r="H31" t="s">
        <v>183</v>
      </c>
      <c r="I31" t="s">
        <v>91</v>
      </c>
      <c r="J31" t="s">
        <v>91</v>
      </c>
      <c r="K31" t="s">
        <v>91</v>
      </c>
      <c r="L31"/>
      <c r="M31"/>
      <c r="N31"/>
      <c r="O31"/>
      <c r="P31"/>
      <c r="Q31"/>
      <c r="R31"/>
      <c r="S31">
        <v>1.37999999523163</v>
      </c>
      <c r="T31"/>
      <c r="U31">
        <v>1.5599999427795399</v>
      </c>
      <c r="V31"/>
      <c r="W31"/>
      <c r="X31"/>
      <c r="Y31"/>
      <c r="Z31"/>
      <c r="AA31"/>
      <c r="AB31"/>
      <c r="AC31"/>
      <c r="AD31">
        <v>2.0627906322479301</v>
      </c>
      <c r="AE31"/>
      <c r="AF31"/>
      <c r="AG31"/>
      <c r="AH31"/>
      <c r="AI31"/>
      <c r="AJ31"/>
      <c r="AK31"/>
      <c r="AL31"/>
      <c r="AM31">
        <v>1.33000004291534</v>
      </c>
      <c r="AN31"/>
      <c r="AO31">
        <v>1.9665447473526001</v>
      </c>
      <c r="AP31">
        <v>1.4975107908248899</v>
      </c>
      <c r="AQ31"/>
      <c r="AR31"/>
      <c r="AS31">
        <v>1.45347416400909</v>
      </c>
      <c r="AT31"/>
      <c r="AU31"/>
      <c r="AV31">
        <v>1.5599999427795399</v>
      </c>
      <c r="AW31" t="s">
        <v>91</v>
      </c>
    </row>
    <row r="32" spans="1:49" ht="13.2">
      <c r="A32" t="s">
        <v>93</v>
      </c>
      <c r="B32" t="s">
        <v>28</v>
      </c>
      <c r="C32" t="s">
        <v>87</v>
      </c>
      <c r="D32" t="s">
        <v>105</v>
      </c>
      <c r="E32" t="s">
        <v>91</v>
      </c>
      <c r="F32" t="s">
        <v>91</v>
      </c>
      <c r="G32" t="s">
        <v>90</v>
      </c>
      <c r="H32" t="s">
        <v>183</v>
      </c>
      <c r="I32" t="s">
        <v>91</v>
      </c>
      <c r="J32" t="s">
        <v>91</v>
      </c>
      <c r="K32" t="s">
        <v>91</v>
      </c>
      <c r="L32"/>
      <c r="M32"/>
      <c r="N32"/>
      <c r="O32"/>
      <c r="P32"/>
      <c r="Q32"/>
      <c r="R32"/>
      <c r="S32">
        <v>1.37999999523163</v>
      </c>
      <c r="T32"/>
      <c r="U32">
        <v>1.5599999427795399</v>
      </c>
      <c r="V32"/>
      <c r="W32"/>
      <c r="X32"/>
      <c r="Y32"/>
      <c r="Z32"/>
      <c r="AA32"/>
      <c r="AB32"/>
      <c r="AC32"/>
      <c r="AD32">
        <v>2.0627906322479301</v>
      </c>
      <c r="AE32"/>
      <c r="AF32"/>
      <c r="AG32"/>
      <c r="AH32"/>
      <c r="AI32"/>
      <c r="AJ32"/>
      <c r="AK32"/>
      <c r="AL32"/>
      <c r="AM32">
        <v>1.33000004291534</v>
      </c>
      <c r="AN32"/>
      <c r="AO32">
        <v>1.9665447473526001</v>
      </c>
      <c r="AP32">
        <v>1.4975107908248899</v>
      </c>
      <c r="AQ32"/>
      <c r="AR32"/>
      <c r="AS32">
        <v>1.45347416400909</v>
      </c>
      <c r="AT32"/>
      <c r="AU32"/>
      <c r="AV32">
        <v>1.5599999427795399</v>
      </c>
      <c r="AW32" t="s">
        <v>91</v>
      </c>
    </row>
    <row r="33" spans="1:49" ht="13.2">
      <c r="A33" t="s">
        <v>93</v>
      </c>
      <c r="B33" t="s">
        <v>28</v>
      </c>
      <c r="C33" t="s">
        <v>88</v>
      </c>
      <c r="D33" t="s">
        <v>105</v>
      </c>
      <c r="E33" t="s">
        <v>91</v>
      </c>
      <c r="F33" t="s">
        <v>91</v>
      </c>
      <c r="G33" t="s">
        <v>90</v>
      </c>
      <c r="H33" t="s">
        <v>183</v>
      </c>
      <c r="I33" t="s">
        <v>91</v>
      </c>
      <c r="J33" t="s">
        <v>91</v>
      </c>
      <c r="K33" t="s">
        <v>91</v>
      </c>
      <c r="L33"/>
      <c r="M33"/>
      <c r="N33"/>
      <c r="O33"/>
      <c r="P33"/>
      <c r="Q33"/>
      <c r="R33"/>
      <c r="S33">
        <v>1.37999999523163</v>
      </c>
      <c r="T33"/>
      <c r="U33">
        <v>1.5599999427795399</v>
      </c>
      <c r="V33"/>
      <c r="W33"/>
      <c r="X33"/>
      <c r="Y33"/>
      <c r="Z33"/>
      <c r="AA33"/>
      <c r="AB33"/>
      <c r="AC33"/>
      <c r="AD33">
        <v>2.0627906322479301</v>
      </c>
      <c r="AE33"/>
      <c r="AF33"/>
      <c r="AG33"/>
      <c r="AH33"/>
      <c r="AI33"/>
      <c r="AJ33"/>
      <c r="AK33"/>
      <c r="AL33"/>
      <c r="AM33">
        <v>1.33000004291534</v>
      </c>
      <c r="AN33"/>
      <c r="AO33">
        <v>1.9665447473526001</v>
      </c>
      <c r="AP33">
        <v>1.4975107908248899</v>
      </c>
      <c r="AQ33"/>
      <c r="AR33"/>
      <c r="AS33">
        <v>1.45347416400909</v>
      </c>
      <c r="AT33"/>
      <c r="AU33"/>
      <c r="AV33">
        <v>1.5599999427795399</v>
      </c>
      <c r="AW33" t="s">
        <v>91</v>
      </c>
    </row>
    <row r="34" spans="1:49" ht="13.2">
      <c r="A34" t="s">
        <v>93</v>
      </c>
      <c r="B34" t="s">
        <v>28</v>
      </c>
      <c r="C34" t="s">
        <v>52</v>
      </c>
      <c r="D34" t="s">
        <v>105</v>
      </c>
      <c r="E34" t="s">
        <v>91</v>
      </c>
      <c r="F34" t="s">
        <v>91</v>
      </c>
      <c r="G34" t="s">
        <v>90</v>
      </c>
      <c r="H34" t="s">
        <v>183</v>
      </c>
      <c r="I34" t="s">
        <v>91</v>
      </c>
      <c r="J34" t="s">
        <v>91</v>
      </c>
      <c r="K34" t="s">
        <v>91</v>
      </c>
      <c r="L34">
        <v>6.4732029836269103</v>
      </c>
      <c r="M34">
        <v>12.6966866442624</v>
      </c>
      <c r="N34">
        <v>10.1545306337892</v>
      </c>
      <c r="O34">
        <v>3.6177163587025101</v>
      </c>
      <c r="P34">
        <v>14.9022221025332</v>
      </c>
      <c r="Q34">
        <v>5.0234683731318199</v>
      </c>
      <c r="R34">
        <v>4.0249713514679204</v>
      </c>
      <c r="S34">
        <v>9.7457023667068992</v>
      </c>
      <c r="T34">
        <v>6.2939784162499803</v>
      </c>
      <c r="U34">
        <v>5.7247237084120997</v>
      </c>
      <c r="V34">
        <v>10.89725621128</v>
      </c>
      <c r="W34">
        <v>6.4732029836269103</v>
      </c>
      <c r="X34">
        <v>6.2476243227720296</v>
      </c>
      <c r="Y34">
        <v>10.957165291452601</v>
      </c>
      <c r="Z34">
        <v>8.2550465475250707</v>
      </c>
      <c r="AA34">
        <v>10.1545306337892</v>
      </c>
      <c r="AB34">
        <v>9.9489386039569503</v>
      </c>
      <c r="AC34">
        <v>11.993945793934399</v>
      </c>
      <c r="AD34">
        <v>7.0785647772785403</v>
      </c>
      <c r="AE34">
        <v>7.5022433654630802</v>
      </c>
      <c r="AF34">
        <v>10.1545306337892</v>
      </c>
      <c r="AG34">
        <v>13.305331947125</v>
      </c>
      <c r="AH34">
        <v>5.2429919003327798</v>
      </c>
      <c r="AI34">
        <v>10.4740889501004</v>
      </c>
      <c r="AJ34">
        <v>6.4732029836269103</v>
      </c>
      <c r="AK34">
        <v>12.0025614776756</v>
      </c>
      <c r="AL34">
        <v>1.2047109936611</v>
      </c>
      <c r="AM34">
        <v>11.1014949066107</v>
      </c>
      <c r="AN34">
        <v>12.591806582523301</v>
      </c>
      <c r="AO34">
        <v>11.666596909052201</v>
      </c>
      <c r="AP34">
        <v>13.5666403308729</v>
      </c>
      <c r="AQ34">
        <v>5.68297807152776</v>
      </c>
      <c r="AR34">
        <v>10.1545306337892</v>
      </c>
      <c r="AS34">
        <v>12.879972178480299</v>
      </c>
      <c r="AT34">
        <v>11.184902755915999</v>
      </c>
      <c r="AU34">
        <v>8.0361798881400901</v>
      </c>
      <c r="AV34">
        <v>6.2908244883060602</v>
      </c>
      <c r="AW34" t="s">
        <v>91</v>
      </c>
    </row>
    <row r="35" spans="1:49" ht="13.2">
      <c r="A35" t="s">
        <v>93</v>
      </c>
      <c r="B35" t="s">
        <v>28</v>
      </c>
      <c r="C35" t="s">
        <v>50</v>
      </c>
      <c r="D35" t="s">
        <v>105</v>
      </c>
      <c r="E35" t="s">
        <v>91</v>
      </c>
      <c r="F35" t="s">
        <v>91</v>
      </c>
      <c r="G35" t="s">
        <v>90</v>
      </c>
      <c r="H35" t="s">
        <v>183</v>
      </c>
      <c r="I35" t="s">
        <v>91</v>
      </c>
      <c r="J35" t="s">
        <v>91</v>
      </c>
      <c r="K35" t="s">
        <v>91</v>
      </c>
      <c r="L35">
        <v>1.52727527618408</v>
      </c>
      <c r="M35"/>
      <c r="N35">
        <v>2.7867569732666002</v>
      </c>
      <c r="O35"/>
      <c r="P35">
        <v>2.4181893920898401</v>
      </c>
      <c r="Q35"/>
      <c r="R35">
        <v>0.97858094215393099</v>
      </c>
      <c r="S35">
        <v>1.6805942726135299</v>
      </c>
      <c r="T35"/>
      <c r="U35">
        <v>0.71403723716735801</v>
      </c>
      <c r="V35">
        <v>2.0055233383178699</v>
      </c>
      <c r="W35">
        <v>1.52727527618408</v>
      </c>
      <c r="X35">
        <v>0.89578972816467295</v>
      </c>
      <c r="Y35">
        <v>1.6817709350585901</v>
      </c>
      <c r="Z35">
        <v>1.0801119709014899</v>
      </c>
      <c r="AA35">
        <v>2.7867569732666002</v>
      </c>
      <c r="AB35">
        <v>1.7156412696838399</v>
      </c>
      <c r="AC35">
        <v>4.5393498229980498</v>
      </c>
      <c r="AD35">
        <v>1.3488346099853501</v>
      </c>
      <c r="AE35">
        <v>1.3574516296386701</v>
      </c>
      <c r="AF35">
        <v>2.7867569732666002</v>
      </c>
      <c r="AG35">
        <v>3.3123500442504898</v>
      </c>
      <c r="AH35">
        <v>0.85835562705993695</v>
      </c>
      <c r="AI35">
        <v>1.9958584976196301</v>
      </c>
      <c r="AJ35">
        <v>1.52727527618408</v>
      </c>
      <c r="AK35">
        <v>1.9476603317260699</v>
      </c>
      <c r="AL35"/>
      <c r="AM35">
        <v>1.8240133094787601</v>
      </c>
      <c r="AN35">
        <v>2.8752834320068401</v>
      </c>
      <c r="AO35">
        <v>2.28312622070312</v>
      </c>
      <c r="AP35"/>
      <c r="AQ35">
        <v>1.27366680145264</v>
      </c>
      <c r="AR35">
        <v>2.7867569732666002</v>
      </c>
      <c r="AS35">
        <v>1.97689477920532</v>
      </c>
      <c r="AT35">
        <v>1.92983709335327</v>
      </c>
      <c r="AU35"/>
      <c r="AV35">
        <v>0.90412603378295897</v>
      </c>
      <c r="AW35" t="s">
        <v>91</v>
      </c>
    </row>
    <row r="36" spans="1:49" ht="13.2">
      <c r="A36" t="s">
        <v>93</v>
      </c>
      <c r="B36" t="s">
        <v>28</v>
      </c>
      <c r="C36" t="s">
        <v>72</v>
      </c>
      <c r="D36" t="s">
        <v>105</v>
      </c>
      <c r="E36" t="s">
        <v>91</v>
      </c>
      <c r="F36" t="s">
        <v>91</v>
      </c>
      <c r="G36" t="s">
        <v>90</v>
      </c>
      <c r="H36" t="s">
        <v>183</v>
      </c>
      <c r="I36" t="s">
        <v>91</v>
      </c>
      <c r="J36" t="s">
        <v>91</v>
      </c>
      <c r="K36" t="s">
        <v>91</v>
      </c>
      <c r="L36">
        <v>0.5</v>
      </c>
      <c r="M36">
        <v>0.5</v>
      </c>
      <c r="N36">
        <v>0.5</v>
      </c>
      <c r="O36">
        <v>0.5</v>
      </c>
      <c r="P36">
        <v>0.5</v>
      </c>
      <c r="Q36">
        <v>0.5</v>
      </c>
      <c r="R36">
        <v>0.5</v>
      </c>
      <c r="S36">
        <v>0.5</v>
      </c>
      <c r="T36">
        <v>0.5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0.5</v>
      </c>
      <c r="AI36">
        <v>0.5</v>
      </c>
      <c r="AJ36">
        <v>0.5</v>
      </c>
      <c r="AK36">
        <v>0.5</v>
      </c>
      <c r="AL36">
        <v>0.5</v>
      </c>
      <c r="AM36">
        <v>0.5</v>
      </c>
      <c r="AN36">
        <v>0.5</v>
      </c>
      <c r="AO36">
        <v>0.5</v>
      </c>
      <c r="AP36">
        <v>0.5</v>
      </c>
      <c r="AQ36">
        <v>0.5</v>
      </c>
      <c r="AR36">
        <v>0.5</v>
      </c>
      <c r="AS36">
        <v>0.5</v>
      </c>
      <c r="AT36">
        <v>0.5</v>
      </c>
      <c r="AU36">
        <v>0.5</v>
      </c>
      <c r="AV36">
        <v>0.5</v>
      </c>
      <c r="AW36" t="s">
        <v>91</v>
      </c>
    </row>
    <row r="37" spans="1:49" ht="13.2">
      <c r="A37" t="s">
        <v>93</v>
      </c>
      <c r="B37" t="s">
        <v>28</v>
      </c>
      <c r="C37" t="s">
        <v>222</v>
      </c>
      <c r="D37" t="s">
        <v>105</v>
      </c>
      <c r="E37" t="s">
        <v>91</v>
      </c>
      <c r="F37" t="s">
        <v>91</v>
      </c>
      <c r="G37" t="s">
        <v>90</v>
      </c>
      <c r="H37" t="s">
        <v>183</v>
      </c>
      <c r="I37" t="s">
        <v>91</v>
      </c>
      <c r="J37" t="s">
        <v>91</v>
      </c>
      <c r="K37" t="s">
        <v>91</v>
      </c>
      <c r="L37">
        <v>0.5</v>
      </c>
      <c r="M37">
        <v>0.5</v>
      </c>
      <c r="N37">
        <v>0.5</v>
      </c>
      <c r="O37">
        <v>0.5</v>
      </c>
      <c r="P37">
        <v>0.5</v>
      </c>
      <c r="Q37">
        <v>0.5</v>
      </c>
      <c r="R37">
        <v>0.5</v>
      </c>
      <c r="S37">
        <v>0.5</v>
      </c>
      <c r="T37">
        <v>0.5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0.5</v>
      </c>
      <c r="AJ37">
        <v>0.5</v>
      </c>
      <c r="AK37">
        <v>0.5</v>
      </c>
      <c r="AL37">
        <v>0.5</v>
      </c>
      <c r="AM37">
        <v>0.5</v>
      </c>
      <c r="AN37">
        <v>0.5</v>
      </c>
      <c r="AO37">
        <v>0.5</v>
      </c>
      <c r="AP37">
        <v>0.5</v>
      </c>
      <c r="AQ37">
        <v>0.5</v>
      </c>
      <c r="AR37">
        <v>0.5</v>
      </c>
      <c r="AS37">
        <v>0.5</v>
      </c>
      <c r="AT37">
        <v>0.5</v>
      </c>
      <c r="AU37">
        <v>0.5</v>
      </c>
      <c r="AV37">
        <v>0.5</v>
      </c>
      <c r="AW37" t="s">
        <v>91</v>
      </c>
    </row>
    <row r="38" spans="1:49" ht="13.2">
      <c r="A38" t="s">
        <v>93</v>
      </c>
      <c r="B38" t="s">
        <v>28</v>
      </c>
      <c r="C38" t="s">
        <v>225</v>
      </c>
      <c r="D38" t="s">
        <v>105</v>
      </c>
      <c r="E38" t="s">
        <v>91</v>
      </c>
      <c r="F38" t="s">
        <v>91</v>
      </c>
      <c r="G38" t="s">
        <v>90</v>
      </c>
      <c r="H38" t="s">
        <v>183</v>
      </c>
      <c r="I38" t="s">
        <v>91</v>
      </c>
      <c r="J38" t="s">
        <v>91</v>
      </c>
      <c r="K38" t="s">
        <v>91</v>
      </c>
      <c r="L38">
        <v>0.5</v>
      </c>
      <c r="M38">
        <v>0.5</v>
      </c>
      <c r="N38">
        <v>0.5</v>
      </c>
      <c r="O38">
        <v>0.5</v>
      </c>
      <c r="P38">
        <v>0.5</v>
      </c>
      <c r="Q38">
        <v>0.5</v>
      </c>
      <c r="R38">
        <v>0.5</v>
      </c>
      <c r="S38">
        <v>0.5</v>
      </c>
      <c r="T38">
        <v>0.5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0.5</v>
      </c>
      <c r="AI38">
        <v>0.5</v>
      </c>
      <c r="AJ38">
        <v>0.5</v>
      </c>
      <c r="AK38">
        <v>0.5</v>
      </c>
      <c r="AL38">
        <v>0.5</v>
      </c>
      <c r="AM38">
        <v>0.5</v>
      </c>
      <c r="AN38">
        <v>0.5</v>
      </c>
      <c r="AO38">
        <v>0.5</v>
      </c>
      <c r="AP38">
        <v>0.5</v>
      </c>
      <c r="AQ38">
        <v>0.5</v>
      </c>
      <c r="AR38">
        <v>0.5</v>
      </c>
      <c r="AS38">
        <v>0.5</v>
      </c>
      <c r="AT38">
        <v>0.5</v>
      </c>
      <c r="AU38">
        <v>0.5</v>
      </c>
      <c r="AV38">
        <v>0.5</v>
      </c>
      <c r="AW38" t="s">
        <v>91</v>
      </c>
    </row>
    <row r="39" spans="1:49" ht="13.2">
      <c r="A39" t="s">
        <v>93</v>
      </c>
      <c r="B39" t="s">
        <v>28</v>
      </c>
      <c r="C39" t="s">
        <v>224</v>
      </c>
      <c r="D39" t="s">
        <v>105</v>
      </c>
      <c r="E39" t="s">
        <v>91</v>
      </c>
      <c r="F39" t="s">
        <v>91</v>
      </c>
      <c r="G39" t="s">
        <v>90</v>
      </c>
      <c r="H39" t="s">
        <v>183</v>
      </c>
      <c r="I39" t="s">
        <v>91</v>
      </c>
      <c r="J39" t="s">
        <v>91</v>
      </c>
      <c r="K39" t="s">
        <v>91</v>
      </c>
      <c r="L39">
        <v>0.5</v>
      </c>
      <c r="M39">
        <v>0.5</v>
      </c>
      <c r="N39">
        <v>0.5</v>
      </c>
      <c r="O39">
        <v>0.5</v>
      </c>
      <c r="P39">
        <v>0.5</v>
      </c>
      <c r="Q39">
        <v>0.5</v>
      </c>
      <c r="R39">
        <v>0.5</v>
      </c>
      <c r="S39">
        <v>0.5</v>
      </c>
      <c r="T39">
        <v>0.5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0.5</v>
      </c>
      <c r="AJ39">
        <v>0.5</v>
      </c>
      <c r="AK39">
        <v>0.5</v>
      </c>
      <c r="AL39">
        <v>0.5</v>
      </c>
      <c r="AM39">
        <v>0.5</v>
      </c>
      <c r="AN39">
        <v>0.5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>
        <v>0.5</v>
      </c>
      <c r="AV39">
        <v>0.5</v>
      </c>
      <c r="AW39" t="s">
        <v>91</v>
      </c>
    </row>
    <row r="40" spans="1:49" ht="13.2">
      <c r="A40" t="s">
        <v>93</v>
      </c>
      <c r="B40" t="s">
        <v>28</v>
      </c>
      <c r="C40" t="s">
        <v>223</v>
      </c>
      <c r="D40" t="s">
        <v>105</v>
      </c>
      <c r="E40" t="s">
        <v>91</v>
      </c>
      <c r="F40" t="s">
        <v>91</v>
      </c>
      <c r="G40" t="s">
        <v>90</v>
      </c>
      <c r="H40" t="s">
        <v>183</v>
      </c>
      <c r="I40" t="s">
        <v>91</v>
      </c>
      <c r="J40" t="s">
        <v>91</v>
      </c>
      <c r="K40" t="s">
        <v>91</v>
      </c>
      <c r="L40">
        <v>1.1000000238418599</v>
      </c>
      <c r="M40">
        <v>1.1005542278289799</v>
      </c>
      <c r="N40">
        <v>1.1000000238418599</v>
      </c>
      <c r="O40">
        <v>1.0559999942779501</v>
      </c>
      <c r="P40">
        <v>1.1000000238418599</v>
      </c>
      <c r="Q40">
        <v>1.07429051399231</v>
      </c>
      <c r="R40">
        <v>1.1000000238418599</v>
      </c>
      <c r="S40">
        <v>1.1000000238418599</v>
      </c>
      <c r="T40">
        <v>1.1000000238418599</v>
      </c>
      <c r="U40">
        <v>1.1000000238418599</v>
      </c>
      <c r="V40"/>
      <c r="W40">
        <v>1.1000000238418599</v>
      </c>
      <c r="X40">
        <v>1.33683204650879</v>
      </c>
      <c r="Y40">
        <v>1</v>
      </c>
      <c r="Z40">
        <v>1.1000000238418599</v>
      </c>
      <c r="AA40">
        <v>1.1000000238418599</v>
      </c>
      <c r="AB40">
        <v>1.1000000238418599</v>
      </c>
      <c r="AC40">
        <v>1.1000000238418599</v>
      </c>
      <c r="AD40"/>
      <c r="AE40">
        <v>1.1000000238418599</v>
      </c>
      <c r="AF40">
        <v>1.1000000238418599</v>
      </c>
      <c r="AG40">
        <v>1.19993352890015</v>
      </c>
      <c r="AH40">
        <v>1.1000000238418599</v>
      </c>
      <c r="AI40">
        <v>1.1000000238418599</v>
      </c>
      <c r="AJ40">
        <v>1.1000000238418599</v>
      </c>
      <c r="AK40"/>
      <c r="AL40">
        <v>1.1000000238418599</v>
      </c>
      <c r="AM40">
        <v>1.1000000238418599</v>
      </c>
      <c r="AN40">
        <v>1.0825396776199301</v>
      </c>
      <c r="AO40">
        <v>1.1000000238418599</v>
      </c>
      <c r="AP40">
        <v>1.1000000238418599</v>
      </c>
      <c r="AQ40">
        <v>1.1000000238418599</v>
      </c>
      <c r="AR40">
        <v>1.1000000238418599</v>
      </c>
      <c r="AS40">
        <v>1.1005988121032699</v>
      </c>
      <c r="AT40">
        <v>1.1000000238418599</v>
      </c>
      <c r="AU40">
        <v>1.1000000238418599</v>
      </c>
      <c r="AV40">
        <v>1.10456550121307</v>
      </c>
      <c r="AW40" t="s">
        <v>91</v>
      </c>
    </row>
    <row r="41" spans="1:49" ht="13.2">
      <c r="A41" t="s">
        <v>93</v>
      </c>
      <c r="B41" t="s">
        <v>28</v>
      </c>
      <c r="C41" t="s">
        <v>221</v>
      </c>
      <c r="D41" t="s">
        <v>105</v>
      </c>
      <c r="E41" t="s">
        <v>91</v>
      </c>
      <c r="F41" t="s">
        <v>91</v>
      </c>
      <c r="G41" t="s">
        <v>90</v>
      </c>
      <c r="H41" t="s">
        <v>183</v>
      </c>
      <c r="I41" t="s">
        <v>91</v>
      </c>
      <c r="J41" t="s">
        <v>91</v>
      </c>
      <c r="K41" t="s">
        <v>91</v>
      </c>
      <c r="L41">
        <v>1.1000000238418599</v>
      </c>
      <c r="M41">
        <v>1.1005542278289799</v>
      </c>
      <c r="N41">
        <v>1.1000000238418599</v>
      </c>
      <c r="O41">
        <v>1.0559999942779501</v>
      </c>
      <c r="P41">
        <v>1.1000000238418599</v>
      </c>
      <c r="Q41">
        <v>1.07429051399231</v>
      </c>
      <c r="R41">
        <v>1.1000000238418599</v>
      </c>
      <c r="S41">
        <v>1.1000000238418599</v>
      </c>
      <c r="T41">
        <v>1.1000000238418599</v>
      </c>
      <c r="U41">
        <v>1.1000000238418599</v>
      </c>
      <c r="V41">
        <v>1.1000000238418599</v>
      </c>
      <c r="W41">
        <v>1.1000000238418599</v>
      </c>
      <c r="X41">
        <v>1.33683204650879</v>
      </c>
      <c r="Y41">
        <v>1</v>
      </c>
      <c r="Z41">
        <v>1.1000000238418599</v>
      </c>
      <c r="AA41">
        <v>1.1000000238418599</v>
      </c>
      <c r="AB41">
        <v>1.1000000238418599</v>
      </c>
      <c r="AC41">
        <v>1.1000000238418599</v>
      </c>
      <c r="AD41">
        <v>1.1000000238418599</v>
      </c>
      <c r="AE41">
        <v>1.1000000238418599</v>
      </c>
      <c r="AF41">
        <v>1.1000000238418599</v>
      </c>
      <c r="AG41">
        <v>1.19993352890015</v>
      </c>
      <c r="AH41">
        <v>1.1000000238418599</v>
      </c>
      <c r="AI41">
        <v>1.1000000238418599</v>
      </c>
      <c r="AJ41">
        <v>1.1000000238418599</v>
      </c>
      <c r="AK41">
        <v>1.1000000238418599</v>
      </c>
      <c r="AL41">
        <v>1.1000000238418599</v>
      </c>
      <c r="AM41">
        <v>1.1000000238418599</v>
      </c>
      <c r="AN41">
        <v>1.0825396776199301</v>
      </c>
      <c r="AO41">
        <v>1.1000000238418599</v>
      </c>
      <c r="AP41">
        <v>1.1000000238418599</v>
      </c>
      <c r="AQ41">
        <v>1.1000000238418599</v>
      </c>
      <c r="AR41">
        <v>1.1000000238418599</v>
      </c>
      <c r="AS41">
        <v>1.1005988121032699</v>
      </c>
      <c r="AT41">
        <v>1.1000000238418599</v>
      </c>
      <c r="AU41">
        <v>1.1000000238418599</v>
      </c>
      <c r="AV41">
        <v>1.10456550121307</v>
      </c>
      <c r="AW41" t="s">
        <v>91</v>
      </c>
    </row>
    <row r="42" spans="1:49" ht="13.2">
      <c r="A42" t="s">
        <v>93</v>
      </c>
      <c r="B42" t="s">
        <v>30</v>
      </c>
      <c r="C42" t="s">
        <v>92</v>
      </c>
      <c r="D42" t="s">
        <v>91</v>
      </c>
      <c r="E42" t="s">
        <v>220</v>
      </c>
      <c r="F42" t="s">
        <v>219</v>
      </c>
      <c r="G42" t="s">
        <v>90</v>
      </c>
      <c r="H42" t="s">
        <v>91</v>
      </c>
      <c r="I42" t="s">
        <v>91</v>
      </c>
      <c r="J42" t="s">
        <v>91</v>
      </c>
      <c r="K42" t="s">
        <v>91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>
        <v>16.318000000000001</v>
      </c>
      <c r="AT42"/>
      <c r="AU42"/>
      <c r="AV42"/>
      <c r="AW42" t="s">
        <v>91</v>
      </c>
    </row>
    <row r="43" spans="1:49" ht="13.2">
      <c r="A43" t="s">
        <v>93</v>
      </c>
      <c r="B43" t="s">
        <v>30</v>
      </c>
      <c r="C43" t="s">
        <v>89</v>
      </c>
      <c r="D43" t="s">
        <v>91</v>
      </c>
      <c r="E43" t="s">
        <v>220</v>
      </c>
      <c r="F43" t="s">
        <v>219</v>
      </c>
      <c r="G43" t="s">
        <v>90</v>
      </c>
      <c r="H43" t="s">
        <v>91</v>
      </c>
      <c r="I43" t="s">
        <v>91</v>
      </c>
      <c r="J43" t="s">
        <v>91</v>
      </c>
      <c r="K43" t="s">
        <v>91</v>
      </c>
      <c r="L43"/>
      <c r="M43"/>
      <c r="N43"/>
      <c r="O43"/>
      <c r="P43"/>
      <c r="Q43">
        <v>59.1877</v>
      </c>
      <c r="R43"/>
      <c r="S43"/>
      <c r="T43">
        <v>51.941800000000001</v>
      </c>
      <c r="U43"/>
      <c r="V43"/>
      <c r="W43"/>
      <c r="X43"/>
      <c r="Y43"/>
      <c r="Z43"/>
      <c r="AA43"/>
      <c r="AB43"/>
      <c r="AC43"/>
      <c r="AD43"/>
      <c r="AE43">
        <v>23.687000000000001</v>
      </c>
      <c r="AF43"/>
      <c r="AG43"/>
      <c r="AH43"/>
      <c r="AI43"/>
      <c r="AJ43"/>
      <c r="AK43"/>
      <c r="AL43"/>
      <c r="AM43">
        <v>29.007899999999999</v>
      </c>
      <c r="AN43"/>
      <c r="AO43"/>
      <c r="AP43"/>
      <c r="AQ43"/>
      <c r="AR43">
        <v>23.687000000000001</v>
      </c>
      <c r="AS43">
        <v>26.069299999999998</v>
      </c>
      <c r="AT43"/>
      <c r="AU43"/>
      <c r="AV43"/>
      <c r="AW43" t="s">
        <v>91</v>
      </c>
    </row>
    <row r="44" spans="1:49" ht="13.2">
      <c r="A44" t="s">
        <v>93</v>
      </c>
      <c r="B44" t="s">
        <v>30</v>
      </c>
      <c r="C44" t="s">
        <v>56</v>
      </c>
      <c r="D44" t="s">
        <v>91</v>
      </c>
      <c r="E44" t="s">
        <v>220</v>
      </c>
      <c r="F44" t="s">
        <v>219</v>
      </c>
      <c r="G44" t="s">
        <v>90</v>
      </c>
      <c r="H44" t="s">
        <v>91</v>
      </c>
      <c r="I44" t="s">
        <v>91</v>
      </c>
      <c r="J44" t="s">
        <v>91</v>
      </c>
      <c r="K44" t="s">
        <v>91</v>
      </c>
      <c r="L44">
        <v>90.563299999999998</v>
      </c>
      <c r="M44">
        <v>137.91999999999999</v>
      </c>
      <c r="N44">
        <v>82.638000000000005</v>
      </c>
      <c r="O44">
        <v>61.850499999999997</v>
      </c>
      <c r="P44">
        <v>27.199200000000001</v>
      </c>
      <c r="Q44">
        <v>55.678800000000003</v>
      </c>
      <c r="R44">
        <v>43.694899999999997</v>
      </c>
      <c r="S44">
        <v>50.453299999999999</v>
      </c>
      <c r="T44">
        <v>80.075500000000005</v>
      </c>
      <c r="U44">
        <v>37.301299999999998</v>
      </c>
      <c r="V44">
        <v>45.694899999999997</v>
      </c>
      <c r="W44">
        <v>90.563299999999998</v>
      </c>
      <c r="X44">
        <v>79.589699999999993</v>
      </c>
      <c r="Y44">
        <v>59.858400000000003</v>
      </c>
      <c r="Z44">
        <v>44.487099999999998</v>
      </c>
      <c r="AA44">
        <v>82.638000000000005</v>
      </c>
      <c r="AB44">
        <v>61.781700000000001</v>
      </c>
      <c r="AC44">
        <v>54.327599999999997</v>
      </c>
      <c r="AD44">
        <v>46.338999999999999</v>
      </c>
      <c r="AE44">
        <v>42.782899999999998</v>
      </c>
      <c r="AF44">
        <v>82.638000000000005</v>
      </c>
      <c r="AG44">
        <v>15.8658</v>
      </c>
      <c r="AH44">
        <v>192.143</v>
      </c>
      <c r="AI44">
        <v>89.929000000000002</v>
      </c>
      <c r="AJ44">
        <v>90.563299999999998</v>
      </c>
      <c r="AK44">
        <v>21.8232</v>
      </c>
      <c r="AL44">
        <v>30.152699999999999</v>
      </c>
      <c r="AM44">
        <v>65.260599999999997</v>
      </c>
      <c r="AN44">
        <v>63.827599999999997</v>
      </c>
      <c r="AO44">
        <v>33.9756</v>
      </c>
      <c r="AP44">
        <v>37.721600000000002</v>
      </c>
      <c r="AQ44">
        <v>28.950700000000001</v>
      </c>
      <c r="AR44">
        <v>82.638000000000005</v>
      </c>
      <c r="AS44">
        <v>110.72</v>
      </c>
      <c r="AT44">
        <v>115.751</v>
      </c>
      <c r="AU44">
        <v>67.526399999999995</v>
      </c>
      <c r="AV44">
        <v>65.053899999999999</v>
      </c>
      <c r="AW44" t="s">
        <v>91</v>
      </c>
    </row>
    <row r="45" spans="1:49" ht="13.2">
      <c r="A45" t="s">
        <v>93</v>
      </c>
      <c r="B45" t="s">
        <v>30</v>
      </c>
      <c r="C45" t="s">
        <v>55</v>
      </c>
      <c r="D45" t="s">
        <v>91</v>
      </c>
      <c r="E45" t="s">
        <v>220</v>
      </c>
      <c r="F45" t="s">
        <v>219</v>
      </c>
      <c r="G45" t="s">
        <v>90</v>
      </c>
      <c r="H45" t="s">
        <v>91</v>
      </c>
      <c r="I45" t="s">
        <v>91</v>
      </c>
      <c r="J45" t="s">
        <v>91</v>
      </c>
      <c r="K45" t="s">
        <v>91</v>
      </c>
      <c r="L45">
        <v>69.344200000000001</v>
      </c>
      <c r="M45">
        <v>103.075</v>
      </c>
      <c r="N45">
        <v>78.566500000000005</v>
      </c>
      <c r="O45">
        <v>68.863600000000005</v>
      </c>
      <c r="P45">
        <v>23.736799999999999</v>
      </c>
      <c r="Q45">
        <v>56.004600000000003</v>
      </c>
      <c r="R45">
        <v>36.5657</v>
      </c>
      <c r="S45">
        <v>40.363799999999998</v>
      </c>
      <c r="T45">
        <v>35.722799999999999</v>
      </c>
      <c r="U45">
        <v>99.782899999999998</v>
      </c>
      <c r="V45"/>
      <c r="W45">
        <v>69.344200000000001</v>
      </c>
      <c r="X45">
        <v>31.154800000000002</v>
      </c>
      <c r="Y45">
        <v>60.418599999999998</v>
      </c>
      <c r="Z45">
        <v>44.388800000000003</v>
      </c>
      <c r="AA45">
        <v>78.566500000000005</v>
      </c>
      <c r="AB45">
        <v>48.915199999999999</v>
      </c>
      <c r="AC45">
        <v>53.386299999999999</v>
      </c>
      <c r="AD45">
        <v>46.338999999999999</v>
      </c>
      <c r="AE45">
        <v>43.805700000000002</v>
      </c>
      <c r="AF45">
        <v>78.566500000000005</v>
      </c>
      <c r="AG45">
        <v>38.915300000000002</v>
      </c>
      <c r="AH45">
        <v>192.048</v>
      </c>
      <c r="AI45">
        <v>99.701899999999995</v>
      </c>
      <c r="AJ45">
        <v>69.344200000000001</v>
      </c>
      <c r="AK45">
        <v>22.366299999999999</v>
      </c>
      <c r="AL45">
        <v>10.2369</v>
      </c>
      <c r="AM45">
        <v>65.427599999999998</v>
      </c>
      <c r="AN45">
        <v>63.8277</v>
      </c>
      <c r="AO45">
        <v>33.184199999999997</v>
      </c>
      <c r="AP45">
        <v>31.991499999999998</v>
      </c>
      <c r="AQ45">
        <v>26.405999999999999</v>
      </c>
      <c r="AR45">
        <v>78.566500000000005</v>
      </c>
      <c r="AS45">
        <v>104.86799999999999</v>
      </c>
      <c r="AT45">
        <v>19.151299999999999</v>
      </c>
      <c r="AU45">
        <v>67.831000000000003</v>
      </c>
      <c r="AV45">
        <v>55.869999999999997</v>
      </c>
      <c r="AW45" t="s">
        <v>91</v>
      </c>
    </row>
    <row r="46" spans="1:49" ht="13.2">
      <c r="A46" t="s">
        <v>93</v>
      </c>
      <c r="B46" t="s">
        <v>30</v>
      </c>
      <c r="C46" t="s">
        <v>76</v>
      </c>
      <c r="D46" t="s">
        <v>91</v>
      </c>
      <c r="E46" t="s">
        <v>220</v>
      </c>
      <c r="F46" t="s">
        <v>219</v>
      </c>
      <c r="G46" t="s">
        <v>90</v>
      </c>
      <c r="H46" t="s">
        <v>91</v>
      </c>
      <c r="I46" t="s">
        <v>91</v>
      </c>
      <c r="J46" t="s">
        <v>91</v>
      </c>
      <c r="K46" t="s">
        <v>91</v>
      </c>
      <c r="L46"/>
      <c r="M46"/>
      <c r="N46"/>
      <c r="O46"/>
      <c r="P46"/>
      <c r="Q46"/>
      <c r="R46"/>
      <c r="S46">
        <v>41.374499999999998</v>
      </c>
      <c r="T46"/>
      <c r="U46">
        <v>10.2624</v>
      </c>
      <c r="V46"/>
      <c r="W46"/>
      <c r="X46"/>
      <c r="Y46"/>
      <c r="Z46"/>
      <c r="AA46"/>
      <c r="AB46"/>
      <c r="AC46"/>
      <c r="AD46">
        <v>45.081299999999999</v>
      </c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>
        <v>59.937399999999997</v>
      </c>
      <c r="AW46" t="s">
        <v>91</v>
      </c>
    </row>
    <row r="47" spans="1:49" ht="13.2">
      <c r="A47" t="s">
        <v>93</v>
      </c>
      <c r="B47" t="s">
        <v>30</v>
      </c>
      <c r="C47" t="s">
        <v>75</v>
      </c>
      <c r="D47" t="s">
        <v>91</v>
      </c>
      <c r="E47" t="s">
        <v>220</v>
      </c>
      <c r="F47" t="s">
        <v>219</v>
      </c>
      <c r="G47" t="s">
        <v>90</v>
      </c>
      <c r="H47" t="s">
        <v>91</v>
      </c>
      <c r="I47" t="s">
        <v>91</v>
      </c>
      <c r="J47" t="s">
        <v>91</v>
      </c>
      <c r="K47" t="s">
        <v>91</v>
      </c>
      <c r="L47"/>
      <c r="M47"/>
      <c r="N47"/>
      <c r="O47"/>
      <c r="P47"/>
      <c r="Q47"/>
      <c r="R47"/>
      <c r="S47">
        <v>28.659400000000002</v>
      </c>
      <c r="T47"/>
      <c r="U47">
        <v>36.412500000000001</v>
      </c>
      <c r="V47"/>
      <c r="W47"/>
      <c r="X47"/>
      <c r="Y47"/>
      <c r="Z47"/>
      <c r="AA47"/>
      <c r="AB47"/>
      <c r="AC47"/>
      <c r="AD47">
        <v>45.081299999999999</v>
      </c>
      <c r="AE47"/>
      <c r="AF47"/>
      <c r="AG47"/>
      <c r="AH47"/>
      <c r="AI47"/>
      <c r="AJ47"/>
      <c r="AK47">
        <v>8.9095899999999997</v>
      </c>
      <c r="AL47"/>
      <c r="AM47">
        <v>41.344999999999999</v>
      </c>
      <c r="AN47"/>
      <c r="AO47">
        <v>14.523099999999999</v>
      </c>
      <c r="AP47">
        <v>28.583600000000001</v>
      </c>
      <c r="AQ47"/>
      <c r="AR47"/>
      <c r="AS47"/>
      <c r="AT47"/>
      <c r="AU47"/>
      <c r="AV47">
        <v>47.712400000000002</v>
      </c>
      <c r="AW47" t="s">
        <v>91</v>
      </c>
    </row>
    <row r="48" spans="1:49" ht="13.2">
      <c r="A48" t="s">
        <v>93</v>
      </c>
      <c r="B48" t="s">
        <v>30</v>
      </c>
      <c r="C48" t="s">
        <v>54</v>
      </c>
      <c r="D48" t="s">
        <v>91</v>
      </c>
      <c r="E48" t="s">
        <v>220</v>
      </c>
      <c r="F48" t="s">
        <v>219</v>
      </c>
      <c r="G48" t="s">
        <v>90</v>
      </c>
      <c r="H48" t="s">
        <v>91</v>
      </c>
      <c r="I48" t="s">
        <v>91</v>
      </c>
      <c r="J48" t="s">
        <v>91</v>
      </c>
      <c r="K48" t="s">
        <v>91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>
        <v>148.262</v>
      </c>
      <c r="AW48" t="s">
        <v>91</v>
      </c>
    </row>
    <row r="49" spans="1:49" ht="13.2">
      <c r="A49" t="s">
        <v>93</v>
      </c>
      <c r="B49" t="s">
        <v>30</v>
      </c>
      <c r="C49" t="s">
        <v>53</v>
      </c>
      <c r="D49" t="s">
        <v>91</v>
      </c>
      <c r="E49" t="s">
        <v>220</v>
      </c>
      <c r="F49" t="s">
        <v>219</v>
      </c>
      <c r="G49" t="s">
        <v>90</v>
      </c>
      <c r="H49" t="s">
        <v>91</v>
      </c>
      <c r="I49" t="s">
        <v>91</v>
      </c>
      <c r="J49" t="s">
        <v>91</v>
      </c>
      <c r="K49" t="s">
        <v>91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46.743299999999998</v>
      </c>
      <c r="AJ49"/>
      <c r="AK49"/>
      <c r="AL49"/>
      <c r="AM49">
        <v>47.918799999999997</v>
      </c>
      <c r="AN49"/>
      <c r="AO49">
        <v>24.877700000000001</v>
      </c>
      <c r="AP49">
        <v>33.058599999999998</v>
      </c>
      <c r="AQ49"/>
      <c r="AR49"/>
      <c r="AS49"/>
      <c r="AT49"/>
      <c r="AU49"/>
      <c r="AV49">
        <v>119.137</v>
      </c>
      <c r="AW49" t="s">
        <v>91</v>
      </c>
    </row>
    <row r="50" spans="1:49" ht="13.2">
      <c r="A50" t="s">
        <v>93</v>
      </c>
      <c r="B50" t="s">
        <v>30</v>
      </c>
      <c r="C50" t="s">
        <v>57</v>
      </c>
      <c r="D50" t="s">
        <v>91</v>
      </c>
      <c r="E50" t="s">
        <v>220</v>
      </c>
      <c r="F50" t="s">
        <v>219</v>
      </c>
      <c r="G50" t="s">
        <v>90</v>
      </c>
      <c r="H50" t="s">
        <v>91</v>
      </c>
      <c r="I50" t="s">
        <v>91</v>
      </c>
      <c r="J50" t="s">
        <v>91</v>
      </c>
      <c r="K50" t="s">
        <v>91</v>
      </c>
      <c r="L50"/>
      <c r="M50"/>
      <c r="N50"/>
      <c r="O50"/>
      <c r="P50"/>
      <c r="Q50">
        <v>16.162500000000001</v>
      </c>
      <c r="R50"/>
      <c r="S50"/>
      <c r="T50">
        <v>30.598700000000001</v>
      </c>
      <c r="U50"/>
      <c r="V50"/>
      <c r="W50"/>
      <c r="X50"/>
      <c r="Y50"/>
      <c r="Z50"/>
      <c r="AA50"/>
      <c r="AB50"/>
      <c r="AC50"/>
      <c r="AD50"/>
      <c r="AE50">
        <v>12.0975</v>
      </c>
      <c r="AF50"/>
      <c r="AG50"/>
      <c r="AH50"/>
      <c r="AI50"/>
      <c r="AJ50"/>
      <c r="AK50"/>
      <c r="AL50"/>
      <c r="AM50">
        <v>6.6436000000000002</v>
      </c>
      <c r="AN50"/>
      <c r="AO50"/>
      <c r="AP50"/>
      <c r="AQ50"/>
      <c r="AR50">
        <v>12.0975</v>
      </c>
      <c r="AS50">
        <v>5.2009800000000004</v>
      </c>
      <c r="AT50"/>
      <c r="AU50"/>
      <c r="AV50"/>
      <c r="AW50" t="s">
        <v>91</v>
      </c>
    </row>
    <row r="51" spans="1:49" ht="13.2">
      <c r="A51" t="s">
        <v>93</v>
      </c>
      <c r="B51" t="s">
        <v>30</v>
      </c>
      <c r="C51" t="s">
        <v>58</v>
      </c>
      <c r="D51" t="s">
        <v>91</v>
      </c>
      <c r="E51" t="s">
        <v>220</v>
      </c>
      <c r="F51" t="s">
        <v>219</v>
      </c>
      <c r="G51" t="s">
        <v>90</v>
      </c>
      <c r="H51" t="s">
        <v>91</v>
      </c>
      <c r="I51" t="s">
        <v>91</v>
      </c>
      <c r="J51" t="s">
        <v>91</v>
      </c>
      <c r="K51" t="s">
        <v>91</v>
      </c>
      <c r="L51"/>
      <c r="M51"/>
      <c r="N51"/>
      <c r="O51"/>
      <c r="P51"/>
      <c r="Q51">
        <v>16.162500000000001</v>
      </c>
      <c r="R51"/>
      <c r="S51"/>
      <c r="T51">
        <v>29.8109</v>
      </c>
      <c r="U51"/>
      <c r="V51"/>
      <c r="W51"/>
      <c r="X51"/>
      <c r="Y51"/>
      <c r="Z51"/>
      <c r="AA51"/>
      <c r="AB51"/>
      <c r="AC51"/>
      <c r="AD51"/>
      <c r="AE51">
        <v>12.3414</v>
      </c>
      <c r="AF51"/>
      <c r="AG51"/>
      <c r="AH51"/>
      <c r="AI51"/>
      <c r="AJ51"/>
      <c r="AK51"/>
      <c r="AL51"/>
      <c r="AM51">
        <v>7.1553800000000001</v>
      </c>
      <c r="AN51"/>
      <c r="AO51"/>
      <c r="AP51"/>
      <c r="AQ51"/>
      <c r="AR51">
        <v>12.3414</v>
      </c>
      <c r="AS51">
        <v>5.2818100000000001</v>
      </c>
      <c r="AT51"/>
      <c r="AU51"/>
      <c r="AV51"/>
      <c r="AW51" t="s">
        <v>91</v>
      </c>
    </row>
    <row r="52" spans="1:49" ht="13.2">
      <c r="A52" t="s">
        <v>93</v>
      </c>
      <c r="B52" t="s">
        <v>30</v>
      </c>
      <c r="C52" t="s">
        <v>59</v>
      </c>
      <c r="D52" t="s">
        <v>91</v>
      </c>
      <c r="E52" t="s">
        <v>220</v>
      </c>
      <c r="F52" t="s">
        <v>219</v>
      </c>
      <c r="G52" t="s">
        <v>90</v>
      </c>
      <c r="H52" t="s">
        <v>91</v>
      </c>
      <c r="I52" t="s">
        <v>91</v>
      </c>
      <c r="J52" t="s">
        <v>91</v>
      </c>
      <c r="K52" t="s">
        <v>91</v>
      </c>
      <c r="L52"/>
      <c r="M52"/>
      <c r="N52"/>
      <c r="O52"/>
      <c r="P52"/>
      <c r="Q52">
        <v>16.162500000000001</v>
      </c>
      <c r="R52"/>
      <c r="S52"/>
      <c r="T52">
        <v>29.791899999999998</v>
      </c>
      <c r="U52"/>
      <c r="V52"/>
      <c r="W52"/>
      <c r="X52"/>
      <c r="Y52"/>
      <c r="Z52"/>
      <c r="AA52"/>
      <c r="AB52"/>
      <c r="AC52"/>
      <c r="AD52"/>
      <c r="AE52">
        <v>15.1212</v>
      </c>
      <c r="AF52"/>
      <c r="AG52"/>
      <c r="AH52"/>
      <c r="AI52"/>
      <c r="AJ52"/>
      <c r="AK52"/>
      <c r="AL52"/>
      <c r="AM52">
        <v>6.6436000000000002</v>
      </c>
      <c r="AN52"/>
      <c r="AO52"/>
      <c r="AP52"/>
      <c r="AQ52"/>
      <c r="AR52">
        <v>15.1212</v>
      </c>
      <c r="AS52">
        <v>5.2904600000000004</v>
      </c>
      <c r="AT52"/>
      <c r="AU52"/>
      <c r="AV52"/>
      <c r="AW52" t="s">
        <v>91</v>
      </c>
    </row>
    <row r="53" spans="1:49" ht="13.2">
      <c r="A53" t="s">
        <v>93</v>
      </c>
      <c r="B53" t="s">
        <v>30</v>
      </c>
      <c r="C53" t="s">
        <v>60</v>
      </c>
      <c r="D53" t="s">
        <v>91</v>
      </c>
      <c r="E53" t="s">
        <v>220</v>
      </c>
      <c r="F53" t="s">
        <v>219</v>
      </c>
      <c r="G53" t="s">
        <v>90</v>
      </c>
      <c r="H53" t="s">
        <v>91</v>
      </c>
      <c r="I53" t="s">
        <v>91</v>
      </c>
      <c r="J53" t="s">
        <v>91</v>
      </c>
      <c r="K53" t="s">
        <v>91</v>
      </c>
      <c r="L53"/>
      <c r="M53"/>
      <c r="N53"/>
      <c r="O53"/>
      <c r="P53"/>
      <c r="Q53">
        <v>16.162500000000001</v>
      </c>
      <c r="R53"/>
      <c r="S53"/>
      <c r="T53">
        <v>30.252400000000002</v>
      </c>
      <c r="U53"/>
      <c r="V53"/>
      <c r="W53"/>
      <c r="X53"/>
      <c r="Y53"/>
      <c r="Z53"/>
      <c r="AA53"/>
      <c r="AB53"/>
      <c r="AC53"/>
      <c r="AD53"/>
      <c r="AE53">
        <v>12.7515</v>
      </c>
      <c r="AF53"/>
      <c r="AG53"/>
      <c r="AH53"/>
      <c r="AI53"/>
      <c r="AJ53"/>
      <c r="AK53"/>
      <c r="AL53"/>
      <c r="AM53">
        <v>8.0601900000000004</v>
      </c>
      <c r="AN53"/>
      <c r="AO53"/>
      <c r="AP53"/>
      <c r="AQ53"/>
      <c r="AR53">
        <v>12.7515</v>
      </c>
      <c r="AS53">
        <v>5.4882900000000001</v>
      </c>
      <c r="AT53"/>
      <c r="AU53"/>
      <c r="AV53"/>
      <c r="AW53" t="s">
        <v>91</v>
      </c>
    </row>
    <row r="54" spans="1:49" ht="13.2">
      <c r="A54" t="s">
        <v>93</v>
      </c>
      <c r="B54" t="s">
        <v>30</v>
      </c>
      <c r="C54" t="s">
        <v>61</v>
      </c>
      <c r="D54" t="s">
        <v>91</v>
      </c>
      <c r="E54" t="s">
        <v>220</v>
      </c>
      <c r="F54" t="s">
        <v>219</v>
      </c>
      <c r="G54" t="s">
        <v>90</v>
      </c>
      <c r="H54" t="s">
        <v>91</v>
      </c>
      <c r="I54" t="s">
        <v>91</v>
      </c>
      <c r="J54" t="s">
        <v>91</v>
      </c>
      <c r="K54" t="s">
        <v>91</v>
      </c>
      <c r="L54">
        <v>23.029800000000002</v>
      </c>
      <c r="M54">
        <v>28.644600000000001</v>
      </c>
      <c r="N54">
        <v>20.534800000000001</v>
      </c>
      <c r="O54">
        <v>22.2029</v>
      </c>
      <c r="P54">
        <v>11.162800000000001</v>
      </c>
      <c r="Q54">
        <v>19.091899999999999</v>
      </c>
      <c r="R54">
        <v>17.9343</v>
      </c>
      <c r="S54">
        <v>20.240100000000002</v>
      </c>
      <c r="T54">
        <v>24.641500000000001</v>
      </c>
      <c r="U54">
        <v>32.213500000000003</v>
      </c>
      <c r="V54">
        <v>22.435199999999998</v>
      </c>
      <c r="W54">
        <v>23.029800000000002</v>
      </c>
      <c r="X54">
        <v>19.0031</v>
      </c>
      <c r="Y54">
        <v>23.7821</v>
      </c>
      <c r="Z54">
        <v>18.8005</v>
      </c>
      <c r="AA54">
        <v>20.534800000000001</v>
      </c>
      <c r="AB54">
        <v>25.579000000000001</v>
      </c>
      <c r="AC54">
        <v>22.860800000000001</v>
      </c>
      <c r="AD54">
        <v>16.421800000000001</v>
      </c>
      <c r="AE54">
        <v>16.1706</v>
      </c>
      <c r="AF54">
        <v>20.534800000000001</v>
      </c>
      <c r="AG54">
        <v>7.6256599999999999</v>
      </c>
      <c r="AH54">
        <v>67.863</v>
      </c>
      <c r="AI54">
        <v>24.470099999999999</v>
      </c>
      <c r="AJ54">
        <v>23.029800000000002</v>
      </c>
      <c r="AK54">
        <v>30.495000000000001</v>
      </c>
      <c r="AL54">
        <v>3.3300399999999999</v>
      </c>
      <c r="AM54">
        <v>33.462699999999998</v>
      </c>
      <c r="AN54">
        <v>23.327100000000002</v>
      </c>
      <c r="AO54">
        <v>13.8141</v>
      </c>
      <c r="AP54">
        <v>19.518599999999999</v>
      </c>
      <c r="AQ54">
        <v>10.7438</v>
      </c>
      <c r="AR54">
        <v>20.534800000000001</v>
      </c>
      <c r="AS54">
        <v>39.236400000000003</v>
      </c>
      <c r="AT54">
        <v>24.852499999999999</v>
      </c>
      <c r="AU54">
        <v>11.883900000000001</v>
      </c>
      <c r="AV54">
        <v>19.110399999999998</v>
      </c>
      <c r="AW54" t="s">
        <v>91</v>
      </c>
    </row>
    <row r="55" spans="1:49" ht="13.2">
      <c r="A55" t="s">
        <v>93</v>
      </c>
      <c r="B55" t="s">
        <v>30</v>
      </c>
      <c r="C55" t="s">
        <v>62</v>
      </c>
      <c r="D55" t="s">
        <v>91</v>
      </c>
      <c r="E55" t="s">
        <v>220</v>
      </c>
      <c r="F55" t="s">
        <v>219</v>
      </c>
      <c r="G55" t="s">
        <v>90</v>
      </c>
      <c r="H55" t="s">
        <v>91</v>
      </c>
      <c r="I55" t="s">
        <v>91</v>
      </c>
      <c r="J55" t="s">
        <v>91</v>
      </c>
      <c r="K55" t="s">
        <v>91</v>
      </c>
      <c r="L55">
        <v>19.682600000000001</v>
      </c>
      <c r="M55">
        <v>26.341100000000001</v>
      </c>
      <c r="N55">
        <v>18.903300000000002</v>
      </c>
      <c r="O55">
        <v>23.735900000000001</v>
      </c>
      <c r="P55">
        <v>12.522500000000001</v>
      </c>
      <c r="Q55">
        <v>17.0763</v>
      </c>
      <c r="R55">
        <v>13.663600000000001</v>
      </c>
      <c r="S55">
        <v>18.413399999999999</v>
      </c>
      <c r="T55">
        <v>24.1191</v>
      </c>
      <c r="U55">
        <v>30.905899999999999</v>
      </c>
      <c r="V55">
        <v>19.766500000000001</v>
      </c>
      <c r="W55">
        <v>19.682600000000001</v>
      </c>
      <c r="X55">
        <v>17.291699999999999</v>
      </c>
      <c r="Y55">
        <v>23.4268</v>
      </c>
      <c r="Z55">
        <v>17.762599999999999</v>
      </c>
      <c r="AA55">
        <v>18.903300000000002</v>
      </c>
      <c r="AB55">
        <v>23.867100000000001</v>
      </c>
      <c r="AC55">
        <v>22.054200000000002</v>
      </c>
      <c r="AD55">
        <v>18.053799999999999</v>
      </c>
      <c r="AE55">
        <v>15.0969</v>
      </c>
      <c r="AF55">
        <v>18.903300000000002</v>
      </c>
      <c r="AG55">
        <v>5.9673100000000003</v>
      </c>
      <c r="AH55">
        <v>69.064599999999999</v>
      </c>
      <c r="AI55">
        <v>20.394500000000001</v>
      </c>
      <c r="AJ55">
        <v>19.682600000000001</v>
      </c>
      <c r="AK55">
        <v>27.66</v>
      </c>
      <c r="AL55">
        <v>3.5101399999999998</v>
      </c>
      <c r="AM55">
        <v>33.128900000000002</v>
      </c>
      <c r="AN55">
        <v>23.597799999999999</v>
      </c>
      <c r="AO55">
        <v>14.1127</v>
      </c>
      <c r="AP55">
        <v>19.518599999999999</v>
      </c>
      <c r="AQ55">
        <v>9.1672700000000003</v>
      </c>
      <c r="AR55">
        <v>18.903300000000002</v>
      </c>
      <c r="AS55">
        <v>35.022100000000002</v>
      </c>
      <c r="AT55">
        <v>24.9801</v>
      </c>
      <c r="AU55">
        <v>11.8965</v>
      </c>
      <c r="AV55">
        <v>17.5383</v>
      </c>
      <c r="AW55" t="s">
        <v>91</v>
      </c>
    </row>
    <row r="56" spans="1:49" ht="13.2">
      <c r="A56" t="s">
        <v>93</v>
      </c>
      <c r="B56" t="s">
        <v>30</v>
      </c>
      <c r="C56" t="s">
        <v>63</v>
      </c>
      <c r="D56" t="s">
        <v>91</v>
      </c>
      <c r="E56" t="s">
        <v>220</v>
      </c>
      <c r="F56" t="s">
        <v>219</v>
      </c>
      <c r="G56" t="s">
        <v>90</v>
      </c>
      <c r="H56" t="s">
        <v>91</v>
      </c>
      <c r="I56" t="s">
        <v>91</v>
      </c>
      <c r="J56" t="s">
        <v>91</v>
      </c>
      <c r="K56" t="s">
        <v>91</v>
      </c>
      <c r="L56">
        <v>13.2971</v>
      </c>
      <c r="M56">
        <v>26.522500000000001</v>
      </c>
      <c r="N56">
        <v>18.903300000000002</v>
      </c>
      <c r="O56">
        <v>21.687000000000001</v>
      </c>
      <c r="P56">
        <v>12.5122</v>
      </c>
      <c r="Q56">
        <v>17.064800000000002</v>
      </c>
      <c r="R56">
        <v>12.8825</v>
      </c>
      <c r="S56">
        <v>18.413399999999999</v>
      </c>
      <c r="T56">
        <v>24.033000000000001</v>
      </c>
      <c r="U56">
        <v>29.329999999999998</v>
      </c>
      <c r="V56">
        <v>21.111899999999999</v>
      </c>
      <c r="W56">
        <v>13.2971</v>
      </c>
      <c r="X56">
        <v>17.0657</v>
      </c>
      <c r="Y56">
        <v>24.872199999999999</v>
      </c>
      <c r="Z56">
        <v>17.9041</v>
      </c>
      <c r="AA56">
        <v>18.903300000000002</v>
      </c>
      <c r="AB56">
        <v>23.867100000000001</v>
      </c>
      <c r="AC56">
        <v>22.225899999999999</v>
      </c>
      <c r="AD56">
        <v>17.6751</v>
      </c>
      <c r="AE56">
        <v>16.965900000000001</v>
      </c>
      <c r="AF56">
        <v>18.903300000000002</v>
      </c>
      <c r="AG56">
        <v>5.9673100000000003</v>
      </c>
      <c r="AH56">
        <v>68.787400000000005</v>
      </c>
      <c r="AI56">
        <v>23.053899999999999</v>
      </c>
      <c r="AJ56">
        <v>13.2971</v>
      </c>
      <c r="AK56">
        <v>25.8461</v>
      </c>
      <c r="AL56">
        <v>3.6430799999999999</v>
      </c>
      <c r="AM56">
        <v>32.542200000000001</v>
      </c>
      <c r="AN56">
        <v>23.7897</v>
      </c>
      <c r="AO56">
        <v>13.330399999999999</v>
      </c>
      <c r="AP56">
        <v>19.518599999999999</v>
      </c>
      <c r="AQ56">
        <v>9.1672700000000003</v>
      </c>
      <c r="AR56">
        <v>18.903300000000002</v>
      </c>
      <c r="AS56">
        <v>34.8127</v>
      </c>
      <c r="AT56">
        <v>23.4068</v>
      </c>
      <c r="AU56">
        <v>11.8965</v>
      </c>
      <c r="AV56">
        <v>14.9747</v>
      </c>
      <c r="AW56" t="s">
        <v>91</v>
      </c>
    </row>
    <row r="57" spans="1:49" ht="13.2">
      <c r="A57" t="s">
        <v>93</v>
      </c>
      <c r="B57" t="s">
        <v>30</v>
      </c>
      <c r="C57" t="s">
        <v>64</v>
      </c>
      <c r="D57" t="s">
        <v>91</v>
      </c>
      <c r="E57" t="s">
        <v>220</v>
      </c>
      <c r="F57" t="s">
        <v>219</v>
      </c>
      <c r="G57" t="s">
        <v>90</v>
      </c>
      <c r="H57" t="s">
        <v>91</v>
      </c>
      <c r="I57" t="s">
        <v>91</v>
      </c>
      <c r="J57" t="s">
        <v>91</v>
      </c>
      <c r="K57" t="s">
        <v>91</v>
      </c>
      <c r="L57">
        <v>20.250599999999999</v>
      </c>
      <c r="M57">
        <v>26.933800000000002</v>
      </c>
      <c r="N57">
        <v>19.439499999999999</v>
      </c>
      <c r="O57">
        <v>22.4619</v>
      </c>
      <c r="P57">
        <v>6.6320800000000002</v>
      </c>
      <c r="Q57">
        <v>18.041</v>
      </c>
      <c r="R57">
        <v>13.648099999999999</v>
      </c>
      <c r="S57">
        <v>18.413399999999999</v>
      </c>
      <c r="T57">
        <v>24.665199999999999</v>
      </c>
      <c r="U57">
        <v>29.5565</v>
      </c>
      <c r="V57">
        <v>20.333600000000001</v>
      </c>
      <c r="W57">
        <v>20.250599999999999</v>
      </c>
      <c r="X57">
        <v>17.088699999999999</v>
      </c>
      <c r="Y57">
        <v>22.436199999999999</v>
      </c>
      <c r="Z57">
        <v>18.046800000000001</v>
      </c>
      <c r="AA57">
        <v>19.439499999999999</v>
      </c>
      <c r="AB57">
        <v>23.867100000000001</v>
      </c>
      <c r="AC57">
        <v>22.016400000000001</v>
      </c>
      <c r="AD57">
        <v>19.264700000000001</v>
      </c>
      <c r="AE57">
        <v>15.4991</v>
      </c>
      <c r="AF57">
        <v>19.439499999999999</v>
      </c>
      <c r="AG57">
        <v>5.9673100000000003</v>
      </c>
      <c r="AH57">
        <v>73.224999999999994</v>
      </c>
      <c r="AI57">
        <v>25.421199999999999</v>
      </c>
      <c r="AJ57">
        <v>20.250599999999999</v>
      </c>
      <c r="AK57">
        <v>27.66</v>
      </c>
      <c r="AL57">
        <v>3.5163099999999998</v>
      </c>
      <c r="AM57">
        <v>32.637300000000003</v>
      </c>
      <c r="AN57">
        <v>23.148</v>
      </c>
      <c r="AO57">
        <v>13.9253</v>
      </c>
      <c r="AP57">
        <v>19.518599999999999</v>
      </c>
      <c r="AQ57">
        <v>9.1672700000000003</v>
      </c>
      <c r="AR57">
        <v>19.439499999999999</v>
      </c>
      <c r="AS57">
        <v>36.3048</v>
      </c>
      <c r="AT57">
        <v>25.445900000000002</v>
      </c>
      <c r="AU57">
        <v>11.8965</v>
      </c>
      <c r="AV57">
        <v>18.377199999999998</v>
      </c>
      <c r="AW57" t="s">
        <v>91</v>
      </c>
    </row>
    <row r="58" spans="1:49" ht="13.2">
      <c r="A58" t="s">
        <v>93</v>
      </c>
      <c r="B58" t="s">
        <v>30</v>
      </c>
      <c r="C58" t="s">
        <v>77</v>
      </c>
      <c r="D58" t="s">
        <v>91</v>
      </c>
      <c r="E58" t="s">
        <v>220</v>
      </c>
      <c r="F58" t="s">
        <v>219</v>
      </c>
      <c r="G58" t="s">
        <v>90</v>
      </c>
      <c r="H58" t="s">
        <v>91</v>
      </c>
      <c r="I58" t="s">
        <v>91</v>
      </c>
      <c r="J58" t="s">
        <v>91</v>
      </c>
      <c r="K58" t="s">
        <v>91</v>
      </c>
      <c r="L58"/>
      <c r="M58"/>
      <c r="N58"/>
      <c r="O58"/>
      <c r="P58"/>
      <c r="Q58">
        <v>11.1287</v>
      </c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16.749199999999998</v>
      </c>
      <c r="AT58"/>
      <c r="AU58"/>
      <c r="AV58"/>
      <c r="AW58" t="s">
        <v>91</v>
      </c>
    </row>
    <row r="59" spans="1:49" ht="13.2">
      <c r="A59" t="s">
        <v>93</v>
      </c>
      <c r="B59" t="s">
        <v>30</v>
      </c>
      <c r="C59" t="s">
        <v>78</v>
      </c>
      <c r="D59" t="s">
        <v>91</v>
      </c>
      <c r="E59" t="s">
        <v>220</v>
      </c>
      <c r="F59" t="s">
        <v>219</v>
      </c>
      <c r="G59" t="s">
        <v>90</v>
      </c>
      <c r="H59" t="s">
        <v>91</v>
      </c>
      <c r="I59" t="s">
        <v>91</v>
      </c>
      <c r="J59" t="s">
        <v>91</v>
      </c>
      <c r="K59" t="s">
        <v>91</v>
      </c>
      <c r="L59"/>
      <c r="M59"/>
      <c r="N59"/>
      <c r="O59"/>
      <c r="P59"/>
      <c r="Q59">
        <v>11.1287</v>
      </c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16.370799999999999</v>
      </c>
      <c r="AT59"/>
      <c r="AU59"/>
      <c r="AV59"/>
      <c r="AW59" t="s">
        <v>91</v>
      </c>
    </row>
    <row r="60" spans="1:49" ht="13.2">
      <c r="A60" t="s">
        <v>93</v>
      </c>
      <c r="B60" t="s">
        <v>30</v>
      </c>
      <c r="C60" t="s">
        <v>79</v>
      </c>
      <c r="D60" t="s">
        <v>91</v>
      </c>
      <c r="E60" t="s">
        <v>220</v>
      </c>
      <c r="F60" t="s">
        <v>219</v>
      </c>
      <c r="G60" t="s">
        <v>90</v>
      </c>
      <c r="H60" t="s">
        <v>91</v>
      </c>
      <c r="I60" t="s">
        <v>91</v>
      </c>
      <c r="J60" t="s">
        <v>91</v>
      </c>
      <c r="K60" t="s">
        <v>91</v>
      </c>
      <c r="L60"/>
      <c r="M60"/>
      <c r="N60"/>
      <c r="O60"/>
      <c r="P60"/>
      <c r="Q60">
        <v>11.1287</v>
      </c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15.3071</v>
      </c>
      <c r="AT60"/>
      <c r="AU60"/>
      <c r="AV60"/>
      <c r="AW60" t="s">
        <v>91</v>
      </c>
    </row>
    <row r="61" spans="1:49" ht="13.2">
      <c r="A61" t="s">
        <v>93</v>
      </c>
      <c r="B61" t="s">
        <v>30</v>
      </c>
      <c r="C61" t="s">
        <v>80</v>
      </c>
      <c r="D61" t="s">
        <v>91</v>
      </c>
      <c r="E61" t="s">
        <v>220</v>
      </c>
      <c r="F61" t="s">
        <v>219</v>
      </c>
      <c r="G61" t="s">
        <v>90</v>
      </c>
      <c r="H61" t="s">
        <v>91</v>
      </c>
      <c r="I61" t="s">
        <v>91</v>
      </c>
      <c r="J61" t="s">
        <v>91</v>
      </c>
      <c r="K61" t="s">
        <v>91</v>
      </c>
      <c r="L61"/>
      <c r="M61"/>
      <c r="N61"/>
      <c r="O61"/>
      <c r="P61"/>
      <c r="Q61">
        <v>11.1287</v>
      </c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16.805099999999999</v>
      </c>
      <c r="AT61"/>
      <c r="AU61"/>
      <c r="AV61"/>
      <c r="AW61" t="s">
        <v>91</v>
      </c>
    </row>
    <row r="62" spans="1:49" ht="13.2">
      <c r="A62" t="s">
        <v>93</v>
      </c>
      <c r="B62" t="s">
        <v>30</v>
      </c>
      <c r="C62" t="s">
        <v>81</v>
      </c>
      <c r="D62" t="s">
        <v>91</v>
      </c>
      <c r="E62" t="s">
        <v>220</v>
      </c>
      <c r="F62" t="s">
        <v>219</v>
      </c>
      <c r="G62" t="s">
        <v>90</v>
      </c>
      <c r="H62" t="s">
        <v>91</v>
      </c>
      <c r="I62" t="s">
        <v>91</v>
      </c>
      <c r="J62" t="s">
        <v>91</v>
      </c>
      <c r="K62" t="s">
        <v>91</v>
      </c>
      <c r="L62">
        <v>9.7206799999999998</v>
      </c>
      <c r="M62">
        <v>15.465999999999999</v>
      </c>
      <c r="N62">
        <v>11.6698</v>
      </c>
      <c r="O62">
        <v>8.2721300000000006</v>
      </c>
      <c r="P62">
        <v>5.7729600000000003</v>
      </c>
      <c r="Q62">
        <v>14.978999999999999</v>
      </c>
      <c r="R62">
        <v>15.1014</v>
      </c>
      <c r="S62">
        <v>9.3872199999999992</v>
      </c>
      <c r="T62">
        <v>12.5715</v>
      </c>
      <c r="U62">
        <v>19.9298</v>
      </c>
      <c r="V62">
        <v>16.203299999999999</v>
      </c>
      <c r="W62">
        <v>9.7206799999999998</v>
      </c>
      <c r="X62">
        <v>14.0922</v>
      </c>
      <c r="Y62">
        <v>10.5501</v>
      </c>
      <c r="Z62">
        <v>12.7613</v>
      </c>
      <c r="AA62">
        <v>11.6698</v>
      </c>
      <c r="AB62">
        <v>10.6456</v>
      </c>
      <c r="AC62">
        <v>19.9739</v>
      </c>
      <c r="AD62">
        <v>12.864800000000001</v>
      </c>
      <c r="AE62">
        <v>11.2913</v>
      </c>
      <c r="AF62">
        <v>11.6698</v>
      </c>
      <c r="AG62">
        <v>5.1572300000000002</v>
      </c>
      <c r="AH62">
        <v>44.097999999999999</v>
      </c>
      <c r="AI62">
        <v>15.652100000000001</v>
      </c>
      <c r="AJ62">
        <v>9.7206799999999998</v>
      </c>
      <c r="AK62">
        <v>10.1213</v>
      </c>
      <c r="AL62">
        <v>8.0372400000000006</v>
      </c>
      <c r="AM62">
        <v>10.5364</v>
      </c>
      <c r="AN62">
        <v>9.9621399999999998</v>
      </c>
      <c r="AO62">
        <v>5.9304199999999998</v>
      </c>
      <c r="AP62">
        <v>10.6304</v>
      </c>
      <c r="AQ62">
        <v>6.4410999999999996</v>
      </c>
      <c r="AR62">
        <v>11.6698</v>
      </c>
      <c r="AS62">
        <v>13.471399999999999</v>
      </c>
      <c r="AT62">
        <v>15.4709</v>
      </c>
      <c r="AU62">
        <v>12.9636</v>
      </c>
      <c r="AV62">
        <v>15.4458</v>
      </c>
      <c r="AW62" t="s">
        <v>91</v>
      </c>
    </row>
    <row r="63" spans="1:49" ht="13.2">
      <c r="A63" t="s">
        <v>93</v>
      </c>
      <c r="B63" t="s">
        <v>30</v>
      </c>
      <c r="C63" t="s">
        <v>82</v>
      </c>
      <c r="D63" t="s">
        <v>91</v>
      </c>
      <c r="E63" t="s">
        <v>220</v>
      </c>
      <c r="F63" t="s">
        <v>219</v>
      </c>
      <c r="G63" t="s">
        <v>90</v>
      </c>
      <c r="H63" t="s">
        <v>91</v>
      </c>
      <c r="I63" t="s">
        <v>91</v>
      </c>
      <c r="J63" t="s">
        <v>91</v>
      </c>
      <c r="K63" t="s">
        <v>91</v>
      </c>
      <c r="L63">
        <v>9.1454400000000007</v>
      </c>
      <c r="M63">
        <v>14.9224</v>
      </c>
      <c r="N63">
        <v>11.8812</v>
      </c>
      <c r="O63">
        <v>9.6917000000000009</v>
      </c>
      <c r="P63">
        <v>5.4128299999999996</v>
      </c>
      <c r="Q63">
        <v>13.435</v>
      </c>
      <c r="R63">
        <v>13.7628</v>
      </c>
      <c r="S63">
        <v>9.1841500000000007</v>
      </c>
      <c r="T63">
        <v>10.887700000000001</v>
      </c>
      <c r="U63">
        <v>15.3682</v>
      </c>
      <c r="V63">
        <v>14.897</v>
      </c>
      <c r="W63">
        <v>9.1454400000000007</v>
      </c>
      <c r="X63">
        <v>7.6632499999999997</v>
      </c>
      <c r="Y63">
        <v>10.515599999999999</v>
      </c>
      <c r="Z63">
        <v>11.874700000000001</v>
      </c>
      <c r="AA63">
        <v>11.8812</v>
      </c>
      <c r="AB63">
        <v>10.7989</v>
      </c>
      <c r="AC63">
        <v>17.970199999999998</v>
      </c>
      <c r="AD63">
        <v>13.395899999999999</v>
      </c>
      <c r="AE63">
        <v>9.6733600000000006</v>
      </c>
      <c r="AF63">
        <v>11.8812</v>
      </c>
      <c r="AG63">
        <v>3.9107099999999999</v>
      </c>
      <c r="AH63">
        <v>44.284500000000001</v>
      </c>
      <c r="AI63">
        <v>13.428800000000001</v>
      </c>
      <c r="AJ63">
        <v>9.1454400000000007</v>
      </c>
      <c r="AK63">
        <v>9.7376400000000007</v>
      </c>
      <c r="AL63">
        <v>8.5177999999999994</v>
      </c>
      <c r="AM63">
        <v>10.7516</v>
      </c>
      <c r="AN63">
        <v>10.1554</v>
      </c>
      <c r="AO63">
        <v>6.1784299999999996</v>
      </c>
      <c r="AP63">
        <v>10.5128</v>
      </c>
      <c r="AQ63">
        <v>6.6146900000000004</v>
      </c>
      <c r="AR63">
        <v>11.8812</v>
      </c>
      <c r="AS63">
        <v>12.647500000000001</v>
      </c>
      <c r="AT63">
        <v>17.744299999999999</v>
      </c>
      <c r="AU63">
        <v>8.5815800000000007</v>
      </c>
      <c r="AV63">
        <v>14.109299999999999</v>
      </c>
      <c r="AW63" t="s">
        <v>91</v>
      </c>
    </row>
    <row r="64" spans="1:49" ht="13.2">
      <c r="A64" t="s">
        <v>93</v>
      </c>
      <c r="B64" t="s">
        <v>30</v>
      </c>
      <c r="C64" t="s">
        <v>83</v>
      </c>
      <c r="D64" t="s">
        <v>91</v>
      </c>
      <c r="E64" t="s">
        <v>220</v>
      </c>
      <c r="F64" t="s">
        <v>219</v>
      </c>
      <c r="G64" t="s">
        <v>90</v>
      </c>
      <c r="H64" t="s">
        <v>91</v>
      </c>
      <c r="I64" t="s">
        <v>91</v>
      </c>
      <c r="J64" t="s">
        <v>91</v>
      </c>
      <c r="K64" t="s">
        <v>91</v>
      </c>
      <c r="L64">
        <v>6.59924</v>
      </c>
      <c r="M64">
        <v>13.423</v>
      </c>
      <c r="N64">
        <v>11.510999999999999</v>
      </c>
      <c r="O64">
        <v>10.481400000000001</v>
      </c>
      <c r="P64">
        <v>5.80105</v>
      </c>
      <c r="Q64">
        <v>11.076700000000001</v>
      </c>
      <c r="R64">
        <v>12.084300000000001</v>
      </c>
      <c r="S64">
        <v>8.6676300000000008</v>
      </c>
      <c r="T64">
        <v>9.0140700000000002</v>
      </c>
      <c r="U64">
        <v>13.9666</v>
      </c>
      <c r="V64">
        <v>13.2774</v>
      </c>
      <c r="W64">
        <v>6.59924</v>
      </c>
      <c r="X64">
        <v>6.5509000000000004</v>
      </c>
      <c r="Y64">
        <v>10.7516</v>
      </c>
      <c r="Z64">
        <v>9.9579799999999992</v>
      </c>
      <c r="AA64">
        <v>11.510999999999999</v>
      </c>
      <c r="AB64">
        <v>9.9195799999999998</v>
      </c>
      <c r="AC64">
        <v>17.7197</v>
      </c>
      <c r="AD64">
        <v>12.9208</v>
      </c>
      <c r="AE64">
        <v>7.0178799999999999</v>
      </c>
      <c r="AF64">
        <v>11.510999999999999</v>
      </c>
      <c r="AG64">
        <v>3.8382999999999998</v>
      </c>
      <c r="AH64">
        <v>44.016100000000002</v>
      </c>
      <c r="AI64">
        <v>13.573499999999999</v>
      </c>
      <c r="AJ64">
        <v>6.59924</v>
      </c>
      <c r="AK64">
        <v>9.0625699999999991</v>
      </c>
      <c r="AL64">
        <v>7.9329200000000002</v>
      </c>
      <c r="AM64">
        <v>10.516299999999999</v>
      </c>
      <c r="AN64">
        <v>9.9722899999999992</v>
      </c>
      <c r="AO64">
        <v>6.03932</v>
      </c>
      <c r="AP64">
        <v>10.059699999999999</v>
      </c>
      <c r="AQ64">
        <v>5.0827200000000001</v>
      </c>
      <c r="AR64">
        <v>11.510999999999999</v>
      </c>
      <c r="AS64">
        <v>10.941700000000001</v>
      </c>
      <c r="AT64">
        <v>11.9842</v>
      </c>
      <c r="AU64">
        <v>8.5815800000000007</v>
      </c>
      <c r="AV64">
        <v>12.3371</v>
      </c>
      <c r="AW64" t="s">
        <v>91</v>
      </c>
    </row>
    <row r="65" spans="1:49" ht="13.2">
      <c r="A65" t="s">
        <v>93</v>
      </c>
      <c r="B65" t="s">
        <v>30</v>
      </c>
      <c r="C65" t="s">
        <v>84</v>
      </c>
      <c r="D65" t="s">
        <v>91</v>
      </c>
      <c r="E65" t="s">
        <v>220</v>
      </c>
      <c r="F65" t="s">
        <v>219</v>
      </c>
      <c r="G65" t="s">
        <v>90</v>
      </c>
      <c r="H65" t="s">
        <v>91</v>
      </c>
      <c r="I65" t="s">
        <v>91</v>
      </c>
      <c r="J65" t="s">
        <v>91</v>
      </c>
      <c r="K65" t="s">
        <v>91</v>
      </c>
      <c r="L65">
        <v>9.4613399999999999</v>
      </c>
      <c r="M65">
        <v>14.8161</v>
      </c>
      <c r="N65">
        <v>11.4002</v>
      </c>
      <c r="O65">
        <v>9.1909700000000001</v>
      </c>
      <c r="P65">
        <v>5.4803600000000001</v>
      </c>
      <c r="Q65">
        <v>13.176600000000001</v>
      </c>
      <c r="R65">
        <v>13.3172</v>
      </c>
      <c r="S65">
        <v>9.2827999999999999</v>
      </c>
      <c r="T65">
        <v>11.116400000000001</v>
      </c>
      <c r="U65">
        <v>15.3376</v>
      </c>
      <c r="V65">
        <v>15.5503</v>
      </c>
      <c r="W65">
        <v>9.4613399999999999</v>
      </c>
      <c r="X65">
        <v>7.2602000000000002</v>
      </c>
      <c r="Y65">
        <v>10.486800000000001</v>
      </c>
      <c r="Z65">
        <v>12.3832</v>
      </c>
      <c r="AA65">
        <v>11.4002</v>
      </c>
      <c r="AB65">
        <v>10.609999999999999</v>
      </c>
      <c r="AC65">
        <v>18.953499999999998</v>
      </c>
      <c r="AD65">
        <v>13.5497</v>
      </c>
      <c r="AE65">
        <v>9.0844000000000005</v>
      </c>
      <c r="AF65">
        <v>11.4002</v>
      </c>
      <c r="AG65">
        <v>3.88042</v>
      </c>
      <c r="AH65">
        <v>44.174300000000002</v>
      </c>
      <c r="AI65">
        <v>13.0284</v>
      </c>
      <c r="AJ65">
        <v>9.4613399999999999</v>
      </c>
      <c r="AK65">
        <v>9.8940300000000008</v>
      </c>
      <c r="AL65">
        <v>8.1748899999999995</v>
      </c>
      <c r="AM65">
        <v>10.821300000000001</v>
      </c>
      <c r="AN65">
        <v>9.8859200000000005</v>
      </c>
      <c r="AO65">
        <v>6.0590999999999999</v>
      </c>
      <c r="AP65">
        <v>10.5083</v>
      </c>
      <c r="AQ65">
        <v>6.5694900000000001</v>
      </c>
      <c r="AR65">
        <v>11.4002</v>
      </c>
      <c r="AS65">
        <v>13.005100000000001</v>
      </c>
      <c r="AT65">
        <v>15.908899999999999</v>
      </c>
      <c r="AU65">
        <v>8.29359</v>
      </c>
      <c r="AV65">
        <v>15.1126</v>
      </c>
      <c r="AW65" t="s">
        <v>91</v>
      </c>
    </row>
    <row r="66" spans="1:49" ht="13.2">
      <c r="A66" t="s">
        <v>93</v>
      </c>
      <c r="B66" t="s">
        <v>30</v>
      </c>
      <c r="C66" t="s">
        <v>65</v>
      </c>
      <c r="D66" t="s">
        <v>91</v>
      </c>
      <c r="E66" t="s">
        <v>220</v>
      </c>
      <c r="F66" t="s">
        <v>219</v>
      </c>
      <c r="G66" t="s">
        <v>90</v>
      </c>
      <c r="H66" t="s">
        <v>91</v>
      </c>
      <c r="I66" t="s">
        <v>91</v>
      </c>
      <c r="J66" t="s">
        <v>91</v>
      </c>
      <c r="K66" t="s">
        <v>91</v>
      </c>
      <c r="L66">
        <v>127.303</v>
      </c>
      <c r="M66"/>
      <c r="N66">
        <v>24.028199999999998</v>
      </c>
      <c r="O66">
        <v>24.198699999999999</v>
      </c>
      <c r="P66">
        <v>55.4985</v>
      </c>
      <c r="Q66"/>
      <c r="R66"/>
      <c r="S66"/>
      <c r="T66">
        <v>21.715699999999998</v>
      </c>
      <c r="U66">
        <v>23.837399999999999</v>
      </c>
      <c r="V66"/>
      <c r="W66">
        <v>127.303</v>
      </c>
      <c r="X66"/>
      <c r="Y66"/>
      <c r="Z66">
        <v>8.9685299999999994</v>
      </c>
      <c r="AA66">
        <v>24.028199999999998</v>
      </c>
      <c r="AB66">
        <v>100.03700000000001</v>
      </c>
      <c r="AC66">
        <v>106.209</v>
      </c>
      <c r="AD66"/>
      <c r="AE66">
        <v>7.9006800000000004</v>
      </c>
      <c r="AF66">
        <v>24.028199999999998</v>
      </c>
      <c r="AG66"/>
      <c r="AH66"/>
      <c r="AI66">
        <v>23.205300000000001</v>
      </c>
      <c r="AJ66">
        <v>127.303</v>
      </c>
      <c r="AK66"/>
      <c r="AL66"/>
      <c r="AM66">
        <v>19.421299999999999</v>
      </c>
      <c r="AN66"/>
      <c r="AO66">
        <v>10.713200000000001</v>
      </c>
      <c r="AP66">
        <v>12.294600000000001</v>
      </c>
      <c r="AQ66">
        <v>1.3607100000000001</v>
      </c>
      <c r="AR66">
        <v>24.028199999999998</v>
      </c>
      <c r="AS66"/>
      <c r="AT66"/>
      <c r="AU66">
        <v>9.1716899999999999</v>
      </c>
      <c r="AV66">
        <v>38.757399999999997</v>
      </c>
      <c r="AW66" t="s">
        <v>91</v>
      </c>
    </row>
    <row r="67" spans="1:49" ht="13.2">
      <c r="A67" t="s">
        <v>93</v>
      </c>
      <c r="B67" t="s">
        <v>30</v>
      </c>
      <c r="C67" t="s">
        <v>66</v>
      </c>
      <c r="D67" t="s">
        <v>91</v>
      </c>
      <c r="E67" t="s">
        <v>220</v>
      </c>
      <c r="F67" t="s">
        <v>219</v>
      </c>
      <c r="G67" t="s">
        <v>90</v>
      </c>
      <c r="H67" t="s">
        <v>91</v>
      </c>
      <c r="I67" t="s">
        <v>91</v>
      </c>
      <c r="J67" t="s">
        <v>91</v>
      </c>
      <c r="K67" t="s">
        <v>91</v>
      </c>
      <c r="L67">
        <v>108.955</v>
      </c>
      <c r="M67"/>
      <c r="N67">
        <v>24.028199999999998</v>
      </c>
      <c r="O67">
        <v>24.181799999999999</v>
      </c>
      <c r="P67">
        <v>55.501399999999997</v>
      </c>
      <c r="Q67"/>
      <c r="R67"/>
      <c r="S67"/>
      <c r="T67">
        <v>21.552299999999999</v>
      </c>
      <c r="U67">
        <v>22.719000000000001</v>
      </c>
      <c r="V67"/>
      <c r="W67">
        <v>108.955</v>
      </c>
      <c r="X67"/>
      <c r="Y67"/>
      <c r="Z67">
        <v>9.4785799999999991</v>
      </c>
      <c r="AA67">
        <v>24.028199999999998</v>
      </c>
      <c r="AB67">
        <v>100.03700000000001</v>
      </c>
      <c r="AC67">
        <v>48.545000000000002</v>
      </c>
      <c r="AD67"/>
      <c r="AE67">
        <v>8.7792300000000001</v>
      </c>
      <c r="AF67">
        <v>24.028199999999998</v>
      </c>
      <c r="AG67"/>
      <c r="AH67"/>
      <c r="AI67">
        <v>23.205300000000001</v>
      </c>
      <c r="AJ67">
        <v>108.955</v>
      </c>
      <c r="AK67"/>
      <c r="AL67"/>
      <c r="AM67">
        <v>19.416699999999999</v>
      </c>
      <c r="AN67"/>
      <c r="AO67">
        <v>10.713200000000001</v>
      </c>
      <c r="AP67">
        <v>12.1586</v>
      </c>
      <c r="AQ67">
        <v>1.3607100000000001</v>
      </c>
      <c r="AR67">
        <v>24.028199999999998</v>
      </c>
      <c r="AS67"/>
      <c r="AT67"/>
      <c r="AU67">
        <v>9.1716899999999999</v>
      </c>
      <c r="AV67">
        <v>35.505299999999998</v>
      </c>
      <c r="AW67" t="s">
        <v>91</v>
      </c>
    </row>
    <row r="68" spans="1:49" ht="13.2">
      <c r="A68" t="s">
        <v>93</v>
      </c>
      <c r="B68" t="s">
        <v>30</v>
      </c>
      <c r="C68" t="s">
        <v>67</v>
      </c>
      <c r="D68" t="s">
        <v>91</v>
      </c>
      <c r="E68" t="s">
        <v>220</v>
      </c>
      <c r="F68" t="s">
        <v>219</v>
      </c>
      <c r="G68" t="s">
        <v>90</v>
      </c>
      <c r="H68" t="s">
        <v>91</v>
      </c>
      <c r="I68" t="s">
        <v>91</v>
      </c>
      <c r="J68" t="s">
        <v>91</v>
      </c>
      <c r="K68" t="s">
        <v>91</v>
      </c>
      <c r="L68">
        <v>83.713399999999993</v>
      </c>
      <c r="M68"/>
      <c r="N68">
        <v>24.028199999999998</v>
      </c>
      <c r="O68">
        <v>24.099799999999998</v>
      </c>
      <c r="P68">
        <v>55.508000000000003</v>
      </c>
      <c r="Q68"/>
      <c r="R68"/>
      <c r="S68"/>
      <c r="T68">
        <v>21.462399999999999</v>
      </c>
      <c r="U68">
        <v>21.683399999999999</v>
      </c>
      <c r="V68"/>
      <c r="W68">
        <v>83.713399999999993</v>
      </c>
      <c r="X68"/>
      <c r="Y68"/>
      <c r="Z68">
        <v>9.6721800000000009</v>
      </c>
      <c r="AA68">
        <v>24.028199999999998</v>
      </c>
      <c r="AB68">
        <v>100.03700000000001</v>
      </c>
      <c r="AC68">
        <v>38.860300000000002</v>
      </c>
      <c r="AD68"/>
      <c r="AE68">
        <v>11.298</v>
      </c>
      <c r="AF68">
        <v>24.028199999999998</v>
      </c>
      <c r="AG68"/>
      <c r="AH68"/>
      <c r="AI68">
        <v>23.205300000000001</v>
      </c>
      <c r="AJ68">
        <v>83.713399999999993</v>
      </c>
      <c r="AK68"/>
      <c r="AL68"/>
      <c r="AM68">
        <v>19.435600000000001</v>
      </c>
      <c r="AN68"/>
      <c r="AO68">
        <v>10.713200000000001</v>
      </c>
      <c r="AP68">
        <v>11.634600000000001</v>
      </c>
      <c r="AQ68">
        <v>1.3607100000000001</v>
      </c>
      <c r="AR68">
        <v>24.028199999999998</v>
      </c>
      <c r="AS68"/>
      <c r="AT68"/>
      <c r="AU68">
        <v>9.1716899999999999</v>
      </c>
      <c r="AV68">
        <v>29.854099999999999</v>
      </c>
      <c r="AW68" t="s">
        <v>91</v>
      </c>
    </row>
    <row r="69" spans="1:49" ht="13.2">
      <c r="A69" t="s">
        <v>93</v>
      </c>
      <c r="B69" t="s">
        <v>30</v>
      </c>
      <c r="C69" t="s">
        <v>68</v>
      </c>
      <c r="D69" t="s">
        <v>91</v>
      </c>
      <c r="E69" t="s">
        <v>220</v>
      </c>
      <c r="F69" t="s">
        <v>219</v>
      </c>
      <c r="G69" t="s">
        <v>90</v>
      </c>
      <c r="H69" t="s">
        <v>91</v>
      </c>
      <c r="I69" t="s">
        <v>91</v>
      </c>
      <c r="J69" t="s">
        <v>91</v>
      </c>
      <c r="K69" t="s">
        <v>91</v>
      </c>
      <c r="L69">
        <v>118.13500000000001</v>
      </c>
      <c r="M69"/>
      <c r="N69">
        <v>24.028199999999998</v>
      </c>
      <c r="O69">
        <v>24.2529</v>
      </c>
      <c r="P69">
        <v>65.521299999999997</v>
      </c>
      <c r="Q69"/>
      <c r="R69"/>
      <c r="S69"/>
      <c r="T69">
        <v>21.535799999999998</v>
      </c>
      <c r="U69">
        <v>22.423100000000002</v>
      </c>
      <c r="V69"/>
      <c r="W69">
        <v>118.13500000000001</v>
      </c>
      <c r="X69"/>
      <c r="Y69"/>
      <c r="Z69">
        <v>9.7871400000000008</v>
      </c>
      <c r="AA69">
        <v>24.028199999999998</v>
      </c>
      <c r="AB69">
        <v>100.03700000000001</v>
      </c>
      <c r="AC69">
        <v>34.800699999999999</v>
      </c>
      <c r="AD69"/>
      <c r="AE69">
        <v>8.2216000000000005</v>
      </c>
      <c r="AF69">
        <v>24.028199999999998</v>
      </c>
      <c r="AG69"/>
      <c r="AH69"/>
      <c r="AI69">
        <v>23.205300000000001</v>
      </c>
      <c r="AJ69">
        <v>118.13500000000001</v>
      </c>
      <c r="AK69"/>
      <c r="AL69"/>
      <c r="AM69">
        <v>19.4133</v>
      </c>
      <c r="AN69"/>
      <c r="AO69">
        <v>10.713200000000001</v>
      </c>
      <c r="AP69">
        <v>12.153499999999999</v>
      </c>
      <c r="AQ69">
        <v>1.3607100000000001</v>
      </c>
      <c r="AR69">
        <v>24.028199999999998</v>
      </c>
      <c r="AS69"/>
      <c r="AT69"/>
      <c r="AU69">
        <v>9.1716899999999999</v>
      </c>
      <c r="AV69">
        <v>36.0533</v>
      </c>
      <c r="AW69" t="s">
        <v>91</v>
      </c>
    </row>
    <row r="70" spans="1:49" ht="13.2">
      <c r="A70" t="s">
        <v>93</v>
      </c>
      <c r="B70" t="s">
        <v>30</v>
      </c>
      <c r="C70" t="s">
        <v>85</v>
      </c>
      <c r="D70" t="s">
        <v>91</v>
      </c>
      <c r="E70" t="s">
        <v>220</v>
      </c>
      <c r="F70" t="s">
        <v>219</v>
      </c>
      <c r="G70" t="s">
        <v>90</v>
      </c>
      <c r="H70" t="s">
        <v>91</v>
      </c>
      <c r="I70" t="s">
        <v>91</v>
      </c>
      <c r="J70" t="s">
        <v>91</v>
      </c>
      <c r="K70" t="s">
        <v>91</v>
      </c>
      <c r="L70"/>
      <c r="M70"/>
      <c r="N70"/>
      <c r="O70"/>
      <c r="P70"/>
      <c r="Q70"/>
      <c r="R70"/>
      <c r="S70">
        <v>12.6342</v>
      </c>
      <c r="T70"/>
      <c r="U70">
        <v>8.8403299999999998</v>
      </c>
      <c r="V70"/>
      <c r="W70"/>
      <c r="X70"/>
      <c r="Y70"/>
      <c r="Z70"/>
      <c r="AA70"/>
      <c r="AB70"/>
      <c r="AC70"/>
      <c r="AD70">
        <v>12.6557</v>
      </c>
      <c r="AE70"/>
      <c r="AF70"/>
      <c r="AG70"/>
      <c r="AH70"/>
      <c r="AI70"/>
      <c r="AJ70"/>
      <c r="AK70"/>
      <c r="AL70"/>
      <c r="AM70">
        <v>13.200200000000001</v>
      </c>
      <c r="AN70"/>
      <c r="AO70">
        <v>9.1143300000000007</v>
      </c>
      <c r="AP70">
        <v>14.3268</v>
      </c>
      <c r="AQ70"/>
      <c r="AR70"/>
      <c r="AS70">
        <v>13.193099999999999</v>
      </c>
      <c r="AT70"/>
      <c r="AU70"/>
      <c r="AV70">
        <v>11.5725</v>
      </c>
      <c r="AW70" t="s">
        <v>91</v>
      </c>
    </row>
    <row r="71" spans="1:49" ht="13.2">
      <c r="A71" t="s">
        <v>93</v>
      </c>
      <c r="B71" t="s">
        <v>30</v>
      </c>
      <c r="C71" t="s">
        <v>86</v>
      </c>
      <c r="D71" t="s">
        <v>91</v>
      </c>
      <c r="E71" t="s">
        <v>220</v>
      </c>
      <c r="F71" t="s">
        <v>219</v>
      </c>
      <c r="G71" t="s">
        <v>90</v>
      </c>
      <c r="H71" t="s">
        <v>91</v>
      </c>
      <c r="I71" t="s">
        <v>91</v>
      </c>
      <c r="J71" t="s">
        <v>91</v>
      </c>
      <c r="K71" t="s">
        <v>91</v>
      </c>
      <c r="L71"/>
      <c r="M71"/>
      <c r="N71"/>
      <c r="O71"/>
      <c r="P71"/>
      <c r="Q71"/>
      <c r="R71"/>
      <c r="S71">
        <v>12.6325</v>
      </c>
      <c r="T71"/>
      <c r="U71">
        <v>8.4369899999999998</v>
      </c>
      <c r="V71"/>
      <c r="W71"/>
      <c r="X71"/>
      <c r="Y71"/>
      <c r="Z71"/>
      <c r="AA71"/>
      <c r="AB71"/>
      <c r="AC71"/>
      <c r="AD71">
        <v>12.6557</v>
      </c>
      <c r="AE71"/>
      <c r="AF71"/>
      <c r="AG71"/>
      <c r="AH71"/>
      <c r="AI71"/>
      <c r="AJ71"/>
      <c r="AK71"/>
      <c r="AL71"/>
      <c r="AM71">
        <v>13.202</v>
      </c>
      <c r="AN71"/>
      <c r="AO71">
        <v>9.1143300000000007</v>
      </c>
      <c r="AP71">
        <v>14.397600000000001</v>
      </c>
      <c r="AQ71"/>
      <c r="AR71"/>
      <c r="AS71">
        <v>13.440200000000001</v>
      </c>
      <c r="AT71"/>
      <c r="AU71"/>
      <c r="AV71">
        <v>10.4354</v>
      </c>
      <c r="AW71" t="s">
        <v>91</v>
      </c>
    </row>
    <row r="72" spans="1:49" ht="13.2">
      <c r="A72" t="s">
        <v>93</v>
      </c>
      <c r="B72" t="s">
        <v>30</v>
      </c>
      <c r="C72" t="s">
        <v>87</v>
      </c>
      <c r="D72" t="s">
        <v>91</v>
      </c>
      <c r="E72" t="s">
        <v>220</v>
      </c>
      <c r="F72" t="s">
        <v>219</v>
      </c>
      <c r="G72" t="s">
        <v>90</v>
      </c>
      <c r="H72" t="s">
        <v>91</v>
      </c>
      <c r="I72" t="s">
        <v>91</v>
      </c>
      <c r="J72" t="s">
        <v>91</v>
      </c>
      <c r="K72" t="s">
        <v>91</v>
      </c>
      <c r="L72"/>
      <c r="M72"/>
      <c r="N72"/>
      <c r="O72"/>
      <c r="P72"/>
      <c r="Q72"/>
      <c r="R72"/>
      <c r="S72">
        <v>11.6523</v>
      </c>
      <c r="T72"/>
      <c r="U72">
        <v>9.1547400000000003</v>
      </c>
      <c r="V72"/>
      <c r="W72"/>
      <c r="X72"/>
      <c r="Y72"/>
      <c r="Z72"/>
      <c r="AA72"/>
      <c r="AB72"/>
      <c r="AC72"/>
      <c r="AD72">
        <v>12.6557</v>
      </c>
      <c r="AE72"/>
      <c r="AF72"/>
      <c r="AG72"/>
      <c r="AH72"/>
      <c r="AI72"/>
      <c r="AJ72"/>
      <c r="AK72"/>
      <c r="AL72"/>
      <c r="AM72">
        <v>13.2021</v>
      </c>
      <c r="AN72"/>
      <c r="AO72">
        <v>9.1143300000000007</v>
      </c>
      <c r="AP72">
        <v>14.397600000000001</v>
      </c>
      <c r="AQ72"/>
      <c r="AR72"/>
      <c r="AS72">
        <v>13.390599999999999</v>
      </c>
      <c r="AT72"/>
      <c r="AU72"/>
      <c r="AV72">
        <v>9.1486599999999996</v>
      </c>
      <c r="AW72" t="s">
        <v>91</v>
      </c>
    </row>
    <row r="73" spans="1:49" ht="13.2">
      <c r="A73" t="s">
        <v>93</v>
      </c>
      <c r="B73" t="s">
        <v>30</v>
      </c>
      <c r="C73" t="s">
        <v>88</v>
      </c>
      <c r="D73" t="s">
        <v>91</v>
      </c>
      <c r="E73" t="s">
        <v>220</v>
      </c>
      <c r="F73" t="s">
        <v>219</v>
      </c>
      <c r="G73" t="s">
        <v>90</v>
      </c>
      <c r="H73" t="s">
        <v>91</v>
      </c>
      <c r="I73" t="s">
        <v>91</v>
      </c>
      <c r="J73" t="s">
        <v>91</v>
      </c>
      <c r="K73" t="s">
        <v>91</v>
      </c>
      <c r="L73"/>
      <c r="M73"/>
      <c r="N73"/>
      <c r="O73"/>
      <c r="P73"/>
      <c r="Q73"/>
      <c r="R73"/>
      <c r="S73">
        <v>12.601699999999999</v>
      </c>
      <c r="T73"/>
      <c r="U73">
        <v>8.5523500000000006</v>
      </c>
      <c r="V73"/>
      <c r="W73"/>
      <c r="X73"/>
      <c r="Y73"/>
      <c r="Z73"/>
      <c r="AA73"/>
      <c r="AB73"/>
      <c r="AC73"/>
      <c r="AD73">
        <v>12.6557</v>
      </c>
      <c r="AE73"/>
      <c r="AF73"/>
      <c r="AG73"/>
      <c r="AH73"/>
      <c r="AI73"/>
      <c r="AJ73"/>
      <c r="AK73"/>
      <c r="AL73"/>
      <c r="AM73">
        <v>13.201499999999999</v>
      </c>
      <c r="AN73"/>
      <c r="AO73">
        <v>9.1143300000000007</v>
      </c>
      <c r="AP73">
        <v>14.760400000000001</v>
      </c>
      <c r="AQ73"/>
      <c r="AR73"/>
      <c r="AS73">
        <v>14.0517</v>
      </c>
      <c r="AT73"/>
      <c r="AU73"/>
      <c r="AV73">
        <v>11.174300000000001</v>
      </c>
      <c r="AW73" t="s">
        <v>91</v>
      </c>
    </row>
    <row r="74" spans="1:49" ht="13.2">
      <c r="A74" t="s">
        <v>93</v>
      </c>
      <c r="B74" t="s">
        <v>30</v>
      </c>
      <c r="C74" t="s">
        <v>52</v>
      </c>
      <c r="D74" t="s">
        <v>91</v>
      </c>
      <c r="E74" t="s">
        <v>220</v>
      </c>
      <c r="F74" t="s">
        <v>219</v>
      </c>
      <c r="G74" t="s">
        <v>90</v>
      </c>
      <c r="H74" t="s">
        <v>91</v>
      </c>
      <c r="I74" t="s">
        <v>91</v>
      </c>
      <c r="J74" t="s">
        <v>91</v>
      </c>
      <c r="K74" t="s">
        <v>91</v>
      </c>
      <c r="L74">
        <v>30.821991173218901</v>
      </c>
      <c r="M74">
        <v>106.043198696044</v>
      </c>
      <c r="N74">
        <v>42.566525259170703</v>
      </c>
      <c r="O74">
        <v>68.136525827162401</v>
      </c>
      <c r="P74">
        <v>15.2715301838104</v>
      </c>
      <c r="Q74">
        <v>76.375920685751495</v>
      </c>
      <c r="R74">
        <v>20.348355673481802</v>
      </c>
      <c r="S74">
        <v>37.320740979023697</v>
      </c>
      <c r="T74">
        <v>62.920187646285903</v>
      </c>
      <c r="U74">
        <v>71.129504112703302</v>
      </c>
      <c r="V74">
        <v>39.310311565708503</v>
      </c>
      <c r="W74">
        <v>30.821991173218901</v>
      </c>
      <c r="X74">
        <v>78.334836520018897</v>
      </c>
      <c r="Y74">
        <v>38.4776781541632</v>
      </c>
      <c r="Z74">
        <v>59.866648711085197</v>
      </c>
      <c r="AA74">
        <v>42.566525259170703</v>
      </c>
      <c r="AB74">
        <v>47.321164179705498</v>
      </c>
      <c r="AC74">
        <v>57.429951888954001</v>
      </c>
      <c r="AD74">
        <v>20.275159446338201</v>
      </c>
      <c r="AE74">
        <v>35.667308738078098</v>
      </c>
      <c r="AF74">
        <v>42.566525259170703</v>
      </c>
      <c r="AG74">
        <v>31.204106879401198</v>
      </c>
      <c r="AH74">
        <v>237.667752520102</v>
      </c>
      <c r="AI74">
        <v>71.914907156954996</v>
      </c>
      <c r="AJ74">
        <v>30.821991173218901</v>
      </c>
      <c r="AK74">
        <v>57.072939562297101</v>
      </c>
      <c r="AL74">
        <v>27.354661778424301</v>
      </c>
      <c r="AM74">
        <v>73.940931803873994</v>
      </c>
      <c r="AN74">
        <v>25.3190614242903</v>
      </c>
      <c r="AO74">
        <v>42.6653942006498</v>
      </c>
      <c r="AP74">
        <v>31.938506174463399</v>
      </c>
      <c r="AQ74">
        <v>22.6961555955526</v>
      </c>
      <c r="AR74">
        <v>42.566525259170703</v>
      </c>
      <c r="AS74">
        <v>44.569396743717803</v>
      </c>
      <c r="AT74">
        <v>77.516104603355799</v>
      </c>
      <c r="AU74">
        <v>56.275935662917902</v>
      </c>
      <c r="AV74">
        <v>61.783617822788003</v>
      </c>
      <c r="AW74" t="s">
        <v>91</v>
      </c>
    </row>
    <row r="75" spans="1:49" ht="13.2">
      <c r="A75" t="s">
        <v>93</v>
      </c>
      <c r="B75" t="s">
        <v>30</v>
      </c>
      <c r="C75" t="s">
        <v>50</v>
      </c>
      <c r="D75" t="s">
        <v>91</v>
      </c>
      <c r="E75" t="s">
        <v>220</v>
      </c>
      <c r="F75" t="s">
        <v>219</v>
      </c>
      <c r="G75" t="s">
        <v>90</v>
      </c>
      <c r="H75" t="s">
        <v>91</v>
      </c>
      <c r="I75" t="s">
        <v>91</v>
      </c>
      <c r="J75" t="s">
        <v>91</v>
      </c>
      <c r="K75" t="s">
        <v>91</v>
      </c>
      <c r="L75">
        <v>20.527077553445501</v>
      </c>
      <c r="M75"/>
      <c r="N75">
        <v>42.184469311385001</v>
      </c>
      <c r="O75"/>
      <c r="P75">
        <v>6.6019088210346704</v>
      </c>
      <c r="Q75"/>
      <c r="R75">
        <v>25.260999989859801</v>
      </c>
      <c r="S75">
        <v>11.1995521527012</v>
      </c>
      <c r="T75"/>
      <c r="U75">
        <v>17.657511036555</v>
      </c>
      <c r="V75">
        <v>5.6697277559878598</v>
      </c>
      <c r="W75">
        <v>20.527077553445501</v>
      </c>
      <c r="X75">
        <v>91.851086185359804</v>
      </c>
      <c r="Y75">
        <v>17.0761158677773</v>
      </c>
      <c r="Z75">
        <v>32.664252202903</v>
      </c>
      <c r="AA75">
        <v>42.184469311385001</v>
      </c>
      <c r="AB75">
        <v>10.5305960293705</v>
      </c>
      <c r="AC75">
        <v>38.282574886307501</v>
      </c>
      <c r="AD75">
        <v>21.274865988777201</v>
      </c>
      <c r="AE75">
        <v>5.8481464522486002</v>
      </c>
      <c r="AF75">
        <v>42.184469311385001</v>
      </c>
      <c r="AG75">
        <v>16.0480159162361</v>
      </c>
      <c r="AH75">
        <v>156.34583609258101</v>
      </c>
      <c r="AI75">
        <v>32.795361387189701</v>
      </c>
      <c r="AJ75">
        <v>20.527077553445501</v>
      </c>
      <c r="AK75">
        <v>24.874082146975098</v>
      </c>
      <c r="AL75"/>
      <c r="AM75">
        <v>55.842911899726701</v>
      </c>
      <c r="AN75">
        <v>13.520154801040301</v>
      </c>
      <c r="AO75">
        <v>18.5254893918537</v>
      </c>
      <c r="AP75"/>
      <c r="AQ75">
        <v>5.3014200824072004</v>
      </c>
      <c r="AR75">
        <v>42.184469311385001</v>
      </c>
      <c r="AS75">
        <v>7.7675132482023397</v>
      </c>
      <c r="AT75">
        <v>32.140698549811098</v>
      </c>
      <c r="AU75"/>
      <c r="AV75">
        <v>48.156911536428403</v>
      </c>
      <c r="AW75" t="s">
        <v>91</v>
      </c>
    </row>
    <row r="76" spans="1:49" ht="13.2">
      <c r="A76" t="s">
        <v>93</v>
      </c>
      <c r="B76" t="s">
        <v>30</v>
      </c>
      <c r="C76" t="s">
        <v>72</v>
      </c>
      <c r="D76" t="s">
        <v>91</v>
      </c>
      <c r="E76" t="s">
        <v>220</v>
      </c>
      <c r="F76" t="s">
        <v>219</v>
      </c>
      <c r="G76" t="s">
        <v>90</v>
      </c>
      <c r="H76" t="s">
        <v>91</v>
      </c>
      <c r="I76" t="s">
        <v>91</v>
      </c>
      <c r="J76" t="s">
        <v>91</v>
      </c>
      <c r="K76" t="s">
        <v>91</v>
      </c>
      <c r="L76"/>
      <c r="M76"/>
      <c r="N76"/>
      <c r="O76"/>
      <c r="P76"/>
      <c r="Q76">
        <v>13.7096791532894</v>
      </c>
      <c r="R76"/>
      <c r="S76"/>
      <c r="T76">
        <v>26.398945369338801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>
        <v>10.654116078840101</v>
      </c>
      <c r="AN76"/>
      <c r="AO76"/>
      <c r="AP76"/>
      <c r="AQ76"/>
      <c r="AR76"/>
      <c r="AS76"/>
      <c r="AT76"/>
      <c r="AU76"/>
      <c r="AV76"/>
      <c r="AW76" t="s">
        <v>91</v>
      </c>
    </row>
    <row r="77" spans="1:49" ht="13.2">
      <c r="A77" t="s">
        <v>93</v>
      </c>
      <c r="B77" t="s">
        <v>30</v>
      </c>
      <c r="C77" t="s">
        <v>222</v>
      </c>
      <c r="D77" t="s">
        <v>91</v>
      </c>
      <c r="E77" t="s">
        <v>220</v>
      </c>
      <c r="F77" t="s">
        <v>219</v>
      </c>
      <c r="G77" t="s">
        <v>90</v>
      </c>
      <c r="H77" t="s">
        <v>91</v>
      </c>
      <c r="I77" t="s">
        <v>91</v>
      </c>
      <c r="J77" t="s">
        <v>91</v>
      </c>
      <c r="K77" t="s">
        <v>91</v>
      </c>
      <c r="L77">
        <v>21.486584748049701</v>
      </c>
      <c r="M77">
        <v>35.614100468510898</v>
      </c>
      <c r="N77">
        <v>33.003087063524397</v>
      </c>
      <c r="O77">
        <v>22.067710513481799</v>
      </c>
      <c r="P77">
        <v>10.033842399063101</v>
      </c>
      <c r="Q77">
        <v>13.8805170508109</v>
      </c>
      <c r="R77">
        <v>16.622691349572001</v>
      </c>
      <c r="S77">
        <v>18.591443622826102</v>
      </c>
      <c r="T77">
        <v>22.085670997916299</v>
      </c>
      <c r="U77">
        <v>28.0699338606072</v>
      </c>
      <c r="V77">
        <v>22.754270406549299</v>
      </c>
      <c r="W77">
        <v>21.486584748049701</v>
      </c>
      <c r="X77">
        <v>5.2471854015496602</v>
      </c>
      <c r="Y77">
        <v>16.0973231917859</v>
      </c>
      <c r="Z77">
        <v>19.134382646872499</v>
      </c>
      <c r="AA77">
        <v>33.003087063524397</v>
      </c>
      <c r="AB77">
        <v>24.279792931373098</v>
      </c>
      <c r="AC77">
        <v>50.308454844194102</v>
      </c>
      <c r="AD77">
        <v>17.0508823040938</v>
      </c>
      <c r="AE77">
        <v>22.293931022226701</v>
      </c>
      <c r="AF77">
        <v>33.003087063524397</v>
      </c>
      <c r="AG77">
        <v>21.037093562088401</v>
      </c>
      <c r="AH77">
        <v>148.15590955150901</v>
      </c>
      <c r="AI77">
        <v>40.243872277319397</v>
      </c>
      <c r="AJ77">
        <v>21.486584748049701</v>
      </c>
      <c r="AK77">
        <v>29.506745368165401</v>
      </c>
      <c r="AL77">
        <v>5.03151459125095</v>
      </c>
      <c r="AM77">
        <v>23.376997486467701</v>
      </c>
      <c r="AN77">
        <v>22.145325321043899</v>
      </c>
      <c r="AO77">
        <v>10.092945370533499</v>
      </c>
      <c r="AP77">
        <v>17.2548893861793</v>
      </c>
      <c r="AQ77">
        <v>13.4355009663301</v>
      </c>
      <c r="AR77">
        <v>33.003087063524397</v>
      </c>
      <c r="AS77">
        <v>28.965916606556799</v>
      </c>
      <c r="AT77">
        <v>40.540523129910298</v>
      </c>
      <c r="AU77">
        <v>18.320939540396601</v>
      </c>
      <c r="AV77">
        <v>21.3563800671437</v>
      </c>
      <c r="AW77" t="s">
        <v>91</v>
      </c>
    </row>
    <row r="78" spans="1:49" ht="13.2">
      <c r="A78" t="s">
        <v>93</v>
      </c>
      <c r="B78" t="s">
        <v>30</v>
      </c>
      <c r="C78" t="s">
        <v>225</v>
      </c>
      <c r="D78" t="s">
        <v>91</v>
      </c>
      <c r="E78" t="s">
        <v>220</v>
      </c>
      <c r="F78" t="s">
        <v>219</v>
      </c>
      <c r="G78" t="s">
        <v>90</v>
      </c>
      <c r="H78" t="s">
        <v>91</v>
      </c>
      <c r="I78" t="s">
        <v>91</v>
      </c>
      <c r="J78" t="s">
        <v>91</v>
      </c>
      <c r="K78" t="s">
        <v>91</v>
      </c>
      <c r="L78">
        <v>15.109813351659801</v>
      </c>
      <c r="M78">
        <v>21.288196384263799</v>
      </c>
      <c r="N78">
        <v>23.753692793365001</v>
      </c>
      <c r="O78">
        <v>5.9949092065691403</v>
      </c>
      <c r="P78">
        <v>10.3738011367706</v>
      </c>
      <c r="Q78">
        <v>9.7831353866159994</v>
      </c>
      <c r="R78">
        <v>14.054175587048</v>
      </c>
      <c r="S78">
        <v>11.1713473818292</v>
      </c>
      <c r="T78">
        <v>14.4649606266766</v>
      </c>
      <c r="U78">
        <v>17.279089044774999</v>
      </c>
      <c r="V78">
        <v>15.8305235940675</v>
      </c>
      <c r="W78">
        <v>15.109813351659801</v>
      </c>
      <c r="X78">
        <v>0.840801522921234</v>
      </c>
      <c r="Y78">
        <v>7.2490837309838296</v>
      </c>
      <c r="Z78">
        <v>26.374219940342201</v>
      </c>
      <c r="AA78">
        <v>23.753692793365001</v>
      </c>
      <c r="AB78">
        <v>12.8865198650668</v>
      </c>
      <c r="AC78">
        <v>39.423867570026999</v>
      </c>
      <c r="AD78">
        <v>11.584974407499599</v>
      </c>
      <c r="AE78">
        <v>11.550832670949699</v>
      </c>
      <c r="AF78">
        <v>23.753692793365001</v>
      </c>
      <c r="AG78">
        <v>5.4670076083707402</v>
      </c>
      <c r="AH78">
        <v>98.418932416963202</v>
      </c>
      <c r="AI78">
        <v>27.754772306555498</v>
      </c>
      <c r="AJ78">
        <v>15.109813351659801</v>
      </c>
      <c r="AK78">
        <v>13.023325050350101</v>
      </c>
      <c r="AL78">
        <v>11.533115073411899</v>
      </c>
      <c r="AM78">
        <v>12.8854582455693</v>
      </c>
      <c r="AN78">
        <v>10.130714412369</v>
      </c>
      <c r="AO78">
        <v>4.3840428760374301</v>
      </c>
      <c r="AP78">
        <v>11.8118496882158</v>
      </c>
      <c r="AQ78">
        <v>7.4305456097544997</v>
      </c>
      <c r="AR78">
        <v>23.753692793365001</v>
      </c>
      <c r="AS78">
        <v>10.540587303090501</v>
      </c>
      <c r="AT78">
        <v>40.920709413244701</v>
      </c>
      <c r="AU78">
        <v>13.346382329003999</v>
      </c>
      <c r="AV78">
        <v>16.953355980639301</v>
      </c>
      <c r="AW78" t="s">
        <v>91</v>
      </c>
    </row>
    <row r="79" spans="1:49" ht="13.2">
      <c r="A79" t="s">
        <v>93</v>
      </c>
      <c r="B79" t="s">
        <v>30</v>
      </c>
      <c r="C79" t="s">
        <v>224</v>
      </c>
      <c r="D79" t="s">
        <v>91</v>
      </c>
      <c r="E79" t="s">
        <v>220</v>
      </c>
      <c r="F79" t="s">
        <v>219</v>
      </c>
      <c r="G79" t="s">
        <v>90</v>
      </c>
      <c r="H79" t="s">
        <v>91</v>
      </c>
      <c r="I79" t="s">
        <v>91</v>
      </c>
      <c r="J79" t="s">
        <v>91</v>
      </c>
      <c r="K79" t="s">
        <v>91</v>
      </c>
      <c r="L79"/>
      <c r="M79"/>
      <c r="N79"/>
      <c r="O79"/>
      <c r="P79"/>
      <c r="Q79"/>
      <c r="R79"/>
      <c r="S79"/>
      <c r="T79">
        <v>18.696217922535801</v>
      </c>
      <c r="U79">
        <v>14.3865908909723</v>
      </c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23.244303740467402</v>
      </c>
      <c r="AJ79"/>
      <c r="AK79"/>
      <c r="AL79"/>
      <c r="AM79">
        <v>16.066108133822802</v>
      </c>
      <c r="AN79"/>
      <c r="AO79">
        <v>8.2811861014813797</v>
      </c>
      <c r="AP79">
        <v>13.661108598079</v>
      </c>
      <c r="AQ79"/>
      <c r="AR79"/>
      <c r="AS79"/>
      <c r="AT79"/>
      <c r="AU79"/>
      <c r="AV79">
        <v>38.0625634040018</v>
      </c>
      <c r="AW79" t="s">
        <v>91</v>
      </c>
    </row>
    <row r="80" spans="1:49" ht="13.2">
      <c r="A80" t="s">
        <v>93</v>
      </c>
      <c r="B80" t="s">
        <v>30</v>
      </c>
      <c r="C80" t="s">
        <v>223</v>
      </c>
      <c r="D80" t="s">
        <v>91</v>
      </c>
      <c r="E80" t="s">
        <v>220</v>
      </c>
      <c r="F80" t="s">
        <v>219</v>
      </c>
      <c r="G80" t="s">
        <v>90</v>
      </c>
      <c r="H80" t="s">
        <v>91</v>
      </c>
      <c r="I80" t="s">
        <v>91</v>
      </c>
      <c r="J80" t="s">
        <v>91</v>
      </c>
      <c r="K80" t="s">
        <v>91</v>
      </c>
      <c r="L80">
        <v>3.0595050267446799</v>
      </c>
      <c r="M80">
        <v>1.5659906112170501</v>
      </c>
      <c r="N80">
        <v>6.7674854243124702</v>
      </c>
      <c r="O80">
        <v>0.53522085798034202</v>
      </c>
      <c r="P80">
        <v>1.1910728367518399</v>
      </c>
      <c r="Q80">
        <v>1.3524993024177501</v>
      </c>
      <c r="R80">
        <v>5.6488064473686501</v>
      </c>
      <c r="S80">
        <v>2.15033481324723</v>
      </c>
      <c r="T80">
        <v>2.7418781467083901</v>
      </c>
      <c r="U80">
        <v>1.75315116893009</v>
      </c>
      <c r="V80"/>
      <c r="W80">
        <v>3.0595050267446799</v>
      </c>
      <c r="X80">
        <v>2.7667343908509601</v>
      </c>
      <c r="Y80">
        <v>1.3416393648706</v>
      </c>
      <c r="Z80">
        <v>2.88422664324156</v>
      </c>
      <c r="AA80">
        <v>6.7674854243124702</v>
      </c>
      <c r="AB80">
        <v>2.3390040540945098</v>
      </c>
      <c r="AC80">
        <v>13.301357437826001</v>
      </c>
      <c r="AD80"/>
      <c r="AE80">
        <v>4.7235230506383301</v>
      </c>
      <c r="AF80">
        <v>6.7674854243124702</v>
      </c>
      <c r="AG80">
        <v>1.64368201541536</v>
      </c>
      <c r="AH80">
        <v>4.8530789123324798</v>
      </c>
      <c r="AI80">
        <v>2.2186425099624598</v>
      </c>
      <c r="AJ80">
        <v>3.0595050267446799</v>
      </c>
      <c r="AK80"/>
      <c r="AL80">
        <v>3.94451367887772</v>
      </c>
      <c r="AM80">
        <v>1.4421043952988</v>
      </c>
      <c r="AN80">
        <v>2.2901493667359798</v>
      </c>
      <c r="AO80">
        <v>1.0083866953562901</v>
      </c>
      <c r="AP80">
        <v>2.8941498150512399</v>
      </c>
      <c r="AQ80">
        <v>1.07487178866765</v>
      </c>
      <c r="AR80">
        <v>6.7674854243124702</v>
      </c>
      <c r="AS80">
        <v>1.2266647323567601</v>
      </c>
      <c r="AT80">
        <v>3.1772114825955802</v>
      </c>
      <c r="AU80">
        <v>1.7340622981087099</v>
      </c>
      <c r="AV80">
        <v>3.58163121318765</v>
      </c>
      <c r="AW80" t="s">
        <v>91</v>
      </c>
    </row>
    <row r="81" spans="1:49" ht="13.2">
      <c r="A81" t="s">
        <v>93</v>
      </c>
      <c r="B81" t="s">
        <v>30</v>
      </c>
      <c r="C81" t="s">
        <v>221</v>
      </c>
      <c r="D81" t="s">
        <v>91</v>
      </c>
      <c r="E81" t="s">
        <v>220</v>
      </c>
      <c r="F81" t="s">
        <v>219</v>
      </c>
      <c r="G81" t="s">
        <v>90</v>
      </c>
      <c r="H81" t="s">
        <v>91</v>
      </c>
      <c r="I81" t="s">
        <v>91</v>
      </c>
      <c r="J81" t="s">
        <v>91</v>
      </c>
      <c r="K81" t="s">
        <v>91</v>
      </c>
      <c r="L81">
        <v>7.8760562666369296</v>
      </c>
      <c r="M81">
        <v>3.2445654120714198</v>
      </c>
      <c r="N81">
        <v>7.6462312480550301</v>
      </c>
      <c r="O81">
        <v>4.4298610833747603</v>
      </c>
      <c r="P81">
        <v>3.1484170140394299</v>
      </c>
      <c r="Q81">
        <v>3.0052331033668702</v>
      </c>
      <c r="R81">
        <v>5.3900111987146797</v>
      </c>
      <c r="S81">
        <v>4.0744282992761098</v>
      </c>
      <c r="T81">
        <v>3.0055854179905599</v>
      </c>
      <c r="U81">
        <v>3.7974360516926402</v>
      </c>
      <c r="V81">
        <v>4.7671192412664301</v>
      </c>
      <c r="W81">
        <v>7.8760562666369296</v>
      </c>
      <c r="X81">
        <v>5.9261677442778904</v>
      </c>
      <c r="Y81">
        <v>2.8686141582779898</v>
      </c>
      <c r="Z81">
        <v>7.7853274956903</v>
      </c>
      <c r="AA81">
        <v>7.6462312480550301</v>
      </c>
      <c r="AB81">
        <v>4.6885261033932704</v>
      </c>
      <c r="AC81">
        <v>18.374716862843901</v>
      </c>
      <c r="AD81">
        <v>2.15696790636897</v>
      </c>
      <c r="AE81">
        <v>5.30039647370167</v>
      </c>
      <c r="AF81">
        <v>7.6462312480550301</v>
      </c>
      <c r="AG81">
        <v>2.9819981741155499</v>
      </c>
      <c r="AH81">
        <v>15.9405295386183</v>
      </c>
      <c r="AI81">
        <v>3.1093269375706898</v>
      </c>
      <c r="AJ81">
        <v>7.8760562666369296</v>
      </c>
      <c r="AK81">
        <v>2.4954061911657601</v>
      </c>
      <c r="AL81">
        <v>4.0454531509860203</v>
      </c>
      <c r="AM81">
        <v>2.6064476377705699</v>
      </c>
      <c r="AN81">
        <v>4.6545641281048997</v>
      </c>
      <c r="AO81">
        <v>2.1108678970240602</v>
      </c>
      <c r="AP81">
        <v>5.0012979015064003</v>
      </c>
      <c r="AQ81">
        <v>2.3494097086909398</v>
      </c>
      <c r="AR81">
        <v>7.6462312480550301</v>
      </c>
      <c r="AS81">
        <v>2.7978689634781202</v>
      </c>
      <c r="AT81">
        <v>3.9710831115954699</v>
      </c>
      <c r="AU81">
        <v>3.1108676086348699</v>
      </c>
      <c r="AV81">
        <v>6.1446707545172501</v>
      </c>
      <c r="AW81" t="s">
        <v>91</v>
      </c>
    </row>
    <row r="82" spans="1:49" ht="13.2">
      <c r="A82" t="s">
        <v>93</v>
      </c>
      <c r="B82" t="s">
        <v>70</v>
      </c>
      <c r="C82" t="s">
        <v>92</v>
      </c>
      <c r="D82" t="s">
        <v>91</v>
      </c>
      <c r="E82" t="s">
        <v>91</v>
      </c>
      <c r="F82" t="s">
        <v>91</v>
      </c>
      <c r="G82" t="s">
        <v>91</v>
      </c>
      <c r="H82" t="s">
        <v>91</v>
      </c>
      <c r="I82" t="s">
        <v>91</v>
      </c>
      <c r="J82" t="s">
        <v>91</v>
      </c>
      <c r="K82" t="s">
        <v>91</v>
      </c>
      <c r="L82">
        <v>0.001</v>
      </c>
      <c r="M82">
        <v>0.001</v>
      </c>
      <c r="N82">
        <v>0.001</v>
      </c>
      <c r="O82">
        <v>0.001</v>
      </c>
      <c r="P82">
        <v>0.001</v>
      </c>
      <c r="Q82">
        <v>0.001</v>
      </c>
      <c r="R82">
        <v>0.001</v>
      </c>
      <c r="S82">
        <v>0.001</v>
      </c>
      <c r="T82">
        <v>0.001</v>
      </c>
      <c r="U82">
        <v>0.001</v>
      </c>
      <c r="V82">
        <v>0.001</v>
      </c>
      <c r="W82">
        <v>0.001</v>
      </c>
      <c r="X82">
        <v>0.001</v>
      </c>
      <c r="Y82">
        <v>0.001</v>
      </c>
      <c r="Z82">
        <v>0.001</v>
      </c>
      <c r="AA82">
        <v>0.001</v>
      </c>
      <c r="AB82">
        <v>0.001</v>
      </c>
      <c r="AC82">
        <v>0.001</v>
      </c>
      <c r="AD82">
        <v>0.001</v>
      </c>
      <c r="AE82">
        <v>0.001</v>
      </c>
      <c r="AF82">
        <v>0.001</v>
      </c>
      <c r="AG82">
        <v>0.001</v>
      </c>
      <c r="AH82">
        <v>0.001</v>
      </c>
      <c r="AI82">
        <v>0.001</v>
      </c>
      <c r="AJ82">
        <v>0.001</v>
      </c>
      <c r="AK82">
        <v>0.001</v>
      </c>
      <c r="AL82">
        <v>0.001</v>
      </c>
      <c r="AM82">
        <v>0.001</v>
      </c>
      <c r="AN82">
        <v>0.001</v>
      </c>
      <c r="AO82">
        <v>0.001</v>
      </c>
      <c r="AP82">
        <v>0.001</v>
      </c>
      <c r="AQ82">
        <v>0.001</v>
      </c>
      <c r="AR82">
        <v>0.001</v>
      </c>
      <c r="AS82">
        <v>0.001</v>
      </c>
      <c r="AT82">
        <v>0.001</v>
      </c>
      <c r="AU82">
        <v>0.001</v>
      </c>
      <c r="AV82">
        <v>0.001</v>
      </c>
      <c r="AW82" t="s">
        <v>91</v>
      </c>
    </row>
    <row r="83" spans="1:49" ht="13.2">
      <c r="A83" t="s">
        <v>93</v>
      </c>
      <c r="B83" t="s">
        <v>70</v>
      </c>
      <c r="C83" t="s">
        <v>89</v>
      </c>
      <c r="D83" t="s">
        <v>91</v>
      </c>
      <c r="E83" t="s">
        <v>91</v>
      </c>
      <c r="F83" t="s">
        <v>91</v>
      </c>
      <c r="G83" t="s">
        <v>91</v>
      </c>
      <c r="H83" t="s">
        <v>91</v>
      </c>
      <c r="I83" t="s">
        <v>91</v>
      </c>
      <c r="J83" t="s">
        <v>91</v>
      </c>
      <c r="K83" t="s">
        <v>91</v>
      </c>
      <c r="L83">
        <v>0.001</v>
      </c>
      <c r="M83">
        <v>0.001</v>
      </c>
      <c r="N83">
        <v>0.001</v>
      </c>
      <c r="O83">
        <v>0.001</v>
      </c>
      <c r="P83">
        <v>0.001</v>
      </c>
      <c r="Q83">
        <v>0.001</v>
      </c>
      <c r="R83">
        <v>0.001</v>
      </c>
      <c r="S83">
        <v>0.001</v>
      </c>
      <c r="T83">
        <v>0.001</v>
      </c>
      <c r="U83">
        <v>0.001</v>
      </c>
      <c r="V83">
        <v>0.001</v>
      </c>
      <c r="W83">
        <v>0.001</v>
      </c>
      <c r="X83">
        <v>0.001</v>
      </c>
      <c r="Y83">
        <v>0.001</v>
      </c>
      <c r="Z83">
        <v>0.001</v>
      </c>
      <c r="AA83">
        <v>0.001</v>
      </c>
      <c r="AB83">
        <v>0.001</v>
      </c>
      <c r="AC83">
        <v>0.001</v>
      </c>
      <c r="AD83">
        <v>0.001</v>
      </c>
      <c r="AE83">
        <v>0.001</v>
      </c>
      <c r="AF83">
        <v>0.001</v>
      </c>
      <c r="AG83">
        <v>0.001</v>
      </c>
      <c r="AH83">
        <v>0.001</v>
      </c>
      <c r="AI83">
        <v>0.001</v>
      </c>
      <c r="AJ83">
        <v>0.001</v>
      </c>
      <c r="AK83">
        <v>0.001</v>
      </c>
      <c r="AL83">
        <v>0.001</v>
      </c>
      <c r="AM83">
        <v>0.001</v>
      </c>
      <c r="AN83">
        <v>0.001</v>
      </c>
      <c r="AO83">
        <v>0.001</v>
      </c>
      <c r="AP83">
        <v>0.001</v>
      </c>
      <c r="AQ83">
        <v>0.001</v>
      </c>
      <c r="AR83">
        <v>0.001</v>
      </c>
      <c r="AS83">
        <v>0.001</v>
      </c>
      <c r="AT83">
        <v>0.001</v>
      </c>
      <c r="AU83">
        <v>0.001</v>
      </c>
      <c r="AV83">
        <v>0.001</v>
      </c>
      <c r="AW83" t="s">
        <v>91</v>
      </c>
    </row>
    <row r="84" spans="1:49" ht="13.2">
      <c r="A84" t="s">
        <v>93</v>
      </c>
      <c r="B84" t="s">
        <v>70</v>
      </c>
      <c r="C84" t="s">
        <v>56</v>
      </c>
      <c r="D84" t="s">
        <v>91</v>
      </c>
      <c r="E84" t="s">
        <v>91</v>
      </c>
      <c r="F84" t="s">
        <v>91</v>
      </c>
      <c r="G84" t="s">
        <v>91</v>
      </c>
      <c r="H84" t="s">
        <v>91</v>
      </c>
      <c r="I84" t="s">
        <v>91</v>
      </c>
      <c r="J84" t="s">
        <v>91</v>
      </c>
      <c r="K84" t="s">
        <v>91</v>
      </c>
      <c r="L84">
        <v>0.001</v>
      </c>
      <c r="M84">
        <v>0.001</v>
      </c>
      <c r="N84">
        <v>0.001</v>
      </c>
      <c r="O84">
        <v>0.001</v>
      </c>
      <c r="P84">
        <v>0.001</v>
      </c>
      <c r="Q84">
        <v>0.001</v>
      </c>
      <c r="R84">
        <v>0.001</v>
      </c>
      <c r="S84">
        <v>0.001</v>
      </c>
      <c r="T84">
        <v>0.001</v>
      </c>
      <c r="U84">
        <v>0.001</v>
      </c>
      <c r="V84">
        <v>0.001</v>
      </c>
      <c r="W84">
        <v>0.001</v>
      </c>
      <c r="X84">
        <v>0.001</v>
      </c>
      <c r="Y84">
        <v>0.001</v>
      </c>
      <c r="Z84">
        <v>0.001</v>
      </c>
      <c r="AA84">
        <v>0.001</v>
      </c>
      <c r="AB84">
        <v>0.001</v>
      </c>
      <c r="AC84">
        <v>0.001</v>
      </c>
      <c r="AD84">
        <v>0.001</v>
      </c>
      <c r="AE84">
        <v>0.001</v>
      </c>
      <c r="AF84">
        <v>0.001</v>
      </c>
      <c r="AG84">
        <v>0.001</v>
      </c>
      <c r="AH84">
        <v>0.001</v>
      </c>
      <c r="AI84">
        <v>0.001</v>
      </c>
      <c r="AJ84">
        <v>0.001</v>
      </c>
      <c r="AK84">
        <v>0.001</v>
      </c>
      <c r="AL84">
        <v>0.001</v>
      </c>
      <c r="AM84">
        <v>0.001</v>
      </c>
      <c r="AN84">
        <v>0.001</v>
      </c>
      <c r="AO84">
        <v>0.001</v>
      </c>
      <c r="AP84">
        <v>0.001</v>
      </c>
      <c r="AQ84">
        <v>0.001</v>
      </c>
      <c r="AR84">
        <v>0.001</v>
      </c>
      <c r="AS84">
        <v>0.001</v>
      </c>
      <c r="AT84">
        <v>0.001</v>
      </c>
      <c r="AU84">
        <v>0.001</v>
      </c>
      <c r="AV84">
        <v>0.001</v>
      </c>
      <c r="AW84" t="s">
        <v>91</v>
      </c>
    </row>
    <row r="85" spans="1:49" ht="13.2">
      <c r="A85" t="s">
        <v>93</v>
      </c>
      <c r="B85" t="s">
        <v>70</v>
      </c>
      <c r="C85" t="s">
        <v>55</v>
      </c>
      <c r="D85" t="s">
        <v>91</v>
      </c>
      <c r="E85" t="s">
        <v>91</v>
      </c>
      <c r="F85" t="s">
        <v>91</v>
      </c>
      <c r="G85" t="s">
        <v>91</v>
      </c>
      <c r="H85" t="s">
        <v>91</v>
      </c>
      <c r="I85" t="s">
        <v>91</v>
      </c>
      <c r="J85" t="s">
        <v>91</v>
      </c>
      <c r="K85" t="s">
        <v>91</v>
      </c>
      <c r="L85">
        <v>0.001</v>
      </c>
      <c r="M85">
        <v>0.001</v>
      </c>
      <c r="N85">
        <v>0.001</v>
      </c>
      <c r="O85">
        <v>0.001</v>
      </c>
      <c r="P85">
        <v>0.001</v>
      </c>
      <c r="Q85">
        <v>0.001</v>
      </c>
      <c r="R85">
        <v>0.001</v>
      </c>
      <c r="S85">
        <v>0.001</v>
      </c>
      <c r="T85">
        <v>0.001</v>
      </c>
      <c r="U85">
        <v>0.001</v>
      </c>
      <c r="V85">
        <v>0.001</v>
      </c>
      <c r="W85">
        <v>0.001</v>
      </c>
      <c r="X85">
        <v>0.001</v>
      </c>
      <c r="Y85">
        <v>0.001</v>
      </c>
      <c r="Z85">
        <v>0.001</v>
      </c>
      <c r="AA85">
        <v>0.001</v>
      </c>
      <c r="AB85">
        <v>0.001</v>
      </c>
      <c r="AC85">
        <v>0.001</v>
      </c>
      <c r="AD85">
        <v>0.001</v>
      </c>
      <c r="AE85">
        <v>0.001</v>
      </c>
      <c r="AF85">
        <v>0.001</v>
      </c>
      <c r="AG85">
        <v>0.001</v>
      </c>
      <c r="AH85">
        <v>0.001</v>
      </c>
      <c r="AI85">
        <v>0.001</v>
      </c>
      <c r="AJ85">
        <v>0.001</v>
      </c>
      <c r="AK85">
        <v>0.001</v>
      </c>
      <c r="AL85">
        <v>0.001</v>
      </c>
      <c r="AM85">
        <v>0.001</v>
      </c>
      <c r="AN85">
        <v>0.001</v>
      </c>
      <c r="AO85">
        <v>0.001</v>
      </c>
      <c r="AP85">
        <v>0.001</v>
      </c>
      <c r="AQ85">
        <v>0.001</v>
      </c>
      <c r="AR85">
        <v>0.001</v>
      </c>
      <c r="AS85">
        <v>0.001</v>
      </c>
      <c r="AT85">
        <v>0.001</v>
      </c>
      <c r="AU85">
        <v>0.001</v>
      </c>
      <c r="AV85">
        <v>0.001</v>
      </c>
      <c r="AW85" t="s">
        <v>91</v>
      </c>
    </row>
    <row r="86" spans="1:49" ht="13.2">
      <c r="A86" t="s">
        <v>93</v>
      </c>
      <c r="B86" t="s">
        <v>70</v>
      </c>
      <c r="C86" t="s">
        <v>76</v>
      </c>
      <c r="D86" t="s">
        <v>91</v>
      </c>
      <c r="E86" t="s">
        <v>91</v>
      </c>
      <c r="F86" t="s">
        <v>91</v>
      </c>
      <c r="G86" t="s">
        <v>91</v>
      </c>
      <c r="H86" t="s">
        <v>91</v>
      </c>
      <c r="I86" t="s">
        <v>91</v>
      </c>
      <c r="J86" t="s">
        <v>91</v>
      </c>
      <c r="K86" t="s">
        <v>91</v>
      </c>
      <c r="L86">
        <v>0.001</v>
      </c>
      <c r="M86">
        <v>0.001</v>
      </c>
      <c r="N86">
        <v>0.001</v>
      </c>
      <c r="O86">
        <v>0.001</v>
      </c>
      <c r="P86">
        <v>0.001</v>
      </c>
      <c r="Q86">
        <v>0.001</v>
      </c>
      <c r="R86">
        <v>0.001</v>
      </c>
      <c r="S86">
        <v>0.001</v>
      </c>
      <c r="T86">
        <v>0.001</v>
      </c>
      <c r="U86">
        <v>0.001</v>
      </c>
      <c r="V86">
        <v>0.001</v>
      </c>
      <c r="W86">
        <v>0.001</v>
      </c>
      <c r="X86">
        <v>0.001</v>
      </c>
      <c r="Y86">
        <v>0.001</v>
      </c>
      <c r="Z86">
        <v>0.001</v>
      </c>
      <c r="AA86">
        <v>0.001</v>
      </c>
      <c r="AB86">
        <v>0.001</v>
      </c>
      <c r="AC86">
        <v>0.001</v>
      </c>
      <c r="AD86">
        <v>0.001</v>
      </c>
      <c r="AE86">
        <v>0.001</v>
      </c>
      <c r="AF86">
        <v>0.001</v>
      </c>
      <c r="AG86">
        <v>0.001</v>
      </c>
      <c r="AH86">
        <v>0.001</v>
      </c>
      <c r="AI86">
        <v>0.001</v>
      </c>
      <c r="AJ86">
        <v>0.001</v>
      </c>
      <c r="AK86">
        <v>0.001</v>
      </c>
      <c r="AL86">
        <v>0.001</v>
      </c>
      <c r="AM86">
        <v>0.001</v>
      </c>
      <c r="AN86">
        <v>0.001</v>
      </c>
      <c r="AO86">
        <v>0.001</v>
      </c>
      <c r="AP86">
        <v>0.001</v>
      </c>
      <c r="AQ86">
        <v>0.001</v>
      </c>
      <c r="AR86">
        <v>0.001</v>
      </c>
      <c r="AS86">
        <v>0.001</v>
      </c>
      <c r="AT86">
        <v>0.001</v>
      </c>
      <c r="AU86">
        <v>0.001</v>
      </c>
      <c r="AV86">
        <v>0.001</v>
      </c>
      <c r="AW86" t="s">
        <v>91</v>
      </c>
    </row>
    <row r="87" spans="1:49" ht="13.2">
      <c r="A87" t="s">
        <v>93</v>
      </c>
      <c r="B87" t="s">
        <v>70</v>
      </c>
      <c r="C87" t="s">
        <v>75</v>
      </c>
      <c r="D87" t="s">
        <v>91</v>
      </c>
      <c r="E87" t="s">
        <v>91</v>
      </c>
      <c r="F87" t="s">
        <v>91</v>
      </c>
      <c r="G87" t="s">
        <v>91</v>
      </c>
      <c r="H87" t="s">
        <v>91</v>
      </c>
      <c r="I87" t="s">
        <v>91</v>
      </c>
      <c r="J87" t="s">
        <v>91</v>
      </c>
      <c r="K87" t="s">
        <v>91</v>
      </c>
      <c r="L87">
        <v>0.001</v>
      </c>
      <c r="M87">
        <v>0.001</v>
      </c>
      <c r="N87">
        <v>0.001</v>
      </c>
      <c r="O87">
        <v>0.001</v>
      </c>
      <c r="P87">
        <v>0.001</v>
      </c>
      <c r="Q87">
        <v>0.001</v>
      </c>
      <c r="R87">
        <v>0.001</v>
      </c>
      <c r="S87">
        <v>0.001</v>
      </c>
      <c r="T87">
        <v>0.001</v>
      </c>
      <c r="U87">
        <v>0.001</v>
      </c>
      <c r="V87">
        <v>0.001</v>
      </c>
      <c r="W87">
        <v>0.001</v>
      </c>
      <c r="X87">
        <v>0.001</v>
      </c>
      <c r="Y87">
        <v>0.001</v>
      </c>
      <c r="Z87">
        <v>0.001</v>
      </c>
      <c r="AA87">
        <v>0.001</v>
      </c>
      <c r="AB87">
        <v>0.001</v>
      </c>
      <c r="AC87">
        <v>0.001</v>
      </c>
      <c r="AD87">
        <v>0.001</v>
      </c>
      <c r="AE87">
        <v>0.001</v>
      </c>
      <c r="AF87">
        <v>0.001</v>
      </c>
      <c r="AG87">
        <v>0.001</v>
      </c>
      <c r="AH87">
        <v>0.001</v>
      </c>
      <c r="AI87">
        <v>0.001</v>
      </c>
      <c r="AJ87">
        <v>0.001</v>
      </c>
      <c r="AK87">
        <v>0.001</v>
      </c>
      <c r="AL87">
        <v>0.001</v>
      </c>
      <c r="AM87">
        <v>0.001</v>
      </c>
      <c r="AN87">
        <v>0.001</v>
      </c>
      <c r="AO87">
        <v>0.001</v>
      </c>
      <c r="AP87">
        <v>0.001</v>
      </c>
      <c r="AQ87">
        <v>0.001</v>
      </c>
      <c r="AR87">
        <v>0.001</v>
      </c>
      <c r="AS87">
        <v>0.001</v>
      </c>
      <c r="AT87">
        <v>0.001</v>
      </c>
      <c r="AU87">
        <v>0.001</v>
      </c>
      <c r="AV87">
        <v>0.001</v>
      </c>
      <c r="AW87" t="s">
        <v>91</v>
      </c>
    </row>
    <row r="88" spans="1:49" ht="13.2">
      <c r="A88" t="s">
        <v>93</v>
      </c>
      <c r="B88" t="s">
        <v>70</v>
      </c>
      <c r="C88" t="s">
        <v>54</v>
      </c>
      <c r="D88" t="s">
        <v>91</v>
      </c>
      <c r="E88" t="s">
        <v>91</v>
      </c>
      <c r="F88" t="s">
        <v>91</v>
      </c>
      <c r="G88" t="s">
        <v>91</v>
      </c>
      <c r="H88" t="s">
        <v>91</v>
      </c>
      <c r="I88" t="s">
        <v>91</v>
      </c>
      <c r="J88" t="s">
        <v>91</v>
      </c>
      <c r="K88" t="s">
        <v>91</v>
      </c>
      <c r="L88">
        <v>0.001</v>
      </c>
      <c r="M88">
        <v>0.001</v>
      </c>
      <c r="N88">
        <v>0.001</v>
      </c>
      <c r="O88">
        <v>0.001</v>
      </c>
      <c r="P88">
        <v>0.001</v>
      </c>
      <c r="Q88">
        <v>0.001</v>
      </c>
      <c r="R88">
        <v>0.001</v>
      </c>
      <c r="S88">
        <v>0.001</v>
      </c>
      <c r="T88">
        <v>0.001</v>
      </c>
      <c r="U88">
        <v>0.001</v>
      </c>
      <c r="V88">
        <v>0.001</v>
      </c>
      <c r="W88">
        <v>0.001</v>
      </c>
      <c r="X88">
        <v>0.001</v>
      </c>
      <c r="Y88">
        <v>0.001</v>
      </c>
      <c r="Z88">
        <v>0.001</v>
      </c>
      <c r="AA88">
        <v>0.001</v>
      </c>
      <c r="AB88">
        <v>0.001</v>
      </c>
      <c r="AC88">
        <v>0.001</v>
      </c>
      <c r="AD88">
        <v>0.001</v>
      </c>
      <c r="AE88">
        <v>0.001</v>
      </c>
      <c r="AF88">
        <v>0.001</v>
      </c>
      <c r="AG88">
        <v>0.001</v>
      </c>
      <c r="AH88">
        <v>0.001</v>
      </c>
      <c r="AI88">
        <v>0.001</v>
      </c>
      <c r="AJ88">
        <v>0.001</v>
      </c>
      <c r="AK88">
        <v>0.001</v>
      </c>
      <c r="AL88">
        <v>0.001</v>
      </c>
      <c r="AM88">
        <v>0.001</v>
      </c>
      <c r="AN88">
        <v>0.001</v>
      </c>
      <c r="AO88">
        <v>0.001</v>
      </c>
      <c r="AP88">
        <v>0.001</v>
      </c>
      <c r="AQ88">
        <v>0.001</v>
      </c>
      <c r="AR88">
        <v>0.001</v>
      </c>
      <c r="AS88">
        <v>0.001</v>
      </c>
      <c r="AT88">
        <v>0.001</v>
      </c>
      <c r="AU88">
        <v>0.001</v>
      </c>
      <c r="AV88">
        <v>0.001</v>
      </c>
      <c r="AW88" t="s">
        <v>91</v>
      </c>
    </row>
    <row r="89" spans="1:49" ht="13.2">
      <c r="A89" t="s">
        <v>93</v>
      </c>
      <c r="B89" t="s">
        <v>70</v>
      </c>
      <c r="C89" t="s">
        <v>53</v>
      </c>
      <c r="D89" t="s">
        <v>91</v>
      </c>
      <c r="E89" t="s">
        <v>91</v>
      </c>
      <c r="F89" t="s">
        <v>91</v>
      </c>
      <c r="G89" t="s">
        <v>91</v>
      </c>
      <c r="H89" t="s">
        <v>91</v>
      </c>
      <c r="I89" t="s">
        <v>91</v>
      </c>
      <c r="J89" t="s">
        <v>91</v>
      </c>
      <c r="K89" t="s">
        <v>91</v>
      </c>
      <c r="L89">
        <v>0.001</v>
      </c>
      <c r="M89">
        <v>0.001</v>
      </c>
      <c r="N89">
        <v>0.001</v>
      </c>
      <c r="O89">
        <v>0.001</v>
      </c>
      <c r="P89">
        <v>0.001</v>
      </c>
      <c r="Q89">
        <v>0.001</v>
      </c>
      <c r="R89">
        <v>0.001</v>
      </c>
      <c r="S89">
        <v>0.001</v>
      </c>
      <c r="T89">
        <v>0.001</v>
      </c>
      <c r="U89">
        <v>0.001</v>
      </c>
      <c r="V89">
        <v>0.001</v>
      </c>
      <c r="W89">
        <v>0.001</v>
      </c>
      <c r="X89">
        <v>0.001</v>
      </c>
      <c r="Y89">
        <v>0.001</v>
      </c>
      <c r="Z89">
        <v>0.001</v>
      </c>
      <c r="AA89">
        <v>0.001</v>
      </c>
      <c r="AB89">
        <v>0.001</v>
      </c>
      <c r="AC89">
        <v>0.001</v>
      </c>
      <c r="AD89">
        <v>0.001</v>
      </c>
      <c r="AE89">
        <v>0.001</v>
      </c>
      <c r="AF89">
        <v>0.001</v>
      </c>
      <c r="AG89">
        <v>0.001</v>
      </c>
      <c r="AH89">
        <v>0.001</v>
      </c>
      <c r="AI89">
        <v>0.001</v>
      </c>
      <c r="AJ89">
        <v>0.001</v>
      </c>
      <c r="AK89">
        <v>0.001</v>
      </c>
      <c r="AL89">
        <v>0.001</v>
      </c>
      <c r="AM89">
        <v>0.001</v>
      </c>
      <c r="AN89">
        <v>0.001</v>
      </c>
      <c r="AO89">
        <v>0.001</v>
      </c>
      <c r="AP89">
        <v>0.001</v>
      </c>
      <c r="AQ89">
        <v>0.001</v>
      </c>
      <c r="AR89">
        <v>0.001</v>
      </c>
      <c r="AS89">
        <v>0.001</v>
      </c>
      <c r="AT89">
        <v>0.001</v>
      </c>
      <c r="AU89">
        <v>0.001</v>
      </c>
      <c r="AV89">
        <v>0.001</v>
      </c>
      <c r="AW89" t="s">
        <v>91</v>
      </c>
    </row>
    <row r="90" spans="1:49" ht="13.2">
      <c r="A90" t="s">
        <v>93</v>
      </c>
      <c r="B90" t="s">
        <v>70</v>
      </c>
      <c r="C90" t="s">
        <v>57</v>
      </c>
      <c r="D90" t="s">
        <v>91</v>
      </c>
      <c r="E90" t="s">
        <v>91</v>
      </c>
      <c r="F90" t="s">
        <v>91</v>
      </c>
      <c r="G90" t="s">
        <v>91</v>
      </c>
      <c r="H90" t="s">
        <v>91</v>
      </c>
      <c r="I90" t="s">
        <v>91</v>
      </c>
      <c r="J90" t="s">
        <v>91</v>
      </c>
      <c r="K90" t="s">
        <v>91</v>
      </c>
      <c r="L90">
        <v>0.001</v>
      </c>
      <c r="M90">
        <v>0.001</v>
      </c>
      <c r="N90">
        <v>0.001</v>
      </c>
      <c r="O90">
        <v>0.001</v>
      </c>
      <c r="P90">
        <v>0.001</v>
      </c>
      <c r="Q90">
        <v>0.001</v>
      </c>
      <c r="R90">
        <v>0.001</v>
      </c>
      <c r="S90">
        <v>0.001</v>
      </c>
      <c r="T90">
        <v>0.001</v>
      </c>
      <c r="U90">
        <v>0.001</v>
      </c>
      <c r="V90">
        <v>0.001</v>
      </c>
      <c r="W90">
        <v>0.001</v>
      </c>
      <c r="X90">
        <v>0.001</v>
      </c>
      <c r="Y90">
        <v>0.001</v>
      </c>
      <c r="Z90">
        <v>0.001</v>
      </c>
      <c r="AA90">
        <v>0.001</v>
      </c>
      <c r="AB90">
        <v>0.001</v>
      </c>
      <c r="AC90">
        <v>0.001</v>
      </c>
      <c r="AD90">
        <v>0.001</v>
      </c>
      <c r="AE90">
        <v>0.001</v>
      </c>
      <c r="AF90">
        <v>0.001</v>
      </c>
      <c r="AG90">
        <v>0.001</v>
      </c>
      <c r="AH90">
        <v>0.001</v>
      </c>
      <c r="AI90">
        <v>0.001</v>
      </c>
      <c r="AJ90">
        <v>0.001</v>
      </c>
      <c r="AK90">
        <v>0.001</v>
      </c>
      <c r="AL90">
        <v>0.001</v>
      </c>
      <c r="AM90">
        <v>0.001</v>
      </c>
      <c r="AN90">
        <v>0.001</v>
      </c>
      <c r="AO90">
        <v>0.001</v>
      </c>
      <c r="AP90">
        <v>0.001</v>
      </c>
      <c r="AQ90">
        <v>0.001</v>
      </c>
      <c r="AR90">
        <v>0.001</v>
      </c>
      <c r="AS90">
        <v>0.001</v>
      </c>
      <c r="AT90">
        <v>0.001</v>
      </c>
      <c r="AU90">
        <v>0.001</v>
      </c>
      <c r="AV90">
        <v>0.001</v>
      </c>
      <c r="AW90" t="s">
        <v>91</v>
      </c>
    </row>
    <row r="91" spans="1:49" ht="13.2">
      <c r="A91" t="s">
        <v>93</v>
      </c>
      <c r="B91" t="s">
        <v>70</v>
      </c>
      <c r="C91" t="s">
        <v>58</v>
      </c>
      <c r="D91" t="s">
        <v>91</v>
      </c>
      <c r="E91" t="s">
        <v>91</v>
      </c>
      <c r="F91" t="s">
        <v>91</v>
      </c>
      <c r="G91" t="s">
        <v>91</v>
      </c>
      <c r="H91" t="s">
        <v>91</v>
      </c>
      <c r="I91" t="s">
        <v>91</v>
      </c>
      <c r="J91" t="s">
        <v>91</v>
      </c>
      <c r="K91" t="s">
        <v>91</v>
      </c>
      <c r="L91">
        <v>0.001</v>
      </c>
      <c r="M91">
        <v>0.001</v>
      </c>
      <c r="N91">
        <v>0.001</v>
      </c>
      <c r="O91">
        <v>0.001</v>
      </c>
      <c r="P91">
        <v>0.001</v>
      </c>
      <c r="Q91">
        <v>0.001</v>
      </c>
      <c r="R91">
        <v>0.001</v>
      </c>
      <c r="S91">
        <v>0.001</v>
      </c>
      <c r="T91">
        <v>0.001</v>
      </c>
      <c r="U91">
        <v>0.001</v>
      </c>
      <c r="V91">
        <v>0.001</v>
      </c>
      <c r="W91">
        <v>0.001</v>
      </c>
      <c r="X91">
        <v>0.001</v>
      </c>
      <c r="Y91">
        <v>0.001</v>
      </c>
      <c r="Z91">
        <v>0.001</v>
      </c>
      <c r="AA91">
        <v>0.001</v>
      </c>
      <c r="AB91">
        <v>0.001</v>
      </c>
      <c r="AC91">
        <v>0.001</v>
      </c>
      <c r="AD91">
        <v>0.001</v>
      </c>
      <c r="AE91">
        <v>0.001</v>
      </c>
      <c r="AF91">
        <v>0.001</v>
      </c>
      <c r="AG91">
        <v>0.001</v>
      </c>
      <c r="AH91">
        <v>0.001</v>
      </c>
      <c r="AI91">
        <v>0.001</v>
      </c>
      <c r="AJ91">
        <v>0.001</v>
      </c>
      <c r="AK91">
        <v>0.001</v>
      </c>
      <c r="AL91">
        <v>0.001</v>
      </c>
      <c r="AM91">
        <v>0.001</v>
      </c>
      <c r="AN91">
        <v>0.001</v>
      </c>
      <c r="AO91">
        <v>0.001</v>
      </c>
      <c r="AP91">
        <v>0.001</v>
      </c>
      <c r="AQ91">
        <v>0.001</v>
      </c>
      <c r="AR91">
        <v>0.001</v>
      </c>
      <c r="AS91">
        <v>0.001</v>
      </c>
      <c r="AT91">
        <v>0.001</v>
      </c>
      <c r="AU91">
        <v>0.001</v>
      </c>
      <c r="AV91">
        <v>0.001</v>
      </c>
      <c r="AW91" t="s">
        <v>91</v>
      </c>
    </row>
    <row r="92" spans="1:49" ht="13.2">
      <c r="A92" t="s">
        <v>93</v>
      </c>
      <c r="B92" t="s">
        <v>70</v>
      </c>
      <c r="C92" t="s">
        <v>59</v>
      </c>
      <c r="D92" t="s">
        <v>91</v>
      </c>
      <c r="E92" t="s">
        <v>91</v>
      </c>
      <c r="F92" t="s">
        <v>91</v>
      </c>
      <c r="G92" t="s">
        <v>91</v>
      </c>
      <c r="H92" t="s">
        <v>91</v>
      </c>
      <c r="I92" t="s">
        <v>91</v>
      </c>
      <c r="J92" t="s">
        <v>91</v>
      </c>
      <c r="K92" t="s">
        <v>91</v>
      </c>
      <c r="L92">
        <v>0.001</v>
      </c>
      <c r="M92">
        <v>0.001</v>
      </c>
      <c r="N92">
        <v>0.001</v>
      </c>
      <c r="O92">
        <v>0.001</v>
      </c>
      <c r="P92">
        <v>0.001</v>
      </c>
      <c r="Q92">
        <v>0.001</v>
      </c>
      <c r="R92">
        <v>0.001</v>
      </c>
      <c r="S92">
        <v>0.001</v>
      </c>
      <c r="T92">
        <v>0.001</v>
      </c>
      <c r="U92">
        <v>0.001</v>
      </c>
      <c r="V92">
        <v>0.001</v>
      </c>
      <c r="W92">
        <v>0.001</v>
      </c>
      <c r="X92">
        <v>0.001</v>
      </c>
      <c r="Y92">
        <v>0.001</v>
      </c>
      <c r="Z92">
        <v>0.001</v>
      </c>
      <c r="AA92">
        <v>0.001</v>
      </c>
      <c r="AB92">
        <v>0.001</v>
      </c>
      <c r="AC92">
        <v>0.001</v>
      </c>
      <c r="AD92">
        <v>0.001</v>
      </c>
      <c r="AE92">
        <v>0.001</v>
      </c>
      <c r="AF92">
        <v>0.001</v>
      </c>
      <c r="AG92">
        <v>0.001</v>
      </c>
      <c r="AH92">
        <v>0.001</v>
      </c>
      <c r="AI92">
        <v>0.001</v>
      </c>
      <c r="AJ92">
        <v>0.001</v>
      </c>
      <c r="AK92">
        <v>0.001</v>
      </c>
      <c r="AL92">
        <v>0.001</v>
      </c>
      <c r="AM92">
        <v>0.001</v>
      </c>
      <c r="AN92">
        <v>0.001</v>
      </c>
      <c r="AO92">
        <v>0.001</v>
      </c>
      <c r="AP92">
        <v>0.001</v>
      </c>
      <c r="AQ92">
        <v>0.001</v>
      </c>
      <c r="AR92">
        <v>0.001</v>
      </c>
      <c r="AS92">
        <v>0.001</v>
      </c>
      <c r="AT92">
        <v>0.001</v>
      </c>
      <c r="AU92">
        <v>0.001</v>
      </c>
      <c r="AV92">
        <v>0.001</v>
      </c>
      <c r="AW92" t="s">
        <v>91</v>
      </c>
    </row>
    <row r="93" spans="1:49" ht="13.2">
      <c r="A93" t="s">
        <v>93</v>
      </c>
      <c r="B93" t="s">
        <v>70</v>
      </c>
      <c r="C93" t="s">
        <v>60</v>
      </c>
      <c r="D93" t="s">
        <v>91</v>
      </c>
      <c r="E93" t="s">
        <v>91</v>
      </c>
      <c r="F93" t="s">
        <v>91</v>
      </c>
      <c r="G93" t="s">
        <v>91</v>
      </c>
      <c r="H93" t="s">
        <v>91</v>
      </c>
      <c r="I93" t="s">
        <v>91</v>
      </c>
      <c r="J93" t="s">
        <v>91</v>
      </c>
      <c r="K93" t="s">
        <v>91</v>
      </c>
      <c r="L93">
        <v>0.001</v>
      </c>
      <c r="M93">
        <v>0.001</v>
      </c>
      <c r="N93">
        <v>0.001</v>
      </c>
      <c r="O93">
        <v>0.001</v>
      </c>
      <c r="P93">
        <v>0.001</v>
      </c>
      <c r="Q93">
        <v>0.001</v>
      </c>
      <c r="R93">
        <v>0.001</v>
      </c>
      <c r="S93">
        <v>0.001</v>
      </c>
      <c r="T93">
        <v>0.001</v>
      </c>
      <c r="U93">
        <v>0.001</v>
      </c>
      <c r="V93">
        <v>0.001</v>
      </c>
      <c r="W93">
        <v>0.001</v>
      </c>
      <c r="X93">
        <v>0.001</v>
      </c>
      <c r="Y93">
        <v>0.001</v>
      </c>
      <c r="Z93">
        <v>0.001</v>
      </c>
      <c r="AA93">
        <v>0.001</v>
      </c>
      <c r="AB93">
        <v>0.001</v>
      </c>
      <c r="AC93">
        <v>0.001</v>
      </c>
      <c r="AD93">
        <v>0.001</v>
      </c>
      <c r="AE93">
        <v>0.001</v>
      </c>
      <c r="AF93">
        <v>0.001</v>
      </c>
      <c r="AG93">
        <v>0.001</v>
      </c>
      <c r="AH93">
        <v>0.001</v>
      </c>
      <c r="AI93">
        <v>0.001</v>
      </c>
      <c r="AJ93">
        <v>0.001</v>
      </c>
      <c r="AK93">
        <v>0.001</v>
      </c>
      <c r="AL93">
        <v>0.001</v>
      </c>
      <c r="AM93">
        <v>0.001</v>
      </c>
      <c r="AN93">
        <v>0.001</v>
      </c>
      <c r="AO93">
        <v>0.001</v>
      </c>
      <c r="AP93">
        <v>0.001</v>
      </c>
      <c r="AQ93">
        <v>0.001</v>
      </c>
      <c r="AR93">
        <v>0.001</v>
      </c>
      <c r="AS93">
        <v>0.001</v>
      </c>
      <c r="AT93">
        <v>0.001</v>
      </c>
      <c r="AU93">
        <v>0.001</v>
      </c>
      <c r="AV93">
        <v>0.001</v>
      </c>
      <c r="AW93" t="s">
        <v>91</v>
      </c>
    </row>
    <row r="94" spans="1:49" ht="13.2">
      <c r="A94" t="s">
        <v>93</v>
      </c>
      <c r="B94" t="s">
        <v>70</v>
      </c>
      <c r="C94" t="s">
        <v>61</v>
      </c>
      <c r="D94" t="s">
        <v>91</v>
      </c>
      <c r="E94" t="s">
        <v>91</v>
      </c>
      <c r="F94" t="s">
        <v>91</v>
      </c>
      <c r="G94" t="s">
        <v>91</v>
      </c>
      <c r="H94" t="s">
        <v>91</v>
      </c>
      <c r="I94" t="s">
        <v>91</v>
      </c>
      <c r="J94" t="s">
        <v>91</v>
      </c>
      <c r="K94" t="s">
        <v>91</v>
      </c>
      <c r="L94">
        <v>0.001</v>
      </c>
      <c r="M94">
        <v>0.001</v>
      </c>
      <c r="N94">
        <v>0.001</v>
      </c>
      <c r="O94">
        <v>0.001</v>
      </c>
      <c r="P94">
        <v>0.001</v>
      </c>
      <c r="Q94">
        <v>0.001</v>
      </c>
      <c r="R94">
        <v>0.001</v>
      </c>
      <c r="S94">
        <v>0.001</v>
      </c>
      <c r="T94">
        <v>0.001</v>
      </c>
      <c r="U94">
        <v>0.001</v>
      </c>
      <c r="V94">
        <v>0.001</v>
      </c>
      <c r="W94">
        <v>0.001</v>
      </c>
      <c r="X94">
        <v>0.001</v>
      </c>
      <c r="Y94">
        <v>0.001</v>
      </c>
      <c r="Z94">
        <v>0.001</v>
      </c>
      <c r="AA94">
        <v>0.001</v>
      </c>
      <c r="AB94">
        <v>0.001</v>
      </c>
      <c r="AC94">
        <v>0.001</v>
      </c>
      <c r="AD94">
        <v>0.001</v>
      </c>
      <c r="AE94">
        <v>0.001</v>
      </c>
      <c r="AF94">
        <v>0.001</v>
      </c>
      <c r="AG94">
        <v>0.001</v>
      </c>
      <c r="AH94">
        <v>0.001</v>
      </c>
      <c r="AI94">
        <v>0.001</v>
      </c>
      <c r="AJ94">
        <v>0.001</v>
      </c>
      <c r="AK94">
        <v>0.001</v>
      </c>
      <c r="AL94">
        <v>0.001</v>
      </c>
      <c r="AM94">
        <v>0.001</v>
      </c>
      <c r="AN94">
        <v>0.001</v>
      </c>
      <c r="AO94">
        <v>0.001</v>
      </c>
      <c r="AP94">
        <v>0.001</v>
      </c>
      <c r="AQ94">
        <v>0.001</v>
      </c>
      <c r="AR94">
        <v>0.001</v>
      </c>
      <c r="AS94">
        <v>0.001</v>
      </c>
      <c r="AT94">
        <v>0.001</v>
      </c>
      <c r="AU94">
        <v>0.001</v>
      </c>
      <c r="AV94">
        <v>0.001</v>
      </c>
      <c r="AW94" t="s">
        <v>91</v>
      </c>
    </row>
    <row r="95" spans="1:49" ht="13.2">
      <c r="A95" t="s">
        <v>93</v>
      </c>
      <c r="B95" t="s">
        <v>70</v>
      </c>
      <c r="C95" t="s">
        <v>62</v>
      </c>
      <c r="D95" t="s">
        <v>91</v>
      </c>
      <c r="E95" t="s">
        <v>91</v>
      </c>
      <c r="F95" t="s">
        <v>91</v>
      </c>
      <c r="G95" t="s">
        <v>91</v>
      </c>
      <c r="H95" t="s">
        <v>91</v>
      </c>
      <c r="I95" t="s">
        <v>91</v>
      </c>
      <c r="J95" t="s">
        <v>91</v>
      </c>
      <c r="K95" t="s">
        <v>91</v>
      </c>
      <c r="L95">
        <v>0.001</v>
      </c>
      <c r="M95">
        <v>0.001</v>
      </c>
      <c r="N95">
        <v>0.001</v>
      </c>
      <c r="O95">
        <v>0.001</v>
      </c>
      <c r="P95">
        <v>0.001</v>
      </c>
      <c r="Q95">
        <v>0.001</v>
      </c>
      <c r="R95">
        <v>0.001</v>
      </c>
      <c r="S95">
        <v>0.001</v>
      </c>
      <c r="T95">
        <v>0.001</v>
      </c>
      <c r="U95">
        <v>0.001</v>
      </c>
      <c r="V95">
        <v>0.001</v>
      </c>
      <c r="W95">
        <v>0.001</v>
      </c>
      <c r="X95">
        <v>0.001</v>
      </c>
      <c r="Y95">
        <v>0.001</v>
      </c>
      <c r="Z95">
        <v>0.001</v>
      </c>
      <c r="AA95">
        <v>0.001</v>
      </c>
      <c r="AB95">
        <v>0.001</v>
      </c>
      <c r="AC95">
        <v>0.001</v>
      </c>
      <c r="AD95">
        <v>0.001</v>
      </c>
      <c r="AE95">
        <v>0.001</v>
      </c>
      <c r="AF95">
        <v>0.001</v>
      </c>
      <c r="AG95">
        <v>0.001</v>
      </c>
      <c r="AH95">
        <v>0.001</v>
      </c>
      <c r="AI95">
        <v>0.001</v>
      </c>
      <c r="AJ95">
        <v>0.001</v>
      </c>
      <c r="AK95">
        <v>0.001</v>
      </c>
      <c r="AL95">
        <v>0.001</v>
      </c>
      <c r="AM95">
        <v>0.001</v>
      </c>
      <c r="AN95">
        <v>0.001</v>
      </c>
      <c r="AO95">
        <v>0.001</v>
      </c>
      <c r="AP95">
        <v>0.001</v>
      </c>
      <c r="AQ95">
        <v>0.001</v>
      </c>
      <c r="AR95">
        <v>0.001</v>
      </c>
      <c r="AS95">
        <v>0.001</v>
      </c>
      <c r="AT95">
        <v>0.001</v>
      </c>
      <c r="AU95">
        <v>0.001</v>
      </c>
      <c r="AV95">
        <v>0.001</v>
      </c>
      <c r="AW95" t="s">
        <v>91</v>
      </c>
    </row>
    <row r="96" spans="1:49" ht="13.2">
      <c r="A96" t="s">
        <v>93</v>
      </c>
      <c r="B96" t="s">
        <v>70</v>
      </c>
      <c r="C96" t="s">
        <v>63</v>
      </c>
      <c r="D96" t="s">
        <v>91</v>
      </c>
      <c r="E96" t="s">
        <v>91</v>
      </c>
      <c r="F96" t="s">
        <v>91</v>
      </c>
      <c r="G96" t="s">
        <v>91</v>
      </c>
      <c r="H96" t="s">
        <v>91</v>
      </c>
      <c r="I96" t="s">
        <v>91</v>
      </c>
      <c r="J96" t="s">
        <v>91</v>
      </c>
      <c r="K96" t="s">
        <v>91</v>
      </c>
      <c r="L96">
        <v>0.001</v>
      </c>
      <c r="M96">
        <v>0.001</v>
      </c>
      <c r="N96">
        <v>0.001</v>
      </c>
      <c r="O96">
        <v>0.001</v>
      </c>
      <c r="P96">
        <v>0.001</v>
      </c>
      <c r="Q96">
        <v>0.001</v>
      </c>
      <c r="R96">
        <v>0.001</v>
      </c>
      <c r="S96">
        <v>0.001</v>
      </c>
      <c r="T96">
        <v>0.001</v>
      </c>
      <c r="U96">
        <v>0.001</v>
      </c>
      <c r="V96">
        <v>0.001</v>
      </c>
      <c r="W96">
        <v>0.001</v>
      </c>
      <c r="X96">
        <v>0.001</v>
      </c>
      <c r="Y96">
        <v>0.001</v>
      </c>
      <c r="Z96">
        <v>0.001</v>
      </c>
      <c r="AA96">
        <v>0.001</v>
      </c>
      <c r="AB96">
        <v>0.001</v>
      </c>
      <c r="AC96">
        <v>0.001</v>
      </c>
      <c r="AD96">
        <v>0.001</v>
      </c>
      <c r="AE96">
        <v>0.001</v>
      </c>
      <c r="AF96">
        <v>0.001</v>
      </c>
      <c r="AG96">
        <v>0.001</v>
      </c>
      <c r="AH96">
        <v>0.001</v>
      </c>
      <c r="AI96">
        <v>0.001</v>
      </c>
      <c r="AJ96">
        <v>0.001</v>
      </c>
      <c r="AK96">
        <v>0.001</v>
      </c>
      <c r="AL96">
        <v>0.001</v>
      </c>
      <c r="AM96">
        <v>0.001</v>
      </c>
      <c r="AN96">
        <v>0.001</v>
      </c>
      <c r="AO96">
        <v>0.001</v>
      </c>
      <c r="AP96">
        <v>0.001</v>
      </c>
      <c r="AQ96">
        <v>0.001</v>
      </c>
      <c r="AR96">
        <v>0.001</v>
      </c>
      <c r="AS96">
        <v>0.001</v>
      </c>
      <c r="AT96">
        <v>0.001</v>
      </c>
      <c r="AU96">
        <v>0.001</v>
      </c>
      <c r="AV96">
        <v>0.001</v>
      </c>
      <c r="AW96" t="s">
        <v>91</v>
      </c>
    </row>
    <row r="97" spans="1:49" ht="13.2">
      <c r="A97" t="s">
        <v>93</v>
      </c>
      <c r="B97" t="s">
        <v>70</v>
      </c>
      <c r="C97" t="s">
        <v>64</v>
      </c>
      <c r="D97" t="s">
        <v>91</v>
      </c>
      <c r="E97" t="s">
        <v>91</v>
      </c>
      <c r="F97" t="s">
        <v>91</v>
      </c>
      <c r="G97" t="s">
        <v>91</v>
      </c>
      <c r="H97" t="s">
        <v>91</v>
      </c>
      <c r="I97" t="s">
        <v>91</v>
      </c>
      <c r="J97" t="s">
        <v>91</v>
      </c>
      <c r="K97" t="s">
        <v>91</v>
      </c>
      <c r="L97">
        <v>0.001</v>
      </c>
      <c r="M97">
        <v>0.001</v>
      </c>
      <c r="N97">
        <v>0.001</v>
      </c>
      <c r="O97">
        <v>0.001</v>
      </c>
      <c r="P97">
        <v>0.001</v>
      </c>
      <c r="Q97">
        <v>0.001</v>
      </c>
      <c r="R97">
        <v>0.001</v>
      </c>
      <c r="S97">
        <v>0.001</v>
      </c>
      <c r="T97">
        <v>0.001</v>
      </c>
      <c r="U97">
        <v>0.001</v>
      </c>
      <c r="V97">
        <v>0.001</v>
      </c>
      <c r="W97">
        <v>0.001</v>
      </c>
      <c r="X97">
        <v>0.001</v>
      </c>
      <c r="Y97">
        <v>0.001</v>
      </c>
      <c r="Z97">
        <v>0.001</v>
      </c>
      <c r="AA97">
        <v>0.001</v>
      </c>
      <c r="AB97">
        <v>0.001</v>
      </c>
      <c r="AC97">
        <v>0.001</v>
      </c>
      <c r="AD97">
        <v>0.001</v>
      </c>
      <c r="AE97">
        <v>0.001</v>
      </c>
      <c r="AF97">
        <v>0.001</v>
      </c>
      <c r="AG97">
        <v>0.001</v>
      </c>
      <c r="AH97">
        <v>0.001</v>
      </c>
      <c r="AI97">
        <v>0.001</v>
      </c>
      <c r="AJ97">
        <v>0.001</v>
      </c>
      <c r="AK97">
        <v>0.001</v>
      </c>
      <c r="AL97">
        <v>0.001</v>
      </c>
      <c r="AM97">
        <v>0.001</v>
      </c>
      <c r="AN97">
        <v>0.001</v>
      </c>
      <c r="AO97">
        <v>0.001</v>
      </c>
      <c r="AP97">
        <v>0.001</v>
      </c>
      <c r="AQ97">
        <v>0.001</v>
      </c>
      <c r="AR97">
        <v>0.001</v>
      </c>
      <c r="AS97">
        <v>0.001</v>
      </c>
      <c r="AT97">
        <v>0.001</v>
      </c>
      <c r="AU97">
        <v>0.001</v>
      </c>
      <c r="AV97">
        <v>0.001</v>
      </c>
      <c r="AW97" t="s">
        <v>91</v>
      </c>
    </row>
    <row r="98" spans="1:49" ht="13.2">
      <c r="A98" t="s">
        <v>93</v>
      </c>
      <c r="B98" t="s">
        <v>70</v>
      </c>
      <c r="C98" t="s">
        <v>77</v>
      </c>
      <c r="D98" t="s">
        <v>91</v>
      </c>
      <c r="E98" t="s">
        <v>91</v>
      </c>
      <c r="F98" t="s">
        <v>91</v>
      </c>
      <c r="G98" t="s">
        <v>91</v>
      </c>
      <c r="H98" t="s">
        <v>91</v>
      </c>
      <c r="I98" t="s">
        <v>91</v>
      </c>
      <c r="J98" t="s">
        <v>91</v>
      </c>
      <c r="K98" t="s">
        <v>91</v>
      </c>
      <c r="L98">
        <v>0.001</v>
      </c>
      <c r="M98">
        <v>0.001</v>
      </c>
      <c r="N98">
        <v>0.001</v>
      </c>
      <c r="O98">
        <v>0.001</v>
      </c>
      <c r="P98">
        <v>0.001</v>
      </c>
      <c r="Q98">
        <v>0.001</v>
      </c>
      <c r="R98">
        <v>0.001</v>
      </c>
      <c r="S98">
        <v>0.001</v>
      </c>
      <c r="T98">
        <v>0.001</v>
      </c>
      <c r="U98">
        <v>0.001</v>
      </c>
      <c r="V98">
        <v>0.001</v>
      </c>
      <c r="W98">
        <v>0.001</v>
      </c>
      <c r="X98">
        <v>0.001</v>
      </c>
      <c r="Y98">
        <v>0.001</v>
      </c>
      <c r="Z98">
        <v>0.001</v>
      </c>
      <c r="AA98">
        <v>0.001</v>
      </c>
      <c r="AB98">
        <v>0.001</v>
      </c>
      <c r="AC98">
        <v>0.001</v>
      </c>
      <c r="AD98">
        <v>0.001</v>
      </c>
      <c r="AE98">
        <v>0.001</v>
      </c>
      <c r="AF98">
        <v>0.001</v>
      </c>
      <c r="AG98">
        <v>0.001</v>
      </c>
      <c r="AH98">
        <v>0.001</v>
      </c>
      <c r="AI98">
        <v>0.001</v>
      </c>
      <c r="AJ98">
        <v>0.001</v>
      </c>
      <c r="AK98">
        <v>0.001</v>
      </c>
      <c r="AL98">
        <v>0.001</v>
      </c>
      <c r="AM98">
        <v>0.001</v>
      </c>
      <c r="AN98">
        <v>0.001</v>
      </c>
      <c r="AO98">
        <v>0.001</v>
      </c>
      <c r="AP98">
        <v>0.001</v>
      </c>
      <c r="AQ98">
        <v>0.001</v>
      </c>
      <c r="AR98">
        <v>0.001</v>
      </c>
      <c r="AS98">
        <v>0.001</v>
      </c>
      <c r="AT98">
        <v>0.001</v>
      </c>
      <c r="AU98">
        <v>0.001</v>
      </c>
      <c r="AV98">
        <v>0.001</v>
      </c>
      <c r="AW98" t="s">
        <v>91</v>
      </c>
    </row>
    <row r="99" spans="1:49" ht="13.2">
      <c r="A99" t="s">
        <v>93</v>
      </c>
      <c r="B99" t="s">
        <v>70</v>
      </c>
      <c r="C99" t="s">
        <v>78</v>
      </c>
      <c r="D99" t="s">
        <v>91</v>
      </c>
      <c r="E99" t="s">
        <v>91</v>
      </c>
      <c r="F99" t="s">
        <v>91</v>
      </c>
      <c r="G99" t="s">
        <v>91</v>
      </c>
      <c r="H99" t="s">
        <v>91</v>
      </c>
      <c r="I99" t="s">
        <v>91</v>
      </c>
      <c r="J99" t="s">
        <v>91</v>
      </c>
      <c r="K99" t="s">
        <v>91</v>
      </c>
      <c r="L99">
        <v>0.001</v>
      </c>
      <c r="M99">
        <v>0.001</v>
      </c>
      <c r="N99">
        <v>0.001</v>
      </c>
      <c r="O99">
        <v>0.001</v>
      </c>
      <c r="P99">
        <v>0.001</v>
      </c>
      <c r="Q99">
        <v>0.001</v>
      </c>
      <c r="R99">
        <v>0.001</v>
      </c>
      <c r="S99">
        <v>0.001</v>
      </c>
      <c r="T99">
        <v>0.001</v>
      </c>
      <c r="U99">
        <v>0.001</v>
      </c>
      <c r="V99">
        <v>0.001</v>
      </c>
      <c r="W99">
        <v>0.001</v>
      </c>
      <c r="X99">
        <v>0.001</v>
      </c>
      <c r="Y99">
        <v>0.001</v>
      </c>
      <c r="Z99">
        <v>0.001</v>
      </c>
      <c r="AA99">
        <v>0.001</v>
      </c>
      <c r="AB99">
        <v>0.001</v>
      </c>
      <c r="AC99">
        <v>0.001</v>
      </c>
      <c r="AD99">
        <v>0.001</v>
      </c>
      <c r="AE99">
        <v>0.001</v>
      </c>
      <c r="AF99">
        <v>0.001</v>
      </c>
      <c r="AG99">
        <v>0.001</v>
      </c>
      <c r="AH99">
        <v>0.001</v>
      </c>
      <c r="AI99">
        <v>0.001</v>
      </c>
      <c r="AJ99">
        <v>0.001</v>
      </c>
      <c r="AK99">
        <v>0.001</v>
      </c>
      <c r="AL99">
        <v>0.001</v>
      </c>
      <c r="AM99">
        <v>0.001</v>
      </c>
      <c r="AN99">
        <v>0.001</v>
      </c>
      <c r="AO99">
        <v>0.001</v>
      </c>
      <c r="AP99">
        <v>0.001</v>
      </c>
      <c r="AQ99">
        <v>0.001</v>
      </c>
      <c r="AR99">
        <v>0.001</v>
      </c>
      <c r="AS99">
        <v>0.001</v>
      </c>
      <c r="AT99">
        <v>0.001</v>
      </c>
      <c r="AU99">
        <v>0.001</v>
      </c>
      <c r="AV99">
        <v>0.001</v>
      </c>
      <c r="AW99" t="s">
        <v>91</v>
      </c>
    </row>
    <row r="100" spans="1:49" ht="13.2">
      <c r="A100" t="s">
        <v>93</v>
      </c>
      <c r="B100" t="s">
        <v>70</v>
      </c>
      <c r="C100" t="s">
        <v>79</v>
      </c>
      <c r="D100" t="s">
        <v>91</v>
      </c>
      <c r="E100" t="s">
        <v>91</v>
      </c>
      <c r="F100" t="s">
        <v>91</v>
      </c>
      <c r="G100" t="s">
        <v>91</v>
      </c>
      <c r="H100" t="s">
        <v>91</v>
      </c>
      <c r="I100" t="s">
        <v>91</v>
      </c>
      <c r="J100" t="s">
        <v>91</v>
      </c>
      <c r="K100" t="s">
        <v>91</v>
      </c>
      <c r="L100">
        <v>0.001</v>
      </c>
      <c r="M100">
        <v>0.001</v>
      </c>
      <c r="N100">
        <v>0.001</v>
      </c>
      <c r="O100">
        <v>0.001</v>
      </c>
      <c r="P100">
        <v>0.001</v>
      </c>
      <c r="Q100">
        <v>0.001</v>
      </c>
      <c r="R100">
        <v>0.001</v>
      </c>
      <c r="S100">
        <v>0.001</v>
      </c>
      <c r="T100">
        <v>0.001</v>
      </c>
      <c r="U100">
        <v>0.001</v>
      </c>
      <c r="V100">
        <v>0.001</v>
      </c>
      <c r="W100">
        <v>0.001</v>
      </c>
      <c r="X100">
        <v>0.001</v>
      </c>
      <c r="Y100">
        <v>0.001</v>
      </c>
      <c r="Z100">
        <v>0.001</v>
      </c>
      <c r="AA100">
        <v>0.001</v>
      </c>
      <c r="AB100">
        <v>0.001</v>
      </c>
      <c r="AC100">
        <v>0.001</v>
      </c>
      <c r="AD100">
        <v>0.001</v>
      </c>
      <c r="AE100">
        <v>0.001</v>
      </c>
      <c r="AF100">
        <v>0.001</v>
      </c>
      <c r="AG100">
        <v>0.001</v>
      </c>
      <c r="AH100">
        <v>0.001</v>
      </c>
      <c r="AI100">
        <v>0.001</v>
      </c>
      <c r="AJ100">
        <v>0.001</v>
      </c>
      <c r="AK100">
        <v>0.001</v>
      </c>
      <c r="AL100">
        <v>0.001</v>
      </c>
      <c r="AM100">
        <v>0.001</v>
      </c>
      <c r="AN100">
        <v>0.001</v>
      </c>
      <c r="AO100">
        <v>0.001</v>
      </c>
      <c r="AP100">
        <v>0.001</v>
      </c>
      <c r="AQ100">
        <v>0.001</v>
      </c>
      <c r="AR100">
        <v>0.001</v>
      </c>
      <c r="AS100">
        <v>0.001</v>
      </c>
      <c r="AT100">
        <v>0.001</v>
      </c>
      <c r="AU100">
        <v>0.001</v>
      </c>
      <c r="AV100">
        <v>0.001</v>
      </c>
      <c r="AW100" t="s">
        <v>91</v>
      </c>
    </row>
    <row r="101" spans="1:49" ht="13.2">
      <c r="A101" t="s">
        <v>93</v>
      </c>
      <c r="B101" t="s">
        <v>70</v>
      </c>
      <c r="C101" t="s">
        <v>80</v>
      </c>
      <c r="D101" t="s">
        <v>91</v>
      </c>
      <c r="E101" t="s">
        <v>91</v>
      </c>
      <c r="F101" t="s">
        <v>91</v>
      </c>
      <c r="G101" t="s">
        <v>91</v>
      </c>
      <c r="H101" t="s">
        <v>91</v>
      </c>
      <c r="I101" t="s">
        <v>91</v>
      </c>
      <c r="J101" t="s">
        <v>91</v>
      </c>
      <c r="K101" t="s">
        <v>91</v>
      </c>
      <c r="L101">
        <v>0.001</v>
      </c>
      <c r="M101">
        <v>0.001</v>
      </c>
      <c r="N101">
        <v>0.001</v>
      </c>
      <c r="O101">
        <v>0.001</v>
      </c>
      <c r="P101">
        <v>0.001</v>
      </c>
      <c r="Q101">
        <v>0.001</v>
      </c>
      <c r="R101">
        <v>0.001</v>
      </c>
      <c r="S101">
        <v>0.001</v>
      </c>
      <c r="T101">
        <v>0.001</v>
      </c>
      <c r="U101">
        <v>0.001</v>
      </c>
      <c r="V101">
        <v>0.001</v>
      </c>
      <c r="W101">
        <v>0.001</v>
      </c>
      <c r="X101">
        <v>0.001</v>
      </c>
      <c r="Y101">
        <v>0.001</v>
      </c>
      <c r="Z101">
        <v>0.001</v>
      </c>
      <c r="AA101">
        <v>0.001</v>
      </c>
      <c r="AB101">
        <v>0.001</v>
      </c>
      <c r="AC101">
        <v>0.001</v>
      </c>
      <c r="AD101">
        <v>0.001</v>
      </c>
      <c r="AE101">
        <v>0.001</v>
      </c>
      <c r="AF101">
        <v>0.001</v>
      </c>
      <c r="AG101">
        <v>0.001</v>
      </c>
      <c r="AH101">
        <v>0.001</v>
      </c>
      <c r="AI101">
        <v>0.001</v>
      </c>
      <c r="AJ101">
        <v>0.001</v>
      </c>
      <c r="AK101">
        <v>0.001</v>
      </c>
      <c r="AL101">
        <v>0.001</v>
      </c>
      <c r="AM101">
        <v>0.001</v>
      </c>
      <c r="AN101">
        <v>0.001</v>
      </c>
      <c r="AO101">
        <v>0.001</v>
      </c>
      <c r="AP101">
        <v>0.001</v>
      </c>
      <c r="AQ101">
        <v>0.001</v>
      </c>
      <c r="AR101">
        <v>0.001</v>
      </c>
      <c r="AS101">
        <v>0.001</v>
      </c>
      <c r="AT101">
        <v>0.001</v>
      </c>
      <c r="AU101">
        <v>0.001</v>
      </c>
      <c r="AV101">
        <v>0.001</v>
      </c>
      <c r="AW101" t="s">
        <v>91</v>
      </c>
    </row>
    <row r="102" spans="1:49" ht="13.2">
      <c r="A102" t="s">
        <v>93</v>
      </c>
      <c r="B102" t="s">
        <v>70</v>
      </c>
      <c r="C102" t="s">
        <v>81</v>
      </c>
      <c r="D102" t="s">
        <v>91</v>
      </c>
      <c r="E102" t="s">
        <v>91</v>
      </c>
      <c r="F102" t="s">
        <v>91</v>
      </c>
      <c r="G102" t="s">
        <v>91</v>
      </c>
      <c r="H102" t="s">
        <v>91</v>
      </c>
      <c r="I102" t="s">
        <v>91</v>
      </c>
      <c r="J102" t="s">
        <v>91</v>
      </c>
      <c r="K102" t="s">
        <v>91</v>
      </c>
      <c r="L102">
        <v>0.001</v>
      </c>
      <c r="M102">
        <v>0.001</v>
      </c>
      <c r="N102">
        <v>0.001</v>
      </c>
      <c r="O102">
        <v>0.001</v>
      </c>
      <c r="P102">
        <v>0.001</v>
      </c>
      <c r="Q102">
        <v>0.001</v>
      </c>
      <c r="R102">
        <v>0.001</v>
      </c>
      <c r="S102">
        <v>0.001</v>
      </c>
      <c r="T102">
        <v>0.001</v>
      </c>
      <c r="U102">
        <v>0.001</v>
      </c>
      <c r="V102">
        <v>0.001</v>
      </c>
      <c r="W102">
        <v>0.001</v>
      </c>
      <c r="X102">
        <v>0.001</v>
      </c>
      <c r="Y102">
        <v>0.001</v>
      </c>
      <c r="Z102">
        <v>0.001</v>
      </c>
      <c r="AA102">
        <v>0.001</v>
      </c>
      <c r="AB102">
        <v>0.001</v>
      </c>
      <c r="AC102">
        <v>0.001</v>
      </c>
      <c r="AD102">
        <v>0.001</v>
      </c>
      <c r="AE102">
        <v>0.001</v>
      </c>
      <c r="AF102">
        <v>0.001</v>
      </c>
      <c r="AG102">
        <v>0.001</v>
      </c>
      <c r="AH102">
        <v>0.001</v>
      </c>
      <c r="AI102">
        <v>0.001</v>
      </c>
      <c r="AJ102">
        <v>0.001</v>
      </c>
      <c r="AK102">
        <v>0.001</v>
      </c>
      <c r="AL102">
        <v>0.001</v>
      </c>
      <c r="AM102">
        <v>0.001</v>
      </c>
      <c r="AN102">
        <v>0.001</v>
      </c>
      <c r="AO102">
        <v>0.001</v>
      </c>
      <c r="AP102">
        <v>0.001</v>
      </c>
      <c r="AQ102">
        <v>0.001</v>
      </c>
      <c r="AR102">
        <v>0.001</v>
      </c>
      <c r="AS102">
        <v>0.001</v>
      </c>
      <c r="AT102">
        <v>0.001</v>
      </c>
      <c r="AU102">
        <v>0.001</v>
      </c>
      <c r="AV102">
        <v>0.001</v>
      </c>
      <c r="AW102" t="s">
        <v>91</v>
      </c>
    </row>
    <row r="103" spans="1:49" ht="13.2">
      <c r="A103" t="s">
        <v>93</v>
      </c>
      <c r="B103" t="s">
        <v>70</v>
      </c>
      <c r="C103" t="s">
        <v>82</v>
      </c>
      <c r="D103" t="s">
        <v>91</v>
      </c>
      <c r="E103" t="s">
        <v>91</v>
      </c>
      <c r="F103" t="s">
        <v>91</v>
      </c>
      <c r="G103" t="s">
        <v>91</v>
      </c>
      <c r="H103" t="s">
        <v>91</v>
      </c>
      <c r="I103" t="s">
        <v>91</v>
      </c>
      <c r="J103" t="s">
        <v>91</v>
      </c>
      <c r="K103" t="s">
        <v>91</v>
      </c>
      <c r="L103">
        <v>0.001</v>
      </c>
      <c r="M103">
        <v>0.001</v>
      </c>
      <c r="N103">
        <v>0.001</v>
      </c>
      <c r="O103">
        <v>0.001</v>
      </c>
      <c r="P103">
        <v>0.001</v>
      </c>
      <c r="Q103">
        <v>0.001</v>
      </c>
      <c r="R103">
        <v>0.001</v>
      </c>
      <c r="S103">
        <v>0.001</v>
      </c>
      <c r="T103">
        <v>0.001</v>
      </c>
      <c r="U103">
        <v>0.001</v>
      </c>
      <c r="V103">
        <v>0.001</v>
      </c>
      <c r="W103">
        <v>0.001</v>
      </c>
      <c r="X103">
        <v>0.001</v>
      </c>
      <c r="Y103">
        <v>0.001</v>
      </c>
      <c r="Z103">
        <v>0.001</v>
      </c>
      <c r="AA103">
        <v>0.001</v>
      </c>
      <c r="AB103">
        <v>0.001</v>
      </c>
      <c r="AC103">
        <v>0.001</v>
      </c>
      <c r="AD103">
        <v>0.001</v>
      </c>
      <c r="AE103">
        <v>0.001</v>
      </c>
      <c r="AF103">
        <v>0.001</v>
      </c>
      <c r="AG103">
        <v>0.001</v>
      </c>
      <c r="AH103">
        <v>0.001</v>
      </c>
      <c r="AI103">
        <v>0.001</v>
      </c>
      <c r="AJ103">
        <v>0.001</v>
      </c>
      <c r="AK103">
        <v>0.001</v>
      </c>
      <c r="AL103">
        <v>0.001</v>
      </c>
      <c r="AM103">
        <v>0.001</v>
      </c>
      <c r="AN103">
        <v>0.001</v>
      </c>
      <c r="AO103">
        <v>0.001</v>
      </c>
      <c r="AP103">
        <v>0.001</v>
      </c>
      <c r="AQ103">
        <v>0.001</v>
      </c>
      <c r="AR103">
        <v>0.001</v>
      </c>
      <c r="AS103">
        <v>0.001</v>
      </c>
      <c r="AT103">
        <v>0.001</v>
      </c>
      <c r="AU103">
        <v>0.001</v>
      </c>
      <c r="AV103">
        <v>0.001</v>
      </c>
      <c r="AW103" t="s">
        <v>91</v>
      </c>
    </row>
    <row r="104" spans="1:49" ht="13.2">
      <c r="A104" t="s">
        <v>93</v>
      </c>
      <c r="B104" t="s">
        <v>70</v>
      </c>
      <c r="C104" t="s">
        <v>83</v>
      </c>
      <c r="D104" t="s">
        <v>91</v>
      </c>
      <c r="E104" t="s">
        <v>91</v>
      </c>
      <c r="F104" t="s">
        <v>91</v>
      </c>
      <c r="G104" t="s">
        <v>91</v>
      </c>
      <c r="H104" t="s">
        <v>91</v>
      </c>
      <c r="I104" t="s">
        <v>91</v>
      </c>
      <c r="J104" t="s">
        <v>91</v>
      </c>
      <c r="K104" t="s">
        <v>91</v>
      </c>
      <c r="L104">
        <v>0.001</v>
      </c>
      <c r="M104">
        <v>0.001</v>
      </c>
      <c r="N104">
        <v>0.001</v>
      </c>
      <c r="O104">
        <v>0.001</v>
      </c>
      <c r="P104">
        <v>0.001</v>
      </c>
      <c r="Q104">
        <v>0.001</v>
      </c>
      <c r="R104">
        <v>0.001</v>
      </c>
      <c r="S104">
        <v>0.001</v>
      </c>
      <c r="T104">
        <v>0.001</v>
      </c>
      <c r="U104">
        <v>0.001</v>
      </c>
      <c r="V104">
        <v>0.001</v>
      </c>
      <c r="W104">
        <v>0.001</v>
      </c>
      <c r="X104">
        <v>0.001</v>
      </c>
      <c r="Y104">
        <v>0.001</v>
      </c>
      <c r="Z104">
        <v>0.001</v>
      </c>
      <c r="AA104">
        <v>0.001</v>
      </c>
      <c r="AB104">
        <v>0.001</v>
      </c>
      <c r="AC104">
        <v>0.001</v>
      </c>
      <c r="AD104">
        <v>0.001</v>
      </c>
      <c r="AE104">
        <v>0.001</v>
      </c>
      <c r="AF104">
        <v>0.001</v>
      </c>
      <c r="AG104">
        <v>0.001</v>
      </c>
      <c r="AH104">
        <v>0.001</v>
      </c>
      <c r="AI104">
        <v>0.001</v>
      </c>
      <c r="AJ104">
        <v>0.001</v>
      </c>
      <c r="AK104">
        <v>0.001</v>
      </c>
      <c r="AL104">
        <v>0.001</v>
      </c>
      <c r="AM104">
        <v>0.001</v>
      </c>
      <c r="AN104">
        <v>0.001</v>
      </c>
      <c r="AO104">
        <v>0.001</v>
      </c>
      <c r="AP104">
        <v>0.001</v>
      </c>
      <c r="AQ104">
        <v>0.001</v>
      </c>
      <c r="AR104">
        <v>0.001</v>
      </c>
      <c r="AS104">
        <v>0.001</v>
      </c>
      <c r="AT104">
        <v>0.001</v>
      </c>
      <c r="AU104">
        <v>0.001</v>
      </c>
      <c r="AV104">
        <v>0.001</v>
      </c>
      <c r="AW104" t="s">
        <v>91</v>
      </c>
    </row>
    <row r="105" spans="1:49" ht="13.2">
      <c r="A105" t="s">
        <v>93</v>
      </c>
      <c r="B105" t="s">
        <v>70</v>
      </c>
      <c r="C105" t="s">
        <v>84</v>
      </c>
      <c r="D105" t="s">
        <v>91</v>
      </c>
      <c r="E105" t="s">
        <v>91</v>
      </c>
      <c r="F105" t="s">
        <v>91</v>
      </c>
      <c r="G105" t="s">
        <v>91</v>
      </c>
      <c r="H105" t="s">
        <v>91</v>
      </c>
      <c r="I105" t="s">
        <v>91</v>
      </c>
      <c r="J105" t="s">
        <v>91</v>
      </c>
      <c r="K105" t="s">
        <v>91</v>
      </c>
      <c r="L105">
        <v>0.001</v>
      </c>
      <c r="M105">
        <v>0.001</v>
      </c>
      <c r="N105">
        <v>0.001</v>
      </c>
      <c r="O105">
        <v>0.001</v>
      </c>
      <c r="P105">
        <v>0.001</v>
      </c>
      <c r="Q105">
        <v>0.001</v>
      </c>
      <c r="R105">
        <v>0.001</v>
      </c>
      <c r="S105">
        <v>0.001</v>
      </c>
      <c r="T105">
        <v>0.001</v>
      </c>
      <c r="U105">
        <v>0.001</v>
      </c>
      <c r="V105">
        <v>0.001</v>
      </c>
      <c r="W105">
        <v>0.001</v>
      </c>
      <c r="X105">
        <v>0.001</v>
      </c>
      <c r="Y105">
        <v>0.001</v>
      </c>
      <c r="Z105">
        <v>0.001</v>
      </c>
      <c r="AA105">
        <v>0.001</v>
      </c>
      <c r="AB105">
        <v>0.001</v>
      </c>
      <c r="AC105">
        <v>0.001</v>
      </c>
      <c r="AD105">
        <v>0.001</v>
      </c>
      <c r="AE105">
        <v>0.001</v>
      </c>
      <c r="AF105">
        <v>0.001</v>
      </c>
      <c r="AG105">
        <v>0.001</v>
      </c>
      <c r="AH105">
        <v>0.001</v>
      </c>
      <c r="AI105">
        <v>0.001</v>
      </c>
      <c r="AJ105">
        <v>0.001</v>
      </c>
      <c r="AK105">
        <v>0.001</v>
      </c>
      <c r="AL105">
        <v>0.001</v>
      </c>
      <c r="AM105">
        <v>0.001</v>
      </c>
      <c r="AN105">
        <v>0.001</v>
      </c>
      <c r="AO105">
        <v>0.001</v>
      </c>
      <c r="AP105">
        <v>0.001</v>
      </c>
      <c r="AQ105">
        <v>0.001</v>
      </c>
      <c r="AR105">
        <v>0.001</v>
      </c>
      <c r="AS105">
        <v>0.001</v>
      </c>
      <c r="AT105">
        <v>0.001</v>
      </c>
      <c r="AU105">
        <v>0.001</v>
      </c>
      <c r="AV105">
        <v>0.001</v>
      </c>
      <c r="AW105" t="s">
        <v>91</v>
      </c>
    </row>
    <row r="106" spans="1:49" ht="13.2">
      <c r="A106" t="s">
        <v>93</v>
      </c>
      <c r="B106" t="s">
        <v>70</v>
      </c>
      <c r="C106" t="s">
        <v>65</v>
      </c>
      <c r="D106" t="s">
        <v>91</v>
      </c>
      <c r="E106" t="s">
        <v>91</v>
      </c>
      <c r="F106" t="s">
        <v>91</v>
      </c>
      <c r="G106" t="s">
        <v>91</v>
      </c>
      <c r="H106" t="s">
        <v>91</v>
      </c>
      <c r="I106" t="s">
        <v>91</v>
      </c>
      <c r="J106" t="s">
        <v>91</v>
      </c>
      <c r="K106" t="s">
        <v>91</v>
      </c>
      <c r="L106">
        <v>0.001</v>
      </c>
      <c r="M106">
        <v>0.001</v>
      </c>
      <c r="N106">
        <v>0.001</v>
      </c>
      <c r="O106">
        <v>0.001</v>
      </c>
      <c r="P106">
        <v>0.001</v>
      </c>
      <c r="Q106">
        <v>0.001</v>
      </c>
      <c r="R106">
        <v>0.001</v>
      </c>
      <c r="S106">
        <v>0.001</v>
      </c>
      <c r="T106">
        <v>0.001</v>
      </c>
      <c r="U106">
        <v>0.001</v>
      </c>
      <c r="V106">
        <v>0.001</v>
      </c>
      <c r="W106">
        <v>0.001</v>
      </c>
      <c r="X106">
        <v>0.001</v>
      </c>
      <c r="Y106">
        <v>0.001</v>
      </c>
      <c r="Z106">
        <v>0.001</v>
      </c>
      <c r="AA106">
        <v>0.001</v>
      </c>
      <c r="AB106">
        <v>0.001</v>
      </c>
      <c r="AC106">
        <v>0.001</v>
      </c>
      <c r="AD106">
        <v>0.001</v>
      </c>
      <c r="AE106">
        <v>0.001</v>
      </c>
      <c r="AF106">
        <v>0.001</v>
      </c>
      <c r="AG106">
        <v>0.001</v>
      </c>
      <c r="AH106">
        <v>0.001</v>
      </c>
      <c r="AI106">
        <v>0.001</v>
      </c>
      <c r="AJ106">
        <v>0.001</v>
      </c>
      <c r="AK106">
        <v>0.001</v>
      </c>
      <c r="AL106">
        <v>0.001</v>
      </c>
      <c r="AM106">
        <v>0.001</v>
      </c>
      <c r="AN106">
        <v>0.001</v>
      </c>
      <c r="AO106">
        <v>0.001</v>
      </c>
      <c r="AP106">
        <v>0.001</v>
      </c>
      <c r="AQ106">
        <v>0.001</v>
      </c>
      <c r="AR106">
        <v>0.001</v>
      </c>
      <c r="AS106">
        <v>0.001</v>
      </c>
      <c r="AT106">
        <v>0.001</v>
      </c>
      <c r="AU106">
        <v>0.001</v>
      </c>
      <c r="AV106">
        <v>0.001</v>
      </c>
      <c r="AW106" t="s">
        <v>91</v>
      </c>
    </row>
    <row r="107" spans="1:49" ht="13.2">
      <c r="A107" t="s">
        <v>93</v>
      </c>
      <c r="B107" t="s">
        <v>70</v>
      </c>
      <c r="C107" t="s">
        <v>66</v>
      </c>
      <c r="D107" t="s">
        <v>91</v>
      </c>
      <c r="E107" t="s">
        <v>91</v>
      </c>
      <c r="F107" t="s">
        <v>91</v>
      </c>
      <c r="G107" t="s">
        <v>91</v>
      </c>
      <c r="H107" t="s">
        <v>91</v>
      </c>
      <c r="I107" t="s">
        <v>91</v>
      </c>
      <c r="J107" t="s">
        <v>91</v>
      </c>
      <c r="K107" t="s">
        <v>91</v>
      </c>
      <c r="L107">
        <v>0.001</v>
      </c>
      <c r="M107">
        <v>0.001</v>
      </c>
      <c r="N107">
        <v>0.001</v>
      </c>
      <c r="O107">
        <v>0.001</v>
      </c>
      <c r="P107">
        <v>0.001</v>
      </c>
      <c r="Q107">
        <v>0.001</v>
      </c>
      <c r="R107">
        <v>0.001</v>
      </c>
      <c r="S107">
        <v>0.001</v>
      </c>
      <c r="T107">
        <v>0.001</v>
      </c>
      <c r="U107">
        <v>0.001</v>
      </c>
      <c r="V107">
        <v>0.001</v>
      </c>
      <c r="W107">
        <v>0.001</v>
      </c>
      <c r="X107">
        <v>0.001</v>
      </c>
      <c r="Y107">
        <v>0.001</v>
      </c>
      <c r="Z107">
        <v>0.001</v>
      </c>
      <c r="AA107">
        <v>0.001</v>
      </c>
      <c r="AB107">
        <v>0.001</v>
      </c>
      <c r="AC107">
        <v>0.001</v>
      </c>
      <c r="AD107">
        <v>0.001</v>
      </c>
      <c r="AE107">
        <v>0.001</v>
      </c>
      <c r="AF107">
        <v>0.001</v>
      </c>
      <c r="AG107">
        <v>0.001</v>
      </c>
      <c r="AH107">
        <v>0.001</v>
      </c>
      <c r="AI107">
        <v>0.001</v>
      </c>
      <c r="AJ107">
        <v>0.001</v>
      </c>
      <c r="AK107">
        <v>0.001</v>
      </c>
      <c r="AL107">
        <v>0.001</v>
      </c>
      <c r="AM107">
        <v>0.001</v>
      </c>
      <c r="AN107">
        <v>0.001</v>
      </c>
      <c r="AO107">
        <v>0.001</v>
      </c>
      <c r="AP107">
        <v>0.001</v>
      </c>
      <c r="AQ107">
        <v>0.001</v>
      </c>
      <c r="AR107">
        <v>0.001</v>
      </c>
      <c r="AS107">
        <v>0.001</v>
      </c>
      <c r="AT107">
        <v>0.001</v>
      </c>
      <c r="AU107">
        <v>0.001</v>
      </c>
      <c r="AV107">
        <v>0.001</v>
      </c>
      <c r="AW107" t="s">
        <v>91</v>
      </c>
    </row>
    <row r="108" spans="1:49" ht="13.2">
      <c r="A108" t="s">
        <v>93</v>
      </c>
      <c r="B108" t="s">
        <v>70</v>
      </c>
      <c r="C108" t="s">
        <v>67</v>
      </c>
      <c r="D108" t="s">
        <v>91</v>
      </c>
      <c r="E108" t="s">
        <v>91</v>
      </c>
      <c r="F108" t="s">
        <v>91</v>
      </c>
      <c r="G108" t="s">
        <v>91</v>
      </c>
      <c r="H108" t="s">
        <v>91</v>
      </c>
      <c r="I108" t="s">
        <v>91</v>
      </c>
      <c r="J108" t="s">
        <v>91</v>
      </c>
      <c r="K108" t="s">
        <v>91</v>
      </c>
      <c r="L108">
        <v>0.001</v>
      </c>
      <c r="M108">
        <v>0.001</v>
      </c>
      <c r="N108">
        <v>0.001</v>
      </c>
      <c r="O108">
        <v>0.001</v>
      </c>
      <c r="P108">
        <v>0.001</v>
      </c>
      <c r="Q108">
        <v>0.001</v>
      </c>
      <c r="R108">
        <v>0.001</v>
      </c>
      <c r="S108">
        <v>0.001</v>
      </c>
      <c r="T108">
        <v>0.001</v>
      </c>
      <c r="U108">
        <v>0.001</v>
      </c>
      <c r="V108">
        <v>0.001</v>
      </c>
      <c r="W108">
        <v>0.001</v>
      </c>
      <c r="X108">
        <v>0.001</v>
      </c>
      <c r="Y108">
        <v>0.001</v>
      </c>
      <c r="Z108">
        <v>0.001</v>
      </c>
      <c r="AA108">
        <v>0.001</v>
      </c>
      <c r="AB108">
        <v>0.001</v>
      </c>
      <c r="AC108">
        <v>0.001</v>
      </c>
      <c r="AD108">
        <v>0.001</v>
      </c>
      <c r="AE108">
        <v>0.001</v>
      </c>
      <c r="AF108">
        <v>0.001</v>
      </c>
      <c r="AG108">
        <v>0.001</v>
      </c>
      <c r="AH108">
        <v>0.001</v>
      </c>
      <c r="AI108">
        <v>0.001</v>
      </c>
      <c r="AJ108">
        <v>0.001</v>
      </c>
      <c r="AK108">
        <v>0.001</v>
      </c>
      <c r="AL108">
        <v>0.001</v>
      </c>
      <c r="AM108">
        <v>0.001</v>
      </c>
      <c r="AN108">
        <v>0.001</v>
      </c>
      <c r="AO108">
        <v>0.001</v>
      </c>
      <c r="AP108">
        <v>0.001</v>
      </c>
      <c r="AQ108">
        <v>0.001</v>
      </c>
      <c r="AR108">
        <v>0.001</v>
      </c>
      <c r="AS108">
        <v>0.001</v>
      </c>
      <c r="AT108">
        <v>0.001</v>
      </c>
      <c r="AU108">
        <v>0.001</v>
      </c>
      <c r="AV108">
        <v>0.001</v>
      </c>
      <c r="AW108" t="s">
        <v>91</v>
      </c>
    </row>
    <row r="109" spans="1:49" ht="13.2">
      <c r="A109" t="s">
        <v>93</v>
      </c>
      <c r="B109" t="s">
        <v>70</v>
      </c>
      <c r="C109" t="s">
        <v>68</v>
      </c>
      <c r="D109" t="s">
        <v>91</v>
      </c>
      <c r="E109" t="s">
        <v>91</v>
      </c>
      <c r="F109" t="s">
        <v>91</v>
      </c>
      <c r="G109" t="s">
        <v>91</v>
      </c>
      <c r="H109" t="s">
        <v>91</v>
      </c>
      <c r="I109" t="s">
        <v>91</v>
      </c>
      <c r="J109" t="s">
        <v>91</v>
      </c>
      <c r="K109" t="s">
        <v>91</v>
      </c>
      <c r="L109">
        <v>0.001</v>
      </c>
      <c r="M109">
        <v>0.001</v>
      </c>
      <c r="N109">
        <v>0.001</v>
      </c>
      <c r="O109">
        <v>0.001</v>
      </c>
      <c r="P109">
        <v>0.001</v>
      </c>
      <c r="Q109">
        <v>0.001</v>
      </c>
      <c r="R109">
        <v>0.001</v>
      </c>
      <c r="S109">
        <v>0.001</v>
      </c>
      <c r="T109">
        <v>0.001</v>
      </c>
      <c r="U109">
        <v>0.001</v>
      </c>
      <c r="V109">
        <v>0.001</v>
      </c>
      <c r="W109">
        <v>0.001</v>
      </c>
      <c r="X109">
        <v>0.001</v>
      </c>
      <c r="Y109">
        <v>0.001</v>
      </c>
      <c r="Z109">
        <v>0.001</v>
      </c>
      <c r="AA109">
        <v>0.001</v>
      </c>
      <c r="AB109">
        <v>0.001</v>
      </c>
      <c r="AC109">
        <v>0.001</v>
      </c>
      <c r="AD109">
        <v>0.001</v>
      </c>
      <c r="AE109">
        <v>0.001</v>
      </c>
      <c r="AF109">
        <v>0.001</v>
      </c>
      <c r="AG109">
        <v>0.001</v>
      </c>
      <c r="AH109">
        <v>0.001</v>
      </c>
      <c r="AI109">
        <v>0.001</v>
      </c>
      <c r="AJ109">
        <v>0.001</v>
      </c>
      <c r="AK109">
        <v>0.001</v>
      </c>
      <c r="AL109">
        <v>0.001</v>
      </c>
      <c r="AM109">
        <v>0.001</v>
      </c>
      <c r="AN109">
        <v>0.001</v>
      </c>
      <c r="AO109">
        <v>0.001</v>
      </c>
      <c r="AP109">
        <v>0.001</v>
      </c>
      <c r="AQ109">
        <v>0.001</v>
      </c>
      <c r="AR109">
        <v>0.001</v>
      </c>
      <c r="AS109">
        <v>0.001</v>
      </c>
      <c r="AT109">
        <v>0.001</v>
      </c>
      <c r="AU109">
        <v>0.001</v>
      </c>
      <c r="AV109">
        <v>0.001</v>
      </c>
      <c r="AW109" t="s">
        <v>91</v>
      </c>
    </row>
    <row r="110" spans="1:49" ht="13.2">
      <c r="A110" t="s">
        <v>93</v>
      </c>
      <c r="B110" t="s">
        <v>70</v>
      </c>
      <c r="C110" t="s">
        <v>85</v>
      </c>
      <c r="D110" t="s">
        <v>91</v>
      </c>
      <c r="E110" t="s">
        <v>91</v>
      </c>
      <c r="F110" t="s">
        <v>91</v>
      </c>
      <c r="G110" t="s">
        <v>91</v>
      </c>
      <c r="H110" t="s">
        <v>91</v>
      </c>
      <c r="I110" t="s">
        <v>91</v>
      </c>
      <c r="J110" t="s">
        <v>91</v>
      </c>
      <c r="K110" t="s">
        <v>91</v>
      </c>
      <c r="L110">
        <v>0.001</v>
      </c>
      <c r="M110">
        <v>0.001</v>
      </c>
      <c r="N110">
        <v>0.001</v>
      </c>
      <c r="O110">
        <v>0.001</v>
      </c>
      <c r="P110">
        <v>0.001</v>
      </c>
      <c r="Q110">
        <v>0.001</v>
      </c>
      <c r="R110">
        <v>0.001</v>
      </c>
      <c r="S110">
        <v>0.001</v>
      </c>
      <c r="T110">
        <v>0.001</v>
      </c>
      <c r="U110">
        <v>0.001</v>
      </c>
      <c r="V110">
        <v>0.001</v>
      </c>
      <c r="W110">
        <v>0.001</v>
      </c>
      <c r="X110">
        <v>0.001</v>
      </c>
      <c r="Y110">
        <v>0.001</v>
      </c>
      <c r="Z110">
        <v>0.001</v>
      </c>
      <c r="AA110">
        <v>0.001</v>
      </c>
      <c r="AB110">
        <v>0.001</v>
      </c>
      <c r="AC110">
        <v>0.001</v>
      </c>
      <c r="AD110">
        <v>0.001</v>
      </c>
      <c r="AE110">
        <v>0.001</v>
      </c>
      <c r="AF110">
        <v>0.001</v>
      </c>
      <c r="AG110">
        <v>0.001</v>
      </c>
      <c r="AH110">
        <v>0.001</v>
      </c>
      <c r="AI110">
        <v>0.001</v>
      </c>
      <c r="AJ110">
        <v>0.001</v>
      </c>
      <c r="AK110">
        <v>0.001</v>
      </c>
      <c r="AL110">
        <v>0.001</v>
      </c>
      <c r="AM110">
        <v>0.001</v>
      </c>
      <c r="AN110">
        <v>0.001</v>
      </c>
      <c r="AO110">
        <v>0.001</v>
      </c>
      <c r="AP110">
        <v>0.001</v>
      </c>
      <c r="AQ110">
        <v>0.001</v>
      </c>
      <c r="AR110">
        <v>0.001</v>
      </c>
      <c r="AS110">
        <v>0.001</v>
      </c>
      <c r="AT110">
        <v>0.001</v>
      </c>
      <c r="AU110">
        <v>0.001</v>
      </c>
      <c r="AV110">
        <v>0.001</v>
      </c>
      <c r="AW110" t="s">
        <v>91</v>
      </c>
    </row>
    <row r="111" spans="1:49" ht="13.2">
      <c r="A111" t="s">
        <v>93</v>
      </c>
      <c r="B111" t="s">
        <v>70</v>
      </c>
      <c r="C111" t="s">
        <v>86</v>
      </c>
      <c r="D111" t="s">
        <v>91</v>
      </c>
      <c r="E111" t="s">
        <v>91</v>
      </c>
      <c r="F111" t="s">
        <v>91</v>
      </c>
      <c r="G111" t="s">
        <v>91</v>
      </c>
      <c r="H111" t="s">
        <v>91</v>
      </c>
      <c r="I111" t="s">
        <v>91</v>
      </c>
      <c r="J111" t="s">
        <v>91</v>
      </c>
      <c r="K111" t="s">
        <v>91</v>
      </c>
      <c r="L111">
        <v>0.001</v>
      </c>
      <c r="M111">
        <v>0.001</v>
      </c>
      <c r="N111">
        <v>0.001</v>
      </c>
      <c r="O111">
        <v>0.001</v>
      </c>
      <c r="P111">
        <v>0.001</v>
      </c>
      <c r="Q111">
        <v>0.001</v>
      </c>
      <c r="R111">
        <v>0.001</v>
      </c>
      <c r="S111">
        <v>0.001</v>
      </c>
      <c r="T111">
        <v>0.001</v>
      </c>
      <c r="U111">
        <v>0.001</v>
      </c>
      <c r="V111">
        <v>0.001</v>
      </c>
      <c r="W111">
        <v>0.001</v>
      </c>
      <c r="X111">
        <v>0.001</v>
      </c>
      <c r="Y111">
        <v>0.001</v>
      </c>
      <c r="Z111">
        <v>0.001</v>
      </c>
      <c r="AA111">
        <v>0.001</v>
      </c>
      <c r="AB111">
        <v>0.001</v>
      </c>
      <c r="AC111">
        <v>0.001</v>
      </c>
      <c r="AD111">
        <v>0.001</v>
      </c>
      <c r="AE111">
        <v>0.001</v>
      </c>
      <c r="AF111">
        <v>0.001</v>
      </c>
      <c r="AG111">
        <v>0.001</v>
      </c>
      <c r="AH111">
        <v>0.001</v>
      </c>
      <c r="AI111">
        <v>0.001</v>
      </c>
      <c r="AJ111">
        <v>0.001</v>
      </c>
      <c r="AK111">
        <v>0.001</v>
      </c>
      <c r="AL111">
        <v>0.001</v>
      </c>
      <c r="AM111">
        <v>0.001</v>
      </c>
      <c r="AN111">
        <v>0.001</v>
      </c>
      <c r="AO111">
        <v>0.001</v>
      </c>
      <c r="AP111">
        <v>0.001</v>
      </c>
      <c r="AQ111">
        <v>0.001</v>
      </c>
      <c r="AR111">
        <v>0.001</v>
      </c>
      <c r="AS111">
        <v>0.001</v>
      </c>
      <c r="AT111">
        <v>0.001</v>
      </c>
      <c r="AU111">
        <v>0.001</v>
      </c>
      <c r="AV111">
        <v>0.001</v>
      </c>
      <c r="AW111" t="s">
        <v>91</v>
      </c>
    </row>
    <row r="112" spans="1:49" ht="13.2">
      <c r="A112" t="s">
        <v>93</v>
      </c>
      <c r="B112" t="s">
        <v>70</v>
      </c>
      <c r="C112" t="s">
        <v>87</v>
      </c>
      <c r="D112" t="s">
        <v>91</v>
      </c>
      <c r="E112" t="s">
        <v>91</v>
      </c>
      <c r="F112" t="s">
        <v>91</v>
      </c>
      <c r="G112" t="s">
        <v>91</v>
      </c>
      <c r="H112" t="s">
        <v>91</v>
      </c>
      <c r="I112" t="s">
        <v>91</v>
      </c>
      <c r="J112" t="s">
        <v>91</v>
      </c>
      <c r="K112" t="s">
        <v>91</v>
      </c>
      <c r="L112">
        <v>0.001</v>
      </c>
      <c r="M112">
        <v>0.001</v>
      </c>
      <c r="N112">
        <v>0.001</v>
      </c>
      <c r="O112">
        <v>0.001</v>
      </c>
      <c r="P112">
        <v>0.001</v>
      </c>
      <c r="Q112">
        <v>0.001</v>
      </c>
      <c r="R112">
        <v>0.001</v>
      </c>
      <c r="S112">
        <v>0.001</v>
      </c>
      <c r="T112">
        <v>0.001</v>
      </c>
      <c r="U112">
        <v>0.001</v>
      </c>
      <c r="V112">
        <v>0.001</v>
      </c>
      <c r="W112">
        <v>0.001</v>
      </c>
      <c r="X112">
        <v>0.001</v>
      </c>
      <c r="Y112">
        <v>0.001</v>
      </c>
      <c r="Z112">
        <v>0.001</v>
      </c>
      <c r="AA112">
        <v>0.001</v>
      </c>
      <c r="AB112">
        <v>0.001</v>
      </c>
      <c r="AC112">
        <v>0.001</v>
      </c>
      <c r="AD112">
        <v>0.001</v>
      </c>
      <c r="AE112">
        <v>0.001</v>
      </c>
      <c r="AF112">
        <v>0.001</v>
      </c>
      <c r="AG112">
        <v>0.001</v>
      </c>
      <c r="AH112">
        <v>0.001</v>
      </c>
      <c r="AI112">
        <v>0.001</v>
      </c>
      <c r="AJ112">
        <v>0.001</v>
      </c>
      <c r="AK112">
        <v>0.001</v>
      </c>
      <c r="AL112">
        <v>0.001</v>
      </c>
      <c r="AM112">
        <v>0.001</v>
      </c>
      <c r="AN112">
        <v>0.001</v>
      </c>
      <c r="AO112">
        <v>0.001</v>
      </c>
      <c r="AP112">
        <v>0.001</v>
      </c>
      <c r="AQ112">
        <v>0.001</v>
      </c>
      <c r="AR112">
        <v>0.001</v>
      </c>
      <c r="AS112">
        <v>0.001</v>
      </c>
      <c r="AT112">
        <v>0.001</v>
      </c>
      <c r="AU112">
        <v>0.001</v>
      </c>
      <c r="AV112">
        <v>0.001</v>
      </c>
      <c r="AW112" t="s">
        <v>91</v>
      </c>
    </row>
    <row r="113" spans="1:49" ht="13.2">
      <c r="A113" t="s">
        <v>93</v>
      </c>
      <c r="B113" t="s">
        <v>70</v>
      </c>
      <c r="C113" t="s">
        <v>88</v>
      </c>
      <c r="D113" t="s">
        <v>91</v>
      </c>
      <c r="E113" t="s">
        <v>91</v>
      </c>
      <c r="F113" t="s">
        <v>91</v>
      </c>
      <c r="G113" t="s">
        <v>91</v>
      </c>
      <c r="H113" t="s">
        <v>91</v>
      </c>
      <c r="I113" t="s">
        <v>91</v>
      </c>
      <c r="J113" t="s">
        <v>91</v>
      </c>
      <c r="K113" t="s">
        <v>91</v>
      </c>
      <c r="L113">
        <v>0.001</v>
      </c>
      <c r="M113">
        <v>0.001</v>
      </c>
      <c r="N113">
        <v>0.001</v>
      </c>
      <c r="O113">
        <v>0.001</v>
      </c>
      <c r="P113">
        <v>0.001</v>
      </c>
      <c r="Q113">
        <v>0.001</v>
      </c>
      <c r="R113">
        <v>0.001</v>
      </c>
      <c r="S113">
        <v>0.001</v>
      </c>
      <c r="T113">
        <v>0.001</v>
      </c>
      <c r="U113">
        <v>0.001</v>
      </c>
      <c r="V113">
        <v>0.001</v>
      </c>
      <c r="W113">
        <v>0.001</v>
      </c>
      <c r="X113">
        <v>0.001</v>
      </c>
      <c r="Y113">
        <v>0.001</v>
      </c>
      <c r="Z113">
        <v>0.001</v>
      </c>
      <c r="AA113">
        <v>0.001</v>
      </c>
      <c r="AB113">
        <v>0.001</v>
      </c>
      <c r="AC113">
        <v>0.001</v>
      </c>
      <c r="AD113">
        <v>0.001</v>
      </c>
      <c r="AE113">
        <v>0.001</v>
      </c>
      <c r="AF113">
        <v>0.001</v>
      </c>
      <c r="AG113">
        <v>0.001</v>
      </c>
      <c r="AH113">
        <v>0.001</v>
      </c>
      <c r="AI113">
        <v>0.001</v>
      </c>
      <c r="AJ113">
        <v>0.001</v>
      </c>
      <c r="AK113">
        <v>0.001</v>
      </c>
      <c r="AL113">
        <v>0.001</v>
      </c>
      <c r="AM113">
        <v>0.001</v>
      </c>
      <c r="AN113">
        <v>0.001</v>
      </c>
      <c r="AO113">
        <v>0.001</v>
      </c>
      <c r="AP113">
        <v>0.001</v>
      </c>
      <c r="AQ113">
        <v>0.001</v>
      </c>
      <c r="AR113">
        <v>0.001</v>
      </c>
      <c r="AS113">
        <v>0.001</v>
      </c>
      <c r="AT113">
        <v>0.001</v>
      </c>
      <c r="AU113">
        <v>0.001</v>
      </c>
      <c r="AV113">
        <v>0.001</v>
      </c>
      <c r="AW113" t="s">
        <v>91</v>
      </c>
    </row>
    <row r="114" spans="1:49" ht="13.2">
      <c r="A114" t="s">
        <v>93</v>
      </c>
      <c r="B114" t="s">
        <v>70</v>
      </c>
      <c r="C114" t="s">
        <v>52</v>
      </c>
      <c r="D114" t="s">
        <v>91</v>
      </c>
      <c r="E114" t="s">
        <v>91</v>
      </c>
      <c r="F114" t="s">
        <v>91</v>
      </c>
      <c r="G114" t="s">
        <v>91</v>
      </c>
      <c r="H114" t="s">
        <v>91</v>
      </c>
      <c r="I114" t="s">
        <v>91</v>
      </c>
      <c r="J114" t="s">
        <v>91</v>
      </c>
      <c r="K114" t="s">
        <v>91</v>
      </c>
      <c r="L114">
        <v>0.001</v>
      </c>
      <c r="M114">
        <v>0.001</v>
      </c>
      <c r="N114">
        <v>0.001</v>
      </c>
      <c r="O114">
        <v>0.001</v>
      </c>
      <c r="P114">
        <v>0.001</v>
      </c>
      <c r="Q114">
        <v>0.001</v>
      </c>
      <c r="R114">
        <v>0.001</v>
      </c>
      <c r="S114">
        <v>0.001</v>
      </c>
      <c r="T114">
        <v>0.001</v>
      </c>
      <c r="U114">
        <v>0.001</v>
      </c>
      <c r="V114">
        <v>0.001</v>
      </c>
      <c r="W114">
        <v>0.001</v>
      </c>
      <c r="X114">
        <v>0.001</v>
      </c>
      <c r="Y114">
        <v>0.001</v>
      </c>
      <c r="Z114">
        <v>0.001</v>
      </c>
      <c r="AA114">
        <v>0.001</v>
      </c>
      <c r="AB114">
        <v>0.001</v>
      </c>
      <c r="AC114">
        <v>0.001</v>
      </c>
      <c r="AD114">
        <v>0.001</v>
      </c>
      <c r="AE114">
        <v>0.001</v>
      </c>
      <c r="AF114">
        <v>0.001</v>
      </c>
      <c r="AG114">
        <v>0.001</v>
      </c>
      <c r="AH114">
        <v>0.001</v>
      </c>
      <c r="AI114">
        <v>0.001</v>
      </c>
      <c r="AJ114">
        <v>0.001</v>
      </c>
      <c r="AK114">
        <v>0.001</v>
      </c>
      <c r="AL114">
        <v>0.001</v>
      </c>
      <c r="AM114">
        <v>0.001</v>
      </c>
      <c r="AN114">
        <v>0.001</v>
      </c>
      <c r="AO114">
        <v>0.001</v>
      </c>
      <c r="AP114">
        <v>0.001</v>
      </c>
      <c r="AQ114">
        <v>0.001</v>
      </c>
      <c r="AR114">
        <v>0.001</v>
      </c>
      <c r="AS114">
        <v>0.001</v>
      </c>
      <c r="AT114">
        <v>0.001</v>
      </c>
      <c r="AU114">
        <v>0.001</v>
      </c>
      <c r="AV114">
        <v>0.001</v>
      </c>
      <c r="AW114" t="s">
        <v>91</v>
      </c>
    </row>
    <row r="115" spans="1:49" ht="13.2">
      <c r="A115" t="s">
        <v>93</v>
      </c>
      <c r="B115" t="s">
        <v>70</v>
      </c>
      <c r="C115" t="s">
        <v>50</v>
      </c>
      <c r="D115" t="s">
        <v>91</v>
      </c>
      <c r="E115" t="s">
        <v>91</v>
      </c>
      <c r="F115" t="s">
        <v>91</v>
      </c>
      <c r="G115" t="s">
        <v>91</v>
      </c>
      <c r="H115" t="s">
        <v>91</v>
      </c>
      <c r="I115" t="s">
        <v>91</v>
      </c>
      <c r="J115" t="s">
        <v>91</v>
      </c>
      <c r="K115" t="s">
        <v>91</v>
      </c>
      <c r="L115">
        <v>0.001</v>
      </c>
      <c r="M115">
        <v>0.001</v>
      </c>
      <c r="N115">
        <v>0.001</v>
      </c>
      <c r="O115">
        <v>0.001</v>
      </c>
      <c r="P115">
        <v>0.001</v>
      </c>
      <c r="Q115">
        <v>0.001</v>
      </c>
      <c r="R115">
        <v>0.001</v>
      </c>
      <c r="S115">
        <v>0.001</v>
      </c>
      <c r="T115">
        <v>0.001</v>
      </c>
      <c r="U115">
        <v>0.001</v>
      </c>
      <c r="V115">
        <v>0.001</v>
      </c>
      <c r="W115">
        <v>0.001</v>
      </c>
      <c r="X115">
        <v>0.001</v>
      </c>
      <c r="Y115">
        <v>0.001</v>
      </c>
      <c r="Z115">
        <v>0.001</v>
      </c>
      <c r="AA115">
        <v>0.001</v>
      </c>
      <c r="AB115">
        <v>0.001</v>
      </c>
      <c r="AC115">
        <v>0.001</v>
      </c>
      <c r="AD115">
        <v>0.001</v>
      </c>
      <c r="AE115">
        <v>0.001</v>
      </c>
      <c r="AF115">
        <v>0.001</v>
      </c>
      <c r="AG115">
        <v>0.001</v>
      </c>
      <c r="AH115">
        <v>0.001</v>
      </c>
      <c r="AI115">
        <v>0.001</v>
      </c>
      <c r="AJ115">
        <v>0.001</v>
      </c>
      <c r="AK115">
        <v>0.001</v>
      </c>
      <c r="AL115">
        <v>0.001</v>
      </c>
      <c r="AM115">
        <v>0.001</v>
      </c>
      <c r="AN115">
        <v>0.001</v>
      </c>
      <c r="AO115">
        <v>0.001</v>
      </c>
      <c r="AP115">
        <v>0.001</v>
      </c>
      <c r="AQ115">
        <v>0.001</v>
      </c>
      <c r="AR115">
        <v>0.001</v>
      </c>
      <c r="AS115">
        <v>0.001</v>
      </c>
      <c r="AT115">
        <v>0.001</v>
      </c>
      <c r="AU115">
        <v>0.001</v>
      </c>
      <c r="AV115">
        <v>0.001</v>
      </c>
      <c r="AW115" t="s">
        <v>91</v>
      </c>
    </row>
    <row r="116" spans="1:49" ht="13.2">
      <c r="A116" t="s">
        <v>93</v>
      </c>
      <c r="B116" t="s">
        <v>70</v>
      </c>
      <c r="C116" t="s">
        <v>72</v>
      </c>
      <c r="D116" t="s">
        <v>91</v>
      </c>
      <c r="E116" t="s">
        <v>91</v>
      </c>
      <c r="F116" t="s">
        <v>91</v>
      </c>
      <c r="G116" t="s">
        <v>91</v>
      </c>
      <c r="H116" t="s">
        <v>91</v>
      </c>
      <c r="I116" t="s">
        <v>91</v>
      </c>
      <c r="J116" t="s">
        <v>91</v>
      </c>
      <c r="K116" t="s">
        <v>91</v>
      </c>
      <c r="L116">
        <v>0.001</v>
      </c>
      <c r="M116">
        <v>0.001</v>
      </c>
      <c r="N116">
        <v>0.001</v>
      </c>
      <c r="O116">
        <v>0.001</v>
      </c>
      <c r="P116">
        <v>0.001</v>
      </c>
      <c r="Q116">
        <v>0.001</v>
      </c>
      <c r="R116">
        <v>0.001</v>
      </c>
      <c r="S116">
        <v>0.001</v>
      </c>
      <c r="T116">
        <v>0.001</v>
      </c>
      <c r="U116">
        <v>0.001</v>
      </c>
      <c r="V116">
        <v>0.001</v>
      </c>
      <c r="W116">
        <v>0.001</v>
      </c>
      <c r="X116">
        <v>0.001</v>
      </c>
      <c r="Y116">
        <v>0.001</v>
      </c>
      <c r="Z116">
        <v>0.001</v>
      </c>
      <c r="AA116">
        <v>0.001</v>
      </c>
      <c r="AB116">
        <v>0.001</v>
      </c>
      <c r="AC116">
        <v>0.001</v>
      </c>
      <c r="AD116">
        <v>0.001</v>
      </c>
      <c r="AE116">
        <v>0.001</v>
      </c>
      <c r="AF116">
        <v>0.001</v>
      </c>
      <c r="AG116">
        <v>0.001</v>
      </c>
      <c r="AH116">
        <v>0.001</v>
      </c>
      <c r="AI116">
        <v>0.001</v>
      </c>
      <c r="AJ116">
        <v>0.001</v>
      </c>
      <c r="AK116">
        <v>0.001</v>
      </c>
      <c r="AL116">
        <v>0.001</v>
      </c>
      <c r="AM116">
        <v>0.001</v>
      </c>
      <c r="AN116">
        <v>0.001</v>
      </c>
      <c r="AO116">
        <v>0.001</v>
      </c>
      <c r="AP116">
        <v>0.001</v>
      </c>
      <c r="AQ116">
        <v>0.001</v>
      </c>
      <c r="AR116">
        <v>0.001</v>
      </c>
      <c r="AS116">
        <v>0.001</v>
      </c>
      <c r="AT116">
        <v>0.001</v>
      </c>
      <c r="AU116">
        <v>0.001</v>
      </c>
      <c r="AV116">
        <v>0.001</v>
      </c>
      <c r="AW116" t="s">
        <v>91</v>
      </c>
    </row>
    <row r="117" spans="1:49" ht="13.2">
      <c r="A117" t="s">
        <v>93</v>
      </c>
      <c r="B117" t="s">
        <v>70</v>
      </c>
      <c r="C117" t="s">
        <v>222</v>
      </c>
      <c r="D117" t="s">
        <v>91</v>
      </c>
      <c r="E117" t="s">
        <v>91</v>
      </c>
      <c r="F117" t="s">
        <v>91</v>
      </c>
      <c r="G117" t="s">
        <v>91</v>
      </c>
      <c r="H117" t="s">
        <v>91</v>
      </c>
      <c r="I117" t="s">
        <v>91</v>
      </c>
      <c r="J117" t="s">
        <v>91</v>
      </c>
      <c r="K117" t="s">
        <v>91</v>
      </c>
      <c r="L117">
        <v>0.001</v>
      </c>
      <c r="M117">
        <v>0.001</v>
      </c>
      <c r="N117">
        <v>0.001</v>
      </c>
      <c r="O117">
        <v>0.001</v>
      </c>
      <c r="P117">
        <v>0.001</v>
      </c>
      <c r="Q117">
        <v>0.001</v>
      </c>
      <c r="R117">
        <v>0.001</v>
      </c>
      <c r="S117">
        <v>0.001</v>
      </c>
      <c r="T117">
        <v>0.001</v>
      </c>
      <c r="U117">
        <v>0.001</v>
      </c>
      <c r="V117">
        <v>0.001</v>
      </c>
      <c r="W117">
        <v>0.001</v>
      </c>
      <c r="X117">
        <v>0.001</v>
      </c>
      <c r="Y117">
        <v>0.001</v>
      </c>
      <c r="Z117">
        <v>0.001</v>
      </c>
      <c r="AA117">
        <v>0.001</v>
      </c>
      <c r="AB117">
        <v>0.001</v>
      </c>
      <c r="AC117">
        <v>0.001</v>
      </c>
      <c r="AD117">
        <v>0.001</v>
      </c>
      <c r="AE117">
        <v>0.001</v>
      </c>
      <c r="AF117">
        <v>0.001</v>
      </c>
      <c r="AG117">
        <v>0.001</v>
      </c>
      <c r="AH117">
        <v>0.001</v>
      </c>
      <c r="AI117">
        <v>0.001</v>
      </c>
      <c r="AJ117">
        <v>0.001</v>
      </c>
      <c r="AK117">
        <v>0.001</v>
      </c>
      <c r="AL117">
        <v>0.001</v>
      </c>
      <c r="AM117">
        <v>0.001</v>
      </c>
      <c r="AN117">
        <v>0.001</v>
      </c>
      <c r="AO117">
        <v>0.001</v>
      </c>
      <c r="AP117">
        <v>0.001</v>
      </c>
      <c r="AQ117">
        <v>0.001</v>
      </c>
      <c r="AR117">
        <v>0.001</v>
      </c>
      <c r="AS117">
        <v>0.001</v>
      </c>
      <c r="AT117">
        <v>0.001</v>
      </c>
      <c r="AU117">
        <v>0.001</v>
      </c>
      <c r="AV117">
        <v>0.001</v>
      </c>
      <c r="AW117" t="s">
        <v>91</v>
      </c>
    </row>
    <row r="118" spans="1:49" ht="13.2">
      <c r="A118" t="s">
        <v>93</v>
      </c>
      <c r="B118" t="s">
        <v>70</v>
      </c>
      <c r="C118" t="s">
        <v>225</v>
      </c>
      <c r="D118" t="s">
        <v>91</v>
      </c>
      <c r="E118" t="s">
        <v>91</v>
      </c>
      <c r="F118" t="s">
        <v>91</v>
      </c>
      <c r="G118" t="s">
        <v>91</v>
      </c>
      <c r="H118" t="s">
        <v>91</v>
      </c>
      <c r="I118" t="s">
        <v>91</v>
      </c>
      <c r="J118" t="s">
        <v>91</v>
      </c>
      <c r="K118" t="s">
        <v>91</v>
      </c>
      <c r="L118">
        <v>0.001</v>
      </c>
      <c r="M118">
        <v>0.001</v>
      </c>
      <c r="N118">
        <v>0.001</v>
      </c>
      <c r="O118">
        <v>0.001</v>
      </c>
      <c r="P118">
        <v>0.001</v>
      </c>
      <c r="Q118">
        <v>0.001</v>
      </c>
      <c r="R118">
        <v>0.001</v>
      </c>
      <c r="S118">
        <v>0.001</v>
      </c>
      <c r="T118">
        <v>0.001</v>
      </c>
      <c r="U118">
        <v>0.001</v>
      </c>
      <c r="V118">
        <v>0.001</v>
      </c>
      <c r="W118">
        <v>0.001</v>
      </c>
      <c r="X118">
        <v>0.001</v>
      </c>
      <c r="Y118">
        <v>0.001</v>
      </c>
      <c r="Z118">
        <v>0.001</v>
      </c>
      <c r="AA118">
        <v>0.001</v>
      </c>
      <c r="AB118">
        <v>0.001</v>
      </c>
      <c r="AC118">
        <v>0.001</v>
      </c>
      <c r="AD118">
        <v>0.001</v>
      </c>
      <c r="AE118">
        <v>0.001</v>
      </c>
      <c r="AF118">
        <v>0.001</v>
      </c>
      <c r="AG118">
        <v>0.001</v>
      </c>
      <c r="AH118">
        <v>0.001</v>
      </c>
      <c r="AI118">
        <v>0.001</v>
      </c>
      <c r="AJ118">
        <v>0.001</v>
      </c>
      <c r="AK118">
        <v>0.001</v>
      </c>
      <c r="AL118">
        <v>0.001</v>
      </c>
      <c r="AM118">
        <v>0.001</v>
      </c>
      <c r="AN118">
        <v>0.001</v>
      </c>
      <c r="AO118">
        <v>0.001</v>
      </c>
      <c r="AP118">
        <v>0.001</v>
      </c>
      <c r="AQ118">
        <v>0.001</v>
      </c>
      <c r="AR118">
        <v>0.001</v>
      </c>
      <c r="AS118">
        <v>0.001</v>
      </c>
      <c r="AT118">
        <v>0.001</v>
      </c>
      <c r="AU118">
        <v>0.001</v>
      </c>
      <c r="AV118">
        <v>0.001</v>
      </c>
      <c r="AW118" t="s">
        <v>91</v>
      </c>
    </row>
    <row r="119" spans="1:49" ht="13.2">
      <c r="A119" t="s">
        <v>93</v>
      </c>
      <c r="B119" t="s">
        <v>70</v>
      </c>
      <c r="C119" t="s">
        <v>224</v>
      </c>
      <c r="D119" t="s">
        <v>91</v>
      </c>
      <c r="E119" t="s">
        <v>91</v>
      </c>
      <c r="F119" t="s">
        <v>91</v>
      </c>
      <c r="G119" t="s">
        <v>91</v>
      </c>
      <c r="H119" t="s">
        <v>91</v>
      </c>
      <c r="I119" t="s">
        <v>91</v>
      </c>
      <c r="J119" t="s">
        <v>91</v>
      </c>
      <c r="K119" t="s">
        <v>91</v>
      </c>
      <c r="L119">
        <v>0.001</v>
      </c>
      <c r="M119">
        <v>0.001</v>
      </c>
      <c r="N119">
        <v>0.001</v>
      </c>
      <c r="O119">
        <v>0.001</v>
      </c>
      <c r="P119">
        <v>0.001</v>
      </c>
      <c r="Q119">
        <v>0.001</v>
      </c>
      <c r="R119">
        <v>0.001</v>
      </c>
      <c r="S119">
        <v>0.001</v>
      </c>
      <c r="T119">
        <v>0.001</v>
      </c>
      <c r="U119">
        <v>0.001</v>
      </c>
      <c r="V119">
        <v>0.001</v>
      </c>
      <c r="W119">
        <v>0.001</v>
      </c>
      <c r="X119">
        <v>0.001</v>
      </c>
      <c r="Y119">
        <v>0.001</v>
      </c>
      <c r="Z119">
        <v>0.001</v>
      </c>
      <c r="AA119">
        <v>0.001</v>
      </c>
      <c r="AB119">
        <v>0.001</v>
      </c>
      <c r="AC119">
        <v>0.001</v>
      </c>
      <c r="AD119">
        <v>0.001</v>
      </c>
      <c r="AE119">
        <v>0.001</v>
      </c>
      <c r="AF119">
        <v>0.001</v>
      </c>
      <c r="AG119">
        <v>0.001</v>
      </c>
      <c r="AH119">
        <v>0.001</v>
      </c>
      <c r="AI119">
        <v>0.001</v>
      </c>
      <c r="AJ119">
        <v>0.001</v>
      </c>
      <c r="AK119">
        <v>0.001</v>
      </c>
      <c r="AL119">
        <v>0.001</v>
      </c>
      <c r="AM119">
        <v>0.001</v>
      </c>
      <c r="AN119">
        <v>0.001</v>
      </c>
      <c r="AO119">
        <v>0.001</v>
      </c>
      <c r="AP119">
        <v>0.001</v>
      </c>
      <c r="AQ119">
        <v>0.001</v>
      </c>
      <c r="AR119">
        <v>0.001</v>
      </c>
      <c r="AS119">
        <v>0.001</v>
      </c>
      <c r="AT119">
        <v>0.001</v>
      </c>
      <c r="AU119">
        <v>0.001</v>
      </c>
      <c r="AV119">
        <v>0.001</v>
      </c>
      <c r="AW119" t="s">
        <v>91</v>
      </c>
    </row>
    <row r="120" spans="1:49" ht="13.2">
      <c r="A120" t="s">
        <v>93</v>
      </c>
      <c r="B120" t="s">
        <v>70</v>
      </c>
      <c r="C120" t="s">
        <v>223</v>
      </c>
      <c r="D120" t="s">
        <v>91</v>
      </c>
      <c r="E120" t="s">
        <v>91</v>
      </c>
      <c r="F120" t="s">
        <v>91</v>
      </c>
      <c r="G120" t="s">
        <v>91</v>
      </c>
      <c r="H120" t="s">
        <v>91</v>
      </c>
      <c r="I120" t="s">
        <v>91</v>
      </c>
      <c r="J120" t="s">
        <v>91</v>
      </c>
      <c r="K120" t="s">
        <v>91</v>
      </c>
      <c r="L120">
        <v>0.001</v>
      </c>
      <c r="M120">
        <v>0.001</v>
      </c>
      <c r="N120">
        <v>0.001</v>
      </c>
      <c r="O120">
        <v>0.001</v>
      </c>
      <c r="P120">
        <v>0.001</v>
      </c>
      <c r="Q120">
        <v>0.001</v>
      </c>
      <c r="R120">
        <v>0.001</v>
      </c>
      <c r="S120">
        <v>0.001</v>
      </c>
      <c r="T120">
        <v>0.001</v>
      </c>
      <c r="U120">
        <v>0.001</v>
      </c>
      <c r="V120">
        <v>0.001</v>
      </c>
      <c r="W120">
        <v>0.001</v>
      </c>
      <c r="X120">
        <v>0.001</v>
      </c>
      <c r="Y120">
        <v>0.001</v>
      </c>
      <c r="Z120">
        <v>0.001</v>
      </c>
      <c r="AA120">
        <v>0.001</v>
      </c>
      <c r="AB120">
        <v>0.001</v>
      </c>
      <c r="AC120">
        <v>0.001</v>
      </c>
      <c r="AD120">
        <v>0.001</v>
      </c>
      <c r="AE120">
        <v>0.001</v>
      </c>
      <c r="AF120">
        <v>0.001</v>
      </c>
      <c r="AG120">
        <v>0.001</v>
      </c>
      <c r="AH120">
        <v>0.001</v>
      </c>
      <c r="AI120">
        <v>0.001</v>
      </c>
      <c r="AJ120">
        <v>0.001</v>
      </c>
      <c r="AK120">
        <v>0.001</v>
      </c>
      <c r="AL120">
        <v>0.001</v>
      </c>
      <c r="AM120">
        <v>0.001</v>
      </c>
      <c r="AN120">
        <v>0.001</v>
      </c>
      <c r="AO120">
        <v>0.001</v>
      </c>
      <c r="AP120">
        <v>0.001</v>
      </c>
      <c r="AQ120">
        <v>0.001</v>
      </c>
      <c r="AR120">
        <v>0.001</v>
      </c>
      <c r="AS120">
        <v>0.001</v>
      </c>
      <c r="AT120">
        <v>0.001</v>
      </c>
      <c r="AU120">
        <v>0.001</v>
      </c>
      <c r="AV120">
        <v>0.001</v>
      </c>
      <c r="AW120" t="s">
        <v>91</v>
      </c>
    </row>
    <row r="121" spans="1:49" ht="13.2">
      <c r="A121" t="s">
        <v>93</v>
      </c>
      <c r="B121" t="s">
        <v>70</v>
      </c>
      <c r="C121" t="s">
        <v>221</v>
      </c>
      <c r="D121" t="s">
        <v>91</v>
      </c>
      <c r="E121" t="s">
        <v>91</v>
      </c>
      <c r="F121" t="s">
        <v>91</v>
      </c>
      <c r="G121" t="s">
        <v>91</v>
      </c>
      <c r="H121" t="s">
        <v>91</v>
      </c>
      <c r="I121" t="s">
        <v>91</v>
      </c>
      <c r="J121" t="s">
        <v>91</v>
      </c>
      <c r="K121" t="s">
        <v>91</v>
      </c>
      <c r="L121">
        <v>0.001</v>
      </c>
      <c r="M121">
        <v>0.001</v>
      </c>
      <c r="N121">
        <v>0.001</v>
      </c>
      <c r="O121">
        <v>0.001</v>
      </c>
      <c r="P121">
        <v>0.001</v>
      </c>
      <c r="Q121">
        <v>0.001</v>
      </c>
      <c r="R121">
        <v>0.001</v>
      </c>
      <c r="S121">
        <v>0.001</v>
      </c>
      <c r="T121">
        <v>0.001</v>
      </c>
      <c r="U121">
        <v>0.001</v>
      </c>
      <c r="V121">
        <v>0.001</v>
      </c>
      <c r="W121">
        <v>0.001</v>
      </c>
      <c r="X121">
        <v>0.001</v>
      </c>
      <c r="Y121">
        <v>0.001</v>
      </c>
      <c r="Z121">
        <v>0.001</v>
      </c>
      <c r="AA121">
        <v>0.001</v>
      </c>
      <c r="AB121">
        <v>0.001</v>
      </c>
      <c r="AC121">
        <v>0.001</v>
      </c>
      <c r="AD121">
        <v>0.001</v>
      </c>
      <c r="AE121">
        <v>0.001</v>
      </c>
      <c r="AF121">
        <v>0.001</v>
      </c>
      <c r="AG121">
        <v>0.001</v>
      </c>
      <c r="AH121">
        <v>0.001</v>
      </c>
      <c r="AI121">
        <v>0.001</v>
      </c>
      <c r="AJ121">
        <v>0.001</v>
      </c>
      <c r="AK121">
        <v>0.001</v>
      </c>
      <c r="AL121">
        <v>0.001</v>
      </c>
      <c r="AM121">
        <v>0.001</v>
      </c>
      <c r="AN121">
        <v>0.001</v>
      </c>
      <c r="AO121">
        <v>0.001</v>
      </c>
      <c r="AP121">
        <v>0.001</v>
      </c>
      <c r="AQ121">
        <v>0.001</v>
      </c>
      <c r="AR121">
        <v>0.001</v>
      </c>
      <c r="AS121">
        <v>0.001</v>
      </c>
      <c r="AT121">
        <v>0.001</v>
      </c>
      <c r="AU121">
        <v>0.001</v>
      </c>
      <c r="AV121">
        <v>0.001</v>
      </c>
      <c r="AW121" t="s">
        <v>91</v>
      </c>
    </row>
    <row r="122" spans="1:49" ht="13.2">
      <c r="A122" t="s">
        <v>93</v>
      </c>
      <c r="B122" t="s">
        <v>29</v>
      </c>
      <c r="C122" t="s">
        <v>92</v>
      </c>
      <c r="D122" t="s">
        <v>91</v>
      </c>
      <c r="E122" t="s">
        <v>91</v>
      </c>
      <c r="F122" t="s">
        <v>219</v>
      </c>
      <c r="G122" t="s">
        <v>90</v>
      </c>
      <c r="H122" t="s">
        <v>91</v>
      </c>
      <c r="I122" t="s">
        <v>91</v>
      </c>
      <c r="J122" t="s">
        <v>91</v>
      </c>
      <c r="K122" t="s">
        <v>91</v>
      </c>
      <c r="L122">
        <v>0.040000000000000001</v>
      </c>
      <c r="M122">
        <v>0.040000000000000001</v>
      </c>
      <c r="N122">
        <v>0.040000000000000001</v>
      </c>
      <c r="O122">
        <v>0.040000000000000001</v>
      </c>
      <c r="P122">
        <v>0.040000000000000001</v>
      </c>
      <c r="Q122">
        <v>0.040000000000000001</v>
      </c>
      <c r="R122">
        <v>0.040000000000000001</v>
      </c>
      <c r="S122">
        <v>0.040000000000000001</v>
      </c>
      <c r="T122">
        <v>0.040000000000000001</v>
      </c>
      <c r="U122">
        <v>0.040000000000000001</v>
      </c>
      <c r="V122">
        <v>0.040000000000000001</v>
      </c>
      <c r="W122">
        <v>0.040000000000000001</v>
      </c>
      <c r="X122">
        <v>0.040000000000000001</v>
      </c>
      <c r="Y122">
        <v>0.040000000000000001</v>
      </c>
      <c r="Z122">
        <v>0.040000000000000001</v>
      </c>
      <c r="AA122">
        <v>0.040000000000000001</v>
      </c>
      <c r="AB122">
        <v>0.040000000000000001</v>
      </c>
      <c r="AC122">
        <v>0.040000000000000001</v>
      </c>
      <c r="AD122">
        <v>0.040000000000000001</v>
      </c>
      <c r="AE122">
        <v>0.040000000000000001</v>
      </c>
      <c r="AF122">
        <v>0.040000000000000001</v>
      </c>
      <c r="AG122">
        <v>0.040000000000000001</v>
      </c>
      <c r="AH122">
        <v>0.040000000000000001</v>
      </c>
      <c r="AI122">
        <v>0.040000000000000001</v>
      </c>
      <c r="AJ122">
        <v>0.040000000000000001</v>
      </c>
      <c r="AK122">
        <v>0.040000000000000001</v>
      </c>
      <c r="AL122">
        <v>0.040000000000000001</v>
      </c>
      <c r="AM122">
        <v>0.040000000000000001</v>
      </c>
      <c r="AN122">
        <v>0.040000000000000001</v>
      </c>
      <c r="AO122">
        <v>0.040000000000000001</v>
      </c>
      <c r="AP122">
        <v>0.040000000000000001</v>
      </c>
      <c r="AQ122">
        <v>0.040000000000000001</v>
      </c>
      <c r="AR122">
        <v>0.040000000000000001</v>
      </c>
      <c r="AS122">
        <v>0.040000000000000001</v>
      </c>
      <c r="AT122">
        <v>0.040000000000000001</v>
      </c>
      <c r="AU122">
        <v>0.040000000000000001</v>
      </c>
      <c r="AV122">
        <v>0.040000000000000001</v>
      </c>
      <c r="AW122" t="s">
        <v>91</v>
      </c>
    </row>
    <row r="123" spans="1:49" ht="13.2">
      <c r="A123" t="s">
        <v>93</v>
      </c>
      <c r="B123" t="s">
        <v>29</v>
      </c>
      <c r="C123" t="s">
        <v>89</v>
      </c>
      <c r="D123" t="s">
        <v>91</v>
      </c>
      <c r="E123" t="s">
        <v>91</v>
      </c>
      <c r="F123" t="s">
        <v>219</v>
      </c>
      <c r="G123" t="s">
        <v>90</v>
      </c>
      <c r="H123" t="s">
        <v>91</v>
      </c>
      <c r="I123" t="s">
        <v>91</v>
      </c>
      <c r="J123" t="s">
        <v>91</v>
      </c>
      <c r="K123" t="s">
        <v>91</v>
      </c>
      <c r="L123">
        <v>0.040000000000000001</v>
      </c>
      <c r="M123">
        <v>0.040000000000000001</v>
      </c>
      <c r="N123">
        <v>0.040000000000000001</v>
      </c>
      <c r="O123">
        <v>0.040000000000000001</v>
      </c>
      <c r="P123">
        <v>0.040000000000000001</v>
      </c>
      <c r="Q123">
        <v>0.040000000000000001</v>
      </c>
      <c r="R123">
        <v>0.040000000000000001</v>
      </c>
      <c r="S123">
        <v>0.040000000000000001</v>
      </c>
      <c r="T123">
        <v>0.040000000000000001</v>
      </c>
      <c r="U123">
        <v>0.040000000000000001</v>
      </c>
      <c r="V123">
        <v>0.040000000000000001</v>
      </c>
      <c r="W123">
        <v>0.040000000000000001</v>
      </c>
      <c r="X123">
        <v>0.040000000000000001</v>
      </c>
      <c r="Y123">
        <v>0.040000000000000001</v>
      </c>
      <c r="Z123">
        <v>0.040000000000000001</v>
      </c>
      <c r="AA123">
        <v>0.040000000000000001</v>
      </c>
      <c r="AB123">
        <v>0.040000000000000001</v>
      </c>
      <c r="AC123">
        <v>0.040000000000000001</v>
      </c>
      <c r="AD123">
        <v>0.040000000000000001</v>
      </c>
      <c r="AE123">
        <v>0.040000000000000001</v>
      </c>
      <c r="AF123">
        <v>0.040000000000000001</v>
      </c>
      <c r="AG123">
        <v>0.040000000000000001</v>
      </c>
      <c r="AH123">
        <v>0.040000000000000001</v>
      </c>
      <c r="AI123">
        <v>0.040000000000000001</v>
      </c>
      <c r="AJ123">
        <v>0.040000000000000001</v>
      </c>
      <c r="AK123">
        <v>0.040000000000000001</v>
      </c>
      <c r="AL123">
        <v>0.040000000000000001</v>
      </c>
      <c r="AM123">
        <v>0.040000000000000001</v>
      </c>
      <c r="AN123">
        <v>0.040000000000000001</v>
      </c>
      <c r="AO123">
        <v>0.040000000000000001</v>
      </c>
      <c r="AP123">
        <v>0.040000000000000001</v>
      </c>
      <c r="AQ123">
        <v>0.040000000000000001</v>
      </c>
      <c r="AR123">
        <v>0.040000000000000001</v>
      </c>
      <c r="AS123">
        <v>0.040000000000000001</v>
      </c>
      <c r="AT123">
        <v>0.040000000000000001</v>
      </c>
      <c r="AU123">
        <v>0.040000000000000001</v>
      </c>
      <c r="AV123">
        <v>0.040000000000000001</v>
      </c>
      <c r="AW123" t="s">
        <v>91</v>
      </c>
    </row>
    <row r="124" spans="1:49" ht="13.2">
      <c r="A124" t="s">
        <v>93</v>
      </c>
      <c r="B124" t="s">
        <v>29</v>
      </c>
      <c r="C124" t="s">
        <v>56</v>
      </c>
      <c r="D124" t="s">
        <v>91</v>
      </c>
      <c r="E124" t="s">
        <v>91</v>
      </c>
      <c r="F124" t="s">
        <v>219</v>
      </c>
      <c r="G124" t="s">
        <v>90</v>
      </c>
      <c r="H124" t="s">
        <v>91</v>
      </c>
      <c r="I124" t="s">
        <v>91</v>
      </c>
      <c r="J124" t="s">
        <v>91</v>
      </c>
      <c r="K124" t="s">
        <v>91</v>
      </c>
      <c r="L124">
        <v>0.11</v>
      </c>
      <c r="M124">
        <v>0.089999999999999997</v>
      </c>
      <c r="N124">
        <v>0.089999999999999997</v>
      </c>
      <c r="O124">
        <v>0.080000000000000002</v>
      </c>
      <c r="P124">
        <v>0.10000000000000001</v>
      </c>
      <c r="Q124">
        <v>0.080000000000000002</v>
      </c>
      <c r="R124">
        <v>0.10000000000000001</v>
      </c>
      <c r="S124">
        <v>0.11</v>
      </c>
      <c r="T124">
        <v>0.11</v>
      </c>
      <c r="U124">
        <v>0.089999999999999997</v>
      </c>
      <c r="V124">
        <v>0.10000000000000001</v>
      </c>
      <c r="W124">
        <v>0.11</v>
      </c>
      <c r="X124">
        <v>0.10000000000000001</v>
      </c>
      <c r="Y124">
        <v>0.11</v>
      </c>
      <c r="Z124">
        <v>0.089999999999999997</v>
      </c>
      <c r="AA124">
        <v>0.089999999999999997</v>
      </c>
      <c r="AB124">
        <v>0.089999999999999997</v>
      </c>
      <c r="AC124">
        <v>0.10000000000000001</v>
      </c>
      <c r="AD124">
        <v>0.10000000000000001</v>
      </c>
      <c r="AE124">
        <v>0.10000000000000001</v>
      </c>
      <c r="AF124">
        <v>0.089999999999999997</v>
      </c>
      <c r="AG124">
        <v>0.070000000000000007</v>
      </c>
      <c r="AH124">
        <v>0.080000000000000002</v>
      </c>
      <c r="AI124">
        <v>0.11</v>
      </c>
      <c r="AJ124">
        <v>0.11</v>
      </c>
      <c r="AK124">
        <v>0.089999999999999997</v>
      </c>
      <c r="AL124">
        <v>0.10000000000000001</v>
      </c>
      <c r="AM124">
        <v>0.089999999999999997</v>
      </c>
      <c r="AN124">
        <v>0.11</v>
      </c>
      <c r="AO124">
        <v>0.089999999999999997</v>
      </c>
      <c r="AP124">
        <v>0.10000000000000001</v>
      </c>
      <c r="AQ124">
        <v>0.10000000000000001</v>
      </c>
      <c r="AR124">
        <v>0.089999999999999997</v>
      </c>
      <c r="AS124">
        <v>0.10000000000000001</v>
      </c>
      <c r="AT124">
        <v>0.089999999999999997</v>
      </c>
      <c r="AU124">
        <v>0.11</v>
      </c>
      <c r="AV124">
        <v>0.059999999999999998</v>
      </c>
      <c r="AW124" t="s">
        <v>91</v>
      </c>
    </row>
    <row r="125" spans="1:49" ht="13.2">
      <c r="A125" t="s">
        <v>93</v>
      </c>
      <c r="B125" t="s">
        <v>29</v>
      </c>
      <c r="C125" t="s">
        <v>55</v>
      </c>
      <c r="D125" t="s">
        <v>91</v>
      </c>
      <c r="E125" t="s">
        <v>91</v>
      </c>
      <c r="F125" t="s">
        <v>219</v>
      </c>
      <c r="G125" t="s">
        <v>90</v>
      </c>
      <c r="H125" t="s">
        <v>91</v>
      </c>
      <c r="I125" t="s">
        <v>91</v>
      </c>
      <c r="J125" t="s">
        <v>91</v>
      </c>
      <c r="K125" t="s">
        <v>91</v>
      </c>
      <c r="L125">
        <v>0.080000000000000002</v>
      </c>
      <c r="M125">
        <v>0.10000000000000001</v>
      </c>
      <c r="N125">
        <v>0.10000000000000001</v>
      </c>
      <c r="O125">
        <v>0.089999999999999997</v>
      </c>
      <c r="P125">
        <v>0.059999999999999998</v>
      </c>
      <c r="Q125">
        <v>0.089999999999999997</v>
      </c>
      <c r="R125">
        <v>0.080000000000000002</v>
      </c>
      <c r="S125">
        <v>0.080000000000000002</v>
      </c>
      <c r="T125">
        <v>0.080000000000000002</v>
      </c>
      <c r="U125">
        <v>0.089999999999999997</v>
      </c>
      <c r="V125">
        <v>0.084722222222222296</v>
      </c>
      <c r="W125">
        <v>0.080000000000000002</v>
      </c>
      <c r="X125">
        <v>0.070000000000000007</v>
      </c>
      <c r="Y125">
        <v>0.080000000000000002</v>
      </c>
      <c r="Z125">
        <v>0.080000000000000002</v>
      </c>
      <c r="AA125">
        <v>0.10000000000000001</v>
      </c>
      <c r="AB125">
        <v>0.080000000000000002</v>
      </c>
      <c r="AC125">
        <v>0.10000000000000001</v>
      </c>
      <c r="AD125">
        <v>0.080000000000000002</v>
      </c>
      <c r="AE125">
        <v>0.070000000000000007</v>
      </c>
      <c r="AF125">
        <v>0.10000000000000001</v>
      </c>
      <c r="AG125">
        <v>0.10000000000000001</v>
      </c>
      <c r="AH125">
        <v>0.089999999999999997</v>
      </c>
      <c r="AI125">
        <v>0.089999999999999997</v>
      </c>
      <c r="AJ125">
        <v>0.080000000000000002</v>
      </c>
      <c r="AK125">
        <v>0.10000000000000001</v>
      </c>
      <c r="AL125">
        <v>0.080000000000000002</v>
      </c>
      <c r="AM125">
        <v>0.089999999999999997</v>
      </c>
      <c r="AN125">
        <v>0.080000000000000002</v>
      </c>
      <c r="AO125">
        <v>0.080000000000000002</v>
      </c>
      <c r="AP125">
        <v>0.070000000000000007</v>
      </c>
      <c r="AQ125">
        <v>0.059999999999999998</v>
      </c>
      <c r="AR125">
        <v>0.10000000000000001</v>
      </c>
      <c r="AS125">
        <v>0.080000000000000002</v>
      </c>
      <c r="AT125">
        <v>0.10000000000000001</v>
      </c>
      <c r="AU125">
        <v>0.080000000000000002</v>
      </c>
      <c r="AV125">
        <v>0.080000000000000002</v>
      </c>
      <c r="AW125" t="s">
        <v>91</v>
      </c>
    </row>
    <row r="126" spans="1:49" ht="13.2">
      <c r="A126" t="s">
        <v>93</v>
      </c>
      <c r="B126" t="s">
        <v>29</v>
      </c>
      <c r="C126" t="s">
        <v>76</v>
      </c>
      <c r="D126" t="s">
        <v>91</v>
      </c>
      <c r="E126" t="s">
        <v>91</v>
      </c>
      <c r="F126" t="s">
        <v>219</v>
      </c>
      <c r="G126" t="s">
        <v>90</v>
      </c>
      <c r="H126" t="s">
        <v>91</v>
      </c>
      <c r="I126" t="s">
        <v>91</v>
      </c>
      <c r="J126" t="s">
        <v>91</v>
      </c>
      <c r="K126" t="s">
        <v>91</v>
      </c>
      <c r="L126">
        <v>0.087499999999999994</v>
      </c>
      <c r="M126">
        <v>0.087499999999999994</v>
      </c>
      <c r="N126">
        <v>0.087499999999999994</v>
      </c>
      <c r="O126">
        <v>0.087499999999999994</v>
      </c>
      <c r="P126">
        <v>0.087499999999999994</v>
      </c>
      <c r="Q126">
        <v>0.087499999999999994</v>
      </c>
      <c r="R126">
        <v>0.087499999999999994</v>
      </c>
      <c r="S126">
        <v>0.10000000000000001</v>
      </c>
      <c r="T126">
        <v>0.087499999999999994</v>
      </c>
      <c r="U126">
        <v>0.089999999999999997</v>
      </c>
      <c r="V126">
        <v>0.087499999999999994</v>
      </c>
      <c r="W126">
        <v>0.087499999999999994</v>
      </c>
      <c r="X126">
        <v>0.087499999999999994</v>
      </c>
      <c r="Y126">
        <v>0.087499999999999994</v>
      </c>
      <c r="Z126">
        <v>0.087499999999999994</v>
      </c>
      <c r="AA126">
        <v>0.087499999999999994</v>
      </c>
      <c r="AB126">
        <v>0.087499999999999994</v>
      </c>
      <c r="AC126">
        <v>0.087499999999999994</v>
      </c>
      <c r="AD126">
        <v>0.10000000000000001</v>
      </c>
      <c r="AE126">
        <v>0.087499999999999994</v>
      </c>
      <c r="AF126">
        <v>0.087499999999999994</v>
      </c>
      <c r="AG126">
        <v>0.087499999999999994</v>
      </c>
      <c r="AH126">
        <v>0.087499999999999994</v>
      </c>
      <c r="AI126">
        <v>0.087499999999999994</v>
      </c>
      <c r="AJ126">
        <v>0.087499999999999994</v>
      </c>
      <c r="AK126">
        <v>0.087499999999999994</v>
      </c>
      <c r="AL126">
        <v>0.087499999999999994</v>
      </c>
      <c r="AM126">
        <v>0.087499999999999994</v>
      </c>
      <c r="AN126">
        <v>0.087499999999999994</v>
      </c>
      <c r="AO126">
        <v>0.087499999999999994</v>
      </c>
      <c r="AP126">
        <v>0.087499999999999994</v>
      </c>
      <c r="AQ126">
        <v>0.087499999999999994</v>
      </c>
      <c r="AR126">
        <v>0.087499999999999994</v>
      </c>
      <c r="AS126">
        <v>0.087499999999999994</v>
      </c>
      <c r="AT126">
        <v>0.087499999999999994</v>
      </c>
      <c r="AU126">
        <v>0.087499999999999994</v>
      </c>
      <c r="AV126">
        <v>0.059999999999999998</v>
      </c>
      <c r="AW126" t="s">
        <v>91</v>
      </c>
    </row>
    <row r="127" spans="1:49" ht="13.2">
      <c r="A127" t="s">
        <v>93</v>
      </c>
      <c r="B127" t="s">
        <v>29</v>
      </c>
      <c r="C127" t="s">
        <v>75</v>
      </c>
      <c r="D127" t="s">
        <v>91</v>
      </c>
      <c r="E127" t="s">
        <v>91</v>
      </c>
      <c r="F127" t="s">
        <v>219</v>
      </c>
      <c r="G127" t="s">
        <v>90</v>
      </c>
      <c r="H127" t="s">
        <v>91</v>
      </c>
      <c r="I127" t="s">
        <v>91</v>
      </c>
      <c r="J127" t="s">
        <v>91</v>
      </c>
      <c r="K127" t="s">
        <v>91</v>
      </c>
      <c r="L127">
        <v>0.080000000000000002</v>
      </c>
      <c r="M127">
        <v>0.080000000000000002</v>
      </c>
      <c r="N127">
        <v>0.080000000000000002</v>
      </c>
      <c r="O127">
        <v>0.080000000000000002</v>
      </c>
      <c r="P127">
        <v>0.080000000000000002</v>
      </c>
      <c r="Q127">
        <v>0.080000000000000002</v>
      </c>
      <c r="R127">
        <v>0.080000000000000002</v>
      </c>
      <c r="S127">
        <v>0.080000000000000002</v>
      </c>
      <c r="T127">
        <v>0.080000000000000002</v>
      </c>
      <c r="U127">
        <v>0.089999999999999997</v>
      </c>
      <c r="V127">
        <v>0.080000000000000002</v>
      </c>
      <c r="W127">
        <v>0.080000000000000002</v>
      </c>
      <c r="X127">
        <v>0.080000000000000002</v>
      </c>
      <c r="Y127">
        <v>0.080000000000000002</v>
      </c>
      <c r="Z127">
        <v>0.080000000000000002</v>
      </c>
      <c r="AA127">
        <v>0.080000000000000002</v>
      </c>
      <c r="AB127">
        <v>0.080000000000000002</v>
      </c>
      <c r="AC127">
        <v>0.080000000000000002</v>
      </c>
      <c r="AD127">
        <v>0.080000000000000002</v>
      </c>
      <c r="AE127">
        <v>0.080000000000000002</v>
      </c>
      <c r="AF127">
        <v>0.080000000000000002</v>
      </c>
      <c r="AG127">
        <v>0.080000000000000002</v>
      </c>
      <c r="AH127">
        <v>0.080000000000000002</v>
      </c>
      <c r="AI127">
        <v>0.080000000000000002</v>
      </c>
      <c r="AJ127">
        <v>0.080000000000000002</v>
      </c>
      <c r="AK127">
        <v>0.089999999999999997</v>
      </c>
      <c r="AL127">
        <v>0.080000000000000002</v>
      </c>
      <c r="AM127">
        <v>0.089999999999999997</v>
      </c>
      <c r="AN127">
        <v>0.080000000000000002</v>
      </c>
      <c r="AO127">
        <v>0.070000000000000007</v>
      </c>
      <c r="AP127">
        <v>0.070000000000000007</v>
      </c>
      <c r="AQ127">
        <v>0.080000000000000002</v>
      </c>
      <c r="AR127">
        <v>0.080000000000000002</v>
      </c>
      <c r="AS127">
        <v>0.080000000000000002</v>
      </c>
      <c r="AT127">
        <v>0.080000000000000002</v>
      </c>
      <c r="AU127">
        <v>0.080000000000000002</v>
      </c>
      <c r="AV127">
        <v>0.070000000000000007</v>
      </c>
      <c r="AW127" t="s">
        <v>91</v>
      </c>
    </row>
    <row r="128" spans="1:49" ht="13.2">
      <c r="A128" t="s">
        <v>93</v>
      </c>
      <c r="B128" t="s">
        <v>29</v>
      </c>
      <c r="C128" t="s">
        <v>54</v>
      </c>
      <c r="D128" t="s">
        <v>91</v>
      </c>
      <c r="E128" t="s">
        <v>91</v>
      </c>
      <c r="F128" t="s">
        <v>219</v>
      </c>
      <c r="G128" t="s">
        <v>90</v>
      </c>
      <c r="H128" t="s">
        <v>91</v>
      </c>
      <c r="I128" t="s">
        <v>91</v>
      </c>
      <c r="J128" t="s">
        <v>91</v>
      </c>
      <c r="K128" t="s">
        <v>91</v>
      </c>
      <c r="L128">
        <v>0.050000000000000003</v>
      </c>
      <c r="M128">
        <v>0.050000000000000003</v>
      </c>
      <c r="N128">
        <v>0.050000000000000003</v>
      </c>
      <c r="O128">
        <v>0.050000000000000003</v>
      </c>
      <c r="P128">
        <v>0.050000000000000003</v>
      </c>
      <c r="Q128">
        <v>0.050000000000000003</v>
      </c>
      <c r="R128">
        <v>0.050000000000000003</v>
      </c>
      <c r="S128">
        <v>0.050000000000000003</v>
      </c>
      <c r="T128">
        <v>0.050000000000000003</v>
      </c>
      <c r="U128">
        <v>0.050000000000000003</v>
      </c>
      <c r="V128">
        <v>0.050000000000000003</v>
      </c>
      <c r="W128">
        <v>0.050000000000000003</v>
      </c>
      <c r="X128">
        <v>0.050000000000000003</v>
      </c>
      <c r="Y128">
        <v>0.050000000000000003</v>
      </c>
      <c r="Z128">
        <v>0.050000000000000003</v>
      </c>
      <c r="AA128">
        <v>0.050000000000000003</v>
      </c>
      <c r="AB128">
        <v>0.050000000000000003</v>
      </c>
      <c r="AC128">
        <v>0.050000000000000003</v>
      </c>
      <c r="AD128">
        <v>0.050000000000000003</v>
      </c>
      <c r="AE128">
        <v>0.050000000000000003</v>
      </c>
      <c r="AF128">
        <v>0.050000000000000003</v>
      </c>
      <c r="AG128">
        <v>0.050000000000000003</v>
      </c>
      <c r="AH128">
        <v>0.050000000000000003</v>
      </c>
      <c r="AI128">
        <v>0.050000000000000003</v>
      </c>
      <c r="AJ128">
        <v>0.050000000000000003</v>
      </c>
      <c r="AK128">
        <v>0.050000000000000003</v>
      </c>
      <c r="AL128">
        <v>0.050000000000000003</v>
      </c>
      <c r="AM128">
        <v>0.050000000000000003</v>
      </c>
      <c r="AN128">
        <v>0.050000000000000003</v>
      </c>
      <c r="AO128">
        <v>0.050000000000000003</v>
      </c>
      <c r="AP128">
        <v>0.050000000000000003</v>
      </c>
      <c r="AQ128">
        <v>0.050000000000000003</v>
      </c>
      <c r="AR128">
        <v>0.050000000000000003</v>
      </c>
      <c r="AS128">
        <v>0.050000000000000003</v>
      </c>
      <c r="AT128">
        <v>0.050000000000000003</v>
      </c>
      <c r="AU128">
        <v>0.050000000000000003</v>
      </c>
      <c r="AV128">
        <v>0.050000000000000003</v>
      </c>
      <c r="AW128" t="s">
        <v>91</v>
      </c>
    </row>
    <row r="129" spans="1:49" ht="13.2">
      <c r="A129" t="s">
        <v>93</v>
      </c>
      <c r="B129" t="s">
        <v>29</v>
      </c>
      <c r="C129" t="s">
        <v>53</v>
      </c>
      <c r="D129" t="s">
        <v>91</v>
      </c>
      <c r="E129" t="s">
        <v>91</v>
      </c>
      <c r="F129" t="s">
        <v>219</v>
      </c>
      <c r="G129" t="s">
        <v>90</v>
      </c>
      <c r="H129" t="s">
        <v>91</v>
      </c>
      <c r="I129" t="s">
        <v>91</v>
      </c>
      <c r="J129" t="s">
        <v>91</v>
      </c>
      <c r="K129" t="s">
        <v>91</v>
      </c>
      <c r="L129">
        <v>0.075999999999999998</v>
      </c>
      <c r="M129">
        <v>0.075999999999999998</v>
      </c>
      <c r="N129">
        <v>0.075999999999999998</v>
      </c>
      <c r="O129">
        <v>0.075999999999999998</v>
      </c>
      <c r="P129">
        <v>0.075999999999999998</v>
      </c>
      <c r="Q129">
        <v>0.075999999999999998</v>
      </c>
      <c r="R129">
        <v>0.075999999999999998</v>
      </c>
      <c r="S129">
        <v>0.075999999999999998</v>
      </c>
      <c r="T129">
        <v>0.075999999999999998</v>
      </c>
      <c r="U129">
        <v>0.075999999999999998</v>
      </c>
      <c r="V129">
        <v>0.075999999999999998</v>
      </c>
      <c r="W129">
        <v>0.075999999999999998</v>
      </c>
      <c r="X129">
        <v>0.075999999999999998</v>
      </c>
      <c r="Y129">
        <v>0.075999999999999998</v>
      </c>
      <c r="Z129">
        <v>0.075999999999999998</v>
      </c>
      <c r="AA129">
        <v>0.075999999999999998</v>
      </c>
      <c r="AB129">
        <v>0.075999999999999998</v>
      </c>
      <c r="AC129">
        <v>0.075999999999999998</v>
      </c>
      <c r="AD129">
        <v>0.075999999999999998</v>
      </c>
      <c r="AE129">
        <v>0.075999999999999998</v>
      </c>
      <c r="AF129">
        <v>0.075999999999999998</v>
      </c>
      <c r="AG129">
        <v>0.075999999999999998</v>
      </c>
      <c r="AH129">
        <v>0.075999999999999998</v>
      </c>
      <c r="AI129">
        <v>0.089999999999999997</v>
      </c>
      <c r="AJ129">
        <v>0.075999999999999998</v>
      </c>
      <c r="AK129">
        <v>0.075999999999999998</v>
      </c>
      <c r="AL129">
        <v>0.075999999999999998</v>
      </c>
      <c r="AM129">
        <v>0.080000000000000002</v>
      </c>
      <c r="AN129">
        <v>0.075999999999999998</v>
      </c>
      <c r="AO129">
        <v>0.070000000000000007</v>
      </c>
      <c r="AP129">
        <v>0.070000000000000007</v>
      </c>
      <c r="AQ129">
        <v>0.075999999999999998</v>
      </c>
      <c r="AR129">
        <v>0.075999999999999998</v>
      </c>
      <c r="AS129">
        <v>0.075999999999999998</v>
      </c>
      <c r="AT129">
        <v>0.075999999999999998</v>
      </c>
      <c r="AU129">
        <v>0.075999999999999998</v>
      </c>
      <c r="AV129">
        <v>0.070000000000000007</v>
      </c>
      <c r="AW129" t="s">
        <v>91</v>
      </c>
    </row>
    <row r="130" spans="1:49" ht="13.2">
      <c r="A130" t="s">
        <v>93</v>
      </c>
      <c r="B130" t="s">
        <v>29</v>
      </c>
      <c r="C130" t="s">
        <v>57</v>
      </c>
      <c r="D130" t="s">
        <v>91</v>
      </c>
      <c r="E130" t="s">
        <v>91</v>
      </c>
      <c r="F130" t="s">
        <v>219</v>
      </c>
      <c r="G130" t="s">
        <v>90</v>
      </c>
      <c r="H130" t="s">
        <v>91</v>
      </c>
      <c r="I130" t="s">
        <v>91</v>
      </c>
      <c r="J130" t="s">
        <v>91</v>
      </c>
      <c r="K130" t="s">
        <v>91</v>
      </c>
      <c r="L130">
        <v>0.34999999999999998</v>
      </c>
      <c r="M130">
        <v>0.34999999999999998</v>
      </c>
      <c r="N130">
        <v>0.34999999999999998</v>
      </c>
      <c r="O130">
        <v>0.34999999999999998</v>
      </c>
      <c r="P130">
        <v>0.34999999999999998</v>
      </c>
      <c r="Q130">
        <v>0.34999999999999998</v>
      </c>
      <c r="R130">
        <v>0.34999999999999998</v>
      </c>
      <c r="S130">
        <v>0.34999999999999998</v>
      </c>
      <c r="T130">
        <v>0.34999999999999998</v>
      </c>
      <c r="U130">
        <v>0.34999999999999998</v>
      </c>
      <c r="V130">
        <v>0.34999999999999998</v>
      </c>
      <c r="W130">
        <v>0.34999999999999998</v>
      </c>
      <c r="X130">
        <v>0.34999999999999998</v>
      </c>
      <c r="Y130">
        <v>0.34999999999999998</v>
      </c>
      <c r="Z130">
        <v>0.34999999999999998</v>
      </c>
      <c r="AA130">
        <v>0.34999999999999998</v>
      </c>
      <c r="AB130">
        <v>0.34999999999999998</v>
      </c>
      <c r="AC130">
        <v>0.34999999999999998</v>
      </c>
      <c r="AD130">
        <v>0.34999999999999998</v>
      </c>
      <c r="AE130">
        <v>0.34999999999999998</v>
      </c>
      <c r="AF130">
        <v>0.34999999999999998</v>
      </c>
      <c r="AG130">
        <v>0.34999999999999998</v>
      </c>
      <c r="AH130">
        <v>0.34999999999999998</v>
      </c>
      <c r="AI130">
        <v>0.34999999999999998</v>
      </c>
      <c r="AJ130">
        <v>0.34999999999999998</v>
      </c>
      <c r="AK130">
        <v>0.34999999999999998</v>
      </c>
      <c r="AL130">
        <v>0.34999999999999998</v>
      </c>
      <c r="AM130">
        <v>0.34999999999999998</v>
      </c>
      <c r="AN130">
        <v>0.34999999999999998</v>
      </c>
      <c r="AO130">
        <v>0.34999999999999998</v>
      </c>
      <c r="AP130">
        <v>0.34999999999999998</v>
      </c>
      <c r="AQ130">
        <v>0.34999999999999998</v>
      </c>
      <c r="AR130">
        <v>0.34999999999999998</v>
      </c>
      <c r="AS130">
        <v>0.34999999999999998</v>
      </c>
      <c r="AT130">
        <v>0.34999999999999998</v>
      </c>
      <c r="AU130">
        <v>0.34999999999999998</v>
      </c>
      <c r="AV130">
        <v>0.34999999999999998</v>
      </c>
      <c r="AW130" t="s">
        <v>91</v>
      </c>
    </row>
    <row r="131" spans="1:49" ht="13.2">
      <c r="A131" t="s">
        <v>93</v>
      </c>
      <c r="B131" t="s">
        <v>29</v>
      </c>
      <c r="C131" t="s">
        <v>58</v>
      </c>
      <c r="D131" t="s">
        <v>91</v>
      </c>
      <c r="E131" t="s">
        <v>91</v>
      </c>
      <c r="F131" t="s">
        <v>219</v>
      </c>
      <c r="G131" t="s">
        <v>90</v>
      </c>
      <c r="H131" t="s">
        <v>91</v>
      </c>
      <c r="I131" t="s">
        <v>91</v>
      </c>
      <c r="J131" t="s">
        <v>91</v>
      </c>
      <c r="K131" t="s">
        <v>91</v>
      </c>
      <c r="L131">
        <v>0.34999999999999998</v>
      </c>
      <c r="M131">
        <v>0.34999999999999998</v>
      </c>
      <c r="N131">
        <v>0.34999999999999998</v>
      </c>
      <c r="O131">
        <v>0.34999999999999998</v>
      </c>
      <c r="P131">
        <v>0.34999999999999998</v>
      </c>
      <c r="Q131">
        <v>0.34999999999999998</v>
      </c>
      <c r="R131">
        <v>0.34999999999999998</v>
      </c>
      <c r="S131">
        <v>0.34999999999999998</v>
      </c>
      <c r="T131">
        <v>0.34999999999999998</v>
      </c>
      <c r="U131">
        <v>0.34999999999999998</v>
      </c>
      <c r="V131">
        <v>0.34999999999999998</v>
      </c>
      <c r="W131">
        <v>0.34999999999999998</v>
      </c>
      <c r="X131">
        <v>0.34999999999999998</v>
      </c>
      <c r="Y131">
        <v>0.34999999999999998</v>
      </c>
      <c r="Z131">
        <v>0.34999999999999998</v>
      </c>
      <c r="AA131">
        <v>0.34999999999999998</v>
      </c>
      <c r="AB131">
        <v>0.34999999999999998</v>
      </c>
      <c r="AC131">
        <v>0.34999999999999998</v>
      </c>
      <c r="AD131">
        <v>0.34999999999999998</v>
      </c>
      <c r="AE131">
        <v>0.34999999999999998</v>
      </c>
      <c r="AF131">
        <v>0.34999999999999998</v>
      </c>
      <c r="AG131">
        <v>0.34999999999999998</v>
      </c>
      <c r="AH131">
        <v>0.34999999999999998</v>
      </c>
      <c r="AI131">
        <v>0.34999999999999998</v>
      </c>
      <c r="AJ131">
        <v>0.34999999999999998</v>
      </c>
      <c r="AK131">
        <v>0.34999999999999998</v>
      </c>
      <c r="AL131">
        <v>0.34999999999999998</v>
      </c>
      <c r="AM131">
        <v>0.34999999999999998</v>
      </c>
      <c r="AN131">
        <v>0.34999999999999998</v>
      </c>
      <c r="AO131">
        <v>0.34999999999999998</v>
      </c>
      <c r="AP131">
        <v>0.34999999999999998</v>
      </c>
      <c r="AQ131">
        <v>0.34999999999999998</v>
      </c>
      <c r="AR131">
        <v>0.34999999999999998</v>
      </c>
      <c r="AS131">
        <v>0.34999999999999998</v>
      </c>
      <c r="AT131">
        <v>0.34999999999999998</v>
      </c>
      <c r="AU131">
        <v>0.34999999999999998</v>
      </c>
      <c r="AV131">
        <v>0.34999999999999998</v>
      </c>
      <c r="AW131" t="s">
        <v>91</v>
      </c>
    </row>
    <row r="132" spans="1:49" ht="13.2">
      <c r="A132" t="s">
        <v>93</v>
      </c>
      <c r="B132" t="s">
        <v>29</v>
      </c>
      <c r="C132" t="s">
        <v>59</v>
      </c>
      <c r="D132" t="s">
        <v>91</v>
      </c>
      <c r="E132" t="s">
        <v>91</v>
      </c>
      <c r="F132" t="s">
        <v>219</v>
      </c>
      <c r="G132" t="s">
        <v>90</v>
      </c>
      <c r="H132" t="s">
        <v>91</v>
      </c>
      <c r="I132" t="s">
        <v>91</v>
      </c>
      <c r="J132" t="s">
        <v>91</v>
      </c>
      <c r="K132" t="s">
        <v>91</v>
      </c>
      <c r="L132">
        <v>0.34999999999999998</v>
      </c>
      <c r="M132">
        <v>0.34999999999999998</v>
      </c>
      <c r="N132">
        <v>0.34999999999999998</v>
      </c>
      <c r="O132">
        <v>0.34999999999999998</v>
      </c>
      <c r="P132">
        <v>0.34999999999999998</v>
      </c>
      <c r="Q132">
        <v>0.34999999999999998</v>
      </c>
      <c r="R132">
        <v>0.34999999999999998</v>
      </c>
      <c r="S132">
        <v>0.34999999999999998</v>
      </c>
      <c r="T132">
        <v>0.34999999999999998</v>
      </c>
      <c r="U132">
        <v>0.34999999999999998</v>
      </c>
      <c r="V132">
        <v>0.34999999999999998</v>
      </c>
      <c r="W132">
        <v>0.34999999999999998</v>
      </c>
      <c r="X132">
        <v>0.34999999999999998</v>
      </c>
      <c r="Y132">
        <v>0.34999999999999998</v>
      </c>
      <c r="Z132">
        <v>0.34999999999999998</v>
      </c>
      <c r="AA132">
        <v>0.34999999999999998</v>
      </c>
      <c r="AB132">
        <v>0.34999999999999998</v>
      </c>
      <c r="AC132">
        <v>0.34999999999999998</v>
      </c>
      <c r="AD132">
        <v>0.34999999999999998</v>
      </c>
      <c r="AE132">
        <v>0.34999999999999998</v>
      </c>
      <c r="AF132">
        <v>0.34999999999999998</v>
      </c>
      <c r="AG132">
        <v>0.34999999999999998</v>
      </c>
      <c r="AH132">
        <v>0.34999999999999998</v>
      </c>
      <c r="AI132">
        <v>0.34999999999999998</v>
      </c>
      <c r="AJ132">
        <v>0.34999999999999998</v>
      </c>
      <c r="AK132">
        <v>0.34999999999999998</v>
      </c>
      <c r="AL132">
        <v>0.34999999999999998</v>
      </c>
      <c r="AM132">
        <v>0.34999999999999998</v>
      </c>
      <c r="AN132">
        <v>0.34999999999999998</v>
      </c>
      <c r="AO132">
        <v>0.34999999999999998</v>
      </c>
      <c r="AP132">
        <v>0.34999999999999998</v>
      </c>
      <c r="AQ132">
        <v>0.34999999999999998</v>
      </c>
      <c r="AR132">
        <v>0.34999999999999998</v>
      </c>
      <c r="AS132">
        <v>0.34999999999999998</v>
      </c>
      <c r="AT132">
        <v>0.34999999999999998</v>
      </c>
      <c r="AU132">
        <v>0.34999999999999998</v>
      </c>
      <c r="AV132">
        <v>0.34999999999999998</v>
      </c>
      <c r="AW132" t="s">
        <v>91</v>
      </c>
    </row>
    <row r="133" spans="1:49" ht="13.2">
      <c r="A133" t="s">
        <v>93</v>
      </c>
      <c r="B133" t="s">
        <v>29</v>
      </c>
      <c r="C133" t="s">
        <v>60</v>
      </c>
      <c r="D133" t="s">
        <v>91</v>
      </c>
      <c r="E133" t="s">
        <v>91</v>
      </c>
      <c r="F133" t="s">
        <v>219</v>
      </c>
      <c r="G133" t="s">
        <v>90</v>
      </c>
      <c r="H133" t="s">
        <v>91</v>
      </c>
      <c r="I133" t="s">
        <v>91</v>
      </c>
      <c r="J133" t="s">
        <v>91</v>
      </c>
      <c r="K133" t="s">
        <v>91</v>
      </c>
      <c r="L133">
        <v>0.34999999999999998</v>
      </c>
      <c r="M133">
        <v>0.34999999999999998</v>
      </c>
      <c r="N133">
        <v>0.34999999999999998</v>
      </c>
      <c r="O133">
        <v>0.34999999999999998</v>
      </c>
      <c r="P133">
        <v>0.34999999999999998</v>
      </c>
      <c r="Q133">
        <v>0.34999999999999998</v>
      </c>
      <c r="R133">
        <v>0.34999999999999998</v>
      </c>
      <c r="S133">
        <v>0.34999999999999998</v>
      </c>
      <c r="T133">
        <v>0.34999999999999998</v>
      </c>
      <c r="U133">
        <v>0.34999999999999998</v>
      </c>
      <c r="V133">
        <v>0.34999999999999998</v>
      </c>
      <c r="W133">
        <v>0.34999999999999998</v>
      </c>
      <c r="X133">
        <v>0.34999999999999998</v>
      </c>
      <c r="Y133">
        <v>0.34999999999999998</v>
      </c>
      <c r="Z133">
        <v>0.34999999999999998</v>
      </c>
      <c r="AA133">
        <v>0.34999999999999998</v>
      </c>
      <c r="AB133">
        <v>0.34999999999999998</v>
      </c>
      <c r="AC133">
        <v>0.34999999999999998</v>
      </c>
      <c r="AD133">
        <v>0.34999999999999998</v>
      </c>
      <c r="AE133">
        <v>0.34999999999999998</v>
      </c>
      <c r="AF133">
        <v>0.34999999999999998</v>
      </c>
      <c r="AG133">
        <v>0.34999999999999998</v>
      </c>
      <c r="AH133">
        <v>0.34999999999999998</v>
      </c>
      <c r="AI133">
        <v>0.34999999999999998</v>
      </c>
      <c r="AJ133">
        <v>0.34999999999999998</v>
      </c>
      <c r="AK133">
        <v>0.34999999999999998</v>
      </c>
      <c r="AL133">
        <v>0.34999999999999998</v>
      </c>
      <c r="AM133">
        <v>0.34999999999999998</v>
      </c>
      <c r="AN133">
        <v>0.34999999999999998</v>
      </c>
      <c r="AO133">
        <v>0.34999999999999998</v>
      </c>
      <c r="AP133">
        <v>0.34999999999999998</v>
      </c>
      <c r="AQ133">
        <v>0.34999999999999998</v>
      </c>
      <c r="AR133">
        <v>0.34999999999999998</v>
      </c>
      <c r="AS133">
        <v>0.34999999999999998</v>
      </c>
      <c r="AT133">
        <v>0.34999999999999998</v>
      </c>
      <c r="AU133">
        <v>0.34999999999999998</v>
      </c>
      <c r="AV133">
        <v>0.34999999999999998</v>
      </c>
      <c r="AW133" t="s">
        <v>91</v>
      </c>
    </row>
    <row r="134" spans="1:49" ht="13.2">
      <c r="A134" t="s">
        <v>93</v>
      </c>
      <c r="B134" t="s">
        <v>29</v>
      </c>
      <c r="C134" t="s">
        <v>61</v>
      </c>
      <c r="D134" t="s">
        <v>91</v>
      </c>
      <c r="E134" t="s">
        <v>91</v>
      </c>
      <c r="F134" t="s">
        <v>219</v>
      </c>
      <c r="G134" t="s">
        <v>90</v>
      </c>
      <c r="H134" t="s">
        <v>91</v>
      </c>
      <c r="I134" t="s">
        <v>91</v>
      </c>
      <c r="J134" t="s">
        <v>91</v>
      </c>
      <c r="K134" t="s">
        <v>91</v>
      </c>
      <c r="L134">
        <v>0.29999999999999999</v>
      </c>
      <c r="M134">
        <v>0.32000000000000001</v>
      </c>
      <c r="N134">
        <v>0.32000000000000001</v>
      </c>
      <c r="O134">
        <v>0.29999999999999999</v>
      </c>
      <c r="P134">
        <v>0.28999999999999998</v>
      </c>
      <c r="Q134">
        <v>0.29999999999999999</v>
      </c>
      <c r="R134">
        <v>0.31</v>
      </c>
      <c r="S134">
        <v>0.32000000000000001</v>
      </c>
      <c r="T134">
        <v>0.32000000000000001</v>
      </c>
      <c r="U134">
        <v>0.34000000000000002</v>
      </c>
      <c r="V134">
        <v>0.33000000000000002</v>
      </c>
      <c r="W134">
        <v>0.29999999999999999</v>
      </c>
      <c r="X134">
        <v>0.38</v>
      </c>
      <c r="Y134">
        <v>0.32000000000000001</v>
      </c>
      <c r="Z134">
        <v>0.32000000000000001</v>
      </c>
      <c r="AA134">
        <v>0.32000000000000001</v>
      </c>
      <c r="AB134">
        <v>0.34999999999999998</v>
      </c>
      <c r="AC134">
        <v>0.32000000000000001</v>
      </c>
      <c r="AD134">
        <v>0.34000000000000002</v>
      </c>
      <c r="AE134">
        <v>0.32000000000000001</v>
      </c>
      <c r="AF134">
        <v>0.32000000000000001</v>
      </c>
      <c r="AG134">
        <v>0.33000000000000002</v>
      </c>
      <c r="AH134">
        <v>0.29999999999999999</v>
      </c>
      <c r="AI134">
        <v>0.32000000000000001</v>
      </c>
      <c r="AJ134">
        <v>0.29999999999999999</v>
      </c>
      <c r="AK134">
        <v>0.31</v>
      </c>
      <c r="AL134">
        <v>0.34000000000000002</v>
      </c>
      <c r="AM134">
        <v>0.28000000000000003</v>
      </c>
      <c r="AN134">
        <v>0.33000000000000002</v>
      </c>
      <c r="AO134">
        <v>0.34999999999999998</v>
      </c>
      <c r="AP134">
        <v>0.38</v>
      </c>
      <c r="AQ134">
        <v>0.28999999999999998</v>
      </c>
      <c r="AR134">
        <v>0.32000000000000001</v>
      </c>
      <c r="AS134">
        <v>0.34000000000000002</v>
      </c>
      <c r="AT134">
        <v>0.32000000000000001</v>
      </c>
      <c r="AU134">
        <v>0.34000000000000002</v>
      </c>
      <c r="AV134">
        <v>0.33000000000000002</v>
      </c>
      <c r="AW134" t="s">
        <v>91</v>
      </c>
    </row>
    <row r="135" spans="1:49" ht="13.2">
      <c r="A135" t="s">
        <v>93</v>
      </c>
      <c r="B135" t="s">
        <v>29</v>
      </c>
      <c r="C135" t="s">
        <v>62</v>
      </c>
      <c r="D135" t="s">
        <v>91</v>
      </c>
      <c r="E135" t="s">
        <v>91</v>
      </c>
      <c r="F135" t="s">
        <v>219</v>
      </c>
      <c r="G135" t="s">
        <v>90</v>
      </c>
      <c r="H135" t="s">
        <v>91</v>
      </c>
      <c r="I135" t="s">
        <v>91</v>
      </c>
      <c r="J135" t="s">
        <v>91</v>
      </c>
      <c r="K135" t="s">
        <v>91</v>
      </c>
      <c r="L135">
        <v>0.47999999999999998</v>
      </c>
      <c r="M135">
        <v>0.52000000000000002</v>
      </c>
      <c r="N135">
        <v>0.53000000000000003</v>
      </c>
      <c r="O135">
        <v>0.52000000000000002</v>
      </c>
      <c r="P135">
        <v>0.51000000000000001</v>
      </c>
      <c r="Q135">
        <v>0.51000000000000001</v>
      </c>
      <c r="R135">
        <v>0.48999999999999999</v>
      </c>
      <c r="S135">
        <v>0.53000000000000003</v>
      </c>
      <c r="T135">
        <v>0.52000000000000002</v>
      </c>
      <c r="U135">
        <v>0.57999999999999996</v>
      </c>
      <c r="V135">
        <v>0.54000000000000004</v>
      </c>
      <c r="W135">
        <v>0.47999999999999998</v>
      </c>
      <c r="X135">
        <v>0.52000000000000002</v>
      </c>
      <c r="Y135">
        <v>0.52000000000000002</v>
      </c>
      <c r="Z135">
        <v>0.53000000000000003</v>
      </c>
      <c r="AA135">
        <v>0.53000000000000003</v>
      </c>
      <c r="AB135">
        <v>0.56000000000000005</v>
      </c>
      <c r="AC135">
        <v>0.56000000000000005</v>
      </c>
      <c r="AD135">
        <v>0.55000000000000004</v>
      </c>
      <c r="AE135">
        <v>0.55000000000000004</v>
      </c>
      <c r="AF135">
        <v>0.53000000000000003</v>
      </c>
      <c r="AG135">
        <v>0.51000000000000001</v>
      </c>
      <c r="AH135">
        <v>0.52000000000000002</v>
      </c>
      <c r="AI135">
        <v>0.54000000000000004</v>
      </c>
      <c r="AJ135">
        <v>0.47999999999999998</v>
      </c>
      <c r="AK135">
        <v>0.52000000000000002</v>
      </c>
      <c r="AL135">
        <v>0.54000000000000004</v>
      </c>
      <c r="AM135">
        <v>0.51000000000000001</v>
      </c>
      <c r="AN135">
        <v>0.52000000000000002</v>
      </c>
      <c r="AO135">
        <v>0.53000000000000003</v>
      </c>
      <c r="AP135">
        <v>0.52000000000000002</v>
      </c>
      <c r="AQ135">
        <v>0.48999999999999999</v>
      </c>
      <c r="AR135">
        <v>0.53000000000000003</v>
      </c>
      <c r="AS135">
        <v>0.54000000000000004</v>
      </c>
      <c r="AT135">
        <v>0.53000000000000003</v>
      </c>
      <c r="AU135">
        <v>0.56999999999999995</v>
      </c>
      <c r="AV135">
        <v>0.58999999999999997</v>
      </c>
      <c r="AW135" t="s">
        <v>91</v>
      </c>
    </row>
    <row r="136" spans="1:49" ht="13.2">
      <c r="A136" t="s">
        <v>93</v>
      </c>
      <c r="B136" t="s">
        <v>29</v>
      </c>
      <c r="C136" t="s">
        <v>63</v>
      </c>
      <c r="D136" t="s">
        <v>91</v>
      </c>
      <c r="E136" t="s">
        <v>91</v>
      </c>
      <c r="F136" t="s">
        <v>219</v>
      </c>
      <c r="G136" t="s">
        <v>90</v>
      </c>
      <c r="H136" t="s">
        <v>91</v>
      </c>
      <c r="I136" t="s">
        <v>91</v>
      </c>
      <c r="J136" t="s">
        <v>91</v>
      </c>
      <c r="K136" t="s">
        <v>91</v>
      </c>
      <c r="L136">
        <v>0.56999999999999995</v>
      </c>
      <c r="M136">
        <v>0.64000000000000001</v>
      </c>
      <c r="N136">
        <v>0.66000000000000003</v>
      </c>
      <c r="O136">
        <v>0.63</v>
      </c>
      <c r="P136">
        <v>0.57999999999999996</v>
      </c>
      <c r="Q136">
        <v>0.64000000000000001</v>
      </c>
      <c r="R136">
        <v>0.56000000000000005</v>
      </c>
      <c r="S136">
        <v>0.65000000000000002</v>
      </c>
      <c r="T136">
        <v>0.64000000000000001</v>
      </c>
      <c r="U136">
        <v>0.71999999999999997</v>
      </c>
      <c r="V136">
        <v>0.68000000000000005</v>
      </c>
      <c r="W136">
        <v>0.56999999999999995</v>
      </c>
      <c r="X136">
        <v>0.65000000000000002</v>
      </c>
      <c r="Y136">
        <v>0.62</v>
      </c>
      <c r="Z136">
        <v>0.64000000000000001</v>
      </c>
      <c r="AA136">
        <v>0.66000000000000003</v>
      </c>
      <c r="AB136">
        <v>0.69999999999999996</v>
      </c>
      <c r="AC136">
        <v>0.68000000000000005</v>
      </c>
      <c r="AD136">
        <v>0.70999999999999996</v>
      </c>
      <c r="AE136">
        <v>0.67000000000000004</v>
      </c>
      <c r="AF136">
        <v>0.66000000000000003</v>
      </c>
      <c r="AG136">
        <v>0.64000000000000001</v>
      </c>
      <c r="AH136">
        <v>0.63</v>
      </c>
      <c r="AI136">
        <v>0.67000000000000004</v>
      </c>
      <c r="AJ136">
        <v>0.56999999999999995</v>
      </c>
      <c r="AK136">
        <v>0.67000000000000004</v>
      </c>
      <c r="AL136">
        <v>0.67000000000000004</v>
      </c>
      <c r="AM136">
        <v>0.62</v>
      </c>
      <c r="AN136">
        <v>0.63</v>
      </c>
      <c r="AO136">
        <v>0.66000000000000003</v>
      </c>
      <c r="AP136">
        <v>0.64000000000000001</v>
      </c>
      <c r="AQ136">
        <v>0.56999999999999995</v>
      </c>
      <c r="AR136">
        <v>0.66000000000000003</v>
      </c>
      <c r="AS136">
        <v>0.66000000000000003</v>
      </c>
      <c r="AT136">
        <v>0.66000000000000003</v>
      </c>
      <c r="AU136">
        <v>0.69999999999999996</v>
      </c>
      <c r="AV136">
        <v>0.73999999999999999</v>
      </c>
      <c r="AW136" t="s">
        <v>91</v>
      </c>
    </row>
    <row r="137" spans="1:49" ht="13.2">
      <c r="A137" t="s">
        <v>93</v>
      </c>
      <c r="B137" t="s">
        <v>29</v>
      </c>
      <c r="C137" t="s">
        <v>64</v>
      </c>
      <c r="D137" t="s">
        <v>91</v>
      </c>
      <c r="E137" t="s">
        <v>91</v>
      </c>
      <c r="F137" t="s">
        <v>219</v>
      </c>
      <c r="G137" t="s">
        <v>90</v>
      </c>
      <c r="H137" t="s">
        <v>91</v>
      </c>
      <c r="I137" t="s">
        <v>91</v>
      </c>
      <c r="J137" t="s">
        <v>91</v>
      </c>
      <c r="K137" t="s">
        <v>91</v>
      </c>
      <c r="L137">
        <v>0.38</v>
      </c>
      <c r="M137">
        <v>0.40000000000000002</v>
      </c>
      <c r="N137">
        <v>0.40999999999999998</v>
      </c>
      <c r="O137">
        <v>0.40000000000000002</v>
      </c>
      <c r="P137">
        <v>0.39000000000000001</v>
      </c>
      <c r="Q137">
        <v>0.39000000000000001</v>
      </c>
      <c r="R137">
        <v>0.40000000000000002</v>
      </c>
      <c r="S137">
        <v>0.40999999999999998</v>
      </c>
      <c r="T137">
        <v>0.40000000000000002</v>
      </c>
      <c r="U137">
        <v>0.45000000000000001</v>
      </c>
      <c r="V137">
        <v>0.41999999999999998</v>
      </c>
      <c r="W137">
        <v>0.38</v>
      </c>
      <c r="X137">
        <v>0.46000000000000002</v>
      </c>
      <c r="Y137">
        <v>0.40000000000000002</v>
      </c>
      <c r="Z137">
        <v>0.40999999999999998</v>
      </c>
      <c r="AA137">
        <v>0.40999999999999998</v>
      </c>
      <c r="AB137">
        <v>0.44</v>
      </c>
      <c r="AC137">
        <v>0.42999999999999999</v>
      </c>
      <c r="AD137">
        <v>0.42999999999999999</v>
      </c>
      <c r="AE137">
        <v>0.42999999999999999</v>
      </c>
      <c r="AF137">
        <v>0.40999999999999998</v>
      </c>
      <c r="AG137">
        <v>0.40000000000000002</v>
      </c>
      <c r="AH137">
        <v>0.40000000000000002</v>
      </c>
      <c r="AI137">
        <v>0.40999999999999998</v>
      </c>
      <c r="AJ137">
        <v>0.38</v>
      </c>
      <c r="AK137">
        <v>0.40000000000000002</v>
      </c>
      <c r="AL137">
        <v>0.42999999999999999</v>
      </c>
      <c r="AM137">
        <v>0.40000000000000002</v>
      </c>
      <c r="AN137">
        <v>0.40000000000000002</v>
      </c>
      <c r="AO137">
        <v>0.41999999999999998</v>
      </c>
      <c r="AP137">
        <v>0.44</v>
      </c>
      <c r="AQ137">
        <v>0.39000000000000001</v>
      </c>
      <c r="AR137">
        <v>0.40999999999999998</v>
      </c>
      <c r="AS137">
        <v>0.41999999999999998</v>
      </c>
      <c r="AT137">
        <v>0.40999999999999998</v>
      </c>
      <c r="AU137">
        <v>0.44</v>
      </c>
      <c r="AV137">
        <v>0.45000000000000001</v>
      </c>
      <c r="AW137" t="s">
        <v>91</v>
      </c>
    </row>
    <row r="138" spans="1:49" ht="13.2">
      <c r="A138" t="s">
        <v>93</v>
      </c>
      <c r="B138" t="s">
        <v>29</v>
      </c>
      <c r="C138" t="s">
        <v>77</v>
      </c>
      <c r="D138" t="s">
        <v>91</v>
      </c>
      <c r="E138" t="s">
        <v>91</v>
      </c>
      <c r="F138" t="s">
        <v>219</v>
      </c>
      <c r="G138" t="s">
        <v>90</v>
      </c>
      <c r="H138" t="s">
        <v>91</v>
      </c>
      <c r="I138" t="s">
        <v>91</v>
      </c>
      <c r="J138" t="s">
        <v>91</v>
      </c>
      <c r="K138" t="s">
        <v>91</v>
      </c>
      <c r="L138">
        <v>0.185</v>
      </c>
      <c r="M138">
        <v>0.185</v>
      </c>
      <c r="N138">
        <v>0.185</v>
      </c>
      <c r="O138">
        <v>0.185</v>
      </c>
      <c r="P138">
        <v>0.185</v>
      </c>
      <c r="Q138">
        <v>0.19</v>
      </c>
      <c r="R138">
        <v>0.185</v>
      </c>
      <c r="S138">
        <v>0.185</v>
      </c>
      <c r="T138">
        <v>0.185</v>
      </c>
      <c r="U138">
        <v>0.185</v>
      </c>
      <c r="V138">
        <v>0.185</v>
      </c>
      <c r="W138">
        <v>0.185</v>
      </c>
      <c r="X138">
        <v>0.185</v>
      </c>
      <c r="Y138">
        <v>0.185</v>
      </c>
      <c r="Z138">
        <v>0.185</v>
      </c>
      <c r="AA138">
        <v>0.185</v>
      </c>
      <c r="AB138">
        <v>0.185</v>
      </c>
      <c r="AC138">
        <v>0.185</v>
      </c>
      <c r="AD138">
        <v>0.185</v>
      </c>
      <c r="AE138">
        <v>0.185</v>
      </c>
      <c r="AF138">
        <v>0.185</v>
      </c>
      <c r="AG138">
        <v>0.185</v>
      </c>
      <c r="AH138">
        <v>0.185</v>
      </c>
      <c r="AI138">
        <v>0.185</v>
      </c>
      <c r="AJ138">
        <v>0.185</v>
      </c>
      <c r="AK138">
        <v>0.185</v>
      </c>
      <c r="AL138">
        <v>0.185</v>
      </c>
      <c r="AM138">
        <v>0.185</v>
      </c>
      <c r="AN138">
        <v>0.185</v>
      </c>
      <c r="AO138">
        <v>0.185</v>
      </c>
      <c r="AP138">
        <v>0.185</v>
      </c>
      <c r="AQ138">
        <v>0.185</v>
      </c>
      <c r="AR138">
        <v>0.185</v>
      </c>
      <c r="AS138">
        <v>0.17999999999999999</v>
      </c>
      <c r="AT138">
        <v>0.185</v>
      </c>
      <c r="AU138">
        <v>0.185</v>
      </c>
      <c r="AV138">
        <v>0.185</v>
      </c>
      <c r="AW138" t="s">
        <v>91</v>
      </c>
    </row>
    <row r="139" spans="1:49" ht="13.2">
      <c r="A139" t="s">
        <v>93</v>
      </c>
      <c r="B139" t="s">
        <v>29</v>
      </c>
      <c r="C139" t="s">
        <v>78</v>
      </c>
      <c r="D139" t="s">
        <v>91</v>
      </c>
      <c r="E139" t="s">
        <v>91</v>
      </c>
      <c r="F139" t="s">
        <v>219</v>
      </c>
      <c r="G139" t="s">
        <v>90</v>
      </c>
      <c r="H139" t="s">
        <v>91</v>
      </c>
      <c r="I139" t="s">
        <v>91</v>
      </c>
      <c r="J139" t="s">
        <v>91</v>
      </c>
      <c r="K139" t="s">
        <v>91</v>
      </c>
      <c r="L139">
        <v>0.34999999999999998</v>
      </c>
      <c r="M139">
        <v>0.34999999999999998</v>
      </c>
      <c r="N139">
        <v>0.34999999999999998</v>
      </c>
      <c r="O139">
        <v>0.34999999999999998</v>
      </c>
      <c r="P139">
        <v>0.34999999999999998</v>
      </c>
      <c r="Q139">
        <v>0.37</v>
      </c>
      <c r="R139">
        <v>0.34999999999999998</v>
      </c>
      <c r="S139">
        <v>0.34999999999999998</v>
      </c>
      <c r="T139">
        <v>0.34999999999999998</v>
      </c>
      <c r="U139">
        <v>0.34999999999999998</v>
      </c>
      <c r="V139">
        <v>0.34999999999999998</v>
      </c>
      <c r="W139">
        <v>0.34999999999999998</v>
      </c>
      <c r="X139">
        <v>0.34999999999999998</v>
      </c>
      <c r="Y139">
        <v>0.34999999999999998</v>
      </c>
      <c r="Z139">
        <v>0.34999999999999998</v>
      </c>
      <c r="AA139">
        <v>0.34999999999999998</v>
      </c>
      <c r="AB139">
        <v>0.34999999999999998</v>
      </c>
      <c r="AC139">
        <v>0.34999999999999998</v>
      </c>
      <c r="AD139">
        <v>0.34999999999999998</v>
      </c>
      <c r="AE139">
        <v>0.34999999999999998</v>
      </c>
      <c r="AF139">
        <v>0.34999999999999998</v>
      </c>
      <c r="AG139">
        <v>0.34999999999999998</v>
      </c>
      <c r="AH139">
        <v>0.34999999999999998</v>
      </c>
      <c r="AI139">
        <v>0.34999999999999998</v>
      </c>
      <c r="AJ139">
        <v>0.34999999999999998</v>
      </c>
      <c r="AK139">
        <v>0.34999999999999998</v>
      </c>
      <c r="AL139">
        <v>0.34999999999999998</v>
      </c>
      <c r="AM139">
        <v>0.34999999999999998</v>
      </c>
      <c r="AN139">
        <v>0.34999999999999998</v>
      </c>
      <c r="AO139">
        <v>0.34999999999999998</v>
      </c>
      <c r="AP139">
        <v>0.34999999999999998</v>
      </c>
      <c r="AQ139">
        <v>0.34999999999999998</v>
      </c>
      <c r="AR139">
        <v>0.34999999999999998</v>
      </c>
      <c r="AS139">
        <v>0.33000000000000002</v>
      </c>
      <c r="AT139">
        <v>0.34999999999999998</v>
      </c>
      <c r="AU139">
        <v>0.34999999999999998</v>
      </c>
      <c r="AV139">
        <v>0.34999999999999998</v>
      </c>
      <c r="AW139" t="s">
        <v>91</v>
      </c>
    </row>
    <row r="140" spans="1:49" ht="13.2">
      <c r="A140" t="s">
        <v>93</v>
      </c>
      <c r="B140" t="s">
        <v>29</v>
      </c>
      <c r="C140" t="s">
        <v>79</v>
      </c>
      <c r="D140" t="s">
        <v>91</v>
      </c>
      <c r="E140" t="s">
        <v>91</v>
      </c>
      <c r="F140" t="s">
        <v>219</v>
      </c>
      <c r="G140" t="s">
        <v>90</v>
      </c>
      <c r="H140" t="s">
        <v>91</v>
      </c>
      <c r="I140" t="s">
        <v>91</v>
      </c>
      <c r="J140" t="s">
        <v>91</v>
      </c>
      <c r="K140" t="s">
        <v>91</v>
      </c>
      <c r="L140">
        <v>0.38</v>
      </c>
      <c r="M140">
        <v>0.38</v>
      </c>
      <c r="N140">
        <v>0.38</v>
      </c>
      <c r="O140">
        <v>0.38</v>
      </c>
      <c r="P140">
        <v>0.38</v>
      </c>
      <c r="Q140">
        <v>0.39000000000000001</v>
      </c>
      <c r="R140">
        <v>0.38</v>
      </c>
      <c r="S140">
        <v>0.38</v>
      </c>
      <c r="T140">
        <v>0.38</v>
      </c>
      <c r="U140">
        <v>0.38</v>
      </c>
      <c r="V140">
        <v>0.38</v>
      </c>
      <c r="W140">
        <v>0.38</v>
      </c>
      <c r="X140">
        <v>0.38</v>
      </c>
      <c r="Y140">
        <v>0.38</v>
      </c>
      <c r="Z140">
        <v>0.38</v>
      </c>
      <c r="AA140">
        <v>0.38</v>
      </c>
      <c r="AB140">
        <v>0.38</v>
      </c>
      <c r="AC140">
        <v>0.38</v>
      </c>
      <c r="AD140">
        <v>0.38</v>
      </c>
      <c r="AE140">
        <v>0.38</v>
      </c>
      <c r="AF140">
        <v>0.38</v>
      </c>
      <c r="AG140">
        <v>0.38</v>
      </c>
      <c r="AH140">
        <v>0.38</v>
      </c>
      <c r="AI140">
        <v>0.38</v>
      </c>
      <c r="AJ140">
        <v>0.38</v>
      </c>
      <c r="AK140">
        <v>0.38</v>
      </c>
      <c r="AL140">
        <v>0.38</v>
      </c>
      <c r="AM140">
        <v>0.38</v>
      </c>
      <c r="AN140">
        <v>0.38</v>
      </c>
      <c r="AO140">
        <v>0.38</v>
      </c>
      <c r="AP140">
        <v>0.38</v>
      </c>
      <c r="AQ140">
        <v>0.38</v>
      </c>
      <c r="AR140">
        <v>0.38</v>
      </c>
      <c r="AS140">
        <v>0.37</v>
      </c>
      <c r="AT140">
        <v>0.38</v>
      </c>
      <c r="AU140">
        <v>0.38</v>
      </c>
      <c r="AV140">
        <v>0.38</v>
      </c>
      <c r="AW140" t="s">
        <v>91</v>
      </c>
    </row>
    <row r="141" spans="1:49" ht="13.2">
      <c r="A141" t="s">
        <v>93</v>
      </c>
      <c r="B141" t="s">
        <v>29</v>
      </c>
      <c r="C141" t="s">
        <v>80</v>
      </c>
      <c r="D141" t="s">
        <v>91</v>
      </c>
      <c r="E141" t="s">
        <v>91</v>
      </c>
      <c r="F141" t="s">
        <v>219</v>
      </c>
      <c r="G141" t="s">
        <v>90</v>
      </c>
      <c r="H141" t="s">
        <v>91</v>
      </c>
      <c r="I141" t="s">
        <v>91</v>
      </c>
      <c r="J141" t="s">
        <v>91</v>
      </c>
      <c r="K141" t="s">
        <v>91</v>
      </c>
      <c r="L141">
        <v>0.28999999999999998</v>
      </c>
      <c r="M141">
        <v>0.28999999999999998</v>
      </c>
      <c r="N141">
        <v>0.28999999999999998</v>
      </c>
      <c r="O141">
        <v>0.28999999999999998</v>
      </c>
      <c r="P141">
        <v>0.28999999999999998</v>
      </c>
      <c r="Q141">
        <v>0.31</v>
      </c>
      <c r="R141">
        <v>0.28999999999999998</v>
      </c>
      <c r="S141">
        <v>0.28999999999999998</v>
      </c>
      <c r="T141">
        <v>0.28999999999999998</v>
      </c>
      <c r="U141">
        <v>0.28999999999999998</v>
      </c>
      <c r="V141">
        <v>0.28999999999999998</v>
      </c>
      <c r="W141">
        <v>0.28999999999999998</v>
      </c>
      <c r="X141">
        <v>0.28999999999999998</v>
      </c>
      <c r="Y141">
        <v>0.28999999999999998</v>
      </c>
      <c r="Z141">
        <v>0.28999999999999998</v>
      </c>
      <c r="AA141">
        <v>0.28999999999999998</v>
      </c>
      <c r="AB141">
        <v>0.28999999999999998</v>
      </c>
      <c r="AC141">
        <v>0.28999999999999998</v>
      </c>
      <c r="AD141">
        <v>0.28999999999999998</v>
      </c>
      <c r="AE141">
        <v>0.28999999999999998</v>
      </c>
      <c r="AF141">
        <v>0.28999999999999998</v>
      </c>
      <c r="AG141">
        <v>0.28999999999999998</v>
      </c>
      <c r="AH141">
        <v>0.28999999999999998</v>
      </c>
      <c r="AI141">
        <v>0.28999999999999998</v>
      </c>
      <c r="AJ141">
        <v>0.28999999999999998</v>
      </c>
      <c r="AK141">
        <v>0.28999999999999998</v>
      </c>
      <c r="AL141">
        <v>0.28999999999999998</v>
      </c>
      <c r="AM141">
        <v>0.28999999999999998</v>
      </c>
      <c r="AN141">
        <v>0.28999999999999998</v>
      </c>
      <c r="AO141">
        <v>0.28999999999999998</v>
      </c>
      <c r="AP141">
        <v>0.28999999999999998</v>
      </c>
      <c r="AQ141">
        <v>0.28999999999999998</v>
      </c>
      <c r="AR141">
        <v>0.28999999999999998</v>
      </c>
      <c r="AS141">
        <v>0.27000000000000002</v>
      </c>
      <c r="AT141">
        <v>0.28999999999999998</v>
      </c>
      <c r="AU141">
        <v>0.28999999999999998</v>
      </c>
      <c r="AV141">
        <v>0.28999999999999998</v>
      </c>
      <c r="AW141" t="s">
        <v>91</v>
      </c>
    </row>
    <row r="142" spans="1:49" ht="13.2">
      <c r="A142" t="s">
        <v>93</v>
      </c>
      <c r="B142" t="s">
        <v>29</v>
      </c>
      <c r="C142" t="s">
        <v>81</v>
      </c>
      <c r="D142" t="s">
        <v>91</v>
      </c>
      <c r="E142" t="s">
        <v>91</v>
      </c>
      <c r="F142" t="s">
        <v>219</v>
      </c>
      <c r="G142" t="s">
        <v>90</v>
      </c>
      <c r="H142" t="s">
        <v>91</v>
      </c>
      <c r="I142" t="s">
        <v>91</v>
      </c>
      <c r="J142" t="s">
        <v>91</v>
      </c>
      <c r="K142" t="s">
        <v>91</v>
      </c>
      <c r="L142">
        <v>0.23000000000000001</v>
      </c>
      <c r="M142">
        <v>0.23999999999999999</v>
      </c>
      <c r="N142">
        <v>0.28000000000000003</v>
      </c>
      <c r="O142">
        <v>0.25</v>
      </c>
      <c r="P142">
        <v>0.22</v>
      </c>
      <c r="Q142">
        <v>0.25</v>
      </c>
      <c r="R142">
        <v>0.23999999999999999</v>
      </c>
      <c r="S142">
        <v>0.27000000000000002</v>
      </c>
      <c r="T142">
        <v>0.25</v>
      </c>
      <c r="U142">
        <v>0.28999999999999998</v>
      </c>
      <c r="V142">
        <v>0.31</v>
      </c>
      <c r="W142">
        <v>0.23000000000000001</v>
      </c>
      <c r="X142">
        <v>0.28999999999999998</v>
      </c>
      <c r="Y142">
        <v>0.26000000000000001</v>
      </c>
      <c r="Z142">
        <v>0.26000000000000001</v>
      </c>
      <c r="AA142">
        <v>0.28000000000000003</v>
      </c>
      <c r="AB142">
        <v>0.28999999999999998</v>
      </c>
      <c r="AC142">
        <v>0.23999999999999999</v>
      </c>
      <c r="AD142">
        <v>0.25</v>
      </c>
      <c r="AE142">
        <v>0.23000000000000001</v>
      </c>
      <c r="AF142">
        <v>0.28000000000000003</v>
      </c>
      <c r="AG142">
        <v>0.28000000000000003</v>
      </c>
      <c r="AH142">
        <v>0.26000000000000001</v>
      </c>
      <c r="AI142">
        <v>0.28000000000000003</v>
      </c>
      <c r="AJ142">
        <v>0.23000000000000001</v>
      </c>
      <c r="AK142">
        <v>0.26000000000000001</v>
      </c>
      <c r="AL142">
        <v>0.28000000000000003</v>
      </c>
      <c r="AM142">
        <v>0.25</v>
      </c>
      <c r="AN142">
        <v>0.27000000000000002</v>
      </c>
      <c r="AO142">
        <v>0.28000000000000003</v>
      </c>
      <c r="AP142">
        <v>0.27000000000000002</v>
      </c>
      <c r="AQ142">
        <v>0.20999999999999999</v>
      </c>
      <c r="AR142">
        <v>0.28000000000000003</v>
      </c>
      <c r="AS142">
        <v>0.28000000000000003</v>
      </c>
      <c r="AT142">
        <v>0.28000000000000003</v>
      </c>
      <c r="AU142">
        <v>0.28000000000000003</v>
      </c>
      <c r="AV142">
        <v>0.26000000000000001</v>
      </c>
      <c r="AW142" t="s">
        <v>91</v>
      </c>
    </row>
    <row r="143" spans="1:49" ht="13.2">
      <c r="A143" t="s">
        <v>93</v>
      </c>
      <c r="B143" t="s">
        <v>29</v>
      </c>
      <c r="C143" t="s">
        <v>82</v>
      </c>
      <c r="D143" t="s">
        <v>91</v>
      </c>
      <c r="E143" t="s">
        <v>91</v>
      </c>
      <c r="F143" t="s">
        <v>219</v>
      </c>
      <c r="G143" t="s">
        <v>90</v>
      </c>
      <c r="H143" t="s">
        <v>91</v>
      </c>
      <c r="I143" t="s">
        <v>91</v>
      </c>
      <c r="J143" t="s">
        <v>91</v>
      </c>
      <c r="K143" t="s">
        <v>91</v>
      </c>
      <c r="L143">
        <v>0.40000000000000002</v>
      </c>
      <c r="M143">
        <v>0.44</v>
      </c>
      <c r="N143">
        <v>0.42999999999999999</v>
      </c>
      <c r="O143">
        <v>0.41999999999999998</v>
      </c>
      <c r="P143">
        <v>0.38</v>
      </c>
      <c r="Q143">
        <v>0.41999999999999998</v>
      </c>
      <c r="R143">
        <v>0.40000000000000002</v>
      </c>
      <c r="S143">
        <v>0.42999999999999999</v>
      </c>
      <c r="T143">
        <v>0.42999999999999999</v>
      </c>
      <c r="U143">
        <v>0.45000000000000001</v>
      </c>
      <c r="V143">
        <v>0.46000000000000002</v>
      </c>
      <c r="W143">
        <v>0.40000000000000002</v>
      </c>
      <c r="X143">
        <v>0.44</v>
      </c>
      <c r="Y143">
        <v>0.41999999999999998</v>
      </c>
      <c r="Z143">
        <v>0.46000000000000002</v>
      </c>
      <c r="AA143">
        <v>0.42999999999999999</v>
      </c>
      <c r="AB143">
        <v>0.46000000000000002</v>
      </c>
      <c r="AC143">
        <v>0.44</v>
      </c>
      <c r="AD143">
        <v>0.41999999999999998</v>
      </c>
      <c r="AE143">
        <v>0.44</v>
      </c>
      <c r="AF143">
        <v>0.42999999999999999</v>
      </c>
      <c r="AG143">
        <v>0.44</v>
      </c>
      <c r="AH143">
        <v>0.42999999999999999</v>
      </c>
      <c r="AI143">
        <v>0.45000000000000001</v>
      </c>
      <c r="AJ143">
        <v>0.40000000000000002</v>
      </c>
      <c r="AK143">
        <v>0.42999999999999999</v>
      </c>
      <c r="AL143">
        <v>0.44</v>
      </c>
      <c r="AM143">
        <v>0.40000000000000002</v>
      </c>
      <c r="AN143">
        <v>0.41999999999999998</v>
      </c>
      <c r="AO143">
        <v>0.42999999999999999</v>
      </c>
      <c r="AP143">
        <v>0.45000000000000001</v>
      </c>
      <c r="AQ143">
        <v>0.39000000000000001</v>
      </c>
      <c r="AR143">
        <v>0.42999999999999999</v>
      </c>
      <c r="AS143">
        <v>0.46000000000000002</v>
      </c>
      <c r="AT143">
        <v>0.44</v>
      </c>
      <c r="AU143">
        <v>0.45000000000000001</v>
      </c>
      <c r="AV143">
        <v>0.46000000000000002</v>
      </c>
      <c r="AW143" t="s">
        <v>91</v>
      </c>
    </row>
    <row r="144" spans="1:49" ht="13.2">
      <c r="A144" t="s">
        <v>93</v>
      </c>
      <c r="B144" t="s">
        <v>29</v>
      </c>
      <c r="C144" t="s">
        <v>83</v>
      </c>
      <c r="D144" t="s">
        <v>91</v>
      </c>
      <c r="E144" t="s">
        <v>91</v>
      </c>
      <c r="F144" t="s">
        <v>219</v>
      </c>
      <c r="G144" t="s">
        <v>90</v>
      </c>
      <c r="H144" t="s">
        <v>91</v>
      </c>
      <c r="I144" t="s">
        <v>91</v>
      </c>
      <c r="J144" t="s">
        <v>91</v>
      </c>
      <c r="K144" t="s">
        <v>91</v>
      </c>
      <c r="L144">
        <v>0.40999999999999998</v>
      </c>
      <c r="M144">
        <v>0.45000000000000001</v>
      </c>
      <c r="N144">
        <v>0.44</v>
      </c>
      <c r="O144">
        <v>0.42999999999999999</v>
      </c>
      <c r="P144">
        <v>0.38</v>
      </c>
      <c r="Q144">
        <v>0.44</v>
      </c>
      <c r="R144">
        <v>0.40999999999999998</v>
      </c>
      <c r="S144">
        <v>0.44</v>
      </c>
      <c r="T144">
        <v>0.44</v>
      </c>
      <c r="U144">
        <v>0.48999999999999999</v>
      </c>
      <c r="V144">
        <v>0.46999999999999997</v>
      </c>
      <c r="W144">
        <v>0.40999999999999998</v>
      </c>
      <c r="X144">
        <v>0.45000000000000001</v>
      </c>
      <c r="Y144">
        <v>0.42999999999999999</v>
      </c>
      <c r="Z144">
        <v>0.46999999999999997</v>
      </c>
      <c r="AA144">
        <v>0.44</v>
      </c>
      <c r="AB144">
        <v>0.46000000000000002</v>
      </c>
      <c r="AC144">
        <v>0.46000000000000002</v>
      </c>
      <c r="AD144">
        <v>0.45000000000000001</v>
      </c>
      <c r="AE144">
        <v>0.45000000000000001</v>
      </c>
      <c r="AF144">
        <v>0.44</v>
      </c>
      <c r="AG144">
        <v>0.44</v>
      </c>
      <c r="AH144">
        <v>0.47999999999999998</v>
      </c>
      <c r="AI144">
        <v>0.45000000000000001</v>
      </c>
      <c r="AJ144">
        <v>0.40999999999999998</v>
      </c>
      <c r="AK144">
        <v>0.44</v>
      </c>
      <c r="AL144">
        <v>0.46000000000000002</v>
      </c>
      <c r="AM144">
        <v>0.42999999999999999</v>
      </c>
      <c r="AN144">
        <v>0.41999999999999998</v>
      </c>
      <c r="AO144">
        <v>0.42999999999999999</v>
      </c>
      <c r="AP144">
        <v>0.46999999999999997</v>
      </c>
      <c r="AQ144">
        <v>0.39000000000000001</v>
      </c>
      <c r="AR144">
        <v>0.44</v>
      </c>
      <c r="AS144">
        <v>0.47999999999999998</v>
      </c>
      <c r="AT144">
        <v>0.44</v>
      </c>
      <c r="AU144">
        <v>0.46000000000000002</v>
      </c>
      <c r="AV144">
        <v>0.47999999999999998</v>
      </c>
      <c r="AW144" t="s">
        <v>91</v>
      </c>
    </row>
    <row r="145" spans="1:49" ht="13.2">
      <c r="A145" t="s">
        <v>93</v>
      </c>
      <c r="B145" t="s">
        <v>29</v>
      </c>
      <c r="C145" t="s">
        <v>84</v>
      </c>
      <c r="D145" t="s">
        <v>91</v>
      </c>
      <c r="E145" t="s">
        <v>91</v>
      </c>
      <c r="F145" t="s">
        <v>219</v>
      </c>
      <c r="G145" t="s">
        <v>90</v>
      </c>
      <c r="H145" t="s">
        <v>91</v>
      </c>
      <c r="I145" t="s">
        <v>91</v>
      </c>
      <c r="J145" t="s">
        <v>91</v>
      </c>
      <c r="K145" t="s">
        <v>91</v>
      </c>
      <c r="L145">
        <v>0.34000000000000002</v>
      </c>
      <c r="M145">
        <v>0.37</v>
      </c>
      <c r="N145">
        <v>0.35999999999999999</v>
      </c>
      <c r="O145">
        <v>0.35999999999999999</v>
      </c>
      <c r="P145">
        <v>0.32000000000000001</v>
      </c>
      <c r="Q145">
        <v>0.35999999999999999</v>
      </c>
      <c r="R145">
        <v>0.33000000000000002</v>
      </c>
      <c r="S145">
        <v>0.37</v>
      </c>
      <c r="T145">
        <v>0.37</v>
      </c>
      <c r="U145">
        <v>0.38</v>
      </c>
      <c r="V145">
        <v>0.40000000000000002</v>
      </c>
      <c r="W145">
        <v>0.34000000000000002</v>
      </c>
      <c r="X145">
        <v>0.38</v>
      </c>
      <c r="Y145">
        <v>0.35999999999999999</v>
      </c>
      <c r="Z145">
        <v>0.38</v>
      </c>
      <c r="AA145">
        <v>0.35999999999999999</v>
      </c>
      <c r="AB145">
        <v>0.39000000000000001</v>
      </c>
      <c r="AC145">
        <v>0.37</v>
      </c>
      <c r="AD145">
        <v>0.34999999999999998</v>
      </c>
      <c r="AE145">
        <v>0.37</v>
      </c>
      <c r="AF145">
        <v>0.35999999999999999</v>
      </c>
      <c r="AG145">
        <v>0.35999999999999999</v>
      </c>
      <c r="AH145">
        <v>0.35999999999999999</v>
      </c>
      <c r="AI145">
        <v>0.38</v>
      </c>
      <c r="AJ145">
        <v>0.34000000000000002</v>
      </c>
      <c r="AK145">
        <v>0.35999999999999999</v>
      </c>
      <c r="AL145">
        <v>0.37</v>
      </c>
      <c r="AM145">
        <v>0.34000000000000002</v>
      </c>
      <c r="AN145">
        <v>0.35999999999999999</v>
      </c>
      <c r="AO145">
        <v>0.37</v>
      </c>
      <c r="AP145">
        <v>0.39000000000000001</v>
      </c>
      <c r="AQ145">
        <v>0.33000000000000002</v>
      </c>
      <c r="AR145">
        <v>0.35999999999999999</v>
      </c>
      <c r="AS145">
        <v>0.38</v>
      </c>
      <c r="AT145">
        <v>0.37</v>
      </c>
      <c r="AU145">
        <v>0.39000000000000001</v>
      </c>
      <c r="AV145">
        <v>0.39000000000000001</v>
      </c>
      <c r="AW145" t="s">
        <v>91</v>
      </c>
    </row>
    <row r="146" spans="1:49" ht="13.2">
      <c r="A146" t="s">
        <v>93</v>
      </c>
      <c r="B146" t="s">
        <v>29</v>
      </c>
      <c r="C146" t="s">
        <v>65</v>
      </c>
      <c r="D146" t="s">
        <v>91</v>
      </c>
      <c r="E146" t="s">
        <v>91</v>
      </c>
      <c r="F146" t="s">
        <v>219</v>
      </c>
      <c r="G146" t="s">
        <v>90</v>
      </c>
      <c r="H146" t="s">
        <v>91</v>
      </c>
      <c r="I146" t="s">
        <v>91</v>
      </c>
      <c r="J146" t="s">
        <v>91</v>
      </c>
      <c r="K146" t="s">
        <v>91</v>
      </c>
      <c r="L146">
        <v>0.37</v>
      </c>
      <c r="M146">
        <v>0.38454545454545502</v>
      </c>
      <c r="N146">
        <v>0.41999999999999998</v>
      </c>
      <c r="O146">
        <v>0.34999999999999998</v>
      </c>
      <c r="P146">
        <v>0.35999999999999999</v>
      </c>
      <c r="Q146">
        <v>0.38454545454545502</v>
      </c>
      <c r="R146">
        <v>0.38454545454545502</v>
      </c>
      <c r="S146">
        <v>0.38454545454545502</v>
      </c>
      <c r="T146">
        <v>0.41999999999999998</v>
      </c>
      <c r="U146">
        <v>0.46999999999999997</v>
      </c>
      <c r="V146">
        <v>0.38454545454545502</v>
      </c>
      <c r="W146">
        <v>0.37</v>
      </c>
      <c r="X146">
        <v>0.38454545454545502</v>
      </c>
      <c r="Y146">
        <v>0.38454545454545502</v>
      </c>
      <c r="Z146">
        <v>0.38</v>
      </c>
      <c r="AA146">
        <v>0.41999999999999998</v>
      </c>
      <c r="AB146">
        <v>0.39000000000000001</v>
      </c>
      <c r="AC146">
        <v>0.37</v>
      </c>
      <c r="AD146">
        <v>0.38454545454545502</v>
      </c>
      <c r="AE146">
        <v>0.35999999999999999</v>
      </c>
      <c r="AF146">
        <v>0.41999999999999998</v>
      </c>
      <c r="AG146">
        <v>0.38454545454545502</v>
      </c>
      <c r="AH146">
        <v>0.38454545454545502</v>
      </c>
      <c r="AI146">
        <v>0.39000000000000001</v>
      </c>
      <c r="AJ146">
        <v>0.37</v>
      </c>
      <c r="AK146">
        <v>0.38454545454545502</v>
      </c>
      <c r="AL146">
        <v>0.38454545454545502</v>
      </c>
      <c r="AM146">
        <v>0.33000000000000002</v>
      </c>
      <c r="AN146">
        <v>0.38454545454545502</v>
      </c>
      <c r="AO146">
        <v>0.38</v>
      </c>
      <c r="AP146">
        <v>0.34999999999999998</v>
      </c>
      <c r="AQ146">
        <v>0.35999999999999999</v>
      </c>
      <c r="AR146">
        <v>0.41999999999999998</v>
      </c>
      <c r="AS146">
        <v>0.38454545454545502</v>
      </c>
      <c r="AT146">
        <v>0.38454545454545502</v>
      </c>
      <c r="AU146">
        <v>0.39000000000000001</v>
      </c>
      <c r="AV146">
        <v>0.37</v>
      </c>
      <c r="AW146" t="s">
        <v>91</v>
      </c>
    </row>
    <row r="147" spans="1:49" ht="13.2">
      <c r="A147" t="s">
        <v>93</v>
      </c>
      <c r="B147" t="s">
        <v>29</v>
      </c>
      <c r="C147" t="s">
        <v>66</v>
      </c>
      <c r="D147" t="s">
        <v>91</v>
      </c>
      <c r="E147" t="s">
        <v>91</v>
      </c>
      <c r="F147" t="s">
        <v>219</v>
      </c>
      <c r="G147" t="s">
        <v>90</v>
      </c>
      <c r="H147" t="s">
        <v>91</v>
      </c>
      <c r="I147" t="s">
        <v>91</v>
      </c>
      <c r="J147" t="s">
        <v>91</v>
      </c>
      <c r="K147" t="s">
        <v>91</v>
      </c>
      <c r="L147">
        <v>0.37</v>
      </c>
      <c r="M147">
        <v>0.38409090909090898</v>
      </c>
      <c r="N147">
        <v>0.41999999999999998</v>
      </c>
      <c r="O147">
        <v>0.34999999999999998</v>
      </c>
      <c r="P147">
        <v>0.35999999999999999</v>
      </c>
      <c r="Q147">
        <v>0.38409090909090898</v>
      </c>
      <c r="R147">
        <v>0.38409090909090898</v>
      </c>
      <c r="S147">
        <v>0.38409090909090898</v>
      </c>
      <c r="T147">
        <v>0.40999999999999998</v>
      </c>
      <c r="U147">
        <v>0.46999999999999997</v>
      </c>
      <c r="V147">
        <v>0.38409090909090898</v>
      </c>
      <c r="W147">
        <v>0.37</v>
      </c>
      <c r="X147">
        <v>0.38409090909090898</v>
      </c>
      <c r="Y147">
        <v>0.38409090909090898</v>
      </c>
      <c r="Z147">
        <v>0.38</v>
      </c>
      <c r="AA147">
        <v>0.41999999999999998</v>
      </c>
      <c r="AB147">
        <v>0.39000000000000001</v>
      </c>
      <c r="AC147">
        <v>0.37</v>
      </c>
      <c r="AD147">
        <v>0.38409090909090898</v>
      </c>
      <c r="AE147">
        <v>0.35999999999999999</v>
      </c>
      <c r="AF147">
        <v>0.41999999999999998</v>
      </c>
      <c r="AG147">
        <v>0.38409090909090898</v>
      </c>
      <c r="AH147">
        <v>0.38409090909090898</v>
      </c>
      <c r="AI147">
        <v>0.39000000000000001</v>
      </c>
      <c r="AJ147">
        <v>0.37</v>
      </c>
      <c r="AK147">
        <v>0.38409090909090898</v>
      </c>
      <c r="AL147">
        <v>0.38409090909090898</v>
      </c>
      <c r="AM147">
        <v>0.33000000000000002</v>
      </c>
      <c r="AN147">
        <v>0.38409090909090898</v>
      </c>
      <c r="AO147">
        <v>0.38</v>
      </c>
      <c r="AP147">
        <v>0.34999999999999998</v>
      </c>
      <c r="AQ147">
        <v>0.35999999999999999</v>
      </c>
      <c r="AR147">
        <v>0.41999999999999998</v>
      </c>
      <c r="AS147">
        <v>0.38409090909090898</v>
      </c>
      <c r="AT147">
        <v>0.38409090909090898</v>
      </c>
      <c r="AU147">
        <v>0.39000000000000001</v>
      </c>
      <c r="AV147">
        <v>0.37</v>
      </c>
      <c r="AW147" t="s">
        <v>91</v>
      </c>
    </row>
    <row r="148" spans="1:49" ht="13.2">
      <c r="A148" t="s">
        <v>93</v>
      </c>
      <c r="B148" t="s">
        <v>29</v>
      </c>
      <c r="C148" t="s">
        <v>67</v>
      </c>
      <c r="D148" t="s">
        <v>91</v>
      </c>
      <c r="E148" t="s">
        <v>91</v>
      </c>
      <c r="F148" t="s">
        <v>219</v>
      </c>
      <c r="G148" t="s">
        <v>90</v>
      </c>
      <c r="H148" t="s">
        <v>91</v>
      </c>
      <c r="I148" t="s">
        <v>91</v>
      </c>
      <c r="J148" t="s">
        <v>91</v>
      </c>
      <c r="K148" t="s">
        <v>91</v>
      </c>
      <c r="L148">
        <v>0.37</v>
      </c>
      <c r="M148">
        <v>0.38454545454545502</v>
      </c>
      <c r="N148">
        <v>0.41999999999999998</v>
      </c>
      <c r="O148">
        <v>0.34999999999999998</v>
      </c>
      <c r="P148">
        <v>0.35999999999999999</v>
      </c>
      <c r="Q148">
        <v>0.38454545454545502</v>
      </c>
      <c r="R148">
        <v>0.38454545454545502</v>
      </c>
      <c r="S148">
        <v>0.38454545454545502</v>
      </c>
      <c r="T148">
        <v>0.40999999999999998</v>
      </c>
      <c r="U148">
        <v>0.46999999999999997</v>
      </c>
      <c r="V148">
        <v>0.38454545454545502</v>
      </c>
      <c r="W148">
        <v>0.37</v>
      </c>
      <c r="X148">
        <v>0.38454545454545502</v>
      </c>
      <c r="Y148">
        <v>0.38454545454545502</v>
      </c>
      <c r="Z148">
        <v>0.38</v>
      </c>
      <c r="AA148">
        <v>0.41999999999999998</v>
      </c>
      <c r="AB148">
        <v>0.39000000000000001</v>
      </c>
      <c r="AC148">
        <v>0.37</v>
      </c>
      <c r="AD148">
        <v>0.38454545454545502</v>
      </c>
      <c r="AE148">
        <v>0.35999999999999999</v>
      </c>
      <c r="AF148">
        <v>0.41999999999999998</v>
      </c>
      <c r="AG148">
        <v>0.38454545454545502</v>
      </c>
      <c r="AH148">
        <v>0.38454545454545502</v>
      </c>
      <c r="AI148">
        <v>0.39000000000000001</v>
      </c>
      <c r="AJ148">
        <v>0.37</v>
      </c>
      <c r="AK148">
        <v>0.38454545454545502</v>
      </c>
      <c r="AL148">
        <v>0.38454545454545502</v>
      </c>
      <c r="AM148">
        <v>0.34000000000000002</v>
      </c>
      <c r="AN148">
        <v>0.38454545454545502</v>
      </c>
      <c r="AO148">
        <v>0.38</v>
      </c>
      <c r="AP148">
        <v>0.34999999999999998</v>
      </c>
      <c r="AQ148">
        <v>0.35999999999999999</v>
      </c>
      <c r="AR148">
        <v>0.41999999999999998</v>
      </c>
      <c r="AS148">
        <v>0.38454545454545502</v>
      </c>
      <c r="AT148">
        <v>0.38454545454545502</v>
      </c>
      <c r="AU148">
        <v>0.39000000000000001</v>
      </c>
      <c r="AV148">
        <v>0.37</v>
      </c>
      <c r="AW148" t="s">
        <v>91</v>
      </c>
    </row>
    <row r="149" spans="1:49" ht="13.2">
      <c r="A149" t="s">
        <v>93</v>
      </c>
      <c r="B149" t="s">
        <v>29</v>
      </c>
      <c r="C149" t="s">
        <v>68</v>
      </c>
      <c r="D149" t="s">
        <v>91</v>
      </c>
      <c r="E149" t="s">
        <v>91</v>
      </c>
      <c r="F149" t="s">
        <v>219</v>
      </c>
      <c r="G149" t="s">
        <v>90</v>
      </c>
      <c r="H149" t="s">
        <v>91</v>
      </c>
      <c r="I149" t="s">
        <v>91</v>
      </c>
      <c r="J149" t="s">
        <v>91</v>
      </c>
      <c r="K149" t="s">
        <v>91</v>
      </c>
      <c r="L149">
        <v>0.37</v>
      </c>
      <c r="M149">
        <v>0.38500000000000001</v>
      </c>
      <c r="N149">
        <v>0.41999999999999998</v>
      </c>
      <c r="O149">
        <v>0.34999999999999998</v>
      </c>
      <c r="P149">
        <v>0.35999999999999999</v>
      </c>
      <c r="Q149">
        <v>0.38500000000000001</v>
      </c>
      <c r="R149">
        <v>0.38500000000000001</v>
      </c>
      <c r="S149">
        <v>0.38500000000000001</v>
      </c>
      <c r="T149">
        <v>0.41999999999999998</v>
      </c>
      <c r="U149">
        <v>0.46999999999999997</v>
      </c>
      <c r="V149">
        <v>0.38500000000000001</v>
      </c>
      <c r="W149">
        <v>0.37</v>
      </c>
      <c r="X149">
        <v>0.38500000000000001</v>
      </c>
      <c r="Y149">
        <v>0.38500000000000001</v>
      </c>
      <c r="Z149">
        <v>0.38</v>
      </c>
      <c r="AA149">
        <v>0.41999999999999998</v>
      </c>
      <c r="AB149">
        <v>0.39000000000000001</v>
      </c>
      <c r="AC149">
        <v>0.37</v>
      </c>
      <c r="AD149">
        <v>0.38500000000000001</v>
      </c>
      <c r="AE149">
        <v>0.35999999999999999</v>
      </c>
      <c r="AF149">
        <v>0.41999999999999998</v>
      </c>
      <c r="AG149">
        <v>0.38500000000000001</v>
      </c>
      <c r="AH149">
        <v>0.38500000000000001</v>
      </c>
      <c r="AI149">
        <v>0.39000000000000001</v>
      </c>
      <c r="AJ149">
        <v>0.37</v>
      </c>
      <c r="AK149">
        <v>0.38500000000000001</v>
      </c>
      <c r="AL149">
        <v>0.38500000000000001</v>
      </c>
      <c r="AM149">
        <v>0.33000000000000002</v>
      </c>
      <c r="AN149">
        <v>0.38500000000000001</v>
      </c>
      <c r="AO149">
        <v>0.38</v>
      </c>
      <c r="AP149">
        <v>0.35999999999999999</v>
      </c>
      <c r="AQ149">
        <v>0.35999999999999999</v>
      </c>
      <c r="AR149">
        <v>0.41999999999999998</v>
      </c>
      <c r="AS149">
        <v>0.38500000000000001</v>
      </c>
      <c r="AT149">
        <v>0.38500000000000001</v>
      </c>
      <c r="AU149">
        <v>0.39000000000000001</v>
      </c>
      <c r="AV149">
        <v>0.37</v>
      </c>
      <c r="AW149" t="s">
        <v>91</v>
      </c>
    </row>
    <row r="150" spans="1:49" ht="13.2">
      <c r="A150" t="s">
        <v>93</v>
      </c>
      <c r="B150" t="s">
        <v>29</v>
      </c>
      <c r="C150" t="s">
        <v>85</v>
      </c>
      <c r="D150" t="s">
        <v>91</v>
      </c>
      <c r="E150" t="s">
        <v>91</v>
      </c>
      <c r="F150" t="s">
        <v>219</v>
      </c>
      <c r="G150" t="s">
        <v>90</v>
      </c>
      <c r="H150" t="s">
        <v>91</v>
      </c>
      <c r="I150" t="s">
        <v>91</v>
      </c>
      <c r="J150" t="s">
        <v>91</v>
      </c>
      <c r="K150" t="s">
        <v>91</v>
      </c>
      <c r="L150">
        <v>0.23000000000000001</v>
      </c>
      <c r="M150">
        <v>0.23999999999999999</v>
      </c>
      <c r="N150">
        <v>0.28000000000000003</v>
      </c>
      <c r="O150">
        <v>0.25</v>
      </c>
      <c r="P150">
        <v>0.22</v>
      </c>
      <c r="Q150">
        <v>0.25</v>
      </c>
      <c r="R150">
        <v>0.23999999999999999</v>
      </c>
      <c r="S150">
        <v>0.27000000000000002</v>
      </c>
      <c r="T150">
        <v>0.25</v>
      </c>
      <c r="U150">
        <v>0.28999999999999998</v>
      </c>
      <c r="V150">
        <v>0.31</v>
      </c>
      <c r="W150">
        <v>0.23000000000000001</v>
      </c>
      <c r="X150">
        <v>0.28999999999999998</v>
      </c>
      <c r="Y150">
        <v>0.26000000000000001</v>
      </c>
      <c r="Z150">
        <v>0.26000000000000001</v>
      </c>
      <c r="AA150">
        <v>0.28000000000000003</v>
      </c>
      <c r="AB150">
        <v>0.28999999999999998</v>
      </c>
      <c r="AC150">
        <v>0.23999999999999999</v>
      </c>
      <c r="AD150">
        <v>0.25</v>
      </c>
      <c r="AE150">
        <v>0.23000000000000001</v>
      </c>
      <c r="AF150">
        <v>0.28000000000000003</v>
      </c>
      <c r="AG150">
        <v>0.28000000000000003</v>
      </c>
      <c r="AH150">
        <v>0.26000000000000001</v>
      </c>
      <c r="AI150">
        <v>0.28000000000000003</v>
      </c>
      <c r="AJ150">
        <v>0.23000000000000001</v>
      </c>
      <c r="AK150">
        <v>0.26000000000000001</v>
      </c>
      <c r="AL150">
        <v>0.28000000000000003</v>
      </c>
      <c r="AM150">
        <v>0.25</v>
      </c>
      <c r="AN150">
        <v>0.27000000000000002</v>
      </c>
      <c r="AO150">
        <v>0.28000000000000003</v>
      </c>
      <c r="AP150">
        <v>0.27000000000000002</v>
      </c>
      <c r="AQ150">
        <v>0.20999999999999999</v>
      </c>
      <c r="AR150">
        <v>0.28000000000000003</v>
      </c>
      <c r="AS150">
        <v>0.28000000000000003</v>
      </c>
      <c r="AT150">
        <v>0.28000000000000003</v>
      </c>
      <c r="AU150">
        <v>0.28000000000000003</v>
      </c>
      <c r="AV150">
        <v>0.26000000000000001</v>
      </c>
      <c r="AW150" t="s">
        <v>91</v>
      </c>
    </row>
    <row r="151" spans="1:49" ht="13.2">
      <c r="A151" t="s">
        <v>93</v>
      </c>
      <c r="B151" t="s">
        <v>29</v>
      </c>
      <c r="C151" t="s">
        <v>86</v>
      </c>
      <c r="D151" t="s">
        <v>91</v>
      </c>
      <c r="E151" t="s">
        <v>91</v>
      </c>
      <c r="F151" t="s">
        <v>219</v>
      </c>
      <c r="G151" t="s">
        <v>90</v>
      </c>
      <c r="H151" t="s">
        <v>91</v>
      </c>
      <c r="I151" t="s">
        <v>91</v>
      </c>
      <c r="J151" t="s">
        <v>91</v>
      </c>
      <c r="K151" t="s">
        <v>91</v>
      </c>
      <c r="L151">
        <v>0.40000000000000002</v>
      </c>
      <c r="M151">
        <v>0.44</v>
      </c>
      <c r="N151">
        <v>0.42999999999999999</v>
      </c>
      <c r="O151">
        <v>0.41999999999999998</v>
      </c>
      <c r="P151">
        <v>0.38</v>
      </c>
      <c r="Q151">
        <v>0.41999999999999998</v>
      </c>
      <c r="R151">
        <v>0.40000000000000002</v>
      </c>
      <c r="S151">
        <v>0.42999999999999999</v>
      </c>
      <c r="T151">
        <v>0.42999999999999999</v>
      </c>
      <c r="U151">
        <v>0.45000000000000001</v>
      </c>
      <c r="V151">
        <v>0.46000000000000002</v>
      </c>
      <c r="W151">
        <v>0.40000000000000002</v>
      </c>
      <c r="X151">
        <v>0.44</v>
      </c>
      <c r="Y151">
        <v>0.41999999999999998</v>
      </c>
      <c r="Z151">
        <v>0.46000000000000002</v>
      </c>
      <c r="AA151">
        <v>0.42999999999999999</v>
      </c>
      <c r="AB151">
        <v>0.46000000000000002</v>
      </c>
      <c r="AC151">
        <v>0.44</v>
      </c>
      <c r="AD151">
        <v>0.41999999999999998</v>
      </c>
      <c r="AE151">
        <v>0.44</v>
      </c>
      <c r="AF151">
        <v>0.42999999999999999</v>
      </c>
      <c r="AG151">
        <v>0.44</v>
      </c>
      <c r="AH151">
        <v>0.42999999999999999</v>
      </c>
      <c r="AI151">
        <v>0.45000000000000001</v>
      </c>
      <c r="AJ151">
        <v>0.40000000000000002</v>
      </c>
      <c r="AK151">
        <v>0.42999999999999999</v>
      </c>
      <c r="AL151">
        <v>0.44</v>
      </c>
      <c r="AM151">
        <v>0.40000000000000002</v>
      </c>
      <c r="AN151">
        <v>0.41999999999999998</v>
      </c>
      <c r="AO151">
        <v>0.42999999999999999</v>
      </c>
      <c r="AP151">
        <v>0.45000000000000001</v>
      </c>
      <c r="AQ151">
        <v>0.39000000000000001</v>
      </c>
      <c r="AR151">
        <v>0.42999999999999999</v>
      </c>
      <c r="AS151">
        <v>0.46000000000000002</v>
      </c>
      <c r="AT151">
        <v>0.44</v>
      </c>
      <c r="AU151">
        <v>0.45000000000000001</v>
      </c>
      <c r="AV151">
        <v>0.46000000000000002</v>
      </c>
      <c r="AW151" t="s">
        <v>91</v>
      </c>
    </row>
    <row r="152" spans="1:49" ht="13.2">
      <c r="A152" t="s">
        <v>93</v>
      </c>
      <c r="B152" t="s">
        <v>29</v>
      </c>
      <c r="C152" t="s">
        <v>87</v>
      </c>
      <c r="D152" t="s">
        <v>91</v>
      </c>
      <c r="E152" t="s">
        <v>91</v>
      </c>
      <c r="F152" t="s">
        <v>219</v>
      </c>
      <c r="G152" t="s">
        <v>90</v>
      </c>
      <c r="H152" t="s">
        <v>91</v>
      </c>
      <c r="I152" t="s">
        <v>91</v>
      </c>
      <c r="J152" t="s">
        <v>91</v>
      </c>
      <c r="K152" t="s">
        <v>91</v>
      </c>
      <c r="L152">
        <v>0.40999999999999998</v>
      </c>
      <c r="M152">
        <v>0.45000000000000001</v>
      </c>
      <c r="N152">
        <v>0.44</v>
      </c>
      <c r="O152">
        <v>0.42999999999999999</v>
      </c>
      <c r="P152">
        <v>0.38</v>
      </c>
      <c r="Q152">
        <v>0.44</v>
      </c>
      <c r="R152">
        <v>0.40999999999999998</v>
      </c>
      <c r="S152">
        <v>0.44</v>
      </c>
      <c r="T152">
        <v>0.44</v>
      </c>
      <c r="U152">
        <v>0.48999999999999999</v>
      </c>
      <c r="V152">
        <v>0.46999999999999997</v>
      </c>
      <c r="W152">
        <v>0.40999999999999998</v>
      </c>
      <c r="X152">
        <v>0.45000000000000001</v>
      </c>
      <c r="Y152">
        <v>0.42999999999999999</v>
      </c>
      <c r="Z152">
        <v>0.46999999999999997</v>
      </c>
      <c r="AA152">
        <v>0.44</v>
      </c>
      <c r="AB152">
        <v>0.46000000000000002</v>
      </c>
      <c r="AC152">
        <v>0.46000000000000002</v>
      </c>
      <c r="AD152">
        <v>0.45000000000000001</v>
      </c>
      <c r="AE152">
        <v>0.45000000000000001</v>
      </c>
      <c r="AF152">
        <v>0.44</v>
      </c>
      <c r="AG152">
        <v>0.44</v>
      </c>
      <c r="AH152">
        <v>0.47999999999999998</v>
      </c>
      <c r="AI152">
        <v>0.45000000000000001</v>
      </c>
      <c r="AJ152">
        <v>0.40999999999999998</v>
      </c>
      <c r="AK152">
        <v>0.44</v>
      </c>
      <c r="AL152">
        <v>0.46000000000000002</v>
      </c>
      <c r="AM152">
        <v>0.42999999999999999</v>
      </c>
      <c r="AN152">
        <v>0.41999999999999998</v>
      </c>
      <c r="AO152">
        <v>0.42999999999999999</v>
      </c>
      <c r="AP152">
        <v>0.46999999999999997</v>
      </c>
      <c r="AQ152">
        <v>0.39000000000000001</v>
      </c>
      <c r="AR152">
        <v>0.44</v>
      </c>
      <c r="AS152">
        <v>0.47999999999999998</v>
      </c>
      <c r="AT152">
        <v>0.44</v>
      </c>
      <c r="AU152">
        <v>0.46000000000000002</v>
      </c>
      <c r="AV152">
        <v>0.47999999999999998</v>
      </c>
      <c r="AW152" t="s">
        <v>91</v>
      </c>
    </row>
    <row r="153" spans="1:49" ht="13.2">
      <c r="A153" t="s">
        <v>93</v>
      </c>
      <c r="B153" t="s">
        <v>29</v>
      </c>
      <c r="C153" t="s">
        <v>88</v>
      </c>
      <c r="D153" t="s">
        <v>91</v>
      </c>
      <c r="E153" t="s">
        <v>91</v>
      </c>
      <c r="F153" t="s">
        <v>219</v>
      </c>
      <c r="G153" t="s">
        <v>90</v>
      </c>
      <c r="H153" t="s">
        <v>91</v>
      </c>
      <c r="I153" t="s">
        <v>91</v>
      </c>
      <c r="J153" t="s">
        <v>91</v>
      </c>
      <c r="K153" t="s">
        <v>91</v>
      </c>
      <c r="L153">
        <v>0.34000000000000002</v>
      </c>
      <c r="M153">
        <v>0.37</v>
      </c>
      <c r="N153">
        <v>0.35999999999999999</v>
      </c>
      <c r="O153">
        <v>0.35999999999999999</v>
      </c>
      <c r="P153">
        <v>0.32000000000000001</v>
      </c>
      <c r="Q153">
        <v>0.35999999999999999</v>
      </c>
      <c r="R153">
        <v>0.33000000000000002</v>
      </c>
      <c r="S153">
        <v>0.37</v>
      </c>
      <c r="T153">
        <v>0.37</v>
      </c>
      <c r="U153">
        <v>0.38</v>
      </c>
      <c r="V153">
        <v>0.40000000000000002</v>
      </c>
      <c r="W153">
        <v>0.34000000000000002</v>
      </c>
      <c r="X153">
        <v>0.38</v>
      </c>
      <c r="Y153">
        <v>0.35999999999999999</v>
      </c>
      <c r="Z153">
        <v>0.38</v>
      </c>
      <c r="AA153">
        <v>0.35999999999999999</v>
      </c>
      <c r="AB153">
        <v>0.39000000000000001</v>
      </c>
      <c r="AC153">
        <v>0.37</v>
      </c>
      <c r="AD153">
        <v>0.34999999999999998</v>
      </c>
      <c r="AE153">
        <v>0.37</v>
      </c>
      <c r="AF153">
        <v>0.35999999999999999</v>
      </c>
      <c r="AG153">
        <v>0.35999999999999999</v>
      </c>
      <c r="AH153">
        <v>0.35999999999999999</v>
      </c>
      <c r="AI153">
        <v>0.38</v>
      </c>
      <c r="AJ153">
        <v>0.34000000000000002</v>
      </c>
      <c r="AK153">
        <v>0.35999999999999999</v>
      </c>
      <c r="AL153">
        <v>0.37</v>
      </c>
      <c r="AM153">
        <v>0.34000000000000002</v>
      </c>
      <c r="AN153">
        <v>0.35999999999999999</v>
      </c>
      <c r="AO153">
        <v>0.37</v>
      </c>
      <c r="AP153">
        <v>0.39000000000000001</v>
      </c>
      <c r="AQ153">
        <v>0.33000000000000002</v>
      </c>
      <c r="AR153">
        <v>0.35999999999999999</v>
      </c>
      <c r="AS153">
        <v>0.38</v>
      </c>
      <c r="AT153">
        <v>0.37</v>
      </c>
      <c r="AU153">
        <v>0.39000000000000001</v>
      </c>
      <c r="AV153">
        <v>0.39000000000000001</v>
      </c>
      <c r="AW153" t="s">
        <v>91</v>
      </c>
    </row>
    <row r="154" spans="1:49" ht="13.2">
      <c r="A154" t="s">
        <v>93</v>
      </c>
      <c r="B154" t="s">
        <v>29</v>
      </c>
      <c r="C154" t="s">
        <v>52</v>
      </c>
      <c r="D154" t="s">
        <v>91</v>
      </c>
      <c r="E154" t="s">
        <v>91</v>
      </c>
      <c r="F154" t="s">
        <v>219</v>
      </c>
      <c r="G154" t="s">
        <v>90</v>
      </c>
      <c r="H154" t="s">
        <v>91</v>
      </c>
      <c r="I154" t="s">
        <v>91</v>
      </c>
      <c r="J154" t="s">
        <v>91</v>
      </c>
      <c r="K154" t="s">
        <v>91</v>
      </c>
      <c r="L154">
        <v>0.116721265948143</v>
      </c>
      <c r="M154">
        <v>0.095218081183551601</v>
      </c>
      <c r="N154">
        <v>0.14463639347038099</v>
      </c>
      <c r="O154">
        <v>0.10361969848816199</v>
      </c>
      <c r="P154">
        <v>0.092784361390447698</v>
      </c>
      <c r="Q154">
        <v>0.11858440363995</v>
      </c>
      <c r="R154">
        <v>0.114044829974671</v>
      </c>
      <c r="S154">
        <v>0.10855632289622399</v>
      </c>
      <c r="T154">
        <v>0.11700010774532101</v>
      </c>
      <c r="U154">
        <v>0.092036888145743595</v>
      </c>
      <c r="V154">
        <v>0.118437880938806</v>
      </c>
      <c r="W154">
        <v>0.116721265948143</v>
      </c>
      <c r="X154">
        <v>0.118203291106111</v>
      </c>
      <c r="Y154">
        <v>0.103957439548966</v>
      </c>
      <c r="Z154">
        <v>0.095394324684570306</v>
      </c>
      <c r="AA154">
        <v>0.14463639347038099</v>
      </c>
      <c r="AB154">
        <v>0.113604413499276</v>
      </c>
      <c r="AC154">
        <v>0.17410163103408099</v>
      </c>
      <c r="AD154">
        <v>0.13212961864410999</v>
      </c>
      <c r="AE154">
        <v>0.113429238866598</v>
      </c>
      <c r="AF154">
        <v>0.14463639347038099</v>
      </c>
      <c r="AG154">
        <v>0.13399563454993901</v>
      </c>
      <c r="AH154">
        <v>0.11886177510938201</v>
      </c>
      <c r="AI154">
        <v>0.127491964405818</v>
      </c>
      <c r="AJ154">
        <v>0.116721265948143</v>
      </c>
      <c r="AK154">
        <v>0.108385724603052</v>
      </c>
      <c r="AL154">
        <v>0.131293205393269</v>
      </c>
      <c r="AM154">
        <v>0.11952731292831099</v>
      </c>
      <c r="AN154">
        <v>0.123912339422979</v>
      </c>
      <c r="AO154">
        <v>0.12619013889924299</v>
      </c>
      <c r="AP154">
        <v>0.14025631370671399</v>
      </c>
      <c r="AQ154">
        <v>0.114838437511216</v>
      </c>
      <c r="AR154">
        <v>0.14463639347038099</v>
      </c>
      <c r="AS154">
        <v>0.101009453044025</v>
      </c>
      <c r="AT154">
        <v>0.110848943480575</v>
      </c>
      <c r="AU154">
        <v>0.13040484478618999</v>
      </c>
      <c r="AV154">
        <v>0.11433939727898899</v>
      </c>
      <c r="AW154" t="s">
        <v>91</v>
      </c>
    </row>
    <row r="155" spans="1:49" ht="13.2">
      <c r="A155" t="s">
        <v>93</v>
      </c>
      <c r="B155" t="s">
        <v>29</v>
      </c>
      <c r="C155" t="s">
        <v>50</v>
      </c>
      <c r="D155" t="s">
        <v>91</v>
      </c>
      <c r="E155" t="s">
        <v>91</v>
      </c>
      <c r="F155" t="s">
        <v>219</v>
      </c>
      <c r="G155" t="s">
        <v>90</v>
      </c>
      <c r="H155" t="s">
        <v>91</v>
      </c>
      <c r="I155" t="s">
        <v>91</v>
      </c>
      <c r="J155" t="s">
        <v>91</v>
      </c>
      <c r="K155" t="s">
        <v>91</v>
      </c>
      <c r="L155">
        <v>0.132740332798573</v>
      </c>
      <c r="M155">
        <v>0.13274033134472199</v>
      </c>
      <c r="N155">
        <v>0.132740329079821</v>
      </c>
      <c r="O155">
        <v>0.13274033134472199</v>
      </c>
      <c r="P155">
        <v>0.13274033143188699</v>
      </c>
      <c r="Q155">
        <v>0.13274033134472199</v>
      </c>
      <c r="R155">
        <v>0.132740330622275</v>
      </c>
      <c r="S155">
        <v>0.13274033280153699</v>
      </c>
      <c r="T155">
        <v>0.13274033134472199</v>
      </c>
      <c r="U155">
        <v>0.13274033236171401</v>
      </c>
      <c r="V155">
        <v>0.13274033268186899</v>
      </c>
      <c r="W155">
        <v>0.132740332798573</v>
      </c>
      <c r="X155">
        <v>0.13274033304177199</v>
      </c>
      <c r="Y155">
        <v>0.13274032890759799</v>
      </c>
      <c r="Z155">
        <v>0.132740330015402</v>
      </c>
      <c r="AA155">
        <v>0.132740329079821</v>
      </c>
      <c r="AB155">
        <v>0.13274032865624</v>
      </c>
      <c r="AC155">
        <v>0.13274033483890499</v>
      </c>
      <c r="AD155">
        <v>0.13274032959922399</v>
      </c>
      <c r="AE155">
        <v>0.13274033194228499</v>
      </c>
      <c r="AF155">
        <v>0.132740329079821</v>
      </c>
      <c r="AG155">
        <v>0.132740332323141</v>
      </c>
      <c r="AH155">
        <v>0.13274033145288699</v>
      </c>
      <c r="AI155">
        <v>0.13274033178528399</v>
      </c>
      <c r="AJ155">
        <v>0.132740332798573</v>
      </c>
      <c r="AK155">
        <v>0.13274033296643101</v>
      </c>
      <c r="AL155">
        <v>0.13274033134472199</v>
      </c>
      <c r="AM155">
        <v>0.13274033215036801</v>
      </c>
      <c r="AN155">
        <v>0.13274033034493299</v>
      </c>
      <c r="AO155">
        <v>0.132740330241611</v>
      </c>
      <c r="AP155">
        <v>0.13274033134472199</v>
      </c>
      <c r="AQ155">
        <v>0.132740331352457</v>
      </c>
      <c r="AR155">
        <v>0.132740329079821</v>
      </c>
      <c r="AS155">
        <v>0.13274033086054701</v>
      </c>
      <c r="AT155">
        <v>0.13274033165865001</v>
      </c>
      <c r="AU155">
        <v>0.13274033134472199</v>
      </c>
      <c r="AV155">
        <v>0.132740333589635</v>
      </c>
      <c r="AW155" t="s">
        <v>91</v>
      </c>
    </row>
    <row r="156" spans="1:49" ht="13.2">
      <c r="A156" t="s">
        <v>93</v>
      </c>
      <c r="B156" t="s">
        <v>29</v>
      </c>
      <c r="C156" t="s">
        <v>72</v>
      </c>
      <c r="D156" t="s">
        <v>91</v>
      </c>
      <c r="E156" t="s">
        <v>91</v>
      </c>
      <c r="F156" t="s">
        <v>219</v>
      </c>
      <c r="G156" t="s">
        <v>90</v>
      </c>
      <c r="H156" t="s">
        <v>91</v>
      </c>
      <c r="I156" t="s">
        <v>91</v>
      </c>
      <c r="J156" t="s">
        <v>91</v>
      </c>
      <c r="K156" t="s">
        <v>91</v>
      </c>
      <c r="L156">
        <v>0.19590520158410299</v>
      </c>
      <c r="M156">
        <v>0.19590520158410299</v>
      </c>
      <c r="N156">
        <v>0.19590520158410299</v>
      </c>
      <c r="O156">
        <v>0.19590520158410299</v>
      </c>
      <c r="P156">
        <v>0.19590520158410299</v>
      </c>
      <c r="Q156">
        <v>0.201033948201707</v>
      </c>
      <c r="R156">
        <v>0.19590520158410299</v>
      </c>
      <c r="S156">
        <v>0.19590520158410299</v>
      </c>
      <c r="T156">
        <v>0.20155494551717101</v>
      </c>
      <c r="U156">
        <v>0.19590520158410299</v>
      </c>
      <c r="V156">
        <v>0.19590520158410299</v>
      </c>
      <c r="W156">
        <v>0.19590520158410299</v>
      </c>
      <c r="X156">
        <v>0.19590520158410299</v>
      </c>
      <c r="Y156">
        <v>0.19590520158410299</v>
      </c>
      <c r="Z156">
        <v>0.19590520158410299</v>
      </c>
      <c r="AA156">
        <v>0.19590520158410299</v>
      </c>
      <c r="AB156">
        <v>0.19590520158410299</v>
      </c>
      <c r="AC156">
        <v>0.19590520158410299</v>
      </c>
      <c r="AD156">
        <v>0.19590520158410299</v>
      </c>
      <c r="AE156">
        <v>0.19590520158410299</v>
      </c>
      <c r="AF156">
        <v>0.19590520158410299</v>
      </c>
      <c r="AG156">
        <v>0.19590520158410299</v>
      </c>
      <c r="AH156">
        <v>0.19590520158410299</v>
      </c>
      <c r="AI156">
        <v>0.19590520158410299</v>
      </c>
      <c r="AJ156">
        <v>0.19590520158410299</v>
      </c>
      <c r="AK156">
        <v>0.19590520158410299</v>
      </c>
      <c r="AL156">
        <v>0.19590520158410299</v>
      </c>
      <c r="AM156">
        <v>0.18512671103343101</v>
      </c>
      <c r="AN156">
        <v>0.19590520158410299</v>
      </c>
      <c r="AO156">
        <v>0.19590520158410299</v>
      </c>
      <c r="AP156">
        <v>0.19590520158410299</v>
      </c>
      <c r="AQ156">
        <v>0.19590520158410299</v>
      </c>
      <c r="AR156">
        <v>0.19590520158410299</v>
      </c>
      <c r="AS156">
        <v>0.19590520158410299</v>
      </c>
      <c r="AT156">
        <v>0.19590520158410299</v>
      </c>
      <c r="AU156">
        <v>0.19590520158410299</v>
      </c>
      <c r="AV156">
        <v>0.19590520158410299</v>
      </c>
      <c r="AW156" t="s">
        <v>91</v>
      </c>
    </row>
    <row r="157" spans="1:49" ht="13.2">
      <c r="A157" t="s">
        <v>93</v>
      </c>
      <c r="B157" t="s">
        <v>29</v>
      </c>
      <c r="C157" t="s">
        <v>222</v>
      </c>
      <c r="D157" t="s">
        <v>91</v>
      </c>
      <c r="E157" t="s">
        <v>91</v>
      </c>
      <c r="F157" t="s">
        <v>219</v>
      </c>
      <c r="G157" t="s">
        <v>90</v>
      </c>
      <c r="H157" t="s">
        <v>91</v>
      </c>
      <c r="I157" t="s">
        <v>91</v>
      </c>
      <c r="J157" t="s">
        <v>91</v>
      </c>
      <c r="K157" t="s">
        <v>91</v>
      </c>
      <c r="L157">
        <v>0.28530028770007299</v>
      </c>
      <c r="M157">
        <v>0.27607800722082898</v>
      </c>
      <c r="N157">
        <v>0.30442078071888801</v>
      </c>
      <c r="O157">
        <v>0.26373111002703598</v>
      </c>
      <c r="P157">
        <v>0.27405218846524698</v>
      </c>
      <c r="Q157">
        <v>0.263852616088118</v>
      </c>
      <c r="R157">
        <v>0.28261437103842102</v>
      </c>
      <c r="S157">
        <v>0.28152640208186502</v>
      </c>
      <c r="T157">
        <v>0.276151674033561</v>
      </c>
      <c r="U157">
        <v>0.34325607958311299</v>
      </c>
      <c r="V157">
        <v>0.30007660684610199</v>
      </c>
      <c r="W157">
        <v>0.28530028770007299</v>
      </c>
      <c r="X157">
        <v>0.260419905506247</v>
      </c>
      <c r="Y157">
        <v>0.29501642937591399</v>
      </c>
      <c r="Z157">
        <v>0.29836198041588902</v>
      </c>
      <c r="AA157">
        <v>0.30442078071888801</v>
      </c>
      <c r="AB157">
        <v>0.29353528190740003</v>
      </c>
      <c r="AC157">
        <v>0.284071716210475</v>
      </c>
      <c r="AD157">
        <v>0.28038592569264298</v>
      </c>
      <c r="AE157">
        <v>0.30777259609093999</v>
      </c>
      <c r="AF157">
        <v>0.30442078071888801</v>
      </c>
      <c r="AG157">
        <v>0.26583414397588701</v>
      </c>
      <c r="AH157">
        <v>0.26136750862705599</v>
      </c>
      <c r="AI157">
        <v>0.33873081073968803</v>
      </c>
      <c r="AJ157">
        <v>0.28530028770007299</v>
      </c>
      <c r="AK157">
        <v>0.29587930793622502</v>
      </c>
      <c r="AL157">
        <v>0.29427295083614502</v>
      </c>
      <c r="AM157">
        <v>0.25530972339468899</v>
      </c>
      <c r="AN157">
        <v>0.30207090554948601</v>
      </c>
      <c r="AO157">
        <v>0.29287270250473402</v>
      </c>
      <c r="AP157">
        <v>0.26381358585829001</v>
      </c>
      <c r="AQ157">
        <v>0.27733247347114598</v>
      </c>
      <c r="AR157">
        <v>0.30442078071888801</v>
      </c>
      <c r="AS157">
        <v>0.31405752375711199</v>
      </c>
      <c r="AT157">
        <v>0.30659073260956099</v>
      </c>
      <c r="AU157">
        <v>0.29346495783648302</v>
      </c>
      <c r="AV157">
        <v>0.29880129206297701</v>
      </c>
      <c r="AW157" t="s">
        <v>91</v>
      </c>
    </row>
    <row r="158" spans="1:49" ht="13.2">
      <c r="A158" t="s">
        <v>93</v>
      </c>
      <c r="B158" t="s">
        <v>29</v>
      </c>
      <c r="C158" t="s">
        <v>225</v>
      </c>
      <c r="D158" t="s">
        <v>91</v>
      </c>
      <c r="E158" t="s">
        <v>91</v>
      </c>
      <c r="F158" t="s">
        <v>219</v>
      </c>
      <c r="G158" t="s">
        <v>90</v>
      </c>
      <c r="H158" t="s">
        <v>91</v>
      </c>
      <c r="I158" t="s">
        <v>91</v>
      </c>
      <c r="J158" t="s">
        <v>91</v>
      </c>
      <c r="K158" t="s">
        <v>91</v>
      </c>
      <c r="L158">
        <v>0.20672091711649401</v>
      </c>
      <c r="M158">
        <v>0.23085306861781801</v>
      </c>
      <c r="N158">
        <v>0.24121002964204599</v>
      </c>
      <c r="O158">
        <v>0.22389667370097999</v>
      </c>
      <c r="P158">
        <v>0.19843802578681799</v>
      </c>
      <c r="Q158">
        <v>0.22378876804671</v>
      </c>
      <c r="R158">
        <v>0.206290289052558</v>
      </c>
      <c r="S158">
        <v>0.23478593428678801</v>
      </c>
      <c r="T158">
        <v>0.21907325466827701</v>
      </c>
      <c r="U158">
        <v>0.25399193257367297</v>
      </c>
      <c r="V158">
        <v>0.26067792413551999</v>
      </c>
      <c r="W158">
        <v>0.20672091711649401</v>
      </c>
      <c r="X158">
        <v>0.25542797205033302</v>
      </c>
      <c r="Y158">
        <v>0.240916245751196</v>
      </c>
      <c r="Z158">
        <v>0.238834836382566</v>
      </c>
      <c r="AA158">
        <v>0.24121002964204599</v>
      </c>
      <c r="AB158">
        <v>0.255604985969833</v>
      </c>
      <c r="AC158">
        <v>0.204213248102036</v>
      </c>
      <c r="AD158">
        <v>0.20824947035015201</v>
      </c>
      <c r="AE158">
        <v>0.24658039096319201</v>
      </c>
      <c r="AF158">
        <v>0.24121002964204599</v>
      </c>
      <c r="AG158">
        <v>0.208861707868195</v>
      </c>
      <c r="AH158">
        <v>0.219925956692754</v>
      </c>
      <c r="AI158">
        <v>0.24966681444230401</v>
      </c>
      <c r="AJ158">
        <v>0.20672091711649401</v>
      </c>
      <c r="AK158">
        <v>0.248865849380247</v>
      </c>
      <c r="AL158">
        <v>0.221238278896112</v>
      </c>
      <c r="AM158">
        <v>0.20783416507324201</v>
      </c>
      <c r="AN158">
        <v>0.23488290223038</v>
      </c>
      <c r="AO158">
        <v>0.22963511582382101</v>
      </c>
      <c r="AP158">
        <v>0.25744571379536801</v>
      </c>
      <c r="AQ158">
        <v>0.218901913564027</v>
      </c>
      <c r="AR158">
        <v>0.24121002964204599</v>
      </c>
      <c r="AS158">
        <v>0.24488618769385201</v>
      </c>
      <c r="AT158">
        <v>0.23270651946024801</v>
      </c>
      <c r="AU158">
        <v>0.24030829229325601</v>
      </c>
      <c r="AV158">
        <v>0.25494022134887701</v>
      </c>
      <c r="AW158" t="s">
        <v>91</v>
      </c>
    </row>
    <row r="159" spans="1:49" ht="13.2">
      <c r="A159" t="s">
        <v>93</v>
      </c>
      <c r="B159" t="s">
        <v>29</v>
      </c>
      <c r="C159" t="s">
        <v>224</v>
      </c>
      <c r="D159" t="s">
        <v>91</v>
      </c>
      <c r="E159" t="s">
        <v>91</v>
      </c>
      <c r="F159" t="s">
        <v>219</v>
      </c>
      <c r="G159" t="s">
        <v>90</v>
      </c>
      <c r="H159" t="s">
        <v>91</v>
      </c>
      <c r="I159" t="s">
        <v>91</v>
      </c>
      <c r="J159" t="s">
        <v>91</v>
      </c>
      <c r="K159" t="s">
        <v>91</v>
      </c>
      <c r="L159">
        <v>0.226178244331562</v>
      </c>
      <c r="M159">
        <v>0.226178244331562</v>
      </c>
      <c r="N159">
        <v>0.226178244331562</v>
      </c>
      <c r="O159">
        <v>0.226178244331562</v>
      </c>
      <c r="P159">
        <v>0.226178244331562</v>
      </c>
      <c r="Q159">
        <v>0.226178244331562</v>
      </c>
      <c r="R159">
        <v>0.226178244331562</v>
      </c>
      <c r="S159">
        <v>0.226178244331562</v>
      </c>
      <c r="T159">
        <v>0.20776782691618501</v>
      </c>
      <c r="U159">
        <v>0.24536740821942299</v>
      </c>
      <c r="V159">
        <v>0.226178244331562</v>
      </c>
      <c r="W159">
        <v>0.226178244331562</v>
      </c>
      <c r="X159">
        <v>0.226178244331562</v>
      </c>
      <c r="Y159">
        <v>0.226178244331562</v>
      </c>
      <c r="Z159">
        <v>0.226178244331562</v>
      </c>
      <c r="AA159">
        <v>0.226178244331562</v>
      </c>
      <c r="AB159">
        <v>0.226178244331562</v>
      </c>
      <c r="AC159">
        <v>0.226178244331562</v>
      </c>
      <c r="AD159">
        <v>0.226178244331562</v>
      </c>
      <c r="AE159">
        <v>0.226178244331562</v>
      </c>
      <c r="AF159">
        <v>0.226178244331562</v>
      </c>
      <c r="AG159">
        <v>0.226178244331562</v>
      </c>
      <c r="AH159">
        <v>0.226178244331562</v>
      </c>
      <c r="AI159">
        <v>0.23657049838102201</v>
      </c>
      <c r="AJ159">
        <v>0.226178244331562</v>
      </c>
      <c r="AK159">
        <v>0.226178244331562</v>
      </c>
      <c r="AL159">
        <v>0.226178244331562</v>
      </c>
      <c r="AM159">
        <v>0.192931910247019</v>
      </c>
      <c r="AN159">
        <v>0.226178244331562</v>
      </c>
      <c r="AO159">
        <v>0.21820368088498501</v>
      </c>
      <c r="AP159">
        <v>0.24202019834538499</v>
      </c>
      <c r="AQ159">
        <v>0.226178244331562</v>
      </c>
      <c r="AR159">
        <v>0.226178244331562</v>
      </c>
      <c r="AS159">
        <v>0.226178244331562</v>
      </c>
      <c r="AT159">
        <v>0.226178244331562</v>
      </c>
      <c r="AU159">
        <v>0.226178244331562</v>
      </c>
      <c r="AV159">
        <v>0.240386187326915</v>
      </c>
      <c r="AW159" t="s">
        <v>91</v>
      </c>
    </row>
    <row r="160" spans="1:49" ht="13.2">
      <c r="A160" t="s">
        <v>93</v>
      </c>
      <c r="B160" t="s">
        <v>29</v>
      </c>
      <c r="C160" t="s">
        <v>223</v>
      </c>
      <c r="D160" t="s">
        <v>91</v>
      </c>
      <c r="E160" t="s">
        <v>91</v>
      </c>
      <c r="F160" t="s">
        <v>219</v>
      </c>
      <c r="G160" t="s">
        <v>90</v>
      </c>
      <c r="H160" t="s">
        <v>91</v>
      </c>
      <c r="I160" t="s">
        <v>91</v>
      </c>
      <c r="J160" t="s">
        <v>91</v>
      </c>
      <c r="K160" t="s">
        <v>91</v>
      </c>
      <c r="L160">
        <v>1.04407952057914</v>
      </c>
      <c r="M160">
        <v>1.0926091864909799</v>
      </c>
      <c r="N160">
        <v>1.1118936673731299</v>
      </c>
      <c r="O160">
        <v>1.04008416766686</v>
      </c>
      <c r="P160">
        <v>1.0809728679292001</v>
      </c>
      <c r="Q160">
        <v>1.02425023016475</v>
      </c>
      <c r="R160">
        <v>1.0489902907589299</v>
      </c>
      <c r="S160">
        <v>1.0060849834952801</v>
      </c>
      <c r="T160">
        <v>1.00082109353235</v>
      </c>
      <c r="U160">
        <v>1.07619552705011</v>
      </c>
      <c r="V160">
        <v>1.0700032998865801</v>
      </c>
      <c r="W160">
        <v>1.04407952057914</v>
      </c>
      <c r="X160">
        <v>1.0620986964299399</v>
      </c>
      <c r="Y160">
        <v>1.06861504462526</v>
      </c>
      <c r="Z160">
        <v>1.0962915869083101</v>
      </c>
      <c r="AA160">
        <v>1.1118936673731299</v>
      </c>
      <c r="AB160">
        <v>1.0853198828822199</v>
      </c>
      <c r="AC160">
        <v>1.1296479504677801</v>
      </c>
      <c r="AD160">
        <v>1.0700032998865801</v>
      </c>
      <c r="AE160">
        <v>1.0091866506112199</v>
      </c>
      <c r="AF160">
        <v>1.1118936673731299</v>
      </c>
      <c r="AG160">
        <v>0.94581153754626901</v>
      </c>
      <c r="AH160">
        <v>1.03408804019147</v>
      </c>
      <c r="AI160">
        <v>1.1421317411434799</v>
      </c>
      <c r="AJ160">
        <v>1.04407952057914</v>
      </c>
      <c r="AK160">
        <v>1.0700032998865801</v>
      </c>
      <c r="AL160">
        <v>1.0409873884962799</v>
      </c>
      <c r="AM160">
        <v>1.0954418262893</v>
      </c>
      <c r="AN160">
        <v>1.07499559239017</v>
      </c>
      <c r="AO160">
        <v>1.0742847621741101</v>
      </c>
      <c r="AP160">
        <v>1.06544825294274</v>
      </c>
      <c r="AQ160">
        <v>1.1215290869288499</v>
      </c>
      <c r="AR160">
        <v>1.1118936673731299</v>
      </c>
      <c r="AS160">
        <v>1.1144086519030401</v>
      </c>
      <c r="AT160">
        <v>1.09058159604954</v>
      </c>
      <c r="AU160">
        <v>1.0872236728367</v>
      </c>
      <c r="AV160">
        <v>1.0921986570087301</v>
      </c>
      <c r="AW160" t="s">
        <v>91</v>
      </c>
    </row>
    <row r="161" spans="1:49" ht="13.2">
      <c r="A161" t="s">
        <v>93</v>
      </c>
      <c r="B161" t="s">
        <v>29</v>
      </c>
      <c r="C161" t="s">
        <v>221</v>
      </c>
      <c r="D161" t="s">
        <v>91</v>
      </c>
      <c r="E161" t="s">
        <v>91</v>
      </c>
      <c r="F161" t="s">
        <v>219</v>
      </c>
      <c r="G161" t="s">
        <v>90</v>
      </c>
      <c r="H161" t="s">
        <v>91</v>
      </c>
      <c r="I161" t="s">
        <v>91</v>
      </c>
      <c r="J161" t="s">
        <v>91</v>
      </c>
      <c r="K161" t="s">
        <v>91</v>
      </c>
      <c r="L161">
        <v>0.66157845747139299</v>
      </c>
      <c r="M161">
        <v>0.66228902854446503</v>
      </c>
      <c r="N161">
        <v>0.62332167431113294</v>
      </c>
      <c r="O161">
        <v>0.62115282413403095</v>
      </c>
      <c r="P161">
        <v>0.62135946642728801</v>
      </c>
      <c r="Q161">
        <v>0.62519225563357095</v>
      </c>
      <c r="R161">
        <v>0.67343536932501602</v>
      </c>
      <c r="S161">
        <v>0.63916072257318401</v>
      </c>
      <c r="T161">
        <v>0.65855006849275399</v>
      </c>
      <c r="U161">
        <v>0.68668376506741302</v>
      </c>
      <c r="V161">
        <v>0.63182255673669196</v>
      </c>
      <c r="W161">
        <v>0.66157845747139299</v>
      </c>
      <c r="X161">
        <v>0.61177499726832396</v>
      </c>
      <c r="Y161">
        <v>0.63929780923731505</v>
      </c>
      <c r="Z161">
        <v>0.664028999866633</v>
      </c>
      <c r="AA161">
        <v>0.62332167431113294</v>
      </c>
      <c r="AB161">
        <v>0.69449288880836701</v>
      </c>
      <c r="AC161">
        <v>0.58797955123031997</v>
      </c>
      <c r="AD161">
        <v>0.58938033841892101</v>
      </c>
      <c r="AE161">
        <v>0.70408081539127998</v>
      </c>
      <c r="AF161">
        <v>0.62332167431113294</v>
      </c>
      <c r="AG161">
        <v>0.60559248221631101</v>
      </c>
      <c r="AH161">
        <v>0.60080446789406206</v>
      </c>
      <c r="AI161">
        <v>0.69047268099483095</v>
      </c>
      <c r="AJ161">
        <v>0.66157845747139299</v>
      </c>
      <c r="AK161">
        <v>0.61913698461467603</v>
      </c>
      <c r="AL161">
        <v>0.663635556629942</v>
      </c>
      <c r="AM161">
        <v>0.55242465994008505</v>
      </c>
      <c r="AN161">
        <v>0.66809808446014296</v>
      </c>
      <c r="AO161">
        <v>0.70023054498904502</v>
      </c>
      <c r="AP161">
        <v>0.54531145867043795</v>
      </c>
      <c r="AQ161">
        <v>0.64459762948690702</v>
      </c>
      <c r="AR161">
        <v>0.62332167431113294</v>
      </c>
      <c r="AS161">
        <v>0.67951552245869196</v>
      </c>
      <c r="AT161">
        <v>0.62391660117547698</v>
      </c>
      <c r="AU161">
        <v>0.64926878656446996</v>
      </c>
      <c r="AV161">
        <v>0.68827141846571804</v>
      </c>
      <c r="AW161" t="s">
        <v>91</v>
      </c>
    </row>
    <row r="162" spans="1:49" ht="13.2">
      <c r="A162" t="s">
        <v>93</v>
      </c>
      <c r="B162" t="s">
        <v>29</v>
      </c>
      <c r="C162" t="s">
        <v>218</v>
      </c>
      <c r="D162" t="s">
        <v>91</v>
      </c>
      <c r="E162" t="s">
        <v>91</v>
      </c>
      <c r="F162" t="s">
        <v>219</v>
      </c>
      <c r="G162" t="s">
        <v>90</v>
      </c>
      <c r="H162" t="s">
        <v>91</v>
      </c>
      <c r="I162" t="s">
        <v>91</v>
      </c>
      <c r="J162" t="s">
        <v>91</v>
      </c>
      <c r="K162" t="s">
        <v>91</v>
      </c>
      <c r="L162">
        <v>3.78465476610041</v>
      </c>
      <c r="M162">
        <v>1.6329350433318</v>
      </c>
      <c r="N162">
        <v>2.3413537593197198</v>
      </c>
      <c r="O162">
        <v>2.8815491517987799</v>
      </c>
      <c r="P162">
        <v>2.8119783752011398</v>
      </c>
      <c r="Q162">
        <v>2.1261905567694201</v>
      </c>
      <c r="R162">
        <v>3.78465476610041</v>
      </c>
      <c r="S162">
        <v>2.5755527677619701</v>
      </c>
      <c r="T162">
        <v>2.1261905567694201</v>
      </c>
      <c r="U162">
        <v>2.8070036805702201</v>
      </c>
      <c r="V162">
        <v>4.8370710587135699</v>
      </c>
      <c r="W162">
        <v>3.78465476610041</v>
      </c>
      <c r="X162">
        <v>1.1953807965524801</v>
      </c>
      <c r="Y162">
        <v>2.9289386840426399</v>
      </c>
      <c r="Z162">
        <v>1.79518626524491</v>
      </c>
      <c r="AA162">
        <v>2.3413537593197198</v>
      </c>
      <c r="AB162">
        <v>3.1042957715570298</v>
      </c>
      <c r="AC162">
        <v>2.67268223593195</v>
      </c>
      <c r="AD162">
        <v>2.9289386840426399</v>
      </c>
      <c r="AE162">
        <v>1.4771971129305701</v>
      </c>
      <c r="AF162">
        <v>2.3413537593197198</v>
      </c>
      <c r="AG162">
        <v>5.0842829645674801</v>
      </c>
      <c r="AH162">
        <v>1.37070805579523</v>
      </c>
      <c r="AI162">
        <v>6.4468605375145902</v>
      </c>
      <c r="AJ162">
        <v>3.78465476610041</v>
      </c>
      <c r="AK162">
        <v>2.3413537593197198</v>
      </c>
      <c r="AL162">
        <v>3.78465476610041</v>
      </c>
      <c r="AM162">
        <v>3.8628381968993999</v>
      </c>
      <c r="AN162">
        <v>2.9289386840426399</v>
      </c>
      <c r="AO162">
        <v>3.9128459998698499</v>
      </c>
      <c r="AP162">
        <v>2.5353321968992999</v>
      </c>
      <c r="AQ162">
        <v>2.74673961869743</v>
      </c>
      <c r="AR162">
        <v>2.3413537593197198</v>
      </c>
      <c r="AS162">
        <v>2.85678010930833</v>
      </c>
      <c r="AT162">
        <v>2.5285479888666602</v>
      </c>
      <c r="AU162">
        <v>2.9674086137932201</v>
      </c>
      <c r="AV162">
        <v>4.0217023757756403</v>
      </c>
      <c r="AW162" t="s">
        <v>91</v>
      </c>
    </row>
    <row r="163" spans="1:49" ht="13.2">
      <c r="A163" t="s">
        <v>93</v>
      </c>
      <c r="B163" t="s">
        <v>29</v>
      </c>
      <c r="C163" t="s">
        <v>217</v>
      </c>
      <c r="D163" t="s">
        <v>91</v>
      </c>
      <c r="E163" t="s">
        <v>91</v>
      </c>
      <c r="F163" t="s">
        <v>219</v>
      </c>
      <c r="G163" t="s">
        <v>90</v>
      </c>
      <c r="H163" t="s">
        <v>91</v>
      </c>
      <c r="I163" t="s">
        <v>91</v>
      </c>
      <c r="J163" t="s">
        <v>91</v>
      </c>
      <c r="K163" t="s">
        <v>91</v>
      </c>
      <c r="L163">
        <v>8.9266542365621504</v>
      </c>
      <c r="M163">
        <v>4.0445924688402002</v>
      </c>
      <c r="N163">
        <v>6.6862754654571104</v>
      </c>
      <c r="O163">
        <v>7.5822325027447501</v>
      </c>
      <c r="P163">
        <v>7.3197084710461704</v>
      </c>
      <c r="Q163">
        <v>5.7252969655256196</v>
      </c>
      <c r="R163">
        <v>8.9266542365621504</v>
      </c>
      <c r="S163">
        <v>6.37255405023165</v>
      </c>
      <c r="T163">
        <v>5.7252969655256196</v>
      </c>
      <c r="U163">
        <v>7.7590345516623804</v>
      </c>
      <c r="V163">
        <v>7.4350999025258098</v>
      </c>
      <c r="W163">
        <v>8.9266542365621504</v>
      </c>
      <c r="X163">
        <v>3.0940781560137598</v>
      </c>
      <c r="Y163">
        <v>8.3284177965425705</v>
      </c>
      <c r="Z163">
        <v>4.9141994868778598</v>
      </c>
      <c r="AA163">
        <v>6.6862754654571104</v>
      </c>
      <c r="AB163">
        <v>7.8803969977790498</v>
      </c>
      <c r="AC163">
        <v>7.4350999025258098</v>
      </c>
      <c r="AD163">
        <v>8.3284177965425705</v>
      </c>
      <c r="AE163">
        <v>3.6933977936560298</v>
      </c>
      <c r="AF163">
        <v>6.6862754654571104</v>
      </c>
      <c r="AG163">
        <v>7.4350999025258098</v>
      </c>
      <c r="AH163">
        <v>3.4655239862829399</v>
      </c>
      <c r="AI163">
        <v>7.4350999025258098</v>
      </c>
      <c r="AJ163">
        <v>8.9266542365621504</v>
      </c>
      <c r="AK163">
        <v>6.6862754654571104</v>
      </c>
      <c r="AL163">
        <v>8.9266542365621504</v>
      </c>
      <c r="AM163">
        <v>10.6567202460497</v>
      </c>
      <c r="AN163">
        <v>8.3284177965425705</v>
      </c>
      <c r="AO163">
        <v>10.843178690949999</v>
      </c>
      <c r="AP163">
        <v>7.4601847368482197</v>
      </c>
      <c r="AQ163">
        <v>7.9200136408570101</v>
      </c>
      <c r="AR163">
        <v>6.6862754654571104</v>
      </c>
      <c r="AS163">
        <v>7.6521888184174296</v>
      </c>
      <c r="AT163">
        <v>7.6142099742370499</v>
      </c>
      <c r="AU163">
        <v>10.653106581443501</v>
      </c>
      <c r="AV163">
        <v>11.932479798638701</v>
      </c>
      <c r="AW163" t="s">
        <v>91</v>
      </c>
    </row>
    <row r="164" spans="1:49" ht="13.2">
      <c r="A164" t="s">
        <v>93</v>
      </c>
      <c r="B164" t="s">
        <v>29</v>
      </c>
      <c r="C164" t="s">
        <v>216</v>
      </c>
      <c r="D164" t="s">
        <v>91</v>
      </c>
      <c r="E164" t="s">
        <v>91</v>
      </c>
      <c r="F164" t="s">
        <v>219</v>
      </c>
      <c r="G164" t="s">
        <v>90</v>
      </c>
      <c r="H164" t="s">
        <v>91</v>
      </c>
      <c r="I164" t="s">
        <v>91</v>
      </c>
      <c r="J164" t="s">
        <v>91</v>
      </c>
      <c r="K164" t="s">
        <v>91</v>
      </c>
      <c r="L164">
        <v>0.97355985989246396</v>
      </c>
      <c r="M164">
        <v>0.81137362563056203</v>
      </c>
      <c r="N164">
        <v>0.91533720538881502</v>
      </c>
      <c r="O164">
        <v>1.0123218618433001</v>
      </c>
      <c r="P164">
        <v>1.27346642048685</v>
      </c>
      <c r="Q164">
        <v>0.78025748135999295</v>
      </c>
      <c r="R164">
        <v>0.97355985989246396</v>
      </c>
      <c r="S164">
        <v>0.73769853735657298</v>
      </c>
      <c r="T164">
        <v>0.78025748135999295</v>
      </c>
      <c r="U164">
        <v>1.14629453110492</v>
      </c>
      <c r="V164">
        <v>0.573042976191662</v>
      </c>
      <c r="W164">
        <v>0.97355985989246396</v>
      </c>
      <c r="X164">
        <v>0.42916952243657602</v>
      </c>
      <c r="Y164">
        <v>1.00036199998741</v>
      </c>
      <c r="Z164">
        <v>0.79285512447286499</v>
      </c>
      <c r="AA164">
        <v>0.91533720538881502</v>
      </c>
      <c r="AB164">
        <v>1.1366769627464399</v>
      </c>
      <c r="AC164">
        <v>0.86347723292651701</v>
      </c>
      <c r="AD164">
        <v>1.00036199998741</v>
      </c>
      <c r="AE164">
        <v>0.81984226064527399</v>
      </c>
      <c r="AF164">
        <v>0.91533720538881502</v>
      </c>
      <c r="AG164">
        <v>0.603907354334835</v>
      </c>
      <c r="AH164">
        <v>0.60807186062982399</v>
      </c>
      <c r="AI164">
        <v>0.90414895662916706</v>
      </c>
      <c r="AJ164">
        <v>0.97355985989246396</v>
      </c>
      <c r="AK164">
        <v>0.91533720538881502</v>
      </c>
      <c r="AL164">
        <v>0.97355985989246396</v>
      </c>
      <c r="AM164">
        <v>1.3740129540761199</v>
      </c>
      <c r="AN164">
        <v>1.00036199998741</v>
      </c>
      <c r="AO164">
        <v>1.38852861321823</v>
      </c>
      <c r="AP164">
        <v>1.27793641197648</v>
      </c>
      <c r="AQ164">
        <v>0.74863034153162</v>
      </c>
      <c r="AR164">
        <v>0.91533720538881502</v>
      </c>
      <c r="AS164">
        <v>0.93006865074656897</v>
      </c>
      <c r="AT164">
        <v>0.85969098798793597</v>
      </c>
      <c r="AU164">
        <v>0.93006865074656897</v>
      </c>
      <c r="AV164">
        <v>1.18516995081553</v>
      </c>
      <c r="AW164" t="s">
        <v>91</v>
      </c>
    </row>
    <row r="165" spans="1:49" ht="13.2">
      <c r="A165" t="s">
        <v>93</v>
      </c>
      <c r="B165" t="s">
        <v>29</v>
      </c>
      <c r="C165" t="s">
        <v>215</v>
      </c>
      <c r="D165" t="s">
        <v>91</v>
      </c>
      <c r="E165" t="s">
        <v>91</v>
      </c>
      <c r="F165" t="s">
        <v>219</v>
      </c>
      <c r="G165" t="s">
        <v>90</v>
      </c>
      <c r="H165" t="s">
        <v>91</v>
      </c>
      <c r="I165" t="s">
        <v>91</v>
      </c>
      <c r="J165" t="s">
        <v>91</v>
      </c>
      <c r="K165" t="s">
        <v>91</v>
      </c>
      <c r="L165">
        <v>1.73998237754697</v>
      </c>
      <c r="M165">
        <v>1.3598963820016201</v>
      </c>
      <c r="N165">
        <v>1.8746910931129701</v>
      </c>
      <c r="O165">
        <v>1.80149697409103</v>
      </c>
      <c r="P165">
        <v>2.32270460413711</v>
      </c>
      <c r="Q165">
        <v>1.43120673995403</v>
      </c>
      <c r="R165">
        <v>1.73998237754697</v>
      </c>
      <c r="S165">
        <v>1.2922833793588999</v>
      </c>
      <c r="T165">
        <v>1.43120673995403</v>
      </c>
      <c r="U165">
        <v>2.3440229380779698</v>
      </c>
      <c r="V165">
        <v>1.05752896784242</v>
      </c>
      <c r="W165">
        <v>1.73998237754697</v>
      </c>
      <c r="X165">
        <v>0.95831856885004696</v>
      </c>
      <c r="Y165">
        <v>1.84860683206827</v>
      </c>
      <c r="Z165">
        <v>1.4623659611783</v>
      </c>
      <c r="AA165">
        <v>1.8746910931129701</v>
      </c>
      <c r="AB165">
        <v>2.0285440240435202</v>
      </c>
      <c r="AC165">
        <v>2.4241595115338299</v>
      </c>
      <c r="AD165">
        <v>1.84860683206827</v>
      </c>
      <c r="AE165">
        <v>1.37564514461948</v>
      </c>
      <c r="AF165">
        <v>1.8746910931129701</v>
      </c>
      <c r="AG165">
        <v>0.84718542139535902</v>
      </c>
      <c r="AH165">
        <v>1.0296364338050601</v>
      </c>
      <c r="AI165">
        <v>1.82810804407939</v>
      </c>
      <c r="AJ165">
        <v>1.73998237754697</v>
      </c>
      <c r="AK165">
        <v>1.8746910931129701</v>
      </c>
      <c r="AL165">
        <v>1.73998237754697</v>
      </c>
      <c r="AM165">
        <v>2.4944889767297198</v>
      </c>
      <c r="AN165">
        <v>1.84860683206827</v>
      </c>
      <c r="AO165">
        <v>2.5874255181935002</v>
      </c>
      <c r="AP165">
        <v>2.5230022616640499</v>
      </c>
      <c r="AQ165">
        <v>1.58007398256926</v>
      </c>
      <c r="AR165">
        <v>1.8746910931129701</v>
      </c>
      <c r="AS165">
        <v>1.7344237893747401</v>
      </c>
      <c r="AT165">
        <v>1.79878355915983</v>
      </c>
      <c r="AU165">
        <v>2.2320962271087601</v>
      </c>
      <c r="AV165">
        <v>2.4673222562452501</v>
      </c>
      <c r="AW165" t="s">
        <v>91</v>
      </c>
    </row>
    <row r="166" spans="1:49" ht="13.2">
      <c r="A166" t="s">
        <v>93</v>
      </c>
      <c r="B166" t="s">
        <v>29</v>
      </c>
      <c r="C166" t="s">
        <v>226</v>
      </c>
      <c r="D166" t="s">
        <v>91</v>
      </c>
      <c r="E166" t="s">
        <v>91</v>
      </c>
      <c r="F166" t="s">
        <v>219</v>
      </c>
      <c r="G166" t="s">
        <v>90</v>
      </c>
      <c r="H166" t="s">
        <v>91</v>
      </c>
      <c r="I166" t="s">
        <v>91</v>
      </c>
      <c r="J166" t="s">
        <v>91</v>
      </c>
      <c r="K166" t="s">
        <v>91</v>
      </c>
      <c r="L166">
        <v>3.4212803696093399</v>
      </c>
      <c r="M166">
        <v>3.4212803696093399</v>
      </c>
      <c r="N166">
        <v>3.4212803696093399</v>
      </c>
      <c r="O166">
        <v>3.4575392165452001</v>
      </c>
      <c r="P166">
        <v>3.4212803696093399</v>
      </c>
      <c r="Q166">
        <v>3.1446749389572002</v>
      </c>
      <c r="R166">
        <v>3.4212803696093399</v>
      </c>
      <c r="S166">
        <v>2.92218335580342</v>
      </c>
      <c r="T166">
        <v>3.1446749389572002</v>
      </c>
      <c r="U166">
        <v>3.4212803696093399</v>
      </c>
      <c r="V166">
        <v>3.4212803696093399</v>
      </c>
      <c r="W166">
        <v>3.4212803696093399</v>
      </c>
      <c r="X166">
        <v>1.84588163669965</v>
      </c>
      <c r="Y166">
        <v>3.7701628369328901</v>
      </c>
      <c r="Z166">
        <v>3.6378198916265401</v>
      </c>
      <c r="AA166">
        <v>3.4212803696093399</v>
      </c>
      <c r="AB166">
        <v>3.4212803696093399</v>
      </c>
      <c r="AC166">
        <v>3.4212803696093399</v>
      </c>
      <c r="AD166">
        <v>3.7701628369328901</v>
      </c>
      <c r="AE166">
        <v>2.3597705391350301</v>
      </c>
      <c r="AF166">
        <v>3.4212803696093399</v>
      </c>
      <c r="AG166">
        <v>3.4212803696093399</v>
      </c>
      <c r="AH166">
        <v>3.4212803696093399</v>
      </c>
      <c r="AI166">
        <v>3.4212803696093399</v>
      </c>
      <c r="AJ166">
        <v>3.4212803696093399</v>
      </c>
      <c r="AK166">
        <v>3.4212803696093399</v>
      </c>
      <c r="AL166">
        <v>3.4212803696093399</v>
      </c>
      <c r="AM166">
        <v>4.4146101066077001</v>
      </c>
      <c r="AN166">
        <v>3.7701628369328901</v>
      </c>
      <c r="AO166">
        <v>3.4212803696093399</v>
      </c>
      <c r="AP166">
        <v>4.0194479929769598</v>
      </c>
      <c r="AQ166">
        <v>3.4212803696093399</v>
      </c>
      <c r="AR166">
        <v>3.4212803696093399</v>
      </c>
      <c r="AS166">
        <v>3.3370038808875302</v>
      </c>
      <c r="AT166">
        <v>3.2380795825778899</v>
      </c>
      <c r="AU166">
        <v>3.4212803696093399</v>
      </c>
      <c r="AV166">
        <v>4.4870309525670899</v>
      </c>
      <c r="AW166" t="s">
        <v>91</v>
      </c>
    </row>
    <row r="167" spans="1:49" ht="13.2">
      <c r="A167" t="s">
        <v>93</v>
      </c>
      <c r="B167" t="s">
        <v>29</v>
      </c>
      <c r="C167" t="s">
        <v>227</v>
      </c>
      <c r="D167" t="s">
        <v>91</v>
      </c>
      <c r="E167" t="s">
        <v>91</v>
      </c>
      <c r="F167" t="s">
        <v>219</v>
      </c>
      <c r="G167" t="s">
        <v>90</v>
      </c>
      <c r="H167" t="s">
        <v>91</v>
      </c>
      <c r="I167" t="s">
        <v>91</v>
      </c>
      <c r="J167" t="s">
        <v>91</v>
      </c>
      <c r="K167" t="s">
        <v>91</v>
      </c>
      <c r="L167">
        <v>5.7518614157094703</v>
      </c>
      <c r="M167">
        <v>4.2115584872369496</v>
      </c>
      <c r="N167">
        <v>5.4278909733590996</v>
      </c>
      <c r="O167">
        <v>4.58055345858254</v>
      </c>
      <c r="P167">
        <v>6.0404228927579098</v>
      </c>
      <c r="Q167">
        <v>4.6960433851451802</v>
      </c>
      <c r="R167">
        <v>5.7518614157094703</v>
      </c>
      <c r="S167">
        <v>3.3880372906341498</v>
      </c>
      <c r="T167">
        <v>4.6960433851451802</v>
      </c>
      <c r="U167">
        <v>6.2633703308187902</v>
      </c>
      <c r="V167">
        <v>3.2476802860300702</v>
      </c>
      <c r="W167">
        <v>5.7518614157094703</v>
      </c>
      <c r="X167">
        <v>3.5283295923804499</v>
      </c>
      <c r="Y167">
        <v>5.4692413303914398</v>
      </c>
      <c r="Z167">
        <v>6.1115430081200204</v>
      </c>
      <c r="AA167">
        <v>5.4278909733590996</v>
      </c>
      <c r="AB167">
        <v>6.2770826914191398</v>
      </c>
      <c r="AC167">
        <v>4.3040979839443096</v>
      </c>
      <c r="AD167">
        <v>5.4692413303914398</v>
      </c>
      <c r="AE167">
        <v>4.24757859076656</v>
      </c>
      <c r="AF167">
        <v>5.4278909733590996</v>
      </c>
      <c r="AG167">
        <v>5.3074937039855197</v>
      </c>
      <c r="AH167">
        <v>5.3074937039855197</v>
      </c>
      <c r="AI167">
        <v>4.8199605723275996</v>
      </c>
      <c r="AJ167">
        <v>5.7518614157094703</v>
      </c>
      <c r="AK167">
        <v>5.4278909733590996</v>
      </c>
      <c r="AL167">
        <v>5.7518614157094703</v>
      </c>
      <c r="AM167">
        <v>6.6866526792878096</v>
      </c>
      <c r="AN167">
        <v>5.4692413303914398</v>
      </c>
      <c r="AO167">
        <v>6.8302387992181997</v>
      </c>
      <c r="AP167">
        <v>7.1624821494586302</v>
      </c>
      <c r="AQ167">
        <v>3.9426166406077199</v>
      </c>
      <c r="AR167">
        <v>5.4278909733590996</v>
      </c>
      <c r="AS167">
        <v>4.9832416207055301</v>
      </c>
      <c r="AT167">
        <v>5.3074937039855197</v>
      </c>
      <c r="AU167">
        <v>5.9522580583089502</v>
      </c>
      <c r="AV167">
        <v>6.1785080960947196</v>
      </c>
      <c r="AW167" t="s">
        <v>91</v>
      </c>
    </row>
  </sheetData>
  <pageMargins left="0.7" right="0.7" top="0.75" bottom="0.75" header="0.3" footer="0.3"/>
  <pageSetup orientation="portrait" paperSiz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172"/>
  <sheetViews>
    <sheetView zoomScale="70" zoomScaleNormal="70" workbookViewId="0" topLeftCell="A29">
      <selection pane="topLeft" activeCell="S46" sqref="S46"/>
    </sheetView>
  </sheetViews>
  <sheetFormatPr defaultRowHeight="13.2"/>
  <cols>
    <col min="1" max="1" width="21.4285714285714" bestFit="1" customWidth="1"/>
    <col min="3" max="3" width="10.1428571428571" bestFit="1" customWidth="1"/>
    <col min="4" max="4" width="24.1428571428571" bestFit="1" customWidth="1"/>
    <col min="5" max="5" width="13.1428571428571" bestFit="1" customWidth="1"/>
    <col min="6" max="6" width="9.85714285714286" bestFit="1" customWidth="1"/>
    <col min="7" max="8" width="6.57142857142857" bestFit="1" customWidth="1"/>
    <col min="9" max="9" width="5.57142857142857" bestFit="1" customWidth="1"/>
    <col min="10" max="10" width="6.57142857142857" bestFit="1" customWidth="1"/>
    <col min="11" max="11" width="5.57142857142857" bestFit="1" customWidth="1"/>
    <col min="12" max="12" width="6.57142857142857" bestFit="1" customWidth="1"/>
    <col min="13" max="14" width="5.57142857142857" bestFit="1" customWidth="1"/>
    <col min="15" max="16" width="6.57142857142857" bestFit="1" customWidth="1"/>
    <col min="17" max="17" width="5.57142857142857" bestFit="1" customWidth="1"/>
    <col min="18" max="19" width="6.57142857142857" bestFit="1" customWidth="1"/>
    <col min="20" max="20" width="5.57142857142857" bestFit="1" customWidth="1"/>
    <col min="21" max="21" width="6.57142857142857" bestFit="1" customWidth="1"/>
    <col min="22" max="22" width="5.57142857142857" bestFit="1" customWidth="1"/>
    <col min="23" max="24" width="6.57142857142857" bestFit="1" customWidth="1"/>
    <col min="25" max="28" width="5.57142857142857" bestFit="1" customWidth="1"/>
    <col min="29" max="32" width="6.57142857142857" bestFit="1" customWidth="1"/>
    <col min="33" max="33" width="5.57142857142857" bestFit="1" customWidth="1"/>
    <col min="34" max="34" width="6.57142857142857" bestFit="1" customWidth="1"/>
    <col min="35" max="39" width="5.57142857142857" bestFit="1" customWidth="1"/>
    <col min="40" max="42" width="6.57142857142857" bestFit="1" customWidth="1"/>
    <col min="43" max="43" width="8.85714285714286" customWidth="1"/>
    <col min="45" max="45" width="7.85714285714286" bestFit="1" customWidth="1"/>
    <col min="46" max="82" width="5" bestFit="1" customWidth="1"/>
  </cols>
  <sheetData>
    <row r="1" spans="3:3" ht="13.2">
      <c r="C1" s="5" t="s">
        <v>106</v>
      </c>
    </row>
    <row r="2" spans="3:43" ht="13.2">
      <c r="C2" s="1" t="s">
        <v>36</v>
      </c>
      <c r="D2" s="1" t="s">
        <v>103</v>
      </c>
      <c r="E2" s="1" t="s">
        <v>104</v>
      </c>
      <c r="F2" s="1" t="s">
        <v>47</v>
      </c>
      <c r="G2" t="str">
        <f>RdTRABYVals!L$1</f>
        <v>AL</v>
      </c>
      <c r="H2" t="str">
        <f>RdTRABYVals!M$1</f>
        <v>AT</v>
      </c>
      <c r="I2" t="str">
        <f>RdTRABYVals!N$1</f>
        <v>BA</v>
      </c>
      <c r="J2" t="str">
        <f>RdTRABYVals!O$1</f>
        <v>BE</v>
      </c>
      <c r="K2" t="str">
        <f>RdTRABYVals!P$1</f>
        <v>BG</v>
      </c>
      <c r="L2" t="str">
        <f>RdTRABYVals!Q$1</f>
        <v>CH</v>
      </c>
      <c r="M2" t="str">
        <f>RdTRABYVals!R$1</f>
        <v>CY</v>
      </c>
      <c r="N2" t="str">
        <f>RdTRABYVals!S$1</f>
        <v>CZ</v>
      </c>
      <c r="O2" t="str">
        <f>RdTRABYVals!T$1</f>
        <v>DE</v>
      </c>
      <c r="P2" t="str">
        <f>RdTRABYVals!U$1</f>
        <v>DK</v>
      </c>
      <c r="Q2" t="str">
        <f>RdTRABYVals!V$1</f>
        <v>EE</v>
      </c>
      <c r="R2" t="str">
        <f>RdTRABYVals!W$1</f>
        <v>EL</v>
      </c>
      <c r="S2" t="str">
        <f>RdTRABYVals!X$1</f>
        <v>ES</v>
      </c>
      <c r="T2" t="str">
        <f>RdTRABYVals!Y$1</f>
        <v>FI</v>
      </c>
      <c r="U2" t="str">
        <f>RdTRABYVals!Z$1</f>
        <v>FR</v>
      </c>
      <c r="V2" t="str">
        <f>RdTRABYVals!AA$1</f>
        <v>HR</v>
      </c>
      <c r="W2" t="str">
        <f>RdTRABYVals!AB$1</f>
        <v>HU</v>
      </c>
      <c r="X2" t="str">
        <f>RdTRABYVals!AC$1</f>
        <v>IE</v>
      </c>
      <c r="Y2" t="str">
        <f>RdTRABYVals!AD$1</f>
        <v>IS</v>
      </c>
      <c r="Z2" t="str">
        <f>RdTRABYVals!AE$1</f>
        <v>IT</v>
      </c>
      <c r="AA2" t="str">
        <f>RdTRABYVals!AF$1</f>
        <v>KS</v>
      </c>
      <c r="AB2" t="str">
        <f>RdTRABYVals!AG$1</f>
        <v>LT</v>
      </c>
      <c r="AC2" t="str">
        <f>RdTRABYVals!AH$1</f>
        <v>LU</v>
      </c>
      <c r="AD2" t="str">
        <f>RdTRABYVals!AI$1</f>
        <v>LV</v>
      </c>
      <c r="AE2" t="str">
        <f>RdTRABYVals!AJ$1</f>
        <v>ME</v>
      </c>
      <c r="AF2" t="str">
        <f>RdTRABYVals!AK$1</f>
        <v>MK</v>
      </c>
      <c r="AG2" t="str">
        <f>RdTRABYVals!AL$1</f>
        <v>MT</v>
      </c>
      <c r="AH2" t="str">
        <f>RdTRABYVals!AM$1</f>
        <v>NL</v>
      </c>
      <c r="AI2" t="str">
        <f>RdTRABYVals!AN$1</f>
        <v>NO</v>
      </c>
      <c r="AJ2" t="str">
        <f>RdTRABYVals!AO$1</f>
        <v>PL</v>
      </c>
      <c r="AK2" t="str">
        <f>RdTRABYVals!AP$1</f>
        <v>PT</v>
      </c>
      <c r="AL2" t="str">
        <f>RdTRABYVals!AQ$1</f>
        <v>RO</v>
      </c>
      <c r="AM2" t="str">
        <f>RdTRABYVals!AR$1</f>
        <v>RS</v>
      </c>
      <c r="AN2" t="str">
        <f>RdTRABYVals!AS$1</f>
        <v>SE</v>
      </c>
      <c r="AO2" t="str">
        <f>RdTRABYVals!AT$1</f>
        <v>SI</v>
      </c>
      <c r="AP2" t="str">
        <f>RdTRABYVals!AU$1</f>
        <v>SK</v>
      </c>
      <c r="AQ2" t="str">
        <f>RdTRABYVals!AV$1</f>
        <v>UK</v>
      </c>
    </row>
    <row r="3" spans="1:43" ht="14.4">
      <c r="A3" s="3" t="s">
        <v>97</v>
      </c>
      <c r="C3" s="1" t="s">
        <v>28</v>
      </c>
      <c r="D3" t="str">
        <f t="shared" si="0" ref="D3:D8">A3</f>
        <v>TRA_Bus*</v>
      </c>
      <c r="E3" s="1" t="s">
        <v>105</v>
      </c>
      <c r="F3" s="4">
        <f t="shared" si="1" ref="F3:F8">AVERAGE(G3:AQ3)</f>
        <v>20.082371350881218</v>
      </c>
      <c r="G3" s="2">
        <f>IFERROR(AVERAGEIFS(RdTRABYVals!L$2:L$999,RdTRABYVals!$B$2:$B$999,"="&amp;$C3,RdTRABYVals!$C$2:$C$999,"="&amp;INS!$A3),"")</f>
        <v>27.25</v>
      </c>
      <c r="H3" s="2">
        <f>IFERROR(AVERAGEIFS(RdTRABYVals!M$2:M$999,RdTRABYVals!$B$2:$B$999,"="&amp;$C3,RdTRABYVals!$C$2:$C$999,"="&amp;INS!$A3),"")</f>
        <v>18.844230651855501</v>
      </c>
      <c r="I3" s="2">
        <f>IFERROR(AVERAGEIFS(RdTRABYVals!N$2:N$999,RdTRABYVals!$B$2:$B$999,"="&amp;$C3,RdTRABYVals!$C$2:$C$999,"="&amp;INS!$A3),"")</f>
        <v>8.8645162582397496</v>
      </c>
      <c r="J3" s="2">
        <f>IFERROR(AVERAGEIFS(RdTRABYVals!O$2:O$999,RdTRABYVals!$B$2:$B$999,"="&amp;$C3,RdTRABYVals!$C$2:$C$999,"="&amp;INS!$A3),"")</f>
        <v>32.8548393249512</v>
      </c>
      <c r="K3" s="2">
        <f>IFERROR(AVERAGEIFS(RdTRABYVals!P$2:P$999,RdTRABYVals!$B$2:$B$999,"="&amp;$C3,RdTRABYVals!$C$2:$C$999,"="&amp;INS!$A3),"")</f>
        <v>19.464134216308601</v>
      </c>
      <c r="L3" s="2">
        <f>IFERROR(AVERAGEIFS(RdTRABYVals!Q$2:Q$999,RdTRABYVals!$B$2:$B$999,"="&amp;$C3,RdTRABYVals!$C$2:$C$999,"="&amp;INS!$A3),"")</f>
        <v>22.708028793335</v>
      </c>
      <c r="M3" s="2">
        <f>IFERROR(AVERAGEIFS(RdTRABYVals!R$2:R$999,RdTRABYVals!$B$2:$B$999,"="&amp;$C3,RdTRABYVals!$C$2:$C$999,"="&amp;INS!$A3),"")</f>
        <v>9.6167755126953107</v>
      </c>
      <c r="N3" s="2">
        <f>IFERROR(AVERAGEIFS(RdTRABYVals!S$2:S$999,RdTRABYVals!$B$2:$B$999,"="&amp;$C3,RdTRABYVals!$C$2:$C$999,"="&amp;INS!$A3),"")</f>
        <v>24.425664901733398</v>
      </c>
      <c r="O3" s="2">
        <f>IFERROR(AVERAGEIFS(RdTRABYVals!T$2:T$999,RdTRABYVals!$B$2:$B$999,"="&amp;$C3,RdTRABYVals!$C$2:$C$999,"="&amp;INS!$A3),"")</f>
        <v>20.808900833129901</v>
      </c>
      <c r="P3" s="2">
        <f>IFERROR(AVERAGEIFS(RdTRABYVals!U$2:U$999,RdTRABYVals!$B$2:$B$999,"="&amp;$C3,RdTRABYVals!$C$2:$C$999,"="&amp;INS!$A3),"")</f>
        <v>12</v>
      </c>
      <c r="Q3" s="2">
        <f>IFERROR(AVERAGEIFS(RdTRABYVals!V$2:V$999,RdTRABYVals!$B$2:$B$999,"="&amp;$C3,RdTRABYVals!$C$2:$C$999,"="&amp;INS!$A3),"")</f>
        <v>11.5324859619141</v>
      </c>
      <c r="R3" s="2">
        <f>IFERROR(AVERAGEIFS(RdTRABYVals!W$2:W$999,RdTRABYVals!$B$2:$B$999,"="&amp;$C3,RdTRABYVals!$C$2:$C$999,"="&amp;INS!$A3),"")</f>
        <v>27.25</v>
      </c>
      <c r="S3" s="2">
        <f>IFERROR(AVERAGEIFS(RdTRABYVals!X$2:X$999,RdTRABYVals!$B$2:$B$999,"="&amp;$C3,RdTRABYVals!$C$2:$C$999,"="&amp;INS!$A3),"")</f>
        <v>24.2999992370606</v>
      </c>
      <c r="T3" s="2">
        <f>IFERROR(AVERAGEIFS(RdTRABYVals!Y$2:Y$999,RdTRABYVals!$B$2:$B$999,"="&amp;$C3,RdTRABYVals!$C$2:$C$999,"="&amp;INS!$A3),"")</f>
        <v>13</v>
      </c>
      <c r="U3" s="2">
        <f>IFERROR(AVERAGEIFS(RdTRABYVals!Z$2:Z$999,RdTRABYVals!$B$2:$B$999,"="&amp;$C3,RdTRABYVals!$C$2:$C$999,"="&amp;INS!$A3),"")</f>
        <v>17.698154449462901</v>
      </c>
      <c r="V3" s="2">
        <f>IFERROR(AVERAGEIFS(RdTRABYVals!AA$2:AA$999,RdTRABYVals!$B$2:$B$999,"="&amp;$C3,RdTRABYVals!$C$2:$C$999,"="&amp;INS!$A3),"")</f>
        <v>8.8645162582397496</v>
      </c>
      <c r="W3" s="2">
        <f>IFERROR(AVERAGEIFS(RdTRABYVals!AB$2:AB$999,RdTRABYVals!$B$2:$B$999,"="&amp;$C3,RdTRABYVals!$C$2:$C$999,"="&amp;INS!$A3),"")</f>
        <v>30</v>
      </c>
      <c r="X3" s="2">
        <f>IFERROR(AVERAGEIFS(RdTRABYVals!AC$2:AC$999,RdTRABYVals!$B$2:$B$999,"="&amp;$C3,RdTRABYVals!$C$2:$C$999,"="&amp;INS!$A3),"")</f>
        <v>27.25</v>
      </c>
      <c r="Y3" s="2">
        <f>IFERROR(AVERAGEIFS(RdTRABYVals!AD$2:AD$999,RdTRABYVals!$B$2:$B$999,"="&amp;$C3,RdTRABYVals!$C$2:$C$999,"="&amp;INS!$A3),"")</f>
        <v>9.6172838211059553</v>
      </c>
      <c r="Z3" s="2">
        <f>IFERROR(AVERAGEIFS(RdTRABYVals!AE$2:AE$999,RdTRABYVals!$B$2:$B$999,"="&amp;$C3,RdTRABYVals!$C$2:$C$999,"="&amp;INS!$A3),"")</f>
        <v>18</v>
      </c>
      <c r="AA3" s="2">
        <f>IFERROR(AVERAGEIFS(RdTRABYVals!AF$2:AF$999,RdTRABYVals!$B$2:$B$999,"="&amp;$C3,RdTRABYVals!$C$2:$C$999,"="&amp;INS!$A3),"")</f>
        <v>8.8645162582397496</v>
      </c>
      <c r="AB3" s="2">
        <f>IFERROR(AVERAGEIFS(RdTRABYVals!AG$2:AG$999,RdTRABYVals!$B$2:$B$999,"="&amp;$C3,RdTRABYVals!$C$2:$C$999,"="&amp;INS!$A3),"")</f>
        <v>31.7471389770507</v>
      </c>
      <c r="AC3" s="2">
        <f>IFERROR(AVERAGEIFS(RdTRABYVals!AH$2:AH$999,RdTRABYVals!$B$2:$B$999,"="&amp;$C3,RdTRABYVals!$C$2:$C$999,"="&amp;INS!$A3),"")</f>
        <v>32.8548393249512</v>
      </c>
      <c r="AD3" s="2">
        <f>IFERROR(AVERAGEIFS(RdTRABYVals!AI$2:AI$999,RdTRABYVals!$B$2:$B$999,"="&amp;$C3,RdTRABYVals!$C$2:$C$999,"="&amp;INS!$A3),"")</f>
        <v>12</v>
      </c>
      <c r="AE3" s="2">
        <f>IFERROR(AVERAGEIFS(RdTRABYVals!AJ$2:AJ$999,RdTRABYVals!$B$2:$B$999,"="&amp;$C3,RdTRABYVals!$C$2:$C$999,"="&amp;INS!$A3),"")</f>
        <v>27.25</v>
      </c>
      <c r="AF3" s="2">
        <f>IFERROR(AVERAGEIFS(RdTRABYVals!AK$2:AK$999,RdTRABYVals!$B$2:$B$999,"="&amp;$C3,RdTRABYVals!$C$2:$C$999,"="&amp;INS!$A3),"")</f>
        <v>35.676471710205099</v>
      </c>
      <c r="AG3" s="2">
        <f>IFERROR(AVERAGEIFS(RdTRABYVals!AL$2:AL$999,RdTRABYVals!$B$2:$B$999,"="&amp;$C3,RdTRABYVals!$C$2:$C$999,"="&amp;INS!$A3),"")</f>
        <v>32.8548393249512</v>
      </c>
      <c r="AH3" s="2">
        <f>IFERROR(AVERAGEIFS(RdTRABYVals!AM$2:AM$999,RdTRABYVals!$B$2:$B$999,"="&amp;$C3,RdTRABYVals!$C$2:$C$999,"="&amp;INS!$A3),"")</f>
        <v>32.8548393249512</v>
      </c>
      <c r="AI3" s="2">
        <f>IFERROR(AVERAGEIFS(RdTRABYVals!AN$2:AN$999,RdTRABYVals!$B$2:$B$999,"="&amp;$C3,RdTRABYVals!$C$2:$C$999,"="&amp;INS!$A3),"")</f>
        <v>12.9441175460815</v>
      </c>
      <c r="AJ3" s="2">
        <f>IFERROR(AVERAGEIFS(RdTRABYVals!AO$2:AO$999,RdTRABYVals!$B$2:$B$999,"="&amp;$C3,RdTRABYVals!$C$2:$C$999,"="&amp;INS!$A3),"")</f>
        <v>9.9356021881103498</v>
      </c>
      <c r="AK3" s="2">
        <f>IFERROR(AVERAGEIFS(RdTRABYVals!AP$2:AP$999,RdTRABYVals!$B$2:$B$999,"="&amp;$C3,RdTRABYVals!$C$2:$C$999,"="&amp;INS!$A3),"")</f>
        <v>27.800828933715799</v>
      </c>
      <c r="AL3" s="2">
        <f>IFERROR(AVERAGEIFS(RdTRABYVals!AQ$2:AQ$999,RdTRABYVals!$B$2:$B$999,"="&amp;$C3,RdTRABYVals!$C$2:$C$999,"="&amp;INS!$A3),"")</f>
        <v>19.464134216308601</v>
      </c>
      <c r="AM3" s="2">
        <f>IFERROR(AVERAGEIFS(RdTRABYVals!AR$2:AR$999,RdTRABYVals!$B$2:$B$999,"="&amp;$C3,RdTRABYVals!$C$2:$C$999,"="&amp;INS!$A3),"")</f>
        <v>8.8645162582397496</v>
      </c>
      <c r="AN3" s="2">
        <f>IFERROR(AVERAGEIFS(RdTRABYVals!AS$2:AS$999,RdTRABYVals!$B$2:$B$999,"="&amp;$C3,RdTRABYVals!$C$2:$C$999,"="&amp;INS!$A3),"")</f>
        <v>9.5039014816284197</v>
      </c>
      <c r="AO3" s="2">
        <f>IFERROR(AVERAGEIFS(RdTRABYVals!AT$2:AT$999,RdTRABYVals!$B$2:$B$999,"="&amp;$C3,RdTRABYVals!$C$2:$C$999,"="&amp;INS!$A3),"")</f>
        <v>21.951725006103501</v>
      </c>
      <c r="AP3" s="2">
        <f>IFERROR(AVERAGEIFS(RdTRABYVals!AU$2:AU$999,RdTRABYVals!$B$2:$B$999,"="&amp;$C3,RdTRABYVals!$C$2:$C$999,"="&amp;INS!$A3),"")</f>
        <v>17.130739212036101</v>
      </c>
      <c r="AQ3" s="2">
        <f>IFERROR(AVERAGEIFS(RdTRABYVals!AV$2:AV$999,RdTRABYVals!$B$2:$B$999,"="&amp;$C3,RdTRABYVals!$C$2:$C$999,"="&amp;INS!$A3),"")</f>
        <v>17</v>
      </c>
    </row>
    <row r="4" spans="1:43" ht="14.4">
      <c r="A4" s="3" t="s">
        <v>98</v>
      </c>
      <c r="C4" s="1" t="s">
        <v>28</v>
      </c>
      <c r="D4" t="str">
        <f t="shared" si="0"/>
        <v>TRA_Car*</v>
      </c>
      <c r="E4" s="1" t="s">
        <v>105</v>
      </c>
      <c r="F4" s="4">
        <f t="shared" si="1"/>
        <v>1.5782918543428983</v>
      </c>
      <c r="G4" s="2">
        <f>IFERROR(AVERAGEIFS(RdTRABYVals!L$2:L$999,RdTRABYVals!$B$2:$B$999,"="&amp;$C4,RdTRABYVals!$C$2:$C$999,"="&amp;INS!$A4),"")</f>
        <v>1.4975107908248899</v>
      </c>
      <c r="H4" s="2">
        <f>IFERROR(AVERAGEIFS(RdTRABYVals!M$2:M$999,RdTRABYVals!$B$2:$B$999,"="&amp;$C4,RdTRABYVals!$C$2:$C$999,"="&amp;INS!$A4),"")</f>
        <v>1.1799999475479099</v>
      </c>
      <c r="I4" s="2">
        <f>IFERROR(AVERAGEIFS(RdTRABYVals!N$2:N$999,RdTRABYVals!$B$2:$B$999,"="&amp;$C4,RdTRABYVals!$C$2:$C$999,"="&amp;INS!$A4),"")</f>
        <v>1.38246369361877</v>
      </c>
      <c r="J4" s="2">
        <f>IFERROR(AVERAGEIFS(RdTRABYVals!O$2:O$999,RdTRABYVals!$B$2:$B$999,"="&amp;$C4,RdTRABYVals!$C$2:$C$999,"="&amp;INS!$A4),"")</f>
        <v>1.5102819204330433</v>
      </c>
      <c r="K4" s="2">
        <f>IFERROR(AVERAGEIFS(RdTRABYVals!P$2:P$999,RdTRABYVals!$B$2:$B$999,"="&amp;$C4,RdTRABYVals!$C$2:$C$999,"="&amp;INS!$A4),"")</f>
        <v>1.5599999427795399</v>
      </c>
      <c r="L4" s="2">
        <f>IFERROR(AVERAGEIFS(RdTRABYVals!Q$2:Q$999,RdTRABYVals!$B$2:$B$999,"="&amp;$C4,RdTRABYVals!$C$2:$C$999,"="&amp;INS!$A4),"")</f>
        <v>1.60651648044586</v>
      </c>
      <c r="M4" s="2">
        <f>IFERROR(AVERAGEIFS(RdTRABYVals!R$2:R$999,RdTRABYVals!$B$2:$B$999,"="&amp;$C4,RdTRABYVals!$C$2:$C$999,"="&amp;INS!$A4),"")</f>
        <v>1.4644458293914799</v>
      </c>
      <c r="N4" s="2">
        <f>IFERROR(AVERAGEIFS(RdTRABYVals!S$2:S$999,RdTRABYVals!$B$2:$B$999,"="&amp;$C4,RdTRABYVals!$C$2:$C$999,"="&amp;INS!$A4),"")</f>
        <v>1.37999999523163</v>
      </c>
      <c r="O4" s="2">
        <f>IFERROR(AVERAGEIFS(RdTRABYVals!T$2:T$999,RdTRABYVals!$B$2:$B$999,"="&amp;$C4,RdTRABYVals!$C$2:$C$999,"="&amp;INS!$A4),"")</f>
        <v>1.4904687404632599</v>
      </c>
      <c r="P4" s="2">
        <f>IFERROR(AVERAGEIFS(RdTRABYVals!U$2:U$999,RdTRABYVals!$B$2:$B$999,"="&amp;$C4,RdTRABYVals!$C$2:$C$999,"="&amp;INS!$A4),"")</f>
        <v>1.5599999427795399</v>
      </c>
      <c r="Q4" s="2">
        <f>IFERROR(AVERAGEIFS(RdTRABYVals!V$2:V$999,RdTRABYVals!$B$2:$B$999,"="&amp;$C4,RdTRABYVals!$C$2:$C$999,"="&amp;INS!$A4),"")</f>
        <v>1.45000004768372</v>
      </c>
      <c r="R4" s="2">
        <f>IFERROR(AVERAGEIFS(RdTRABYVals!W$2:W$999,RdTRABYVals!$B$2:$B$999,"="&amp;$C4,RdTRABYVals!$C$2:$C$999,"="&amp;INS!$A4),"")</f>
        <v>1.4975107908248899</v>
      </c>
      <c r="S4" s="2">
        <f>IFERROR(AVERAGEIFS(RdTRABYVals!X$2:X$999,RdTRABYVals!$B$2:$B$999,"="&amp;$C4,RdTRABYVals!$C$2:$C$999,"="&amp;INS!$A4),"")</f>
        <v>1.7400000095367401</v>
      </c>
      <c r="T4" s="2">
        <f>IFERROR(AVERAGEIFS(RdTRABYVals!Y$2:Y$999,RdTRABYVals!$B$2:$B$999,"="&amp;$C4,RdTRABYVals!$C$2:$C$999,"="&amp;INS!$A4),"")</f>
        <v>1.4000432491302499</v>
      </c>
      <c r="U4" s="2">
        <f>IFERROR(AVERAGEIFS(RdTRABYVals!Z$2:Z$999,RdTRABYVals!$B$2:$B$999,"="&amp;$C4,RdTRABYVals!$C$2:$C$999,"="&amp;INS!$A4),"")</f>
        <v>1.82858443260193</v>
      </c>
      <c r="V4" s="2">
        <f>IFERROR(AVERAGEIFS(RdTRABYVals!AA$2:AA$999,RdTRABYVals!$B$2:$B$999,"="&amp;$C4,RdTRABYVals!$C$2:$C$999,"="&amp;INS!$A4),"")</f>
        <v>1.38246369361877</v>
      </c>
      <c r="W4" s="2">
        <f>IFERROR(AVERAGEIFS(RdTRABYVals!AB$2:AB$999,RdTRABYVals!$B$2:$B$999,"="&amp;$C4,RdTRABYVals!$C$2:$C$999,"="&amp;INS!$A4),"")</f>
        <v>1.8400000333786</v>
      </c>
      <c r="X4" s="2">
        <f>IFERROR(AVERAGEIFS(RdTRABYVals!AC$2:AC$999,RdTRABYVals!$B$2:$B$999,"="&amp;$C4,RdTRABYVals!$C$2:$C$999,"="&amp;INS!$A4),"")</f>
        <v>1.4975107908248899</v>
      </c>
      <c r="Y4" s="2">
        <f>IFERROR(AVERAGEIFS(RdTRABYVals!AD$2:AD$999,RdTRABYVals!$B$2:$B$999,"="&amp;$C4,RdTRABYVals!$C$2:$C$999,"="&amp;INS!$A4),"")</f>
        <v>2.0627906322479301</v>
      </c>
      <c r="Z4" s="2">
        <f>IFERROR(AVERAGEIFS(RdTRABYVals!AE$2:AE$999,RdTRABYVals!$B$2:$B$999,"="&amp;$C4,RdTRABYVals!$C$2:$C$999,"="&amp;INS!$A4),"")</f>
        <v>1.71000003814697</v>
      </c>
      <c r="AA4" s="2">
        <f>IFERROR(AVERAGEIFS(RdTRABYVals!AF$2:AF$999,RdTRABYVals!$B$2:$B$999,"="&amp;$C4,RdTRABYVals!$C$2:$C$999,"="&amp;INS!$A4),"")</f>
        <v>1.38246369361877</v>
      </c>
      <c r="AB4" s="2">
        <f>IFERROR(AVERAGEIFS(RdTRABYVals!AG$2:AG$999,RdTRABYVals!$B$2:$B$999,"="&amp;$C4,RdTRABYVals!$C$2:$C$999,"="&amp;INS!$A4),"")</f>
        <v>1.9999866485595701</v>
      </c>
      <c r="AC4" s="2">
        <f>IFERROR(AVERAGEIFS(RdTRABYVals!AH$2:AH$999,RdTRABYVals!$B$2:$B$999,"="&amp;$C4,RdTRABYVals!$C$2:$C$999,"="&amp;INS!$A4),"")</f>
        <v>1.5102819204330449</v>
      </c>
      <c r="AD4" s="2">
        <f>IFERROR(AVERAGEIFS(RdTRABYVals!AI$2:AI$999,RdTRABYVals!$B$2:$B$999,"="&amp;$C4,RdTRABYVals!$C$2:$C$999,"="&amp;INS!$A4),"")</f>
        <v>1.4330004453659066</v>
      </c>
      <c r="AE4" s="2">
        <f>IFERROR(AVERAGEIFS(RdTRABYVals!AJ$2:AJ$999,RdTRABYVals!$B$2:$B$999,"="&amp;$C4,RdTRABYVals!$C$2:$C$999,"="&amp;INS!$A4),"")</f>
        <v>1.4975107908248899</v>
      </c>
      <c r="AF4" s="2">
        <f>IFERROR(AVERAGEIFS(RdTRABYVals!AK$2:AK$999,RdTRABYVals!$B$2:$B$999,"="&amp;$C4,RdTRABYVals!$C$2:$C$999,"="&amp;INS!$A4),"")</f>
        <v>1.5599999427795399</v>
      </c>
      <c r="AG4" s="2">
        <f>IFERROR(AVERAGEIFS(RdTRABYVals!AL$2:AL$999,RdTRABYVals!$B$2:$B$999,"="&amp;$C4,RdTRABYVals!$C$2:$C$999,"="&amp;INS!$A4),"")</f>
        <v>1.51028192043304</v>
      </c>
      <c r="AH4" s="2">
        <f>IFERROR(AVERAGEIFS(RdTRABYVals!AM$2:AM$999,RdTRABYVals!$B$2:$B$999,"="&amp;$C4,RdTRABYVals!$C$2:$C$999,"="&amp;INS!$A4),"")</f>
        <v>1.330000042915342</v>
      </c>
      <c r="AI4" s="2">
        <f>IFERROR(AVERAGEIFS(RdTRABYVals!AN$2:AN$999,RdTRABYVals!$B$2:$B$999,"="&amp;$C4,RdTRABYVals!$C$2:$C$999,"="&amp;INS!$A4),"")</f>
        <v>1.7000000476837149</v>
      </c>
      <c r="AJ4" s="2">
        <f>IFERROR(AVERAGEIFS(RdTRABYVals!AO$2:AO$999,RdTRABYVals!$B$2:$B$999,"="&amp;$C4,RdTRABYVals!$C$2:$C$999,"="&amp;INS!$A4),"")</f>
        <v>1.9665447473526001</v>
      </c>
      <c r="AK4" s="2">
        <f>IFERROR(AVERAGEIFS(RdTRABYVals!AP$2:AP$999,RdTRABYVals!$B$2:$B$999,"="&amp;$C4,RdTRABYVals!$C$2:$C$999,"="&amp;INS!$A4),"")</f>
        <v>1.4975107908248899</v>
      </c>
      <c r="AL4" s="2">
        <f>IFERROR(AVERAGEIFS(RdTRABYVals!AQ$2:AQ$999,RdTRABYVals!$B$2:$B$999,"="&amp;$C4,RdTRABYVals!$C$2:$C$999,"="&amp;INS!$A4),"")</f>
        <v>1.9828243255615201</v>
      </c>
      <c r="AM4" s="2">
        <f>IFERROR(AVERAGEIFS(RdTRABYVals!AR$2:AR$999,RdTRABYVals!$B$2:$B$999,"="&amp;$C4,RdTRABYVals!$C$2:$C$999,"="&amp;INS!$A4),"")</f>
        <v>1.38246369361877</v>
      </c>
      <c r="AN4" s="2">
        <f>IFERROR(AVERAGEIFS(RdTRABYVals!AS$2:AS$999,RdTRABYVals!$B$2:$B$999,"="&amp;$C4,RdTRABYVals!$C$2:$C$999,"="&amp;INS!$A4),"")</f>
        <v>1.453474164009092</v>
      </c>
      <c r="AO4" s="2">
        <f>IFERROR(AVERAGEIFS(RdTRABYVals!AT$2:AT$999,RdTRABYVals!$B$2:$B$999,"="&amp;$C4,RdTRABYVals!$C$2:$C$999,"="&amp;INS!$A4),"")</f>
        <v>1.63986444473267</v>
      </c>
      <c r="AP4" s="2">
        <f>IFERROR(AVERAGEIFS(RdTRABYVals!AU$2:AU$999,RdTRABYVals!$B$2:$B$999,"="&amp;$C4,RdTRABYVals!$C$2:$C$999,"="&amp;INS!$A4),"")</f>
        <v>1.9500000476837167</v>
      </c>
      <c r="AQ4" s="2">
        <f>IFERROR(AVERAGEIFS(RdTRABYVals!AV$2:AV$999,RdTRABYVals!$B$2:$B$999,"="&amp;$C4,RdTRABYVals!$C$2:$C$999,"="&amp;INS!$A4),"")</f>
        <v>1.5599999427795399</v>
      </c>
    </row>
    <row r="5" spans="1:43" ht="14.4">
      <c r="A5" s="3" t="s">
        <v>99</v>
      </c>
      <c r="C5" s="1" t="s">
        <v>28</v>
      </c>
      <c r="D5" t="str">
        <f t="shared" si="0"/>
        <v>TRA_Hdt*</v>
      </c>
      <c r="E5" s="1" t="s">
        <v>105</v>
      </c>
      <c r="F5" s="4">
        <f t="shared" si="1"/>
        <v>5.9181668803722021</v>
      </c>
      <c r="G5" s="2">
        <f>IFERROR(AVERAGEIFS(RdTRABYVals!L$2:L$999,RdTRABYVals!$B$2:$B$999,"="&amp;$C5,RdTRABYVals!$C$2:$C$999,"="&amp;INS!$A5),"")</f>
        <v>4.0002391299054949</v>
      </c>
      <c r="H5" s="2">
        <f>IFERROR(AVERAGEIFS(RdTRABYVals!M$2:M$999,RdTRABYVals!$B$2:$B$999,"="&amp;$C5,RdTRABYVals!$C$2:$C$999,"="&amp;INS!$A5),"")</f>
        <v>12.6966866442624</v>
      </c>
      <c r="I5" s="2">
        <f>IFERROR(AVERAGEIFS(RdTRABYVals!N$2:N$999,RdTRABYVals!$B$2:$B$999,"="&amp;$C5,RdTRABYVals!$C$2:$C$999,"="&amp;INS!$A5),"")</f>
        <v>6.4706438035279001</v>
      </c>
      <c r="J5" s="2">
        <f>IFERROR(AVERAGEIFS(RdTRABYVals!O$2:O$999,RdTRABYVals!$B$2:$B$999,"="&amp;$C5,RdTRABYVals!$C$2:$C$999,"="&amp;INS!$A5),"")</f>
        <v>3.6177163587025101</v>
      </c>
      <c r="K5" s="2">
        <f>IFERROR(AVERAGEIFS(RdTRABYVals!P$2:P$999,RdTRABYVals!$B$2:$B$999,"="&amp;$C5,RdTRABYVals!$C$2:$C$999,"="&amp;INS!$A5),"")</f>
        <v>8.6602057473115188</v>
      </c>
      <c r="L5" s="2">
        <f>IFERROR(AVERAGEIFS(RdTRABYVals!Q$2:Q$999,RdTRABYVals!$B$2:$B$999,"="&amp;$C5,RdTRABYVals!$C$2:$C$999,"="&amp;INS!$A5),"")</f>
        <v>5.0234683731318199</v>
      </c>
      <c r="M5" s="2">
        <f>IFERROR(AVERAGEIFS(RdTRABYVals!R$2:R$999,RdTRABYVals!$B$2:$B$999,"="&amp;$C5,RdTRABYVals!$C$2:$C$999,"="&amp;INS!$A5),"")</f>
        <v>2.5017761468109256</v>
      </c>
      <c r="N5" s="2">
        <f>IFERROR(AVERAGEIFS(RdTRABYVals!S$2:S$999,RdTRABYVals!$B$2:$B$999,"="&amp;$C5,RdTRABYVals!$C$2:$C$999,"="&amp;INS!$A5),"")</f>
        <v>5.7131483196602142</v>
      </c>
      <c r="O5" s="2">
        <f>IFERROR(AVERAGEIFS(RdTRABYVals!T$2:T$999,RdTRABYVals!$B$2:$B$999,"="&amp;$C5,RdTRABYVals!$C$2:$C$999,"="&amp;INS!$A5),"")</f>
        <v>6.2939784162499803</v>
      </c>
      <c r="P5" s="2">
        <f>IFERROR(AVERAGEIFS(RdTRABYVals!U$2:U$999,RdTRABYVals!$B$2:$B$999,"="&amp;$C5,RdTRABYVals!$C$2:$C$999,"="&amp;INS!$A5),"")</f>
        <v>3.2193804727897288</v>
      </c>
      <c r="Q5" s="2">
        <f>IFERROR(AVERAGEIFS(RdTRABYVals!V$2:V$999,RdTRABYVals!$B$2:$B$999,"="&amp;$C5,RdTRABYVals!$C$2:$C$999,"="&amp;INS!$A5),"")</f>
        <v>6.4513897747989351</v>
      </c>
      <c r="R5" s="2">
        <f>IFERROR(AVERAGEIFS(RdTRABYVals!W$2:W$999,RdTRABYVals!$B$2:$B$999,"="&amp;$C5,RdTRABYVals!$C$2:$C$999,"="&amp;INS!$A5),"")</f>
        <v>4.0002391299054949</v>
      </c>
      <c r="S5" s="2">
        <f>IFERROR(AVERAGEIFS(RdTRABYVals!X$2:X$999,RdTRABYVals!$B$2:$B$999,"="&amp;$C5,RdTRABYVals!$C$2:$C$999,"="&amp;INS!$A5),"")</f>
        <v>3.5717070254683514</v>
      </c>
      <c r="T5" s="2">
        <f>IFERROR(AVERAGEIFS(RdTRABYVals!Y$2:Y$999,RdTRABYVals!$B$2:$B$999,"="&amp;$C5,RdTRABYVals!$C$2:$C$999,"="&amp;INS!$A5),"")</f>
        <v>6.3194681132555957</v>
      </c>
      <c r="U5" s="2">
        <f>IFERROR(AVERAGEIFS(RdTRABYVals!Z$2:Z$999,RdTRABYVals!$B$2:$B$999,"="&amp;$C5,RdTRABYVals!$C$2:$C$999,"="&amp;INS!$A5),"")</f>
        <v>4.6675792592132801</v>
      </c>
      <c r="V5" s="2">
        <f>IFERROR(AVERAGEIFS(RdTRABYVals!AA$2:AA$999,RdTRABYVals!$B$2:$B$999,"="&amp;$C5,RdTRABYVals!$C$2:$C$999,"="&amp;INS!$A5),"")</f>
        <v>6.4706438035279001</v>
      </c>
      <c r="W5" s="2">
        <f>IFERROR(AVERAGEIFS(RdTRABYVals!AB$2:AB$999,RdTRABYVals!$B$2:$B$999,"="&amp;$C5,RdTRABYVals!$C$2:$C$999,"="&amp;INS!$A5),"")</f>
        <v>5.8322899368203949</v>
      </c>
      <c r="X5" s="2">
        <f>IFERROR(AVERAGEIFS(RdTRABYVals!AC$2:AC$999,RdTRABYVals!$B$2:$B$999,"="&amp;$C5,RdTRABYVals!$C$2:$C$999,"="&amp;INS!$A5),"")</f>
        <v>8.2666478084662245</v>
      </c>
      <c r="Y5" s="2">
        <f>IFERROR(AVERAGEIFS(RdTRABYVals!AD$2:AD$999,RdTRABYVals!$B$2:$B$999,"="&amp;$C5,RdTRABYVals!$C$2:$C$999,"="&amp;INS!$A5),"")</f>
        <v>4.2136996936319449</v>
      </c>
      <c r="Z5" s="2">
        <f>IFERROR(AVERAGEIFS(RdTRABYVals!AE$2:AE$999,RdTRABYVals!$B$2:$B$999,"="&amp;$C5,RdTRABYVals!$C$2:$C$999,"="&amp;INS!$A5),"")</f>
        <v>4.4298474975508757</v>
      </c>
      <c r="AA5" s="2">
        <f>IFERROR(AVERAGEIFS(RdTRABYVals!AF$2:AF$999,RdTRABYVals!$B$2:$B$999,"="&amp;$C5,RdTRABYVals!$C$2:$C$999,"="&amp;INS!$A5),"")</f>
        <v>6.4706438035279001</v>
      </c>
      <c r="AB5" s="2">
        <f>IFERROR(AVERAGEIFS(RdTRABYVals!AG$2:AG$999,RdTRABYVals!$B$2:$B$999,"="&amp;$C5,RdTRABYVals!$C$2:$C$999,"="&amp;INS!$A5),"")</f>
        <v>8.3088409956877456</v>
      </c>
      <c r="AC5" s="2">
        <f>IFERROR(AVERAGEIFS(RdTRABYVals!AH$2:AH$999,RdTRABYVals!$B$2:$B$999,"="&amp;$C5,RdTRABYVals!$C$2:$C$999,"="&amp;INS!$A5),"")</f>
        <v>3.0506737636963583</v>
      </c>
      <c r="AD5" s="2">
        <f>IFERROR(AVERAGEIFS(RdTRABYVals!AI$2:AI$999,RdTRABYVals!$B$2:$B$999,"="&amp;$C5,RdTRABYVals!$C$2:$C$999,"="&amp;INS!$A5),"")</f>
        <v>6.2349737238600156</v>
      </c>
      <c r="AE5" s="2">
        <f>IFERROR(AVERAGEIFS(RdTRABYVals!AJ$2:AJ$999,RdTRABYVals!$B$2:$B$999,"="&amp;$C5,RdTRABYVals!$C$2:$C$999,"="&amp;INS!$A5),"")</f>
        <v>4.0002391299054949</v>
      </c>
      <c r="AF5" s="2">
        <f>IFERROR(AVERAGEIFS(RdTRABYVals!AK$2:AK$999,RdTRABYVals!$B$2:$B$999,"="&amp;$C5,RdTRABYVals!$C$2:$C$999,"="&amp;INS!$A5),"")</f>
        <v>6.9751109047008351</v>
      </c>
      <c r="AG5" s="2">
        <f>IFERROR(AVERAGEIFS(RdTRABYVals!AL$2:AL$999,RdTRABYVals!$B$2:$B$999,"="&amp;$C5,RdTRABYVals!$C$2:$C$999,"="&amp;INS!$A5),"")</f>
        <v>1.2047109936611</v>
      </c>
      <c r="AH5" s="2">
        <f>IFERROR(AVERAGEIFS(RdTRABYVals!AM$2:AM$999,RdTRABYVals!$B$2:$B$999,"="&amp;$C5,RdTRABYVals!$C$2:$C$999,"="&amp;INS!$A5),"")</f>
        <v>6.4627541080447299</v>
      </c>
      <c r="AI5" s="2">
        <f>IFERROR(AVERAGEIFS(RdTRABYVals!AN$2:AN$999,RdTRABYVals!$B$2:$B$999,"="&amp;$C5,RdTRABYVals!$C$2:$C$999,"="&amp;INS!$A5),"")</f>
        <v>7.7335450072650707</v>
      </c>
      <c r="AJ5" s="2">
        <f>IFERROR(AVERAGEIFS(RdTRABYVals!AO$2:AO$999,RdTRABYVals!$B$2:$B$999,"="&amp;$C5,RdTRABYVals!$C$2:$C$999,"="&amp;INS!$A5),"")</f>
        <v>6.97486156487766</v>
      </c>
      <c r="AK5" s="2">
        <f>IFERROR(AVERAGEIFS(RdTRABYVals!AP$2:AP$999,RdTRABYVals!$B$2:$B$999,"="&amp;$C5,RdTRABYVals!$C$2:$C$999,"="&amp;INS!$A5),"")</f>
        <v>13.5666403308729</v>
      </c>
      <c r="AL5" s="2">
        <f>IFERROR(AVERAGEIFS(RdTRABYVals!AQ$2:AQ$999,RdTRABYVals!$B$2:$B$999,"="&amp;$C5,RdTRABYVals!$C$2:$C$999,"="&amp;INS!$A5),"")</f>
        <v>3.4783224364901999</v>
      </c>
      <c r="AM5" s="2">
        <f>IFERROR(AVERAGEIFS(RdTRABYVals!AR$2:AR$999,RdTRABYVals!$B$2:$B$999,"="&amp;$C5,RdTRABYVals!$C$2:$C$999,"="&amp;INS!$A5),"")</f>
        <v>6.4706438035279001</v>
      </c>
      <c r="AN5" s="2">
        <f>IFERROR(AVERAGEIFS(RdTRABYVals!AS$2:AS$999,RdTRABYVals!$B$2:$B$999,"="&amp;$C5,RdTRABYVals!$C$2:$C$999,"="&amp;INS!$A5),"")</f>
        <v>7.4284334788428099</v>
      </c>
      <c r="AO5" s="2">
        <f>IFERROR(AVERAGEIFS(RdTRABYVals!AT$2:AT$999,RdTRABYVals!$B$2:$B$999,"="&amp;$C5,RdTRABYVals!$C$2:$C$999,"="&amp;INS!$A5),"")</f>
        <v>6.5573699246346351</v>
      </c>
      <c r="AP5" s="2">
        <f>IFERROR(AVERAGEIFS(RdTRABYVals!AU$2:AU$999,RdTRABYVals!$B$2:$B$999,"="&amp;$C5,RdTRABYVals!$C$2:$C$999,"="&amp;INS!$A5),"")</f>
        <v>8.0361798881400901</v>
      </c>
      <c r="AQ5" s="2">
        <f>IFERROR(AVERAGEIFS(RdTRABYVals!AV$2:AV$999,RdTRABYVals!$B$2:$B$999,"="&amp;$C5,RdTRABYVals!$C$2:$C$999,"="&amp;INS!$A5),"")</f>
        <v>3.5974752610445098</v>
      </c>
    </row>
    <row r="6" spans="1:43" ht="14.4">
      <c r="A6" s="3" t="s">
        <v>100</v>
      </c>
      <c r="C6" s="1" t="s">
        <v>28</v>
      </c>
      <c r="D6" t="str">
        <f t="shared" si="0"/>
        <v>TRA_Lcv*</v>
      </c>
      <c r="E6" s="1" t="s">
        <v>105</v>
      </c>
      <c r="F6" s="4">
        <f t="shared" si="1"/>
        <v>0.5</v>
      </c>
      <c r="G6" s="2">
        <f>IFERROR(AVERAGEIFS(RdTRABYVals!L$2:L$999,RdTRABYVals!$B$2:$B$999,"="&amp;$C6,RdTRABYVals!$C$2:$C$999,"="&amp;INS!$A6),"")</f>
        <v>0.5</v>
      </c>
      <c r="H6" s="2">
        <f>IFERROR(AVERAGEIFS(RdTRABYVals!M$2:M$999,RdTRABYVals!$B$2:$B$999,"="&amp;$C6,RdTRABYVals!$C$2:$C$999,"="&amp;INS!$A6),"")</f>
        <v>0.5</v>
      </c>
      <c r="I6" s="2">
        <f>IFERROR(AVERAGEIFS(RdTRABYVals!N$2:N$999,RdTRABYVals!$B$2:$B$999,"="&amp;$C6,RdTRABYVals!$C$2:$C$999,"="&amp;INS!$A6),"")</f>
        <v>0.5</v>
      </c>
      <c r="J6" s="2">
        <f>IFERROR(AVERAGEIFS(RdTRABYVals!O$2:O$999,RdTRABYVals!$B$2:$B$999,"="&amp;$C6,RdTRABYVals!$C$2:$C$999,"="&amp;INS!$A6),"")</f>
        <v>0.5</v>
      </c>
      <c r="K6" s="2">
        <f>IFERROR(AVERAGEIFS(RdTRABYVals!P$2:P$999,RdTRABYVals!$B$2:$B$999,"="&amp;$C6,RdTRABYVals!$C$2:$C$999,"="&amp;INS!$A6),"")</f>
        <v>0.5</v>
      </c>
      <c r="L6" s="2">
        <f>IFERROR(AVERAGEIFS(RdTRABYVals!Q$2:Q$999,RdTRABYVals!$B$2:$B$999,"="&amp;$C6,RdTRABYVals!$C$2:$C$999,"="&amp;INS!$A6),"")</f>
        <v>0.5</v>
      </c>
      <c r="M6" s="2">
        <f>IFERROR(AVERAGEIFS(RdTRABYVals!R$2:R$999,RdTRABYVals!$B$2:$B$999,"="&amp;$C6,RdTRABYVals!$C$2:$C$999,"="&amp;INS!$A6),"")</f>
        <v>0.5</v>
      </c>
      <c r="N6" s="2">
        <f>IFERROR(AVERAGEIFS(RdTRABYVals!S$2:S$999,RdTRABYVals!$B$2:$B$999,"="&amp;$C6,RdTRABYVals!$C$2:$C$999,"="&amp;INS!$A6),"")</f>
        <v>0.5</v>
      </c>
      <c r="O6" s="2">
        <f>IFERROR(AVERAGEIFS(RdTRABYVals!T$2:T$999,RdTRABYVals!$B$2:$B$999,"="&amp;$C6,RdTRABYVals!$C$2:$C$999,"="&amp;INS!$A6),"")</f>
        <v>0.5</v>
      </c>
      <c r="P6" s="2">
        <f>IFERROR(AVERAGEIFS(RdTRABYVals!U$2:U$999,RdTRABYVals!$B$2:$B$999,"="&amp;$C6,RdTRABYVals!$C$2:$C$999,"="&amp;INS!$A6),"")</f>
        <v>0.5</v>
      </c>
      <c r="Q6" s="2">
        <f>IFERROR(AVERAGEIFS(RdTRABYVals!V$2:V$999,RdTRABYVals!$B$2:$B$999,"="&amp;$C6,RdTRABYVals!$C$2:$C$999,"="&amp;INS!$A6),"")</f>
        <v>0.5</v>
      </c>
      <c r="R6" s="2">
        <f>IFERROR(AVERAGEIFS(RdTRABYVals!W$2:W$999,RdTRABYVals!$B$2:$B$999,"="&amp;$C6,RdTRABYVals!$C$2:$C$999,"="&amp;INS!$A6),"")</f>
        <v>0.5</v>
      </c>
      <c r="S6" s="2">
        <f>IFERROR(AVERAGEIFS(RdTRABYVals!X$2:X$999,RdTRABYVals!$B$2:$B$999,"="&amp;$C6,RdTRABYVals!$C$2:$C$999,"="&amp;INS!$A6),"")</f>
        <v>0.5</v>
      </c>
      <c r="T6" s="2">
        <f>IFERROR(AVERAGEIFS(RdTRABYVals!Y$2:Y$999,RdTRABYVals!$B$2:$B$999,"="&amp;$C6,RdTRABYVals!$C$2:$C$999,"="&amp;INS!$A6),"")</f>
        <v>0.5</v>
      </c>
      <c r="U6" s="2">
        <f>IFERROR(AVERAGEIFS(RdTRABYVals!Z$2:Z$999,RdTRABYVals!$B$2:$B$999,"="&amp;$C6,RdTRABYVals!$C$2:$C$999,"="&amp;INS!$A6),"")</f>
        <v>0.5</v>
      </c>
      <c r="V6" s="2">
        <f>IFERROR(AVERAGEIFS(RdTRABYVals!AA$2:AA$999,RdTRABYVals!$B$2:$B$999,"="&amp;$C6,RdTRABYVals!$C$2:$C$999,"="&amp;INS!$A6),"")</f>
        <v>0.5</v>
      </c>
      <c r="W6" s="2">
        <f>IFERROR(AVERAGEIFS(RdTRABYVals!AB$2:AB$999,RdTRABYVals!$B$2:$B$999,"="&amp;$C6,RdTRABYVals!$C$2:$C$999,"="&amp;INS!$A6),"")</f>
        <v>0.5</v>
      </c>
      <c r="X6" s="2">
        <f>IFERROR(AVERAGEIFS(RdTRABYVals!AC$2:AC$999,RdTRABYVals!$B$2:$B$999,"="&amp;$C6,RdTRABYVals!$C$2:$C$999,"="&amp;INS!$A6),"")</f>
        <v>0.5</v>
      </c>
      <c r="Y6" s="2">
        <f>IFERROR(AVERAGEIFS(RdTRABYVals!AD$2:AD$999,RdTRABYVals!$B$2:$B$999,"="&amp;$C6,RdTRABYVals!$C$2:$C$999,"="&amp;INS!$A6),"")</f>
        <v>0.5</v>
      </c>
      <c r="Z6" s="2">
        <f>IFERROR(AVERAGEIFS(RdTRABYVals!AE$2:AE$999,RdTRABYVals!$B$2:$B$999,"="&amp;$C6,RdTRABYVals!$C$2:$C$999,"="&amp;INS!$A6),"")</f>
        <v>0.5</v>
      </c>
      <c r="AA6" s="2">
        <f>IFERROR(AVERAGEIFS(RdTRABYVals!AF$2:AF$999,RdTRABYVals!$B$2:$B$999,"="&amp;$C6,RdTRABYVals!$C$2:$C$999,"="&amp;INS!$A6),"")</f>
        <v>0.5</v>
      </c>
      <c r="AB6" s="2">
        <f>IFERROR(AVERAGEIFS(RdTRABYVals!AG$2:AG$999,RdTRABYVals!$B$2:$B$999,"="&amp;$C6,RdTRABYVals!$C$2:$C$999,"="&amp;INS!$A6),"")</f>
        <v>0.5</v>
      </c>
      <c r="AC6" s="2">
        <f>IFERROR(AVERAGEIFS(RdTRABYVals!AH$2:AH$999,RdTRABYVals!$B$2:$B$999,"="&amp;$C6,RdTRABYVals!$C$2:$C$999,"="&amp;INS!$A6),"")</f>
        <v>0.5</v>
      </c>
      <c r="AD6" s="2">
        <f>IFERROR(AVERAGEIFS(RdTRABYVals!AI$2:AI$999,RdTRABYVals!$B$2:$B$999,"="&amp;$C6,RdTRABYVals!$C$2:$C$999,"="&amp;INS!$A6),"")</f>
        <v>0.5</v>
      </c>
      <c r="AE6" s="2">
        <f>IFERROR(AVERAGEIFS(RdTRABYVals!AJ$2:AJ$999,RdTRABYVals!$B$2:$B$999,"="&amp;$C6,RdTRABYVals!$C$2:$C$999,"="&amp;INS!$A6),"")</f>
        <v>0.5</v>
      </c>
      <c r="AF6" s="2">
        <f>IFERROR(AVERAGEIFS(RdTRABYVals!AK$2:AK$999,RdTRABYVals!$B$2:$B$999,"="&amp;$C6,RdTRABYVals!$C$2:$C$999,"="&amp;INS!$A6),"")</f>
        <v>0.5</v>
      </c>
      <c r="AG6" s="2">
        <f>IFERROR(AVERAGEIFS(RdTRABYVals!AL$2:AL$999,RdTRABYVals!$B$2:$B$999,"="&amp;$C6,RdTRABYVals!$C$2:$C$999,"="&amp;INS!$A6),"")</f>
        <v>0.5</v>
      </c>
      <c r="AH6" s="2">
        <f>IFERROR(AVERAGEIFS(RdTRABYVals!AM$2:AM$999,RdTRABYVals!$B$2:$B$999,"="&amp;$C6,RdTRABYVals!$C$2:$C$999,"="&amp;INS!$A6),"")</f>
        <v>0.5</v>
      </c>
      <c r="AI6" s="2">
        <f>IFERROR(AVERAGEIFS(RdTRABYVals!AN$2:AN$999,RdTRABYVals!$B$2:$B$999,"="&amp;$C6,RdTRABYVals!$C$2:$C$999,"="&amp;INS!$A6),"")</f>
        <v>0.5</v>
      </c>
      <c r="AJ6" s="2">
        <f>IFERROR(AVERAGEIFS(RdTRABYVals!AO$2:AO$999,RdTRABYVals!$B$2:$B$999,"="&amp;$C6,RdTRABYVals!$C$2:$C$999,"="&amp;INS!$A6),"")</f>
        <v>0.5</v>
      </c>
      <c r="AK6" s="2">
        <f>IFERROR(AVERAGEIFS(RdTRABYVals!AP$2:AP$999,RdTRABYVals!$B$2:$B$999,"="&amp;$C6,RdTRABYVals!$C$2:$C$999,"="&amp;INS!$A6),"")</f>
        <v>0.5</v>
      </c>
      <c r="AL6" s="2">
        <f>IFERROR(AVERAGEIFS(RdTRABYVals!AQ$2:AQ$999,RdTRABYVals!$B$2:$B$999,"="&amp;$C6,RdTRABYVals!$C$2:$C$999,"="&amp;INS!$A6),"")</f>
        <v>0.5</v>
      </c>
      <c r="AM6" s="2">
        <f>IFERROR(AVERAGEIFS(RdTRABYVals!AR$2:AR$999,RdTRABYVals!$B$2:$B$999,"="&amp;$C6,RdTRABYVals!$C$2:$C$999,"="&amp;INS!$A6),"")</f>
        <v>0.5</v>
      </c>
      <c r="AN6" s="2">
        <f>IFERROR(AVERAGEIFS(RdTRABYVals!AS$2:AS$999,RdTRABYVals!$B$2:$B$999,"="&amp;$C6,RdTRABYVals!$C$2:$C$999,"="&amp;INS!$A6),"")</f>
        <v>0.5</v>
      </c>
      <c r="AO6" s="2">
        <f>IFERROR(AVERAGEIFS(RdTRABYVals!AT$2:AT$999,RdTRABYVals!$B$2:$B$999,"="&amp;$C6,RdTRABYVals!$C$2:$C$999,"="&amp;INS!$A6),"")</f>
        <v>0.5</v>
      </c>
      <c r="AP6" s="2">
        <f>IFERROR(AVERAGEIFS(RdTRABYVals!AU$2:AU$999,RdTRABYVals!$B$2:$B$999,"="&amp;$C6,RdTRABYVals!$C$2:$C$999,"="&amp;INS!$A6),"")</f>
        <v>0.5</v>
      </c>
      <c r="AQ6" s="2">
        <f>IFERROR(AVERAGEIFS(RdTRABYVals!AV$2:AV$999,RdTRABYVals!$B$2:$B$999,"="&amp;$C6,RdTRABYVals!$C$2:$C$999,"="&amp;INS!$A6),"")</f>
        <v>0.5</v>
      </c>
    </row>
    <row r="7" spans="1:43" ht="14.4">
      <c r="A7" s="3" t="s">
        <v>101</v>
      </c>
      <c r="C7" s="1" t="s">
        <v>28</v>
      </c>
      <c r="D7" t="str">
        <f t="shared" si="0"/>
        <v>TRA_Mop*</v>
      </c>
      <c r="E7" s="1" t="s">
        <v>105</v>
      </c>
      <c r="F7" s="4">
        <f t="shared" si="1"/>
        <v>1.1045680852497337</v>
      </c>
      <c r="G7" s="2">
        <f>IFERROR(AVERAGEIFS(RdTRABYVals!L$2:L$999,RdTRABYVals!$B$2:$B$999,"="&amp;$C7,RdTRABYVals!$C$2:$C$999,"="&amp;INS!$A7),"")</f>
        <v>1.1000000238418599</v>
      </c>
      <c r="H7" s="2">
        <f>IFERROR(AVERAGEIFS(RdTRABYVals!M$2:M$999,RdTRABYVals!$B$2:$B$999,"="&amp;$C7,RdTRABYVals!$C$2:$C$999,"="&amp;INS!$A7),"")</f>
        <v>1.1005542278289799</v>
      </c>
      <c r="I7" s="2">
        <f>IFERROR(AVERAGEIFS(RdTRABYVals!N$2:N$999,RdTRABYVals!$B$2:$B$999,"="&amp;$C7,RdTRABYVals!$C$2:$C$999,"="&amp;INS!$A7),"")</f>
        <v>1.1000000238418599</v>
      </c>
      <c r="J7" s="2">
        <f>IFERROR(AVERAGEIFS(RdTRABYVals!O$2:O$999,RdTRABYVals!$B$2:$B$999,"="&amp;$C7,RdTRABYVals!$C$2:$C$999,"="&amp;INS!$A7),"")</f>
        <v>1.0559999942779501</v>
      </c>
      <c r="K7" s="2">
        <f>IFERROR(AVERAGEIFS(RdTRABYVals!P$2:P$999,RdTRABYVals!$B$2:$B$999,"="&amp;$C7,RdTRABYVals!$C$2:$C$999,"="&amp;INS!$A7),"")</f>
        <v>1.1000000238418599</v>
      </c>
      <c r="L7" s="2">
        <f>IFERROR(AVERAGEIFS(RdTRABYVals!Q$2:Q$999,RdTRABYVals!$B$2:$B$999,"="&amp;$C7,RdTRABYVals!$C$2:$C$999,"="&amp;INS!$A7),"")</f>
        <v>1.07429051399231</v>
      </c>
      <c r="M7" s="2">
        <f>IFERROR(AVERAGEIFS(RdTRABYVals!R$2:R$999,RdTRABYVals!$B$2:$B$999,"="&amp;$C7,RdTRABYVals!$C$2:$C$999,"="&amp;INS!$A7),"")</f>
        <v>1.1000000238418599</v>
      </c>
      <c r="N7" s="2">
        <f>IFERROR(AVERAGEIFS(RdTRABYVals!S$2:S$999,RdTRABYVals!$B$2:$B$999,"="&amp;$C7,RdTRABYVals!$C$2:$C$999,"="&amp;INS!$A7),"")</f>
        <v>1.1000000238418599</v>
      </c>
      <c r="O7" s="2">
        <f>IFERROR(AVERAGEIFS(RdTRABYVals!T$2:T$999,RdTRABYVals!$B$2:$B$999,"="&amp;$C7,RdTRABYVals!$C$2:$C$999,"="&amp;INS!$A7),"")</f>
        <v>1.1000000238418599</v>
      </c>
      <c r="P7" s="2">
        <f>IFERROR(AVERAGEIFS(RdTRABYVals!U$2:U$999,RdTRABYVals!$B$2:$B$999,"="&amp;$C7,RdTRABYVals!$C$2:$C$999,"="&amp;INS!$A7),"")</f>
        <v>1.1000000238418599</v>
      </c>
      <c r="Q7" s="2" t="str">
        <f>IFERROR(AVERAGEIFS(RdTRABYVals!V$2:V$999,RdTRABYVals!$B$2:$B$999,"="&amp;$C7,RdTRABYVals!$C$2:$C$999,"="&amp;INS!$A7),"")</f>
        <v/>
      </c>
      <c r="R7" s="2">
        <f>IFERROR(AVERAGEIFS(RdTRABYVals!W$2:W$999,RdTRABYVals!$B$2:$B$999,"="&amp;$C7,RdTRABYVals!$C$2:$C$999,"="&amp;INS!$A7),"")</f>
        <v>1.1000000238418599</v>
      </c>
      <c r="S7" s="2">
        <f>IFERROR(AVERAGEIFS(RdTRABYVals!X$2:X$999,RdTRABYVals!$B$2:$B$999,"="&amp;$C7,RdTRABYVals!$C$2:$C$999,"="&amp;INS!$A7),"")</f>
        <v>1.33683204650879</v>
      </c>
      <c r="T7" s="2">
        <f>IFERROR(AVERAGEIFS(RdTRABYVals!Y$2:Y$999,RdTRABYVals!$B$2:$B$999,"="&amp;$C7,RdTRABYVals!$C$2:$C$999,"="&amp;INS!$A7),"")</f>
        <v>1</v>
      </c>
      <c r="U7" s="2">
        <f>IFERROR(AVERAGEIFS(RdTRABYVals!Z$2:Z$999,RdTRABYVals!$B$2:$B$999,"="&amp;$C7,RdTRABYVals!$C$2:$C$999,"="&amp;INS!$A7),"")</f>
        <v>1.1000000238418599</v>
      </c>
      <c r="V7" s="2">
        <f>IFERROR(AVERAGEIFS(RdTRABYVals!AA$2:AA$999,RdTRABYVals!$B$2:$B$999,"="&amp;$C7,RdTRABYVals!$C$2:$C$999,"="&amp;INS!$A7),"")</f>
        <v>1.1000000238418599</v>
      </c>
      <c r="W7" s="2">
        <f>IFERROR(AVERAGEIFS(RdTRABYVals!AB$2:AB$999,RdTRABYVals!$B$2:$B$999,"="&amp;$C7,RdTRABYVals!$C$2:$C$999,"="&amp;INS!$A7),"")</f>
        <v>1.1000000238418599</v>
      </c>
      <c r="X7" s="2">
        <f>IFERROR(AVERAGEIFS(RdTRABYVals!AC$2:AC$999,RdTRABYVals!$B$2:$B$999,"="&amp;$C7,RdTRABYVals!$C$2:$C$999,"="&amp;INS!$A7),"")</f>
        <v>1.1000000238418599</v>
      </c>
      <c r="Y7" s="2" t="str">
        <f>IFERROR(AVERAGEIFS(RdTRABYVals!AD$2:AD$999,RdTRABYVals!$B$2:$B$999,"="&amp;$C7,RdTRABYVals!$C$2:$C$999,"="&amp;INS!$A7),"")</f>
        <v/>
      </c>
      <c r="Z7" s="2">
        <f>IFERROR(AVERAGEIFS(RdTRABYVals!AE$2:AE$999,RdTRABYVals!$B$2:$B$999,"="&amp;$C7,RdTRABYVals!$C$2:$C$999,"="&amp;INS!$A7),"")</f>
        <v>1.1000000238418599</v>
      </c>
      <c r="AA7" s="2">
        <f>IFERROR(AVERAGEIFS(RdTRABYVals!AF$2:AF$999,RdTRABYVals!$B$2:$B$999,"="&amp;$C7,RdTRABYVals!$C$2:$C$999,"="&amp;INS!$A7),"")</f>
        <v>1.1000000238418599</v>
      </c>
      <c r="AB7" s="2">
        <f>IFERROR(AVERAGEIFS(RdTRABYVals!AG$2:AG$999,RdTRABYVals!$B$2:$B$999,"="&amp;$C7,RdTRABYVals!$C$2:$C$999,"="&amp;INS!$A7),"")</f>
        <v>1.19993352890015</v>
      </c>
      <c r="AC7" s="2">
        <f>IFERROR(AVERAGEIFS(RdTRABYVals!AH$2:AH$999,RdTRABYVals!$B$2:$B$999,"="&amp;$C7,RdTRABYVals!$C$2:$C$999,"="&amp;INS!$A7),"")</f>
        <v>1.1000000238418599</v>
      </c>
      <c r="AD7" s="2">
        <f>IFERROR(AVERAGEIFS(RdTRABYVals!AI$2:AI$999,RdTRABYVals!$B$2:$B$999,"="&amp;$C7,RdTRABYVals!$C$2:$C$999,"="&amp;INS!$A7),"")</f>
        <v>1.1000000238418599</v>
      </c>
      <c r="AE7" s="2">
        <f>IFERROR(AVERAGEIFS(RdTRABYVals!AJ$2:AJ$999,RdTRABYVals!$B$2:$B$999,"="&amp;$C7,RdTRABYVals!$C$2:$C$999,"="&amp;INS!$A7),"")</f>
        <v>1.1000000238418599</v>
      </c>
      <c r="AF7" s="2" t="str">
        <f>IFERROR(AVERAGEIFS(RdTRABYVals!AK$2:AK$999,RdTRABYVals!$B$2:$B$999,"="&amp;$C7,RdTRABYVals!$C$2:$C$999,"="&amp;INS!$A7),"")</f>
        <v/>
      </c>
      <c r="AG7" s="2">
        <f>IFERROR(AVERAGEIFS(RdTRABYVals!AL$2:AL$999,RdTRABYVals!$B$2:$B$999,"="&amp;$C7,RdTRABYVals!$C$2:$C$999,"="&amp;INS!$A7),"")</f>
        <v>1.1000000238418599</v>
      </c>
      <c r="AH7" s="2">
        <f>IFERROR(AVERAGEIFS(RdTRABYVals!AM$2:AM$999,RdTRABYVals!$B$2:$B$999,"="&amp;$C7,RdTRABYVals!$C$2:$C$999,"="&amp;INS!$A7),"")</f>
        <v>1.1000000238418599</v>
      </c>
      <c r="AI7" s="2">
        <f>IFERROR(AVERAGEIFS(RdTRABYVals!AN$2:AN$999,RdTRABYVals!$B$2:$B$999,"="&amp;$C7,RdTRABYVals!$C$2:$C$999,"="&amp;INS!$A7),"")</f>
        <v>1.0825396776199301</v>
      </c>
      <c r="AJ7" s="2">
        <f>IFERROR(AVERAGEIFS(RdTRABYVals!AO$2:AO$999,RdTRABYVals!$B$2:$B$999,"="&amp;$C7,RdTRABYVals!$C$2:$C$999,"="&amp;INS!$A7),"")</f>
        <v>1.1000000238418599</v>
      </c>
      <c r="AK7" s="2">
        <f>IFERROR(AVERAGEIFS(RdTRABYVals!AP$2:AP$999,RdTRABYVals!$B$2:$B$999,"="&amp;$C7,RdTRABYVals!$C$2:$C$999,"="&amp;INS!$A7),"")</f>
        <v>1.1000000238418599</v>
      </c>
      <c r="AL7" s="2">
        <f>IFERROR(AVERAGEIFS(RdTRABYVals!AQ$2:AQ$999,RdTRABYVals!$B$2:$B$999,"="&amp;$C7,RdTRABYVals!$C$2:$C$999,"="&amp;INS!$A7),"")</f>
        <v>1.1000000238418599</v>
      </c>
      <c r="AM7" s="2">
        <f>IFERROR(AVERAGEIFS(RdTRABYVals!AR$2:AR$999,RdTRABYVals!$B$2:$B$999,"="&amp;$C7,RdTRABYVals!$C$2:$C$999,"="&amp;INS!$A7),"")</f>
        <v>1.1000000238418599</v>
      </c>
      <c r="AN7" s="2">
        <f>IFERROR(AVERAGEIFS(RdTRABYVals!AS$2:AS$999,RdTRABYVals!$B$2:$B$999,"="&amp;$C7,RdTRABYVals!$C$2:$C$999,"="&amp;INS!$A7),"")</f>
        <v>1.1005988121032699</v>
      </c>
      <c r="AO7" s="2">
        <f>IFERROR(AVERAGEIFS(RdTRABYVals!AT$2:AT$999,RdTRABYVals!$B$2:$B$999,"="&amp;$C7,RdTRABYVals!$C$2:$C$999,"="&amp;INS!$A7),"")</f>
        <v>1.1000000238418599</v>
      </c>
      <c r="AP7" s="2">
        <f>IFERROR(AVERAGEIFS(RdTRABYVals!AU$2:AU$999,RdTRABYVals!$B$2:$B$999,"="&amp;$C7,RdTRABYVals!$C$2:$C$999,"="&amp;INS!$A7),"")</f>
        <v>1.1000000238418599</v>
      </c>
      <c r="AQ7" s="2">
        <f>IFERROR(AVERAGEIFS(RdTRABYVals!AV$2:AV$999,RdTRABYVals!$B$2:$B$999,"="&amp;$C7,RdTRABYVals!$C$2:$C$999,"="&amp;INS!$A7),"")</f>
        <v>1.10456550121307</v>
      </c>
    </row>
    <row r="8" spans="1:43" ht="14.4">
      <c r="A8" s="3" t="s">
        <v>102</v>
      </c>
      <c r="C8" s="1" t="s">
        <v>28</v>
      </c>
      <c r="D8" t="str">
        <f t="shared" si="0"/>
        <v>TRA_Mot*</v>
      </c>
      <c r="E8" s="1" t="s">
        <v>105</v>
      </c>
      <c r="F8" s="4">
        <f t="shared" si="1"/>
        <v>1.1041977018923386</v>
      </c>
      <c r="G8" s="2">
        <f>IFERROR(AVERAGEIFS(RdTRABYVals!L$2:L$999,RdTRABYVals!$B$2:$B$999,"="&amp;$C8,RdTRABYVals!$C$2:$C$999,"="&amp;INS!$A8),"")</f>
        <v>1.1000000238418599</v>
      </c>
      <c r="H8" s="2">
        <f>IFERROR(AVERAGEIFS(RdTRABYVals!M$2:M$999,RdTRABYVals!$B$2:$B$999,"="&amp;$C8,RdTRABYVals!$C$2:$C$999,"="&amp;INS!$A8),"")</f>
        <v>1.1005542278289799</v>
      </c>
      <c r="I8" s="2">
        <f>IFERROR(AVERAGEIFS(RdTRABYVals!N$2:N$999,RdTRABYVals!$B$2:$B$999,"="&amp;$C8,RdTRABYVals!$C$2:$C$999,"="&amp;INS!$A8),"")</f>
        <v>1.1000000238418599</v>
      </c>
      <c r="J8" s="2">
        <f>IFERROR(AVERAGEIFS(RdTRABYVals!O$2:O$999,RdTRABYVals!$B$2:$B$999,"="&amp;$C8,RdTRABYVals!$C$2:$C$999,"="&amp;INS!$A8),"")</f>
        <v>1.0559999942779501</v>
      </c>
      <c r="K8" s="2">
        <f>IFERROR(AVERAGEIFS(RdTRABYVals!P$2:P$999,RdTRABYVals!$B$2:$B$999,"="&amp;$C8,RdTRABYVals!$C$2:$C$999,"="&amp;INS!$A8),"")</f>
        <v>1.1000000238418599</v>
      </c>
      <c r="L8" s="2">
        <f>IFERROR(AVERAGEIFS(RdTRABYVals!Q$2:Q$999,RdTRABYVals!$B$2:$B$999,"="&amp;$C8,RdTRABYVals!$C$2:$C$999,"="&amp;INS!$A8),"")</f>
        <v>1.07429051399231</v>
      </c>
      <c r="M8" s="2">
        <f>IFERROR(AVERAGEIFS(RdTRABYVals!R$2:R$999,RdTRABYVals!$B$2:$B$999,"="&amp;$C8,RdTRABYVals!$C$2:$C$999,"="&amp;INS!$A8),"")</f>
        <v>1.1000000238418599</v>
      </c>
      <c r="N8" s="2">
        <f>IFERROR(AVERAGEIFS(RdTRABYVals!S$2:S$999,RdTRABYVals!$B$2:$B$999,"="&amp;$C8,RdTRABYVals!$C$2:$C$999,"="&amp;INS!$A8),"")</f>
        <v>1.1000000238418599</v>
      </c>
      <c r="O8" s="2">
        <f>IFERROR(AVERAGEIFS(RdTRABYVals!T$2:T$999,RdTRABYVals!$B$2:$B$999,"="&amp;$C8,RdTRABYVals!$C$2:$C$999,"="&amp;INS!$A8),"")</f>
        <v>1.1000000238418599</v>
      </c>
      <c r="P8" s="2">
        <f>IFERROR(AVERAGEIFS(RdTRABYVals!U$2:U$999,RdTRABYVals!$B$2:$B$999,"="&amp;$C8,RdTRABYVals!$C$2:$C$999,"="&amp;INS!$A8),"")</f>
        <v>1.1000000238418599</v>
      </c>
      <c r="Q8" s="2">
        <f>IFERROR(AVERAGEIFS(RdTRABYVals!V$2:V$999,RdTRABYVals!$B$2:$B$999,"="&amp;$C8,RdTRABYVals!$C$2:$C$999,"="&amp;INS!$A8),"")</f>
        <v>1.1000000238418599</v>
      </c>
      <c r="R8" s="2">
        <f>IFERROR(AVERAGEIFS(RdTRABYVals!W$2:W$999,RdTRABYVals!$B$2:$B$999,"="&amp;$C8,RdTRABYVals!$C$2:$C$999,"="&amp;INS!$A8),"")</f>
        <v>1.1000000238418599</v>
      </c>
      <c r="S8" s="2">
        <f>IFERROR(AVERAGEIFS(RdTRABYVals!X$2:X$999,RdTRABYVals!$B$2:$B$999,"="&amp;$C8,RdTRABYVals!$C$2:$C$999,"="&amp;INS!$A8),"")</f>
        <v>1.33683204650879</v>
      </c>
      <c r="T8" s="2">
        <f>IFERROR(AVERAGEIFS(RdTRABYVals!Y$2:Y$999,RdTRABYVals!$B$2:$B$999,"="&amp;$C8,RdTRABYVals!$C$2:$C$999,"="&amp;INS!$A8),"")</f>
        <v>1</v>
      </c>
      <c r="U8" s="2">
        <f>IFERROR(AVERAGEIFS(RdTRABYVals!Z$2:Z$999,RdTRABYVals!$B$2:$B$999,"="&amp;$C8,RdTRABYVals!$C$2:$C$999,"="&amp;INS!$A8),"")</f>
        <v>1.1000000238418599</v>
      </c>
      <c r="V8" s="2">
        <f>IFERROR(AVERAGEIFS(RdTRABYVals!AA$2:AA$999,RdTRABYVals!$B$2:$B$999,"="&amp;$C8,RdTRABYVals!$C$2:$C$999,"="&amp;INS!$A8),"")</f>
        <v>1.1000000238418599</v>
      </c>
      <c r="W8" s="2">
        <f>IFERROR(AVERAGEIFS(RdTRABYVals!AB$2:AB$999,RdTRABYVals!$B$2:$B$999,"="&amp;$C8,RdTRABYVals!$C$2:$C$999,"="&amp;INS!$A8),"")</f>
        <v>1.1000000238418599</v>
      </c>
      <c r="X8" s="2">
        <f>IFERROR(AVERAGEIFS(RdTRABYVals!AC$2:AC$999,RdTRABYVals!$B$2:$B$999,"="&amp;$C8,RdTRABYVals!$C$2:$C$999,"="&amp;INS!$A8),"")</f>
        <v>1.1000000238418599</v>
      </c>
      <c r="Y8" s="2">
        <f>IFERROR(AVERAGEIFS(RdTRABYVals!AD$2:AD$999,RdTRABYVals!$B$2:$B$999,"="&amp;$C8,RdTRABYVals!$C$2:$C$999,"="&amp;INS!$A8),"")</f>
        <v>1.1000000238418599</v>
      </c>
      <c r="Z8" s="2">
        <f>IFERROR(AVERAGEIFS(RdTRABYVals!AE$2:AE$999,RdTRABYVals!$B$2:$B$999,"="&amp;$C8,RdTRABYVals!$C$2:$C$999,"="&amp;INS!$A8),"")</f>
        <v>1.1000000238418599</v>
      </c>
      <c r="AA8" s="2">
        <f>IFERROR(AVERAGEIFS(RdTRABYVals!AF$2:AF$999,RdTRABYVals!$B$2:$B$999,"="&amp;$C8,RdTRABYVals!$C$2:$C$999,"="&amp;INS!$A8),"")</f>
        <v>1.1000000238418599</v>
      </c>
      <c r="AB8" s="2">
        <f>IFERROR(AVERAGEIFS(RdTRABYVals!AG$2:AG$999,RdTRABYVals!$B$2:$B$999,"="&amp;$C8,RdTRABYVals!$C$2:$C$999,"="&amp;INS!$A8),"")</f>
        <v>1.19993352890015</v>
      </c>
      <c r="AC8" s="2">
        <f>IFERROR(AVERAGEIFS(RdTRABYVals!AH$2:AH$999,RdTRABYVals!$B$2:$B$999,"="&amp;$C8,RdTRABYVals!$C$2:$C$999,"="&amp;INS!$A8),"")</f>
        <v>1.1000000238418599</v>
      </c>
      <c r="AD8" s="2">
        <f>IFERROR(AVERAGEIFS(RdTRABYVals!AI$2:AI$999,RdTRABYVals!$B$2:$B$999,"="&amp;$C8,RdTRABYVals!$C$2:$C$999,"="&amp;INS!$A8),"")</f>
        <v>1.1000000238418599</v>
      </c>
      <c r="AE8" s="2">
        <f>IFERROR(AVERAGEIFS(RdTRABYVals!AJ$2:AJ$999,RdTRABYVals!$B$2:$B$999,"="&amp;$C8,RdTRABYVals!$C$2:$C$999,"="&amp;INS!$A8),"")</f>
        <v>1.1000000238418599</v>
      </c>
      <c r="AF8" s="2">
        <f>IFERROR(AVERAGEIFS(RdTRABYVals!AK$2:AK$999,RdTRABYVals!$B$2:$B$999,"="&amp;$C8,RdTRABYVals!$C$2:$C$999,"="&amp;INS!$A8),"")</f>
        <v>1.1000000238418599</v>
      </c>
      <c r="AG8" s="2">
        <f>IFERROR(AVERAGEIFS(RdTRABYVals!AL$2:AL$999,RdTRABYVals!$B$2:$B$999,"="&amp;$C8,RdTRABYVals!$C$2:$C$999,"="&amp;INS!$A8),"")</f>
        <v>1.1000000238418599</v>
      </c>
      <c r="AH8" s="2">
        <f>IFERROR(AVERAGEIFS(RdTRABYVals!AM$2:AM$999,RdTRABYVals!$B$2:$B$999,"="&amp;$C8,RdTRABYVals!$C$2:$C$999,"="&amp;INS!$A8),"")</f>
        <v>1.1000000238418599</v>
      </c>
      <c r="AI8" s="2">
        <f>IFERROR(AVERAGEIFS(RdTRABYVals!AN$2:AN$999,RdTRABYVals!$B$2:$B$999,"="&amp;$C8,RdTRABYVals!$C$2:$C$999,"="&amp;INS!$A8),"")</f>
        <v>1.0825396776199301</v>
      </c>
      <c r="AJ8" s="2">
        <f>IFERROR(AVERAGEIFS(RdTRABYVals!AO$2:AO$999,RdTRABYVals!$B$2:$B$999,"="&amp;$C8,RdTRABYVals!$C$2:$C$999,"="&amp;INS!$A8),"")</f>
        <v>1.1000000238418599</v>
      </c>
      <c r="AK8" s="2">
        <f>IFERROR(AVERAGEIFS(RdTRABYVals!AP$2:AP$999,RdTRABYVals!$B$2:$B$999,"="&amp;$C8,RdTRABYVals!$C$2:$C$999,"="&amp;INS!$A8),"")</f>
        <v>1.1000000238418599</v>
      </c>
      <c r="AL8" s="2">
        <f>IFERROR(AVERAGEIFS(RdTRABYVals!AQ$2:AQ$999,RdTRABYVals!$B$2:$B$999,"="&amp;$C8,RdTRABYVals!$C$2:$C$999,"="&amp;INS!$A8),"")</f>
        <v>1.1000000238418599</v>
      </c>
      <c r="AM8" s="2">
        <f>IFERROR(AVERAGEIFS(RdTRABYVals!AR$2:AR$999,RdTRABYVals!$B$2:$B$999,"="&amp;$C8,RdTRABYVals!$C$2:$C$999,"="&amp;INS!$A8),"")</f>
        <v>1.1000000238418599</v>
      </c>
      <c r="AN8" s="2">
        <f>IFERROR(AVERAGEIFS(RdTRABYVals!AS$2:AS$999,RdTRABYVals!$B$2:$B$999,"="&amp;$C8,RdTRABYVals!$C$2:$C$999,"="&amp;INS!$A8),"")</f>
        <v>1.1005988121032699</v>
      </c>
      <c r="AO8" s="2">
        <f>IFERROR(AVERAGEIFS(RdTRABYVals!AT$2:AT$999,RdTRABYVals!$B$2:$B$999,"="&amp;$C8,RdTRABYVals!$C$2:$C$999,"="&amp;INS!$A8),"")</f>
        <v>1.1000000238418599</v>
      </c>
      <c r="AP8" s="2">
        <f>IFERROR(AVERAGEIFS(RdTRABYVals!AU$2:AU$999,RdTRABYVals!$B$2:$B$999,"="&amp;$C8,RdTRABYVals!$C$2:$C$999,"="&amp;INS!$A8),"")</f>
        <v>1.1000000238418599</v>
      </c>
      <c r="AQ8" s="2">
        <f>IFERROR(AVERAGEIFS(RdTRABYVals!AV$2:AV$999,RdTRABYVals!$B$2:$B$999,"="&amp;$C8,RdTRABYVals!$C$2:$C$999,"="&amp;INS!$A8),"")</f>
        <v>1.10456550121307</v>
      </c>
    </row>
    <row r="11" spans="3:3" ht="13.2">
      <c r="C11" s="5" t="s">
        <v>106</v>
      </c>
    </row>
    <row r="12" spans="3:6" ht="13.2">
      <c r="C12" t="s">
        <v>36</v>
      </c>
      <c r="D12" t="s">
        <v>103</v>
      </c>
      <c r="E12" t="s">
        <v>104</v>
      </c>
      <c r="F12" t="s">
        <v>47</v>
      </c>
    </row>
    <row r="13" spans="3:6" ht="13.2">
      <c r="C13" s="1" t="s">
        <v>70</v>
      </c>
      <c r="D13" t="str">
        <f t="shared" si="2" ref="D13:D18">A3</f>
        <v>TRA_Bus*</v>
      </c>
      <c r="F13">
        <v>0.001</v>
      </c>
    </row>
    <row r="14" spans="3:6" ht="13.2">
      <c r="C14" s="1" t="s">
        <v>70</v>
      </c>
      <c r="D14" t="str">
        <f t="shared" si="2"/>
        <v>TRA_Car*</v>
      </c>
      <c r="F14">
        <v>0.001</v>
      </c>
    </row>
    <row r="15" spans="3:6" ht="13.2">
      <c r="C15" s="1" t="s">
        <v>70</v>
      </c>
      <c r="D15" t="str">
        <f t="shared" si="2"/>
        <v>TRA_Hdt*</v>
      </c>
      <c r="F15">
        <v>0.001</v>
      </c>
    </row>
    <row r="16" spans="3:6" ht="13.2">
      <c r="C16" s="1" t="s">
        <v>70</v>
      </c>
      <c r="D16" t="str">
        <f t="shared" si="2"/>
        <v>TRA_Lcv*</v>
      </c>
      <c r="F16">
        <v>0.001</v>
      </c>
    </row>
    <row r="17" spans="3:6" ht="13.2">
      <c r="C17" s="1" t="s">
        <v>70</v>
      </c>
      <c r="D17" t="str">
        <f t="shared" si="2"/>
        <v>TRA_Mop*</v>
      </c>
      <c r="F17">
        <v>0.001</v>
      </c>
    </row>
    <row r="18" spans="3:6" ht="13.2">
      <c r="C18" s="1" t="s">
        <v>70</v>
      </c>
      <c r="D18" t="str">
        <f t="shared" si="2"/>
        <v>TRA_Mot*</v>
      </c>
      <c r="F18">
        <v>0.001</v>
      </c>
    </row>
    <row r="19" spans="3:3" ht="13.2">
      <c r="C19" s="1"/>
    </row>
    <row r="20" spans="3:3" ht="13.2">
      <c r="C20" s="1"/>
    </row>
    <row r="21" spans="3:3" ht="13.2">
      <c r="C21" s="5" t="s">
        <v>106</v>
      </c>
    </row>
    <row r="22" spans="3:43" ht="13.2">
      <c r="C22" s="1" t="s">
        <v>36</v>
      </c>
      <c r="D22" s="1" t="s">
        <v>103</v>
      </c>
      <c r="E22" s="1" t="s">
        <v>37</v>
      </c>
      <c r="F22" s="1" t="s">
        <v>47</v>
      </c>
      <c r="G22" t="str">
        <f>RdTRABYVals!L$1</f>
        <v>AL</v>
      </c>
      <c r="H22" t="str">
        <f>RdTRABYVals!M$1</f>
        <v>AT</v>
      </c>
      <c r="I22" t="str">
        <f>RdTRABYVals!N$1</f>
        <v>BA</v>
      </c>
      <c r="J22" t="str">
        <f>RdTRABYVals!O$1</f>
        <v>BE</v>
      </c>
      <c r="K22" t="str">
        <f>RdTRABYVals!P$1</f>
        <v>BG</v>
      </c>
      <c r="L22" t="str">
        <f>RdTRABYVals!Q$1</f>
        <v>CH</v>
      </c>
      <c r="M22" t="str">
        <f>RdTRABYVals!R$1</f>
        <v>CY</v>
      </c>
      <c r="N22" t="str">
        <f>RdTRABYVals!S$1</f>
        <v>CZ</v>
      </c>
      <c r="O22" t="str">
        <f>RdTRABYVals!T$1</f>
        <v>DE</v>
      </c>
      <c r="P22" t="str">
        <f>RdTRABYVals!U$1</f>
        <v>DK</v>
      </c>
      <c r="Q22" t="str">
        <f>RdTRABYVals!V$1</f>
        <v>EE</v>
      </c>
      <c r="R22" t="str">
        <f>RdTRABYVals!W$1</f>
        <v>EL</v>
      </c>
      <c r="S22" t="str">
        <f>RdTRABYVals!X$1</f>
        <v>ES</v>
      </c>
      <c r="T22" t="str">
        <f>RdTRABYVals!Y$1</f>
        <v>FI</v>
      </c>
      <c r="U22" t="str">
        <f>RdTRABYVals!Z$1</f>
        <v>FR</v>
      </c>
      <c r="V22" t="str">
        <f>RdTRABYVals!AA$1</f>
        <v>HR</v>
      </c>
      <c r="W22" t="str">
        <f>RdTRABYVals!AB$1</f>
        <v>HU</v>
      </c>
      <c r="X22" t="str">
        <f>RdTRABYVals!AC$1</f>
        <v>IE</v>
      </c>
      <c r="Y22" t="str">
        <f>RdTRABYVals!AD$1</f>
        <v>IS</v>
      </c>
      <c r="Z22" t="str">
        <f>RdTRABYVals!AE$1</f>
        <v>IT</v>
      </c>
      <c r="AA22" t="str">
        <f>RdTRABYVals!AF$1</f>
        <v>KS</v>
      </c>
      <c r="AB22" t="str">
        <f>RdTRABYVals!AG$1</f>
        <v>LT</v>
      </c>
      <c r="AC22" t="str">
        <f>RdTRABYVals!AH$1</f>
        <v>LU</v>
      </c>
      <c r="AD22" t="str">
        <f>RdTRABYVals!AI$1</f>
        <v>LV</v>
      </c>
      <c r="AE22" t="str">
        <f>RdTRABYVals!AJ$1</f>
        <v>ME</v>
      </c>
      <c r="AF22" t="str">
        <f>RdTRABYVals!AK$1</f>
        <v>MK</v>
      </c>
      <c r="AG22" t="str">
        <f>RdTRABYVals!AL$1</f>
        <v>MT</v>
      </c>
      <c r="AH22" t="str">
        <f>RdTRABYVals!AM$1</f>
        <v>NL</v>
      </c>
      <c r="AI22" t="str">
        <f>RdTRABYVals!AN$1</f>
        <v>NO</v>
      </c>
      <c r="AJ22" t="str">
        <f>RdTRABYVals!AO$1</f>
        <v>PL</v>
      </c>
      <c r="AK22" t="str">
        <f>RdTRABYVals!AP$1</f>
        <v>PT</v>
      </c>
      <c r="AL22" t="str">
        <f>RdTRABYVals!AQ$1</f>
        <v>RO</v>
      </c>
      <c r="AM22" t="str">
        <f>RdTRABYVals!AR$1</f>
        <v>RS</v>
      </c>
      <c r="AN22" t="str">
        <f>RdTRABYVals!AS$1</f>
        <v>SE</v>
      </c>
      <c r="AO22" t="str">
        <f>RdTRABYVals!AT$1</f>
        <v>SI</v>
      </c>
      <c r="AP22" t="str">
        <f>RdTRABYVals!AU$1</f>
        <v>SK</v>
      </c>
      <c r="AQ22" t="str">
        <f>RdTRABYVals!AV$1</f>
        <v>UK</v>
      </c>
    </row>
    <row r="23" spans="1:43" ht="14.4">
      <c r="A23" s="3" t="s">
        <v>107</v>
      </c>
      <c r="C23" s="1" t="s">
        <v>30</v>
      </c>
      <c r="D23" t="str">
        <f>A23</f>
        <v>TRA_Bus_Cng_Coa*</v>
      </c>
      <c r="F23" s="4">
        <f t="shared" si="3" ref="F23:F30">AVERAGE(G23:AQ23)</f>
        <v>16.318000000000001</v>
      </c>
      <c r="G23" s="2" t="str">
        <f>IFERROR(AVERAGEIFS(RdTRABYVals!L$2:L$999,RdTRABYVals!$B$2:$B$999,"="&amp;$C23,RdTRABYVals!$C$2:$C$999,"="&amp;INS!$A23),"")</f>
        <v/>
      </c>
      <c r="H23" s="2" t="str">
        <f>IFERROR(AVERAGEIFS(RdTRABYVals!M$2:M$999,RdTRABYVals!$B$2:$B$999,"="&amp;$C23,RdTRABYVals!$C$2:$C$999,"="&amp;INS!$A23),"")</f>
        <v/>
      </c>
      <c r="I23" s="2" t="str">
        <f>IFERROR(AVERAGEIFS(RdTRABYVals!N$2:N$999,RdTRABYVals!$B$2:$B$999,"="&amp;$C23,RdTRABYVals!$C$2:$C$999,"="&amp;INS!$A23),"")</f>
        <v/>
      </c>
      <c r="J23" s="2" t="str">
        <f>IFERROR(AVERAGEIFS(RdTRABYVals!O$2:O$999,RdTRABYVals!$B$2:$B$999,"="&amp;$C23,RdTRABYVals!$C$2:$C$999,"="&amp;INS!$A23),"")</f>
        <v/>
      </c>
      <c r="K23" s="2" t="str">
        <f>IFERROR(AVERAGEIFS(RdTRABYVals!P$2:P$999,RdTRABYVals!$B$2:$B$999,"="&amp;$C23,RdTRABYVals!$C$2:$C$999,"="&amp;INS!$A23),"")</f>
        <v/>
      </c>
      <c r="L23" s="2" t="str">
        <f>IFERROR(AVERAGEIFS(RdTRABYVals!Q$2:Q$999,RdTRABYVals!$B$2:$B$999,"="&amp;$C23,RdTRABYVals!$C$2:$C$999,"="&amp;INS!$A23),"")</f>
        <v/>
      </c>
      <c r="M23" s="2" t="str">
        <f>IFERROR(AVERAGEIFS(RdTRABYVals!R$2:R$999,RdTRABYVals!$B$2:$B$999,"="&amp;$C23,RdTRABYVals!$C$2:$C$999,"="&amp;INS!$A23),"")</f>
        <v/>
      </c>
      <c r="N23" s="2" t="str">
        <f>IFERROR(AVERAGEIFS(RdTRABYVals!S$2:S$999,RdTRABYVals!$B$2:$B$999,"="&amp;$C23,RdTRABYVals!$C$2:$C$999,"="&amp;INS!$A23),"")</f>
        <v/>
      </c>
      <c r="O23" s="2" t="str">
        <f>IFERROR(AVERAGEIFS(RdTRABYVals!T$2:T$999,RdTRABYVals!$B$2:$B$999,"="&amp;$C23,RdTRABYVals!$C$2:$C$999,"="&amp;INS!$A23),"")</f>
        <v/>
      </c>
      <c r="P23" s="2" t="str">
        <f>IFERROR(AVERAGEIFS(RdTRABYVals!U$2:U$999,RdTRABYVals!$B$2:$B$999,"="&amp;$C23,RdTRABYVals!$C$2:$C$999,"="&amp;INS!$A23),"")</f>
        <v/>
      </c>
      <c r="Q23" s="2" t="str">
        <f>IFERROR(AVERAGEIFS(RdTRABYVals!V$2:V$999,RdTRABYVals!$B$2:$B$999,"="&amp;$C23,RdTRABYVals!$C$2:$C$999,"="&amp;INS!$A23),"")</f>
        <v/>
      </c>
      <c r="R23" s="2" t="str">
        <f>IFERROR(AVERAGEIFS(RdTRABYVals!W$2:W$999,RdTRABYVals!$B$2:$B$999,"="&amp;$C23,RdTRABYVals!$C$2:$C$999,"="&amp;INS!$A23),"")</f>
        <v/>
      </c>
      <c r="S23" s="2" t="str">
        <f>IFERROR(AVERAGEIFS(RdTRABYVals!X$2:X$999,RdTRABYVals!$B$2:$B$999,"="&amp;$C23,RdTRABYVals!$C$2:$C$999,"="&amp;INS!$A23),"")</f>
        <v/>
      </c>
      <c r="T23" s="2" t="str">
        <f>IFERROR(AVERAGEIFS(RdTRABYVals!Y$2:Y$999,RdTRABYVals!$B$2:$B$999,"="&amp;$C23,RdTRABYVals!$C$2:$C$999,"="&amp;INS!$A23),"")</f>
        <v/>
      </c>
      <c r="U23" s="2" t="str">
        <f>IFERROR(AVERAGEIFS(RdTRABYVals!Z$2:Z$999,RdTRABYVals!$B$2:$B$999,"="&amp;$C23,RdTRABYVals!$C$2:$C$999,"="&amp;INS!$A23),"")</f>
        <v/>
      </c>
      <c r="V23" s="2" t="str">
        <f>IFERROR(AVERAGEIFS(RdTRABYVals!AA$2:AA$999,RdTRABYVals!$B$2:$B$999,"="&amp;$C23,RdTRABYVals!$C$2:$C$999,"="&amp;INS!$A23),"")</f>
        <v/>
      </c>
      <c r="W23" s="2" t="str">
        <f>IFERROR(AVERAGEIFS(RdTRABYVals!AB$2:AB$999,RdTRABYVals!$B$2:$B$999,"="&amp;$C23,RdTRABYVals!$C$2:$C$999,"="&amp;INS!$A23),"")</f>
        <v/>
      </c>
      <c r="X23" s="2" t="str">
        <f>IFERROR(AVERAGEIFS(RdTRABYVals!AC$2:AC$999,RdTRABYVals!$B$2:$B$999,"="&amp;$C23,RdTRABYVals!$C$2:$C$999,"="&amp;INS!$A23),"")</f>
        <v/>
      </c>
      <c r="Y23" s="2" t="str">
        <f>IFERROR(AVERAGEIFS(RdTRABYVals!AD$2:AD$999,RdTRABYVals!$B$2:$B$999,"="&amp;$C23,RdTRABYVals!$C$2:$C$999,"="&amp;INS!$A23),"")</f>
        <v/>
      </c>
      <c r="Z23" s="2" t="str">
        <f>IFERROR(AVERAGEIFS(RdTRABYVals!AE$2:AE$999,RdTRABYVals!$B$2:$B$999,"="&amp;$C23,RdTRABYVals!$C$2:$C$999,"="&amp;INS!$A23),"")</f>
        <v/>
      </c>
      <c r="AA23" s="2" t="str">
        <f>IFERROR(AVERAGEIFS(RdTRABYVals!AF$2:AF$999,RdTRABYVals!$B$2:$B$999,"="&amp;$C23,RdTRABYVals!$C$2:$C$999,"="&amp;INS!$A23),"")</f>
        <v/>
      </c>
      <c r="AB23" s="2" t="str">
        <f>IFERROR(AVERAGEIFS(RdTRABYVals!AG$2:AG$999,RdTRABYVals!$B$2:$B$999,"="&amp;$C23,RdTRABYVals!$C$2:$C$999,"="&amp;INS!$A23),"")</f>
        <v/>
      </c>
      <c r="AC23" s="2" t="str">
        <f>IFERROR(AVERAGEIFS(RdTRABYVals!AH$2:AH$999,RdTRABYVals!$B$2:$B$999,"="&amp;$C23,RdTRABYVals!$C$2:$C$999,"="&amp;INS!$A23),"")</f>
        <v/>
      </c>
      <c r="AD23" s="2" t="str">
        <f>IFERROR(AVERAGEIFS(RdTRABYVals!AI$2:AI$999,RdTRABYVals!$B$2:$B$999,"="&amp;$C23,RdTRABYVals!$C$2:$C$999,"="&amp;INS!$A23),"")</f>
        <v/>
      </c>
      <c r="AE23" s="2" t="str">
        <f>IFERROR(AVERAGEIFS(RdTRABYVals!AJ$2:AJ$999,RdTRABYVals!$B$2:$B$999,"="&amp;$C23,RdTRABYVals!$C$2:$C$999,"="&amp;INS!$A23),"")</f>
        <v/>
      </c>
      <c r="AF23" s="2" t="str">
        <f>IFERROR(AVERAGEIFS(RdTRABYVals!AK$2:AK$999,RdTRABYVals!$B$2:$B$999,"="&amp;$C23,RdTRABYVals!$C$2:$C$999,"="&amp;INS!$A23),"")</f>
        <v/>
      </c>
      <c r="AG23" s="2" t="str">
        <f>IFERROR(AVERAGEIFS(RdTRABYVals!AL$2:AL$999,RdTRABYVals!$B$2:$B$999,"="&amp;$C23,RdTRABYVals!$C$2:$C$999,"="&amp;INS!$A23),"")</f>
        <v/>
      </c>
      <c r="AH23" s="2" t="str">
        <f>IFERROR(AVERAGEIFS(RdTRABYVals!AM$2:AM$999,RdTRABYVals!$B$2:$B$999,"="&amp;$C23,RdTRABYVals!$C$2:$C$999,"="&amp;INS!$A23),"")</f>
        <v/>
      </c>
      <c r="AI23" s="2" t="str">
        <f>IFERROR(AVERAGEIFS(RdTRABYVals!AN$2:AN$999,RdTRABYVals!$B$2:$B$999,"="&amp;$C23,RdTRABYVals!$C$2:$C$999,"="&amp;INS!$A23),"")</f>
        <v/>
      </c>
      <c r="AJ23" s="2" t="str">
        <f>IFERROR(AVERAGEIFS(RdTRABYVals!AO$2:AO$999,RdTRABYVals!$B$2:$B$999,"="&amp;$C23,RdTRABYVals!$C$2:$C$999,"="&amp;INS!$A23),"")</f>
        <v/>
      </c>
      <c r="AK23" s="2" t="str">
        <f>IFERROR(AVERAGEIFS(RdTRABYVals!AP$2:AP$999,RdTRABYVals!$B$2:$B$999,"="&amp;$C23,RdTRABYVals!$C$2:$C$999,"="&amp;INS!$A23),"")</f>
        <v/>
      </c>
      <c r="AL23" s="2" t="str">
        <f>IFERROR(AVERAGEIFS(RdTRABYVals!AQ$2:AQ$999,RdTRABYVals!$B$2:$B$999,"="&amp;$C23,RdTRABYVals!$C$2:$C$999,"="&amp;INS!$A23),"")</f>
        <v/>
      </c>
      <c r="AM23" s="2" t="str">
        <f>IFERROR(AVERAGEIFS(RdTRABYVals!AR$2:AR$999,RdTRABYVals!$B$2:$B$999,"="&amp;$C23,RdTRABYVals!$C$2:$C$999,"="&amp;INS!$A23),"")</f>
        <v/>
      </c>
      <c r="AN23" s="2">
        <f>IFERROR(AVERAGEIFS(RdTRABYVals!AS$2:AS$999,RdTRABYVals!$B$2:$B$999,"="&amp;$C23,RdTRABYVals!$C$2:$C$999,"="&amp;INS!$A23),"")</f>
        <v>16.318000000000001</v>
      </c>
      <c r="AO23" s="2" t="str">
        <f>IFERROR(AVERAGEIFS(RdTRABYVals!AT$2:AT$999,RdTRABYVals!$B$2:$B$999,"="&amp;$C23,RdTRABYVals!$C$2:$C$999,"="&amp;INS!$A23),"")</f>
        <v/>
      </c>
      <c r="AP23" s="2" t="str">
        <f>IFERROR(AVERAGEIFS(RdTRABYVals!AU$2:AU$999,RdTRABYVals!$B$2:$B$999,"="&amp;$C23,RdTRABYVals!$C$2:$C$999,"="&amp;INS!$A23),"")</f>
        <v/>
      </c>
      <c r="AQ23" s="2" t="str">
        <f>IFERROR(AVERAGEIFS(RdTRABYVals!AV$2:AV$999,RdTRABYVals!$B$2:$B$999,"="&amp;$C23,RdTRABYVals!$C$2:$C$999,"="&amp;INS!$A23),"")</f>
        <v/>
      </c>
    </row>
    <row r="24" spans="1:43" ht="14.4">
      <c r="A24" s="3" t="s">
        <v>108</v>
      </c>
      <c r="C24" s="1" t="s">
        <v>30</v>
      </c>
      <c r="D24" t="str">
        <f t="shared" si="4" ref="D24:D71">A24</f>
        <v>TRA_Bus_Cng_Urb*</v>
      </c>
      <c r="F24" s="4">
        <f t="shared" si="3"/>
        <v>35.596783333333335</v>
      </c>
      <c r="G24" s="2" t="str">
        <f>IFERROR(AVERAGEIFS(RdTRABYVals!L$2:L$999,RdTRABYVals!$B$2:$B$999,"="&amp;$C24,RdTRABYVals!$C$2:$C$999,"="&amp;INS!$A24),"")</f>
        <v/>
      </c>
      <c r="H24" s="2" t="str">
        <f>IFERROR(AVERAGEIFS(RdTRABYVals!M$2:M$999,RdTRABYVals!$B$2:$B$999,"="&amp;$C24,RdTRABYVals!$C$2:$C$999,"="&amp;INS!$A24),"")</f>
        <v/>
      </c>
      <c r="I24" s="2" t="str">
        <f>IFERROR(AVERAGEIFS(RdTRABYVals!N$2:N$999,RdTRABYVals!$B$2:$B$999,"="&amp;$C24,RdTRABYVals!$C$2:$C$999,"="&amp;INS!$A24),"")</f>
        <v/>
      </c>
      <c r="J24" s="2" t="str">
        <f>IFERROR(AVERAGEIFS(RdTRABYVals!O$2:O$999,RdTRABYVals!$B$2:$B$999,"="&amp;$C24,RdTRABYVals!$C$2:$C$999,"="&amp;INS!$A24),"")</f>
        <v/>
      </c>
      <c r="K24" s="2" t="str">
        <f>IFERROR(AVERAGEIFS(RdTRABYVals!P$2:P$999,RdTRABYVals!$B$2:$B$999,"="&amp;$C24,RdTRABYVals!$C$2:$C$999,"="&amp;INS!$A24),"")</f>
        <v/>
      </c>
      <c r="L24" s="2">
        <f>IFERROR(AVERAGEIFS(RdTRABYVals!Q$2:Q$999,RdTRABYVals!$B$2:$B$999,"="&amp;$C24,RdTRABYVals!$C$2:$C$999,"="&amp;INS!$A24),"")</f>
        <v>59.1877</v>
      </c>
      <c r="M24" s="2" t="str">
        <f>IFERROR(AVERAGEIFS(RdTRABYVals!R$2:R$999,RdTRABYVals!$B$2:$B$999,"="&amp;$C24,RdTRABYVals!$C$2:$C$999,"="&amp;INS!$A24),"")</f>
        <v/>
      </c>
      <c r="N24" s="2" t="str">
        <f>IFERROR(AVERAGEIFS(RdTRABYVals!S$2:S$999,RdTRABYVals!$B$2:$B$999,"="&amp;$C24,RdTRABYVals!$C$2:$C$999,"="&amp;INS!$A24),"")</f>
        <v/>
      </c>
      <c r="O24" s="2">
        <f>IFERROR(AVERAGEIFS(RdTRABYVals!T$2:T$999,RdTRABYVals!$B$2:$B$999,"="&amp;$C24,RdTRABYVals!$C$2:$C$999,"="&amp;INS!$A24),"")</f>
        <v>51.941800000000001</v>
      </c>
      <c r="P24" s="2" t="str">
        <f>IFERROR(AVERAGEIFS(RdTRABYVals!U$2:U$999,RdTRABYVals!$B$2:$B$999,"="&amp;$C24,RdTRABYVals!$C$2:$C$999,"="&amp;INS!$A24),"")</f>
        <v/>
      </c>
      <c r="Q24" s="2" t="str">
        <f>IFERROR(AVERAGEIFS(RdTRABYVals!V$2:V$999,RdTRABYVals!$B$2:$B$999,"="&amp;$C24,RdTRABYVals!$C$2:$C$999,"="&amp;INS!$A24),"")</f>
        <v/>
      </c>
      <c r="R24" s="2" t="str">
        <f>IFERROR(AVERAGEIFS(RdTRABYVals!W$2:W$999,RdTRABYVals!$B$2:$B$999,"="&amp;$C24,RdTRABYVals!$C$2:$C$999,"="&amp;INS!$A24),"")</f>
        <v/>
      </c>
      <c r="S24" s="2" t="str">
        <f>IFERROR(AVERAGEIFS(RdTRABYVals!X$2:X$999,RdTRABYVals!$B$2:$B$999,"="&amp;$C24,RdTRABYVals!$C$2:$C$999,"="&amp;INS!$A24),"")</f>
        <v/>
      </c>
      <c r="T24" s="2" t="str">
        <f>IFERROR(AVERAGEIFS(RdTRABYVals!Y$2:Y$999,RdTRABYVals!$B$2:$B$999,"="&amp;$C24,RdTRABYVals!$C$2:$C$999,"="&amp;INS!$A24),"")</f>
        <v/>
      </c>
      <c r="U24" s="2" t="str">
        <f>IFERROR(AVERAGEIFS(RdTRABYVals!Z$2:Z$999,RdTRABYVals!$B$2:$B$999,"="&amp;$C24,RdTRABYVals!$C$2:$C$999,"="&amp;INS!$A24),"")</f>
        <v/>
      </c>
      <c r="V24" s="2" t="str">
        <f>IFERROR(AVERAGEIFS(RdTRABYVals!AA$2:AA$999,RdTRABYVals!$B$2:$B$999,"="&amp;$C24,RdTRABYVals!$C$2:$C$999,"="&amp;INS!$A24),"")</f>
        <v/>
      </c>
      <c r="W24" s="2" t="str">
        <f>IFERROR(AVERAGEIFS(RdTRABYVals!AB$2:AB$999,RdTRABYVals!$B$2:$B$999,"="&amp;$C24,RdTRABYVals!$C$2:$C$999,"="&amp;INS!$A24),"")</f>
        <v/>
      </c>
      <c r="X24" s="2" t="str">
        <f>IFERROR(AVERAGEIFS(RdTRABYVals!AC$2:AC$999,RdTRABYVals!$B$2:$B$999,"="&amp;$C24,RdTRABYVals!$C$2:$C$999,"="&amp;INS!$A24),"")</f>
        <v/>
      </c>
      <c r="Y24" s="2" t="str">
        <f>IFERROR(AVERAGEIFS(RdTRABYVals!AD$2:AD$999,RdTRABYVals!$B$2:$B$999,"="&amp;$C24,RdTRABYVals!$C$2:$C$999,"="&amp;INS!$A24),"")</f>
        <v/>
      </c>
      <c r="Z24" s="2">
        <f>IFERROR(AVERAGEIFS(RdTRABYVals!AE$2:AE$999,RdTRABYVals!$B$2:$B$999,"="&amp;$C24,RdTRABYVals!$C$2:$C$999,"="&amp;INS!$A24),"")</f>
        <v>23.687000000000001</v>
      </c>
      <c r="AA24" s="2" t="str">
        <f>IFERROR(AVERAGEIFS(RdTRABYVals!AF$2:AF$999,RdTRABYVals!$B$2:$B$999,"="&amp;$C24,RdTRABYVals!$C$2:$C$999,"="&amp;INS!$A24),"")</f>
        <v/>
      </c>
      <c r="AB24" s="2" t="str">
        <f>IFERROR(AVERAGEIFS(RdTRABYVals!AG$2:AG$999,RdTRABYVals!$B$2:$B$999,"="&amp;$C24,RdTRABYVals!$C$2:$C$999,"="&amp;INS!$A24),"")</f>
        <v/>
      </c>
      <c r="AC24" s="2" t="str">
        <f>IFERROR(AVERAGEIFS(RdTRABYVals!AH$2:AH$999,RdTRABYVals!$B$2:$B$999,"="&amp;$C24,RdTRABYVals!$C$2:$C$999,"="&amp;INS!$A24),"")</f>
        <v/>
      </c>
      <c r="AD24" s="2" t="str">
        <f>IFERROR(AVERAGEIFS(RdTRABYVals!AI$2:AI$999,RdTRABYVals!$B$2:$B$999,"="&amp;$C24,RdTRABYVals!$C$2:$C$999,"="&amp;INS!$A24),"")</f>
        <v/>
      </c>
      <c r="AE24" s="2" t="str">
        <f>IFERROR(AVERAGEIFS(RdTRABYVals!AJ$2:AJ$999,RdTRABYVals!$B$2:$B$999,"="&amp;$C24,RdTRABYVals!$C$2:$C$999,"="&amp;INS!$A24),"")</f>
        <v/>
      </c>
      <c r="AF24" s="2" t="str">
        <f>IFERROR(AVERAGEIFS(RdTRABYVals!AK$2:AK$999,RdTRABYVals!$B$2:$B$999,"="&amp;$C24,RdTRABYVals!$C$2:$C$999,"="&amp;INS!$A24),"")</f>
        <v/>
      </c>
      <c r="AG24" s="2" t="str">
        <f>IFERROR(AVERAGEIFS(RdTRABYVals!AL$2:AL$999,RdTRABYVals!$B$2:$B$999,"="&amp;$C24,RdTRABYVals!$C$2:$C$999,"="&amp;INS!$A24),"")</f>
        <v/>
      </c>
      <c r="AH24" s="2">
        <f>IFERROR(AVERAGEIFS(RdTRABYVals!AM$2:AM$999,RdTRABYVals!$B$2:$B$999,"="&amp;$C24,RdTRABYVals!$C$2:$C$999,"="&amp;INS!$A24),"")</f>
        <v>29.007899999999999</v>
      </c>
      <c r="AI24" s="2" t="str">
        <f>IFERROR(AVERAGEIFS(RdTRABYVals!AN$2:AN$999,RdTRABYVals!$B$2:$B$999,"="&amp;$C24,RdTRABYVals!$C$2:$C$999,"="&amp;INS!$A24),"")</f>
        <v/>
      </c>
      <c r="AJ24" s="2" t="str">
        <f>IFERROR(AVERAGEIFS(RdTRABYVals!AO$2:AO$999,RdTRABYVals!$B$2:$B$999,"="&amp;$C24,RdTRABYVals!$C$2:$C$999,"="&amp;INS!$A24),"")</f>
        <v/>
      </c>
      <c r="AK24" s="2" t="str">
        <f>IFERROR(AVERAGEIFS(RdTRABYVals!AP$2:AP$999,RdTRABYVals!$B$2:$B$999,"="&amp;$C24,RdTRABYVals!$C$2:$C$999,"="&amp;INS!$A24),"")</f>
        <v/>
      </c>
      <c r="AL24" s="2" t="str">
        <f>IFERROR(AVERAGEIFS(RdTRABYVals!AQ$2:AQ$999,RdTRABYVals!$B$2:$B$999,"="&amp;$C24,RdTRABYVals!$C$2:$C$999,"="&amp;INS!$A24),"")</f>
        <v/>
      </c>
      <c r="AM24" s="2">
        <f>IFERROR(AVERAGEIFS(RdTRABYVals!AR$2:AR$999,RdTRABYVals!$B$2:$B$999,"="&amp;$C24,RdTRABYVals!$C$2:$C$999,"="&amp;INS!$A24),"")</f>
        <v>23.687000000000001</v>
      </c>
      <c r="AN24" s="2">
        <f>IFERROR(AVERAGEIFS(RdTRABYVals!AS$2:AS$999,RdTRABYVals!$B$2:$B$999,"="&amp;$C24,RdTRABYVals!$C$2:$C$999,"="&amp;INS!$A24),"")</f>
        <v>26.069299999999998</v>
      </c>
      <c r="AO24" s="2" t="str">
        <f>IFERROR(AVERAGEIFS(RdTRABYVals!AT$2:AT$999,RdTRABYVals!$B$2:$B$999,"="&amp;$C24,RdTRABYVals!$C$2:$C$999,"="&amp;INS!$A24),"")</f>
        <v/>
      </c>
      <c r="AP24" s="2" t="str">
        <f>IFERROR(AVERAGEIFS(RdTRABYVals!AU$2:AU$999,RdTRABYVals!$B$2:$B$999,"="&amp;$C24,RdTRABYVals!$C$2:$C$999,"="&amp;INS!$A24),"")</f>
        <v/>
      </c>
      <c r="AQ24" s="2" t="str">
        <f>IFERROR(AVERAGEIFS(RdTRABYVals!AV$2:AV$999,RdTRABYVals!$B$2:$B$999,"="&amp;$C24,RdTRABYVals!$C$2:$C$999,"="&amp;INS!$A24),"")</f>
        <v/>
      </c>
    </row>
    <row r="25" spans="1:43" ht="14.4">
      <c r="A25" s="3" t="s">
        <v>109</v>
      </c>
      <c r="C25" s="1" t="s">
        <v>30</v>
      </c>
      <c r="D25" t="str">
        <f t="shared" si="4"/>
        <v>TRA_Bus_Dis_Coa*</v>
      </c>
      <c r="F25" s="4">
        <f t="shared" si="3"/>
        <v>66.756156756756766</v>
      </c>
      <c r="G25" s="2">
        <f>IFERROR(AVERAGEIFS(RdTRABYVals!L$2:L$999,RdTRABYVals!$B$2:$B$999,"="&amp;$C25,RdTRABYVals!$C$2:$C$999,"="&amp;INS!$A25),"")</f>
        <v>90.563299999999998</v>
      </c>
      <c r="H25" s="2">
        <f>IFERROR(AVERAGEIFS(RdTRABYVals!M$2:M$999,RdTRABYVals!$B$2:$B$999,"="&amp;$C25,RdTRABYVals!$C$2:$C$999,"="&amp;INS!$A25),"")</f>
        <v>137.91999999999999</v>
      </c>
      <c r="I25" s="2">
        <f>IFERROR(AVERAGEIFS(RdTRABYVals!N$2:N$999,RdTRABYVals!$B$2:$B$999,"="&amp;$C25,RdTRABYVals!$C$2:$C$999,"="&amp;INS!$A25),"")</f>
        <v>82.638000000000005</v>
      </c>
      <c r="J25" s="2">
        <f>IFERROR(AVERAGEIFS(RdTRABYVals!O$2:O$999,RdTRABYVals!$B$2:$B$999,"="&amp;$C25,RdTRABYVals!$C$2:$C$999,"="&amp;INS!$A25),"")</f>
        <v>61.850499999999997</v>
      </c>
      <c r="K25" s="2">
        <f>IFERROR(AVERAGEIFS(RdTRABYVals!P$2:P$999,RdTRABYVals!$B$2:$B$999,"="&amp;$C25,RdTRABYVals!$C$2:$C$999,"="&amp;INS!$A25),"")</f>
        <v>27.199200000000001</v>
      </c>
      <c r="L25" s="2">
        <f>IFERROR(AVERAGEIFS(RdTRABYVals!Q$2:Q$999,RdTRABYVals!$B$2:$B$999,"="&amp;$C25,RdTRABYVals!$C$2:$C$999,"="&amp;INS!$A25),"")</f>
        <v>55.678800000000003</v>
      </c>
      <c r="M25" s="2">
        <f>IFERROR(AVERAGEIFS(RdTRABYVals!R$2:R$999,RdTRABYVals!$B$2:$B$999,"="&amp;$C25,RdTRABYVals!$C$2:$C$999,"="&amp;INS!$A25),"")</f>
        <v>43.694899999999997</v>
      </c>
      <c r="N25" s="2">
        <f>IFERROR(AVERAGEIFS(RdTRABYVals!S$2:S$999,RdTRABYVals!$B$2:$B$999,"="&amp;$C25,RdTRABYVals!$C$2:$C$999,"="&amp;INS!$A25),"")</f>
        <v>50.453299999999999</v>
      </c>
      <c r="O25" s="2">
        <f>IFERROR(AVERAGEIFS(RdTRABYVals!T$2:T$999,RdTRABYVals!$B$2:$B$999,"="&amp;$C25,RdTRABYVals!$C$2:$C$999,"="&amp;INS!$A25),"")</f>
        <v>80.075500000000005</v>
      </c>
      <c r="P25" s="2">
        <f>IFERROR(AVERAGEIFS(RdTRABYVals!U$2:U$999,RdTRABYVals!$B$2:$B$999,"="&amp;$C25,RdTRABYVals!$C$2:$C$999,"="&amp;INS!$A25),"")</f>
        <v>37.301299999999998</v>
      </c>
      <c r="Q25" s="2">
        <f>IFERROR(AVERAGEIFS(RdTRABYVals!V$2:V$999,RdTRABYVals!$B$2:$B$999,"="&amp;$C25,RdTRABYVals!$C$2:$C$999,"="&amp;INS!$A25),"")</f>
        <v>45.694899999999997</v>
      </c>
      <c r="R25" s="2">
        <f>IFERROR(AVERAGEIFS(RdTRABYVals!W$2:W$999,RdTRABYVals!$B$2:$B$999,"="&amp;$C25,RdTRABYVals!$C$2:$C$999,"="&amp;INS!$A25),"")</f>
        <v>90.563299999999998</v>
      </c>
      <c r="S25" s="2">
        <f>IFERROR(AVERAGEIFS(RdTRABYVals!X$2:X$999,RdTRABYVals!$B$2:$B$999,"="&amp;$C25,RdTRABYVals!$C$2:$C$999,"="&amp;INS!$A25),"")</f>
        <v>79.589699999999993</v>
      </c>
      <c r="T25" s="2">
        <f>IFERROR(AVERAGEIFS(RdTRABYVals!Y$2:Y$999,RdTRABYVals!$B$2:$B$999,"="&amp;$C25,RdTRABYVals!$C$2:$C$999,"="&amp;INS!$A25),"")</f>
        <v>59.858400000000003</v>
      </c>
      <c r="U25" s="2">
        <f>IFERROR(AVERAGEIFS(RdTRABYVals!Z$2:Z$999,RdTRABYVals!$B$2:$B$999,"="&amp;$C25,RdTRABYVals!$C$2:$C$999,"="&amp;INS!$A25),"")</f>
        <v>44.487099999999998</v>
      </c>
      <c r="V25" s="2">
        <f>IFERROR(AVERAGEIFS(RdTRABYVals!AA$2:AA$999,RdTRABYVals!$B$2:$B$999,"="&amp;$C25,RdTRABYVals!$C$2:$C$999,"="&amp;INS!$A25),"")</f>
        <v>82.638000000000005</v>
      </c>
      <c r="W25" s="2">
        <f>IFERROR(AVERAGEIFS(RdTRABYVals!AB$2:AB$999,RdTRABYVals!$B$2:$B$999,"="&amp;$C25,RdTRABYVals!$C$2:$C$999,"="&amp;INS!$A25),"")</f>
        <v>61.781700000000001</v>
      </c>
      <c r="X25" s="2">
        <f>IFERROR(AVERAGEIFS(RdTRABYVals!AC$2:AC$999,RdTRABYVals!$B$2:$B$999,"="&amp;$C25,RdTRABYVals!$C$2:$C$999,"="&amp;INS!$A25),"")</f>
        <v>54.327599999999997</v>
      </c>
      <c r="Y25" s="2">
        <f>IFERROR(AVERAGEIFS(RdTRABYVals!AD$2:AD$999,RdTRABYVals!$B$2:$B$999,"="&amp;$C25,RdTRABYVals!$C$2:$C$999,"="&amp;INS!$A25),"")</f>
        <v>46.338999999999999</v>
      </c>
      <c r="Z25" s="2">
        <f>IFERROR(AVERAGEIFS(RdTRABYVals!AE$2:AE$999,RdTRABYVals!$B$2:$B$999,"="&amp;$C25,RdTRABYVals!$C$2:$C$999,"="&amp;INS!$A25),"")</f>
        <v>42.782899999999998</v>
      </c>
      <c r="AA25" s="2">
        <f>IFERROR(AVERAGEIFS(RdTRABYVals!AF$2:AF$999,RdTRABYVals!$B$2:$B$999,"="&amp;$C25,RdTRABYVals!$C$2:$C$999,"="&amp;INS!$A25),"")</f>
        <v>82.638000000000005</v>
      </c>
      <c r="AB25" s="2">
        <f>IFERROR(AVERAGEIFS(RdTRABYVals!AG$2:AG$999,RdTRABYVals!$B$2:$B$999,"="&amp;$C25,RdTRABYVals!$C$2:$C$999,"="&amp;INS!$A25),"")</f>
        <v>15.8658</v>
      </c>
      <c r="AC25" s="2">
        <f>IFERROR(AVERAGEIFS(RdTRABYVals!AH$2:AH$999,RdTRABYVals!$B$2:$B$999,"="&amp;$C25,RdTRABYVals!$C$2:$C$999,"="&amp;INS!$A25),"")</f>
        <v>192.143</v>
      </c>
      <c r="AD25" s="2">
        <f>IFERROR(AVERAGEIFS(RdTRABYVals!AI$2:AI$999,RdTRABYVals!$B$2:$B$999,"="&amp;$C25,RdTRABYVals!$C$2:$C$999,"="&amp;INS!$A25),"")</f>
        <v>89.929000000000002</v>
      </c>
      <c r="AE25" s="2">
        <f>IFERROR(AVERAGEIFS(RdTRABYVals!AJ$2:AJ$999,RdTRABYVals!$B$2:$B$999,"="&amp;$C25,RdTRABYVals!$C$2:$C$999,"="&amp;INS!$A25),"")</f>
        <v>90.563299999999998</v>
      </c>
      <c r="AF25" s="2">
        <f>IFERROR(AVERAGEIFS(RdTRABYVals!AK$2:AK$999,RdTRABYVals!$B$2:$B$999,"="&amp;$C25,RdTRABYVals!$C$2:$C$999,"="&amp;INS!$A25),"")</f>
        <v>21.8232</v>
      </c>
      <c r="AG25" s="2">
        <f>IFERROR(AVERAGEIFS(RdTRABYVals!AL$2:AL$999,RdTRABYVals!$B$2:$B$999,"="&amp;$C25,RdTRABYVals!$C$2:$C$999,"="&amp;INS!$A25),"")</f>
        <v>30.152699999999999</v>
      </c>
      <c r="AH25" s="2">
        <f>IFERROR(AVERAGEIFS(RdTRABYVals!AM$2:AM$999,RdTRABYVals!$B$2:$B$999,"="&amp;$C25,RdTRABYVals!$C$2:$C$999,"="&amp;INS!$A25),"")</f>
        <v>65.260599999999997</v>
      </c>
      <c r="AI25" s="2">
        <f>IFERROR(AVERAGEIFS(RdTRABYVals!AN$2:AN$999,RdTRABYVals!$B$2:$B$999,"="&amp;$C25,RdTRABYVals!$C$2:$C$999,"="&amp;INS!$A25),"")</f>
        <v>63.827599999999997</v>
      </c>
      <c r="AJ25" s="2">
        <f>IFERROR(AVERAGEIFS(RdTRABYVals!AO$2:AO$999,RdTRABYVals!$B$2:$B$999,"="&amp;$C25,RdTRABYVals!$C$2:$C$999,"="&amp;INS!$A25),"")</f>
        <v>33.9756</v>
      </c>
      <c r="AK25" s="2">
        <f>IFERROR(AVERAGEIFS(RdTRABYVals!AP$2:AP$999,RdTRABYVals!$B$2:$B$999,"="&amp;$C25,RdTRABYVals!$C$2:$C$999,"="&amp;INS!$A25),"")</f>
        <v>37.721600000000002</v>
      </c>
      <c r="AL25" s="2">
        <f>IFERROR(AVERAGEIFS(RdTRABYVals!AQ$2:AQ$999,RdTRABYVals!$B$2:$B$999,"="&amp;$C25,RdTRABYVals!$C$2:$C$999,"="&amp;INS!$A25),"")</f>
        <v>28.950700000000001</v>
      </c>
      <c r="AM25" s="2">
        <f>IFERROR(AVERAGEIFS(RdTRABYVals!AR$2:AR$999,RdTRABYVals!$B$2:$B$999,"="&amp;$C25,RdTRABYVals!$C$2:$C$999,"="&amp;INS!$A25),"")</f>
        <v>82.638000000000005</v>
      </c>
      <c r="AN25" s="2">
        <f>IFERROR(AVERAGEIFS(RdTRABYVals!AS$2:AS$999,RdTRABYVals!$B$2:$B$999,"="&amp;$C25,RdTRABYVals!$C$2:$C$999,"="&amp;INS!$A25),"")</f>
        <v>110.72</v>
      </c>
      <c r="AO25" s="2">
        <f>IFERROR(AVERAGEIFS(RdTRABYVals!AT$2:AT$999,RdTRABYVals!$B$2:$B$999,"="&amp;$C25,RdTRABYVals!$C$2:$C$999,"="&amp;INS!$A25),"")</f>
        <v>115.751</v>
      </c>
      <c r="AP25" s="2">
        <f>IFERROR(AVERAGEIFS(RdTRABYVals!AU$2:AU$999,RdTRABYVals!$B$2:$B$999,"="&amp;$C25,RdTRABYVals!$C$2:$C$999,"="&amp;INS!$A25),"")</f>
        <v>67.526399999999995</v>
      </c>
      <c r="AQ25" s="2">
        <f>IFERROR(AVERAGEIFS(RdTRABYVals!AV$2:AV$999,RdTRABYVals!$B$2:$B$999,"="&amp;$C25,RdTRABYVals!$C$2:$C$999,"="&amp;INS!$A25),"")</f>
        <v>65.053899999999999</v>
      </c>
    </row>
    <row r="26" spans="1:43" ht="14.4">
      <c r="A26" s="3" t="s">
        <v>110</v>
      </c>
      <c r="C26" s="1" t="s">
        <v>30</v>
      </c>
      <c r="D26" t="str">
        <f t="shared" si="4"/>
        <v>TRA_Bus_Dis_Urb*</v>
      </c>
      <c r="F26" s="4">
        <f t="shared" si="3"/>
        <v>59.629108333333321</v>
      </c>
      <c r="G26" s="2">
        <f>IFERROR(AVERAGEIFS(RdTRABYVals!L$2:L$999,RdTRABYVals!$B$2:$B$999,"="&amp;$C26,RdTRABYVals!$C$2:$C$999,"="&amp;INS!$A26),"")</f>
        <v>69.344200000000001</v>
      </c>
      <c r="H26" s="2">
        <f>IFERROR(AVERAGEIFS(RdTRABYVals!M$2:M$999,RdTRABYVals!$B$2:$B$999,"="&amp;$C26,RdTRABYVals!$C$2:$C$999,"="&amp;INS!$A26),"")</f>
        <v>103.075</v>
      </c>
      <c r="I26" s="2">
        <f>IFERROR(AVERAGEIFS(RdTRABYVals!N$2:N$999,RdTRABYVals!$B$2:$B$999,"="&amp;$C26,RdTRABYVals!$C$2:$C$999,"="&amp;INS!$A26),"")</f>
        <v>78.566500000000005</v>
      </c>
      <c r="J26" s="2">
        <f>IFERROR(AVERAGEIFS(RdTRABYVals!O$2:O$999,RdTRABYVals!$B$2:$B$999,"="&amp;$C26,RdTRABYVals!$C$2:$C$999,"="&amp;INS!$A26),"")</f>
        <v>68.863600000000005</v>
      </c>
      <c r="K26" s="2">
        <f>IFERROR(AVERAGEIFS(RdTRABYVals!P$2:P$999,RdTRABYVals!$B$2:$B$999,"="&amp;$C26,RdTRABYVals!$C$2:$C$999,"="&amp;INS!$A26),"")</f>
        <v>23.736799999999999</v>
      </c>
      <c r="L26" s="2">
        <f>IFERROR(AVERAGEIFS(RdTRABYVals!Q$2:Q$999,RdTRABYVals!$B$2:$B$999,"="&amp;$C26,RdTRABYVals!$C$2:$C$999,"="&amp;INS!$A26),"")</f>
        <v>56.004600000000003</v>
      </c>
      <c r="M26" s="2">
        <f>IFERROR(AVERAGEIFS(RdTRABYVals!R$2:R$999,RdTRABYVals!$B$2:$B$999,"="&amp;$C26,RdTRABYVals!$C$2:$C$999,"="&amp;INS!$A26),"")</f>
        <v>36.5657</v>
      </c>
      <c r="N26" s="2">
        <f>IFERROR(AVERAGEIFS(RdTRABYVals!S$2:S$999,RdTRABYVals!$B$2:$B$999,"="&amp;$C26,RdTRABYVals!$C$2:$C$999,"="&amp;INS!$A26),"")</f>
        <v>40.363799999999998</v>
      </c>
      <c r="O26" s="2">
        <f>IFERROR(AVERAGEIFS(RdTRABYVals!T$2:T$999,RdTRABYVals!$B$2:$B$999,"="&amp;$C26,RdTRABYVals!$C$2:$C$999,"="&amp;INS!$A26),"")</f>
        <v>35.722799999999999</v>
      </c>
      <c r="P26" s="2">
        <f>IFERROR(AVERAGEIFS(RdTRABYVals!U$2:U$999,RdTRABYVals!$B$2:$B$999,"="&amp;$C26,RdTRABYVals!$C$2:$C$999,"="&amp;INS!$A26),"")</f>
        <v>99.782899999999998</v>
      </c>
      <c r="Q26" s="2" t="str">
        <f>IFERROR(AVERAGEIFS(RdTRABYVals!V$2:V$999,RdTRABYVals!$B$2:$B$999,"="&amp;$C26,RdTRABYVals!$C$2:$C$999,"="&amp;INS!$A26),"")</f>
        <v/>
      </c>
      <c r="R26" s="2">
        <f>IFERROR(AVERAGEIFS(RdTRABYVals!W$2:W$999,RdTRABYVals!$B$2:$B$999,"="&amp;$C26,RdTRABYVals!$C$2:$C$999,"="&amp;INS!$A26),"")</f>
        <v>69.344200000000001</v>
      </c>
      <c r="S26" s="2">
        <f>IFERROR(AVERAGEIFS(RdTRABYVals!X$2:X$999,RdTRABYVals!$B$2:$B$999,"="&amp;$C26,RdTRABYVals!$C$2:$C$999,"="&amp;INS!$A26),"")</f>
        <v>31.154800000000002</v>
      </c>
      <c r="T26" s="2">
        <f>IFERROR(AVERAGEIFS(RdTRABYVals!Y$2:Y$999,RdTRABYVals!$B$2:$B$999,"="&amp;$C26,RdTRABYVals!$C$2:$C$999,"="&amp;INS!$A26),"")</f>
        <v>60.418599999999998</v>
      </c>
      <c r="U26" s="2">
        <f>IFERROR(AVERAGEIFS(RdTRABYVals!Z$2:Z$999,RdTRABYVals!$B$2:$B$999,"="&amp;$C26,RdTRABYVals!$C$2:$C$999,"="&amp;INS!$A26),"")</f>
        <v>44.388800000000003</v>
      </c>
      <c r="V26" s="2">
        <f>IFERROR(AVERAGEIFS(RdTRABYVals!AA$2:AA$999,RdTRABYVals!$B$2:$B$999,"="&amp;$C26,RdTRABYVals!$C$2:$C$999,"="&amp;INS!$A26),"")</f>
        <v>78.566500000000005</v>
      </c>
      <c r="W26" s="2">
        <f>IFERROR(AVERAGEIFS(RdTRABYVals!AB$2:AB$999,RdTRABYVals!$B$2:$B$999,"="&amp;$C26,RdTRABYVals!$C$2:$C$999,"="&amp;INS!$A26),"")</f>
        <v>48.915199999999999</v>
      </c>
      <c r="X26" s="2">
        <f>IFERROR(AVERAGEIFS(RdTRABYVals!AC$2:AC$999,RdTRABYVals!$B$2:$B$999,"="&amp;$C26,RdTRABYVals!$C$2:$C$999,"="&amp;INS!$A26),"")</f>
        <v>53.386299999999999</v>
      </c>
      <c r="Y26" s="2">
        <f>IFERROR(AVERAGEIFS(RdTRABYVals!AD$2:AD$999,RdTRABYVals!$B$2:$B$999,"="&amp;$C26,RdTRABYVals!$C$2:$C$999,"="&amp;INS!$A26),"")</f>
        <v>46.338999999999999</v>
      </c>
      <c r="Z26" s="2">
        <f>IFERROR(AVERAGEIFS(RdTRABYVals!AE$2:AE$999,RdTRABYVals!$B$2:$B$999,"="&amp;$C26,RdTRABYVals!$C$2:$C$999,"="&amp;INS!$A26),"")</f>
        <v>43.805700000000002</v>
      </c>
      <c r="AA26" s="2">
        <f>IFERROR(AVERAGEIFS(RdTRABYVals!AF$2:AF$999,RdTRABYVals!$B$2:$B$999,"="&amp;$C26,RdTRABYVals!$C$2:$C$999,"="&amp;INS!$A26),"")</f>
        <v>78.566500000000005</v>
      </c>
      <c r="AB26" s="2">
        <f>IFERROR(AVERAGEIFS(RdTRABYVals!AG$2:AG$999,RdTRABYVals!$B$2:$B$999,"="&amp;$C26,RdTRABYVals!$C$2:$C$999,"="&amp;INS!$A26),"")</f>
        <v>38.915300000000002</v>
      </c>
      <c r="AC26" s="2">
        <f>IFERROR(AVERAGEIFS(RdTRABYVals!AH$2:AH$999,RdTRABYVals!$B$2:$B$999,"="&amp;$C26,RdTRABYVals!$C$2:$C$999,"="&amp;INS!$A26),"")</f>
        <v>192.048</v>
      </c>
      <c r="AD26" s="2">
        <f>IFERROR(AVERAGEIFS(RdTRABYVals!AI$2:AI$999,RdTRABYVals!$B$2:$B$999,"="&amp;$C26,RdTRABYVals!$C$2:$C$999,"="&amp;INS!$A26),"")</f>
        <v>99.701899999999995</v>
      </c>
      <c r="AE26" s="2">
        <f>IFERROR(AVERAGEIFS(RdTRABYVals!AJ$2:AJ$999,RdTRABYVals!$B$2:$B$999,"="&amp;$C26,RdTRABYVals!$C$2:$C$999,"="&amp;INS!$A26),"")</f>
        <v>69.344200000000001</v>
      </c>
      <c r="AF26" s="2">
        <f>IFERROR(AVERAGEIFS(RdTRABYVals!AK$2:AK$999,RdTRABYVals!$B$2:$B$999,"="&amp;$C26,RdTRABYVals!$C$2:$C$999,"="&amp;INS!$A26),"")</f>
        <v>22.366299999999999</v>
      </c>
      <c r="AG26" s="2">
        <f>IFERROR(AVERAGEIFS(RdTRABYVals!AL$2:AL$999,RdTRABYVals!$B$2:$B$999,"="&amp;$C26,RdTRABYVals!$C$2:$C$999,"="&amp;INS!$A26),"")</f>
        <v>10.2369</v>
      </c>
      <c r="AH26" s="2">
        <f>IFERROR(AVERAGEIFS(RdTRABYVals!AM$2:AM$999,RdTRABYVals!$B$2:$B$999,"="&amp;$C26,RdTRABYVals!$C$2:$C$999,"="&amp;INS!$A26),"")</f>
        <v>65.427599999999998</v>
      </c>
      <c r="AI26" s="2">
        <f>IFERROR(AVERAGEIFS(RdTRABYVals!AN$2:AN$999,RdTRABYVals!$B$2:$B$999,"="&amp;$C26,RdTRABYVals!$C$2:$C$999,"="&amp;INS!$A26),"")</f>
        <v>63.8277</v>
      </c>
      <c r="AJ26" s="2">
        <f>IFERROR(AVERAGEIFS(RdTRABYVals!AO$2:AO$999,RdTRABYVals!$B$2:$B$999,"="&amp;$C26,RdTRABYVals!$C$2:$C$999,"="&amp;INS!$A26),"")</f>
        <v>33.184199999999997</v>
      </c>
      <c r="AK26" s="2">
        <f>IFERROR(AVERAGEIFS(RdTRABYVals!AP$2:AP$999,RdTRABYVals!$B$2:$B$999,"="&amp;$C26,RdTRABYVals!$C$2:$C$999,"="&amp;INS!$A26),"")</f>
        <v>31.991499999999998</v>
      </c>
      <c r="AL26" s="2">
        <f>IFERROR(AVERAGEIFS(RdTRABYVals!AQ$2:AQ$999,RdTRABYVals!$B$2:$B$999,"="&amp;$C26,RdTRABYVals!$C$2:$C$999,"="&amp;INS!$A26),"")</f>
        <v>26.405999999999999</v>
      </c>
      <c r="AM26" s="2">
        <f>IFERROR(AVERAGEIFS(RdTRABYVals!AR$2:AR$999,RdTRABYVals!$B$2:$B$999,"="&amp;$C26,RdTRABYVals!$C$2:$C$999,"="&amp;INS!$A26),"")</f>
        <v>78.566500000000005</v>
      </c>
      <c r="AN26" s="2">
        <f>IFERROR(AVERAGEIFS(RdTRABYVals!AS$2:AS$999,RdTRABYVals!$B$2:$B$999,"="&amp;$C26,RdTRABYVals!$C$2:$C$999,"="&amp;INS!$A26),"")</f>
        <v>104.86799999999999</v>
      </c>
      <c r="AO26" s="2">
        <f>IFERROR(AVERAGEIFS(RdTRABYVals!AT$2:AT$999,RdTRABYVals!$B$2:$B$999,"="&amp;$C26,RdTRABYVals!$C$2:$C$999,"="&amp;INS!$A26),"")</f>
        <v>19.151299999999999</v>
      </c>
      <c r="AP26" s="2">
        <f>IFERROR(AVERAGEIFS(RdTRABYVals!AU$2:AU$999,RdTRABYVals!$B$2:$B$999,"="&amp;$C26,RdTRABYVals!$C$2:$C$999,"="&amp;INS!$A26),"")</f>
        <v>67.831000000000003</v>
      </c>
      <c r="AQ26" s="2">
        <f>IFERROR(AVERAGEIFS(RdTRABYVals!AV$2:AV$999,RdTRABYVals!$B$2:$B$999,"="&amp;$C26,RdTRABYVals!$C$2:$C$999,"="&amp;INS!$A26),"")</f>
        <v>55.869999999999997</v>
      </c>
    </row>
    <row r="27" spans="1:43" ht="14.4">
      <c r="A27" s="3" t="s">
        <v>111</v>
      </c>
      <c r="C27" s="1" t="s">
        <v>30</v>
      </c>
      <c r="D27" t="str">
        <f t="shared" si="4"/>
        <v>TRA_Bus_Gas_Coa*</v>
      </c>
      <c r="F27" s="4">
        <f t="shared" si="3"/>
        <v>39.163899999999998</v>
      </c>
      <c r="G27" s="2" t="str">
        <f>IFERROR(AVERAGEIFS(RdTRABYVals!L$2:L$999,RdTRABYVals!$B$2:$B$999,"="&amp;$C27,RdTRABYVals!$C$2:$C$999,"="&amp;INS!$A27),"")</f>
        <v/>
      </c>
      <c r="H27" s="2" t="str">
        <f>IFERROR(AVERAGEIFS(RdTRABYVals!M$2:M$999,RdTRABYVals!$B$2:$B$999,"="&amp;$C27,RdTRABYVals!$C$2:$C$999,"="&amp;INS!$A27),"")</f>
        <v/>
      </c>
      <c r="I27" s="2" t="str">
        <f>IFERROR(AVERAGEIFS(RdTRABYVals!N$2:N$999,RdTRABYVals!$B$2:$B$999,"="&amp;$C27,RdTRABYVals!$C$2:$C$999,"="&amp;INS!$A27),"")</f>
        <v/>
      </c>
      <c r="J27" s="2" t="str">
        <f>IFERROR(AVERAGEIFS(RdTRABYVals!O$2:O$999,RdTRABYVals!$B$2:$B$999,"="&amp;$C27,RdTRABYVals!$C$2:$C$999,"="&amp;INS!$A27),"")</f>
        <v/>
      </c>
      <c r="K27" s="2" t="str">
        <f>IFERROR(AVERAGEIFS(RdTRABYVals!P$2:P$999,RdTRABYVals!$B$2:$B$999,"="&amp;$C27,RdTRABYVals!$C$2:$C$999,"="&amp;INS!$A27),"")</f>
        <v/>
      </c>
      <c r="L27" s="2" t="str">
        <f>IFERROR(AVERAGEIFS(RdTRABYVals!Q$2:Q$999,RdTRABYVals!$B$2:$B$999,"="&amp;$C27,RdTRABYVals!$C$2:$C$999,"="&amp;INS!$A27),"")</f>
        <v/>
      </c>
      <c r="M27" s="2" t="str">
        <f>IFERROR(AVERAGEIFS(RdTRABYVals!R$2:R$999,RdTRABYVals!$B$2:$B$999,"="&amp;$C27,RdTRABYVals!$C$2:$C$999,"="&amp;INS!$A27),"")</f>
        <v/>
      </c>
      <c r="N27" s="2">
        <f>IFERROR(AVERAGEIFS(RdTRABYVals!S$2:S$999,RdTRABYVals!$B$2:$B$999,"="&amp;$C27,RdTRABYVals!$C$2:$C$999,"="&amp;INS!$A27),"")</f>
        <v>41.374499999999998</v>
      </c>
      <c r="O27" s="2" t="str">
        <f>IFERROR(AVERAGEIFS(RdTRABYVals!T$2:T$999,RdTRABYVals!$B$2:$B$999,"="&amp;$C27,RdTRABYVals!$C$2:$C$999,"="&amp;INS!$A27),"")</f>
        <v/>
      </c>
      <c r="P27" s="2">
        <f>IFERROR(AVERAGEIFS(RdTRABYVals!U$2:U$999,RdTRABYVals!$B$2:$B$999,"="&amp;$C27,RdTRABYVals!$C$2:$C$999,"="&amp;INS!$A27),"")</f>
        <v>10.2624</v>
      </c>
      <c r="Q27" s="2" t="str">
        <f>IFERROR(AVERAGEIFS(RdTRABYVals!V$2:V$999,RdTRABYVals!$B$2:$B$999,"="&amp;$C27,RdTRABYVals!$C$2:$C$999,"="&amp;INS!$A27),"")</f>
        <v/>
      </c>
      <c r="R27" s="2" t="str">
        <f>IFERROR(AVERAGEIFS(RdTRABYVals!W$2:W$999,RdTRABYVals!$B$2:$B$999,"="&amp;$C27,RdTRABYVals!$C$2:$C$999,"="&amp;INS!$A27),"")</f>
        <v/>
      </c>
      <c r="S27" s="2" t="str">
        <f>IFERROR(AVERAGEIFS(RdTRABYVals!X$2:X$999,RdTRABYVals!$B$2:$B$999,"="&amp;$C27,RdTRABYVals!$C$2:$C$999,"="&amp;INS!$A27),"")</f>
        <v/>
      </c>
      <c r="T27" s="2" t="str">
        <f>IFERROR(AVERAGEIFS(RdTRABYVals!Y$2:Y$999,RdTRABYVals!$B$2:$B$999,"="&amp;$C27,RdTRABYVals!$C$2:$C$999,"="&amp;INS!$A27),"")</f>
        <v/>
      </c>
      <c r="U27" s="2" t="str">
        <f>IFERROR(AVERAGEIFS(RdTRABYVals!Z$2:Z$999,RdTRABYVals!$B$2:$B$999,"="&amp;$C27,RdTRABYVals!$C$2:$C$999,"="&amp;INS!$A27),"")</f>
        <v/>
      </c>
      <c r="V27" s="2" t="str">
        <f>IFERROR(AVERAGEIFS(RdTRABYVals!AA$2:AA$999,RdTRABYVals!$B$2:$B$999,"="&amp;$C27,RdTRABYVals!$C$2:$C$999,"="&amp;INS!$A27),"")</f>
        <v/>
      </c>
      <c r="W27" s="2" t="str">
        <f>IFERROR(AVERAGEIFS(RdTRABYVals!AB$2:AB$999,RdTRABYVals!$B$2:$B$999,"="&amp;$C27,RdTRABYVals!$C$2:$C$999,"="&amp;INS!$A27),"")</f>
        <v/>
      </c>
      <c r="X27" s="2" t="str">
        <f>IFERROR(AVERAGEIFS(RdTRABYVals!AC$2:AC$999,RdTRABYVals!$B$2:$B$999,"="&amp;$C27,RdTRABYVals!$C$2:$C$999,"="&amp;INS!$A27),"")</f>
        <v/>
      </c>
      <c r="Y27" s="2">
        <f>IFERROR(AVERAGEIFS(RdTRABYVals!AD$2:AD$999,RdTRABYVals!$B$2:$B$999,"="&amp;$C27,RdTRABYVals!$C$2:$C$999,"="&amp;INS!$A27),"")</f>
        <v>45.081299999999999</v>
      </c>
      <c r="Z27" s="2" t="str">
        <f>IFERROR(AVERAGEIFS(RdTRABYVals!AE$2:AE$999,RdTRABYVals!$B$2:$B$999,"="&amp;$C27,RdTRABYVals!$C$2:$C$999,"="&amp;INS!$A27),"")</f>
        <v/>
      </c>
      <c r="AA27" s="2" t="str">
        <f>IFERROR(AVERAGEIFS(RdTRABYVals!AF$2:AF$999,RdTRABYVals!$B$2:$B$999,"="&amp;$C27,RdTRABYVals!$C$2:$C$999,"="&amp;INS!$A27),"")</f>
        <v/>
      </c>
      <c r="AB27" s="2" t="str">
        <f>IFERROR(AVERAGEIFS(RdTRABYVals!AG$2:AG$999,RdTRABYVals!$B$2:$B$999,"="&amp;$C27,RdTRABYVals!$C$2:$C$999,"="&amp;INS!$A27),"")</f>
        <v/>
      </c>
      <c r="AC27" s="2" t="str">
        <f>IFERROR(AVERAGEIFS(RdTRABYVals!AH$2:AH$999,RdTRABYVals!$B$2:$B$999,"="&amp;$C27,RdTRABYVals!$C$2:$C$999,"="&amp;INS!$A27),"")</f>
        <v/>
      </c>
      <c r="AD27" s="2" t="str">
        <f>IFERROR(AVERAGEIFS(RdTRABYVals!AI$2:AI$999,RdTRABYVals!$B$2:$B$999,"="&amp;$C27,RdTRABYVals!$C$2:$C$999,"="&amp;INS!$A27),"")</f>
        <v/>
      </c>
      <c r="AE27" s="2" t="str">
        <f>IFERROR(AVERAGEIFS(RdTRABYVals!AJ$2:AJ$999,RdTRABYVals!$B$2:$B$999,"="&amp;$C27,RdTRABYVals!$C$2:$C$999,"="&amp;INS!$A27),"")</f>
        <v/>
      </c>
      <c r="AF27" s="2" t="str">
        <f>IFERROR(AVERAGEIFS(RdTRABYVals!AK$2:AK$999,RdTRABYVals!$B$2:$B$999,"="&amp;$C27,RdTRABYVals!$C$2:$C$999,"="&amp;INS!$A27),"")</f>
        <v/>
      </c>
      <c r="AG27" s="2" t="str">
        <f>IFERROR(AVERAGEIFS(RdTRABYVals!AL$2:AL$999,RdTRABYVals!$B$2:$B$999,"="&amp;$C27,RdTRABYVals!$C$2:$C$999,"="&amp;INS!$A27),"")</f>
        <v/>
      </c>
      <c r="AH27" s="2" t="str">
        <f>IFERROR(AVERAGEIFS(RdTRABYVals!AM$2:AM$999,RdTRABYVals!$B$2:$B$999,"="&amp;$C27,RdTRABYVals!$C$2:$C$999,"="&amp;INS!$A27),"")</f>
        <v/>
      </c>
      <c r="AI27" s="2" t="str">
        <f>IFERROR(AVERAGEIFS(RdTRABYVals!AN$2:AN$999,RdTRABYVals!$B$2:$B$999,"="&amp;$C27,RdTRABYVals!$C$2:$C$999,"="&amp;INS!$A27),"")</f>
        <v/>
      </c>
      <c r="AJ27" s="2" t="str">
        <f>IFERROR(AVERAGEIFS(RdTRABYVals!AO$2:AO$999,RdTRABYVals!$B$2:$B$999,"="&amp;$C27,RdTRABYVals!$C$2:$C$999,"="&amp;INS!$A27),"")</f>
        <v/>
      </c>
      <c r="AK27" s="2" t="str">
        <f>IFERROR(AVERAGEIFS(RdTRABYVals!AP$2:AP$999,RdTRABYVals!$B$2:$B$999,"="&amp;$C27,RdTRABYVals!$C$2:$C$999,"="&amp;INS!$A27),"")</f>
        <v/>
      </c>
      <c r="AL27" s="2" t="str">
        <f>IFERROR(AVERAGEIFS(RdTRABYVals!AQ$2:AQ$999,RdTRABYVals!$B$2:$B$999,"="&amp;$C27,RdTRABYVals!$C$2:$C$999,"="&amp;INS!$A27),"")</f>
        <v/>
      </c>
      <c r="AM27" s="2" t="str">
        <f>IFERROR(AVERAGEIFS(RdTRABYVals!AR$2:AR$999,RdTRABYVals!$B$2:$B$999,"="&amp;$C27,RdTRABYVals!$C$2:$C$999,"="&amp;INS!$A27),"")</f>
        <v/>
      </c>
      <c r="AN27" s="2" t="str">
        <f>IFERROR(AVERAGEIFS(RdTRABYVals!AS$2:AS$999,RdTRABYVals!$B$2:$B$999,"="&amp;$C27,RdTRABYVals!$C$2:$C$999,"="&amp;INS!$A27),"")</f>
        <v/>
      </c>
      <c r="AO27" s="2" t="str">
        <f>IFERROR(AVERAGEIFS(RdTRABYVals!AT$2:AT$999,RdTRABYVals!$B$2:$B$999,"="&amp;$C27,RdTRABYVals!$C$2:$C$999,"="&amp;INS!$A27),"")</f>
        <v/>
      </c>
      <c r="AP27" s="2" t="str">
        <f>IFERROR(AVERAGEIFS(RdTRABYVals!AU$2:AU$999,RdTRABYVals!$B$2:$B$999,"="&amp;$C27,RdTRABYVals!$C$2:$C$999,"="&amp;INS!$A27),"")</f>
        <v/>
      </c>
      <c r="AQ27" s="2">
        <f>IFERROR(AVERAGEIFS(RdTRABYVals!AV$2:AV$999,RdTRABYVals!$B$2:$B$999,"="&amp;$C27,RdTRABYVals!$C$2:$C$999,"="&amp;INS!$A27),"")</f>
        <v>59.937399999999997</v>
      </c>
    </row>
    <row r="28" spans="1:43" ht="14.4">
      <c r="A28" s="3" t="s">
        <v>112</v>
      </c>
      <c r="C28" s="1" t="s">
        <v>30</v>
      </c>
      <c r="D28" t="str">
        <f t="shared" si="4"/>
        <v>TRA_Bus_Gas_Urb*</v>
      </c>
      <c r="F28" s="4">
        <f t="shared" si="3"/>
        <v>31.403361250000003</v>
      </c>
      <c r="G28" s="2" t="str">
        <f>IFERROR(AVERAGEIFS(RdTRABYVals!L$2:L$999,RdTRABYVals!$B$2:$B$999,"="&amp;$C28,RdTRABYVals!$C$2:$C$999,"="&amp;INS!$A28),"")</f>
        <v/>
      </c>
      <c r="H28" s="2" t="str">
        <f>IFERROR(AVERAGEIFS(RdTRABYVals!M$2:M$999,RdTRABYVals!$B$2:$B$999,"="&amp;$C28,RdTRABYVals!$C$2:$C$999,"="&amp;INS!$A28),"")</f>
        <v/>
      </c>
      <c r="I28" s="2" t="str">
        <f>IFERROR(AVERAGEIFS(RdTRABYVals!N$2:N$999,RdTRABYVals!$B$2:$B$999,"="&amp;$C28,RdTRABYVals!$C$2:$C$999,"="&amp;INS!$A28),"")</f>
        <v/>
      </c>
      <c r="J28" s="2" t="str">
        <f>IFERROR(AVERAGEIFS(RdTRABYVals!O$2:O$999,RdTRABYVals!$B$2:$B$999,"="&amp;$C28,RdTRABYVals!$C$2:$C$999,"="&amp;INS!$A28),"")</f>
        <v/>
      </c>
      <c r="K28" s="2" t="str">
        <f>IFERROR(AVERAGEIFS(RdTRABYVals!P$2:P$999,RdTRABYVals!$B$2:$B$999,"="&amp;$C28,RdTRABYVals!$C$2:$C$999,"="&amp;INS!$A28),"")</f>
        <v/>
      </c>
      <c r="L28" s="2" t="str">
        <f>IFERROR(AVERAGEIFS(RdTRABYVals!Q$2:Q$999,RdTRABYVals!$B$2:$B$999,"="&amp;$C28,RdTRABYVals!$C$2:$C$999,"="&amp;INS!$A28),"")</f>
        <v/>
      </c>
      <c r="M28" s="2" t="str">
        <f>IFERROR(AVERAGEIFS(RdTRABYVals!R$2:R$999,RdTRABYVals!$B$2:$B$999,"="&amp;$C28,RdTRABYVals!$C$2:$C$999,"="&amp;INS!$A28),"")</f>
        <v/>
      </c>
      <c r="N28" s="2">
        <f>IFERROR(AVERAGEIFS(RdTRABYVals!S$2:S$999,RdTRABYVals!$B$2:$B$999,"="&amp;$C28,RdTRABYVals!$C$2:$C$999,"="&amp;INS!$A28),"")</f>
        <v>28.659400000000002</v>
      </c>
      <c r="O28" s="2" t="str">
        <f>IFERROR(AVERAGEIFS(RdTRABYVals!T$2:T$999,RdTRABYVals!$B$2:$B$999,"="&amp;$C28,RdTRABYVals!$C$2:$C$999,"="&amp;INS!$A28),"")</f>
        <v/>
      </c>
      <c r="P28" s="2">
        <f>IFERROR(AVERAGEIFS(RdTRABYVals!U$2:U$999,RdTRABYVals!$B$2:$B$999,"="&amp;$C28,RdTRABYVals!$C$2:$C$999,"="&amp;INS!$A28),"")</f>
        <v>36.412500000000001</v>
      </c>
      <c r="Q28" s="2" t="str">
        <f>IFERROR(AVERAGEIFS(RdTRABYVals!V$2:V$999,RdTRABYVals!$B$2:$B$999,"="&amp;$C28,RdTRABYVals!$C$2:$C$999,"="&amp;INS!$A28),"")</f>
        <v/>
      </c>
      <c r="R28" s="2" t="str">
        <f>IFERROR(AVERAGEIFS(RdTRABYVals!W$2:W$999,RdTRABYVals!$B$2:$B$999,"="&amp;$C28,RdTRABYVals!$C$2:$C$999,"="&amp;INS!$A28),"")</f>
        <v/>
      </c>
      <c r="S28" s="2" t="str">
        <f>IFERROR(AVERAGEIFS(RdTRABYVals!X$2:X$999,RdTRABYVals!$B$2:$B$999,"="&amp;$C28,RdTRABYVals!$C$2:$C$999,"="&amp;INS!$A28),"")</f>
        <v/>
      </c>
      <c r="T28" s="2" t="str">
        <f>IFERROR(AVERAGEIFS(RdTRABYVals!Y$2:Y$999,RdTRABYVals!$B$2:$B$999,"="&amp;$C28,RdTRABYVals!$C$2:$C$999,"="&amp;INS!$A28),"")</f>
        <v/>
      </c>
      <c r="U28" s="2" t="str">
        <f>IFERROR(AVERAGEIFS(RdTRABYVals!Z$2:Z$999,RdTRABYVals!$B$2:$B$999,"="&amp;$C28,RdTRABYVals!$C$2:$C$999,"="&amp;INS!$A28),"")</f>
        <v/>
      </c>
      <c r="V28" s="2" t="str">
        <f>IFERROR(AVERAGEIFS(RdTRABYVals!AA$2:AA$999,RdTRABYVals!$B$2:$B$999,"="&amp;$C28,RdTRABYVals!$C$2:$C$999,"="&amp;INS!$A28),"")</f>
        <v/>
      </c>
      <c r="W28" s="2" t="str">
        <f>IFERROR(AVERAGEIFS(RdTRABYVals!AB$2:AB$999,RdTRABYVals!$B$2:$B$999,"="&amp;$C28,RdTRABYVals!$C$2:$C$999,"="&amp;INS!$A28),"")</f>
        <v/>
      </c>
      <c r="X28" s="2" t="str">
        <f>IFERROR(AVERAGEIFS(RdTRABYVals!AC$2:AC$999,RdTRABYVals!$B$2:$B$999,"="&amp;$C28,RdTRABYVals!$C$2:$C$999,"="&amp;INS!$A28),"")</f>
        <v/>
      </c>
      <c r="Y28" s="2">
        <f>IFERROR(AVERAGEIFS(RdTRABYVals!AD$2:AD$999,RdTRABYVals!$B$2:$B$999,"="&amp;$C28,RdTRABYVals!$C$2:$C$999,"="&amp;INS!$A28),"")</f>
        <v>45.081299999999999</v>
      </c>
      <c r="Z28" s="2" t="str">
        <f>IFERROR(AVERAGEIFS(RdTRABYVals!AE$2:AE$999,RdTRABYVals!$B$2:$B$999,"="&amp;$C28,RdTRABYVals!$C$2:$C$999,"="&amp;INS!$A28),"")</f>
        <v/>
      </c>
      <c r="AA28" s="2" t="str">
        <f>IFERROR(AVERAGEIFS(RdTRABYVals!AF$2:AF$999,RdTRABYVals!$B$2:$B$999,"="&amp;$C28,RdTRABYVals!$C$2:$C$999,"="&amp;INS!$A28),"")</f>
        <v/>
      </c>
      <c r="AB28" s="2" t="str">
        <f>IFERROR(AVERAGEIFS(RdTRABYVals!AG$2:AG$999,RdTRABYVals!$B$2:$B$999,"="&amp;$C28,RdTRABYVals!$C$2:$C$999,"="&amp;INS!$A28),"")</f>
        <v/>
      </c>
      <c r="AC28" s="2" t="str">
        <f>IFERROR(AVERAGEIFS(RdTRABYVals!AH$2:AH$999,RdTRABYVals!$B$2:$B$999,"="&amp;$C28,RdTRABYVals!$C$2:$C$999,"="&amp;INS!$A28),"")</f>
        <v/>
      </c>
      <c r="AD28" s="2" t="str">
        <f>IFERROR(AVERAGEIFS(RdTRABYVals!AI$2:AI$999,RdTRABYVals!$B$2:$B$999,"="&amp;$C28,RdTRABYVals!$C$2:$C$999,"="&amp;INS!$A28),"")</f>
        <v/>
      </c>
      <c r="AE28" s="2" t="str">
        <f>IFERROR(AVERAGEIFS(RdTRABYVals!AJ$2:AJ$999,RdTRABYVals!$B$2:$B$999,"="&amp;$C28,RdTRABYVals!$C$2:$C$999,"="&amp;INS!$A28),"")</f>
        <v/>
      </c>
      <c r="AF28" s="2">
        <f>IFERROR(AVERAGEIFS(RdTRABYVals!AK$2:AK$999,RdTRABYVals!$B$2:$B$999,"="&amp;$C28,RdTRABYVals!$C$2:$C$999,"="&amp;INS!$A28),"")</f>
        <v>8.9095899999999997</v>
      </c>
      <c r="AG28" s="2" t="str">
        <f>IFERROR(AVERAGEIFS(RdTRABYVals!AL$2:AL$999,RdTRABYVals!$B$2:$B$999,"="&amp;$C28,RdTRABYVals!$C$2:$C$999,"="&amp;INS!$A28),"")</f>
        <v/>
      </c>
      <c r="AH28" s="2">
        <f>IFERROR(AVERAGEIFS(RdTRABYVals!AM$2:AM$999,RdTRABYVals!$B$2:$B$999,"="&amp;$C28,RdTRABYVals!$C$2:$C$999,"="&amp;INS!$A28),"")</f>
        <v>41.344999999999999</v>
      </c>
      <c r="AI28" s="2" t="str">
        <f>IFERROR(AVERAGEIFS(RdTRABYVals!AN$2:AN$999,RdTRABYVals!$B$2:$B$999,"="&amp;$C28,RdTRABYVals!$C$2:$C$999,"="&amp;INS!$A28),"")</f>
        <v/>
      </c>
      <c r="AJ28" s="2">
        <f>IFERROR(AVERAGEIFS(RdTRABYVals!AO$2:AO$999,RdTRABYVals!$B$2:$B$999,"="&amp;$C28,RdTRABYVals!$C$2:$C$999,"="&amp;INS!$A28),"")</f>
        <v>14.523099999999999</v>
      </c>
      <c r="AK28" s="2">
        <f>IFERROR(AVERAGEIFS(RdTRABYVals!AP$2:AP$999,RdTRABYVals!$B$2:$B$999,"="&amp;$C28,RdTRABYVals!$C$2:$C$999,"="&amp;INS!$A28),"")</f>
        <v>28.583600000000001</v>
      </c>
      <c r="AL28" s="2" t="str">
        <f>IFERROR(AVERAGEIFS(RdTRABYVals!AQ$2:AQ$999,RdTRABYVals!$B$2:$B$999,"="&amp;$C28,RdTRABYVals!$C$2:$C$999,"="&amp;INS!$A28),"")</f>
        <v/>
      </c>
      <c r="AM28" s="2" t="str">
        <f>IFERROR(AVERAGEIFS(RdTRABYVals!AR$2:AR$999,RdTRABYVals!$B$2:$B$999,"="&amp;$C28,RdTRABYVals!$C$2:$C$999,"="&amp;INS!$A28),"")</f>
        <v/>
      </c>
      <c r="AN28" s="2" t="str">
        <f>IFERROR(AVERAGEIFS(RdTRABYVals!AS$2:AS$999,RdTRABYVals!$B$2:$B$999,"="&amp;$C28,RdTRABYVals!$C$2:$C$999,"="&amp;INS!$A28),"")</f>
        <v/>
      </c>
      <c r="AO28" s="2" t="str">
        <f>IFERROR(AVERAGEIFS(RdTRABYVals!AT$2:AT$999,RdTRABYVals!$B$2:$B$999,"="&amp;$C28,RdTRABYVals!$C$2:$C$999,"="&amp;INS!$A28),"")</f>
        <v/>
      </c>
      <c r="AP28" s="2" t="str">
        <f>IFERROR(AVERAGEIFS(RdTRABYVals!AU$2:AU$999,RdTRABYVals!$B$2:$B$999,"="&amp;$C28,RdTRABYVals!$C$2:$C$999,"="&amp;INS!$A28),"")</f>
        <v/>
      </c>
      <c r="AQ28" s="2">
        <f>IFERROR(AVERAGEIFS(RdTRABYVals!AV$2:AV$999,RdTRABYVals!$B$2:$B$999,"="&amp;$C28,RdTRABYVals!$C$2:$C$999,"="&amp;INS!$A28),"")</f>
        <v>47.712400000000002</v>
      </c>
    </row>
    <row r="29" spans="1:43" ht="14.4">
      <c r="A29" s="3" t="s">
        <v>113</v>
      </c>
      <c r="C29" s="1" t="s">
        <v>30</v>
      </c>
      <c r="D29" t="str">
        <f t="shared" si="4"/>
        <v>TRA_Bus_Lpg_Coa*</v>
      </c>
      <c r="F29" s="4">
        <f t="shared" si="3"/>
        <v>148.262</v>
      </c>
      <c r="G29" s="2" t="str">
        <f>IFERROR(AVERAGEIFS(RdTRABYVals!L$2:L$999,RdTRABYVals!$B$2:$B$999,"="&amp;$C29,RdTRABYVals!$C$2:$C$999,"="&amp;INS!$A29),"")</f>
        <v/>
      </c>
      <c r="H29" s="2" t="str">
        <f>IFERROR(AVERAGEIFS(RdTRABYVals!M$2:M$999,RdTRABYVals!$B$2:$B$999,"="&amp;$C29,RdTRABYVals!$C$2:$C$999,"="&amp;INS!$A29),"")</f>
        <v/>
      </c>
      <c r="I29" s="2" t="str">
        <f>IFERROR(AVERAGEIFS(RdTRABYVals!N$2:N$999,RdTRABYVals!$B$2:$B$999,"="&amp;$C29,RdTRABYVals!$C$2:$C$999,"="&amp;INS!$A29),"")</f>
        <v/>
      </c>
      <c r="J29" s="2" t="str">
        <f>IFERROR(AVERAGEIFS(RdTRABYVals!O$2:O$999,RdTRABYVals!$B$2:$B$999,"="&amp;$C29,RdTRABYVals!$C$2:$C$999,"="&amp;INS!$A29),"")</f>
        <v/>
      </c>
      <c r="K29" s="2" t="str">
        <f>IFERROR(AVERAGEIFS(RdTRABYVals!P$2:P$999,RdTRABYVals!$B$2:$B$999,"="&amp;$C29,RdTRABYVals!$C$2:$C$999,"="&amp;INS!$A29),"")</f>
        <v/>
      </c>
      <c r="L29" s="2" t="str">
        <f>IFERROR(AVERAGEIFS(RdTRABYVals!Q$2:Q$999,RdTRABYVals!$B$2:$B$999,"="&amp;$C29,RdTRABYVals!$C$2:$C$999,"="&amp;INS!$A29),"")</f>
        <v/>
      </c>
      <c r="M29" s="2" t="str">
        <f>IFERROR(AVERAGEIFS(RdTRABYVals!R$2:R$999,RdTRABYVals!$B$2:$B$999,"="&amp;$C29,RdTRABYVals!$C$2:$C$999,"="&amp;INS!$A29),"")</f>
        <v/>
      </c>
      <c r="N29" s="2" t="str">
        <f>IFERROR(AVERAGEIFS(RdTRABYVals!S$2:S$999,RdTRABYVals!$B$2:$B$999,"="&amp;$C29,RdTRABYVals!$C$2:$C$999,"="&amp;INS!$A29),"")</f>
        <v/>
      </c>
      <c r="O29" s="2" t="str">
        <f>IFERROR(AVERAGEIFS(RdTRABYVals!T$2:T$999,RdTRABYVals!$B$2:$B$999,"="&amp;$C29,RdTRABYVals!$C$2:$C$999,"="&amp;INS!$A29),"")</f>
        <v/>
      </c>
      <c r="P29" s="2" t="str">
        <f>IFERROR(AVERAGEIFS(RdTRABYVals!U$2:U$999,RdTRABYVals!$B$2:$B$999,"="&amp;$C29,RdTRABYVals!$C$2:$C$999,"="&amp;INS!$A29),"")</f>
        <v/>
      </c>
      <c r="Q29" s="2" t="str">
        <f>IFERROR(AVERAGEIFS(RdTRABYVals!V$2:V$999,RdTRABYVals!$B$2:$B$999,"="&amp;$C29,RdTRABYVals!$C$2:$C$999,"="&amp;INS!$A29),"")</f>
        <v/>
      </c>
      <c r="R29" s="2" t="str">
        <f>IFERROR(AVERAGEIFS(RdTRABYVals!W$2:W$999,RdTRABYVals!$B$2:$B$999,"="&amp;$C29,RdTRABYVals!$C$2:$C$999,"="&amp;INS!$A29),"")</f>
        <v/>
      </c>
      <c r="S29" s="2" t="str">
        <f>IFERROR(AVERAGEIFS(RdTRABYVals!X$2:X$999,RdTRABYVals!$B$2:$B$999,"="&amp;$C29,RdTRABYVals!$C$2:$C$999,"="&amp;INS!$A29),"")</f>
        <v/>
      </c>
      <c r="T29" s="2" t="str">
        <f>IFERROR(AVERAGEIFS(RdTRABYVals!Y$2:Y$999,RdTRABYVals!$B$2:$B$999,"="&amp;$C29,RdTRABYVals!$C$2:$C$999,"="&amp;INS!$A29),"")</f>
        <v/>
      </c>
      <c r="U29" s="2" t="str">
        <f>IFERROR(AVERAGEIFS(RdTRABYVals!Z$2:Z$999,RdTRABYVals!$B$2:$B$999,"="&amp;$C29,RdTRABYVals!$C$2:$C$999,"="&amp;INS!$A29),"")</f>
        <v/>
      </c>
      <c r="V29" s="2" t="str">
        <f>IFERROR(AVERAGEIFS(RdTRABYVals!AA$2:AA$999,RdTRABYVals!$B$2:$B$999,"="&amp;$C29,RdTRABYVals!$C$2:$C$999,"="&amp;INS!$A29),"")</f>
        <v/>
      </c>
      <c r="W29" s="2" t="str">
        <f>IFERROR(AVERAGEIFS(RdTRABYVals!AB$2:AB$999,RdTRABYVals!$B$2:$B$999,"="&amp;$C29,RdTRABYVals!$C$2:$C$999,"="&amp;INS!$A29),"")</f>
        <v/>
      </c>
      <c r="X29" s="2" t="str">
        <f>IFERROR(AVERAGEIFS(RdTRABYVals!AC$2:AC$999,RdTRABYVals!$B$2:$B$999,"="&amp;$C29,RdTRABYVals!$C$2:$C$999,"="&amp;INS!$A29),"")</f>
        <v/>
      </c>
      <c r="Y29" s="2" t="str">
        <f>IFERROR(AVERAGEIFS(RdTRABYVals!AD$2:AD$999,RdTRABYVals!$B$2:$B$999,"="&amp;$C29,RdTRABYVals!$C$2:$C$999,"="&amp;INS!$A29),"")</f>
        <v/>
      </c>
      <c r="Z29" s="2" t="str">
        <f>IFERROR(AVERAGEIFS(RdTRABYVals!AE$2:AE$999,RdTRABYVals!$B$2:$B$999,"="&amp;$C29,RdTRABYVals!$C$2:$C$999,"="&amp;INS!$A29),"")</f>
        <v/>
      </c>
      <c r="AA29" s="2" t="str">
        <f>IFERROR(AVERAGEIFS(RdTRABYVals!AF$2:AF$999,RdTRABYVals!$B$2:$B$999,"="&amp;$C29,RdTRABYVals!$C$2:$C$999,"="&amp;INS!$A29),"")</f>
        <v/>
      </c>
      <c r="AB29" s="2" t="str">
        <f>IFERROR(AVERAGEIFS(RdTRABYVals!AG$2:AG$999,RdTRABYVals!$B$2:$B$999,"="&amp;$C29,RdTRABYVals!$C$2:$C$999,"="&amp;INS!$A29),"")</f>
        <v/>
      </c>
      <c r="AC29" s="2" t="str">
        <f>IFERROR(AVERAGEIFS(RdTRABYVals!AH$2:AH$999,RdTRABYVals!$B$2:$B$999,"="&amp;$C29,RdTRABYVals!$C$2:$C$999,"="&amp;INS!$A29),"")</f>
        <v/>
      </c>
      <c r="AD29" s="2" t="str">
        <f>IFERROR(AVERAGEIFS(RdTRABYVals!AI$2:AI$999,RdTRABYVals!$B$2:$B$999,"="&amp;$C29,RdTRABYVals!$C$2:$C$999,"="&amp;INS!$A29),"")</f>
        <v/>
      </c>
      <c r="AE29" s="2" t="str">
        <f>IFERROR(AVERAGEIFS(RdTRABYVals!AJ$2:AJ$999,RdTRABYVals!$B$2:$B$999,"="&amp;$C29,RdTRABYVals!$C$2:$C$999,"="&amp;INS!$A29),"")</f>
        <v/>
      </c>
      <c r="AF29" s="2" t="str">
        <f>IFERROR(AVERAGEIFS(RdTRABYVals!AK$2:AK$999,RdTRABYVals!$B$2:$B$999,"="&amp;$C29,RdTRABYVals!$C$2:$C$999,"="&amp;INS!$A29),"")</f>
        <v/>
      </c>
      <c r="AG29" s="2" t="str">
        <f>IFERROR(AVERAGEIFS(RdTRABYVals!AL$2:AL$999,RdTRABYVals!$B$2:$B$999,"="&amp;$C29,RdTRABYVals!$C$2:$C$999,"="&amp;INS!$A29),"")</f>
        <v/>
      </c>
      <c r="AH29" s="2" t="str">
        <f>IFERROR(AVERAGEIFS(RdTRABYVals!AM$2:AM$999,RdTRABYVals!$B$2:$B$999,"="&amp;$C29,RdTRABYVals!$C$2:$C$999,"="&amp;INS!$A29),"")</f>
        <v/>
      </c>
      <c r="AI29" s="2" t="str">
        <f>IFERROR(AVERAGEIFS(RdTRABYVals!AN$2:AN$999,RdTRABYVals!$B$2:$B$999,"="&amp;$C29,RdTRABYVals!$C$2:$C$999,"="&amp;INS!$A29),"")</f>
        <v/>
      </c>
      <c r="AJ29" s="2" t="str">
        <f>IFERROR(AVERAGEIFS(RdTRABYVals!AO$2:AO$999,RdTRABYVals!$B$2:$B$999,"="&amp;$C29,RdTRABYVals!$C$2:$C$999,"="&amp;INS!$A29),"")</f>
        <v/>
      </c>
      <c r="AK29" s="2" t="str">
        <f>IFERROR(AVERAGEIFS(RdTRABYVals!AP$2:AP$999,RdTRABYVals!$B$2:$B$999,"="&amp;$C29,RdTRABYVals!$C$2:$C$999,"="&amp;INS!$A29),"")</f>
        <v/>
      </c>
      <c r="AL29" s="2" t="str">
        <f>IFERROR(AVERAGEIFS(RdTRABYVals!AQ$2:AQ$999,RdTRABYVals!$B$2:$B$999,"="&amp;$C29,RdTRABYVals!$C$2:$C$999,"="&amp;INS!$A29),"")</f>
        <v/>
      </c>
      <c r="AM29" s="2" t="str">
        <f>IFERROR(AVERAGEIFS(RdTRABYVals!AR$2:AR$999,RdTRABYVals!$B$2:$B$999,"="&amp;$C29,RdTRABYVals!$C$2:$C$999,"="&amp;INS!$A29),"")</f>
        <v/>
      </c>
      <c r="AN29" s="2" t="str">
        <f>IFERROR(AVERAGEIFS(RdTRABYVals!AS$2:AS$999,RdTRABYVals!$B$2:$B$999,"="&amp;$C29,RdTRABYVals!$C$2:$C$999,"="&amp;INS!$A29),"")</f>
        <v/>
      </c>
      <c r="AO29" s="2" t="str">
        <f>IFERROR(AVERAGEIFS(RdTRABYVals!AT$2:AT$999,RdTRABYVals!$B$2:$B$999,"="&amp;$C29,RdTRABYVals!$C$2:$C$999,"="&amp;INS!$A29),"")</f>
        <v/>
      </c>
      <c r="AP29" s="2" t="str">
        <f>IFERROR(AVERAGEIFS(RdTRABYVals!AU$2:AU$999,RdTRABYVals!$B$2:$B$999,"="&amp;$C29,RdTRABYVals!$C$2:$C$999,"="&amp;INS!$A29),"")</f>
        <v/>
      </c>
      <c r="AQ29" s="2">
        <f>IFERROR(AVERAGEIFS(RdTRABYVals!AV$2:AV$999,RdTRABYVals!$B$2:$B$999,"="&amp;$C29,RdTRABYVals!$C$2:$C$999,"="&amp;INS!$A29),"")</f>
        <v>148.262</v>
      </c>
    </row>
    <row r="30" spans="1:43" ht="14.4">
      <c r="A30" s="3" t="s">
        <v>114</v>
      </c>
      <c r="C30" s="1" t="s">
        <v>30</v>
      </c>
      <c r="D30" t="str">
        <f t="shared" si="4"/>
        <v>TRA_Bus_Lpg_Urb*</v>
      </c>
      <c r="F30" s="4">
        <f t="shared" si="3"/>
        <v>54.347079999999991</v>
      </c>
      <c r="G30" s="2" t="str">
        <f>IFERROR(AVERAGEIFS(RdTRABYVals!L$2:L$999,RdTRABYVals!$B$2:$B$999,"="&amp;$C30,RdTRABYVals!$C$2:$C$999,"="&amp;INS!$A30),"")</f>
        <v/>
      </c>
      <c r="H30" s="2" t="str">
        <f>IFERROR(AVERAGEIFS(RdTRABYVals!M$2:M$999,RdTRABYVals!$B$2:$B$999,"="&amp;$C30,RdTRABYVals!$C$2:$C$999,"="&amp;INS!$A30),"")</f>
        <v/>
      </c>
      <c r="I30" s="2" t="str">
        <f>IFERROR(AVERAGEIFS(RdTRABYVals!N$2:N$999,RdTRABYVals!$B$2:$B$999,"="&amp;$C30,RdTRABYVals!$C$2:$C$999,"="&amp;INS!$A30),"")</f>
        <v/>
      </c>
      <c r="J30" s="2" t="str">
        <f>IFERROR(AVERAGEIFS(RdTRABYVals!O$2:O$999,RdTRABYVals!$B$2:$B$999,"="&amp;$C30,RdTRABYVals!$C$2:$C$999,"="&amp;INS!$A30),"")</f>
        <v/>
      </c>
      <c r="K30" s="2" t="str">
        <f>IFERROR(AVERAGEIFS(RdTRABYVals!P$2:P$999,RdTRABYVals!$B$2:$B$999,"="&amp;$C30,RdTRABYVals!$C$2:$C$999,"="&amp;INS!$A30),"")</f>
        <v/>
      </c>
      <c r="L30" s="2" t="str">
        <f>IFERROR(AVERAGEIFS(RdTRABYVals!Q$2:Q$999,RdTRABYVals!$B$2:$B$999,"="&amp;$C30,RdTRABYVals!$C$2:$C$999,"="&amp;INS!$A30),"")</f>
        <v/>
      </c>
      <c r="M30" s="2" t="str">
        <f>IFERROR(AVERAGEIFS(RdTRABYVals!R$2:R$999,RdTRABYVals!$B$2:$B$999,"="&amp;$C30,RdTRABYVals!$C$2:$C$999,"="&amp;INS!$A30),"")</f>
        <v/>
      </c>
      <c r="N30" s="2" t="str">
        <f>IFERROR(AVERAGEIFS(RdTRABYVals!S$2:S$999,RdTRABYVals!$B$2:$B$999,"="&amp;$C30,RdTRABYVals!$C$2:$C$999,"="&amp;INS!$A30),"")</f>
        <v/>
      </c>
      <c r="O30" s="2" t="str">
        <f>IFERROR(AVERAGEIFS(RdTRABYVals!T$2:T$999,RdTRABYVals!$B$2:$B$999,"="&amp;$C30,RdTRABYVals!$C$2:$C$999,"="&amp;INS!$A30),"")</f>
        <v/>
      </c>
      <c r="P30" s="2" t="str">
        <f>IFERROR(AVERAGEIFS(RdTRABYVals!U$2:U$999,RdTRABYVals!$B$2:$B$999,"="&amp;$C30,RdTRABYVals!$C$2:$C$999,"="&amp;INS!$A30),"")</f>
        <v/>
      </c>
      <c r="Q30" s="2" t="str">
        <f>IFERROR(AVERAGEIFS(RdTRABYVals!V$2:V$999,RdTRABYVals!$B$2:$B$999,"="&amp;$C30,RdTRABYVals!$C$2:$C$999,"="&amp;INS!$A30),"")</f>
        <v/>
      </c>
      <c r="R30" s="2" t="str">
        <f>IFERROR(AVERAGEIFS(RdTRABYVals!W$2:W$999,RdTRABYVals!$B$2:$B$999,"="&amp;$C30,RdTRABYVals!$C$2:$C$999,"="&amp;INS!$A30),"")</f>
        <v/>
      </c>
      <c r="S30" s="2" t="str">
        <f>IFERROR(AVERAGEIFS(RdTRABYVals!X$2:X$999,RdTRABYVals!$B$2:$B$999,"="&amp;$C30,RdTRABYVals!$C$2:$C$999,"="&amp;INS!$A30),"")</f>
        <v/>
      </c>
      <c r="T30" s="2" t="str">
        <f>IFERROR(AVERAGEIFS(RdTRABYVals!Y$2:Y$999,RdTRABYVals!$B$2:$B$999,"="&amp;$C30,RdTRABYVals!$C$2:$C$999,"="&amp;INS!$A30),"")</f>
        <v/>
      </c>
      <c r="U30" s="2" t="str">
        <f>IFERROR(AVERAGEIFS(RdTRABYVals!Z$2:Z$999,RdTRABYVals!$B$2:$B$999,"="&amp;$C30,RdTRABYVals!$C$2:$C$999,"="&amp;INS!$A30),"")</f>
        <v/>
      </c>
      <c r="V30" s="2" t="str">
        <f>IFERROR(AVERAGEIFS(RdTRABYVals!AA$2:AA$999,RdTRABYVals!$B$2:$B$999,"="&amp;$C30,RdTRABYVals!$C$2:$C$999,"="&amp;INS!$A30),"")</f>
        <v/>
      </c>
      <c r="W30" s="2" t="str">
        <f>IFERROR(AVERAGEIFS(RdTRABYVals!AB$2:AB$999,RdTRABYVals!$B$2:$B$999,"="&amp;$C30,RdTRABYVals!$C$2:$C$999,"="&amp;INS!$A30),"")</f>
        <v/>
      </c>
      <c r="X30" s="2" t="str">
        <f>IFERROR(AVERAGEIFS(RdTRABYVals!AC$2:AC$999,RdTRABYVals!$B$2:$B$999,"="&amp;$C30,RdTRABYVals!$C$2:$C$999,"="&amp;INS!$A30),"")</f>
        <v/>
      </c>
      <c r="Y30" s="2" t="str">
        <f>IFERROR(AVERAGEIFS(RdTRABYVals!AD$2:AD$999,RdTRABYVals!$B$2:$B$999,"="&amp;$C30,RdTRABYVals!$C$2:$C$999,"="&amp;INS!$A30),"")</f>
        <v/>
      </c>
      <c r="Z30" s="2" t="str">
        <f>IFERROR(AVERAGEIFS(RdTRABYVals!AE$2:AE$999,RdTRABYVals!$B$2:$B$999,"="&amp;$C30,RdTRABYVals!$C$2:$C$999,"="&amp;INS!$A30),"")</f>
        <v/>
      </c>
      <c r="AA30" s="2" t="str">
        <f>IFERROR(AVERAGEIFS(RdTRABYVals!AF$2:AF$999,RdTRABYVals!$B$2:$B$999,"="&amp;$C30,RdTRABYVals!$C$2:$C$999,"="&amp;INS!$A30),"")</f>
        <v/>
      </c>
      <c r="AB30" s="2" t="str">
        <f>IFERROR(AVERAGEIFS(RdTRABYVals!AG$2:AG$999,RdTRABYVals!$B$2:$B$999,"="&amp;$C30,RdTRABYVals!$C$2:$C$999,"="&amp;INS!$A30),"")</f>
        <v/>
      </c>
      <c r="AC30" s="2" t="str">
        <f>IFERROR(AVERAGEIFS(RdTRABYVals!AH$2:AH$999,RdTRABYVals!$B$2:$B$999,"="&amp;$C30,RdTRABYVals!$C$2:$C$999,"="&amp;INS!$A30),"")</f>
        <v/>
      </c>
      <c r="AD30" s="2">
        <f>IFERROR(AVERAGEIFS(RdTRABYVals!AI$2:AI$999,RdTRABYVals!$B$2:$B$999,"="&amp;$C30,RdTRABYVals!$C$2:$C$999,"="&amp;INS!$A30),"")</f>
        <v>46.743299999999998</v>
      </c>
      <c r="AE30" s="2" t="str">
        <f>IFERROR(AVERAGEIFS(RdTRABYVals!AJ$2:AJ$999,RdTRABYVals!$B$2:$B$999,"="&amp;$C30,RdTRABYVals!$C$2:$C$999,"="&amp;INS!$A30),"")</f>
        <v/>
      </c>
      <c r="AF30" s="2" t="str">
        <f>IFERROR(AVERAGEIFS(RdTRABYVals!AK$2:AK$999,RdTRABYVals!$B$2:$B$999,"="&amp;$C30,RdTRABYVals!$C$2:$C$999,"="&amp;INS!$A30),"")</f>
        <v/>
      </c>
      <c r="AG30" s="2" t="str">
        <f>IFERROR(AVERAGEIFS(RdTRABYVals!AL$2:AL$999,RdTRABYVals!$B$2:$B$999,"="&amp;$C30,RdTRABYVals!$C$2:$C$999,"="&amp;INS!$A30),"")</f>
        <v/>
      </c>
      <c r="AH30" s="2">
        <f>IFERROR(AVERAGEIFS(RdTRABYVals!AM$2:AM$999,RdTRABYVals!$B$2:$B$999,"="&amp;$C30,RdTRABYVals!$C$2:$C$999,"="&amp;INS!$A30),"")</f>
        <v>47.918799999999997</v>
      </c>
      <c r="AI30" s="2" t="str">
        <f>IFERROR(AVERAGEIFS(RdTRABYVals!AN$2:AN$999,RdTRABYVals!$B$2:$B$999,"="&amp;$C30,RdTRABYVals!$C$2:$C$999,"="&amp;INS!$A30),"")</f>
        <v/>
      </c>
      <c r="AJ30" s="2">
        <f>IFERROR(AVERAGEIFS(RdTRABYVals!AO$2:AO$999,RdTRABYVals!$B$2:$B$999,"="&amp;$C30,RdTRABYVals!$C$2:$C$999,"="&amp;INS!$A30),"")</f>
        <v>24.877700000000001</v>
      </c>
      <c r="AK30" s="2">
        <f>IFERROR(AVERAGEIFS(RdTRABYVals!AP$2:AP$999,RdTRABYVals!$B$2:$B$999,"="&amp;$C30,RdTRABYVals!$C$2:$C$999,"="&amp;INS!$A30),"")</f>
        <v>33.058599999999998</v>
      </c>
      <c r="AL30" s="2" t="str">
        <f>IFERROR(AVERAGEIFS(RdTRABYVals!AQ$2:AQ$999,RdTRABYVals!$B$2:$B$999,"="&amp;$C30,RdTRABYVals!$C$2:$C$999,"="&amp;INS!$A30),"")</f>
        <v/>
      </c>
      <c r="AM30" s="2" t="str">
        <f>IFERROR(AVERAGEIFS(RdTRABYVals!AR$2:AR$999,RdTRABYVals!$B$2:$B$999,"="&amp;$C30,RdTRABYVals!$C$2:$C$999,"="&amp;INS!$A30),"")</f>
        <v/>
      </c>
      <c r="AN30" s="2" t="str">
        <f>IFERROR(AVERAGEIFS(RdTRABYVals!AS$2:AS$999,RdTRABYVals!$B$2:$B$999,"="&amp;$C30,RdTRABYVals!$C$2:$C$999,"="&amp;INS!$A30),"")</f>
        <v/>
      </c>
      <c r="AO30" s="2" t="str">
        <f>IFERROR(AVERAGEIFS(RdTRABYVals!AT$2:AT$999,RdTRABYVals!$B$2:$B$999,"="&amp;$C30,RdTRABYVals!$C$2:$C$999,"="&amp;INS!$A30),"")</f>
        <v/>
      </c>
      <c r="AP30" s="2" t="str">
        <f>IFERROR(AVERAGEIFS(RdTRABYVals!AU$2:AU$999,RdTRABYVals!$B$2:$B$999,"="&amp;$C30,RdTRABYVals!$C$2:$C$999,"="&amp;INS!$A30),"")</f>
        <v/>
      </c>
      <c r="AQ30" s="2">
        <f>IFERROR(AVERAGEIFS(RdTRABYVals!AV$2:AV$999,RdTRABYVals!$B$2:$B$999,"="&amp;$C30,RdTRABYVals!$C$2:$C$999,"="&amp;INS!$A30),"")</f>
        <v>119.137</v>
      </c>
    </row>
    <row r="31" spans="1:43" ht="14.4">
      <c r="A31" s="3" t="s">
        <v>109</v>
      </c>
      <c r="C31" s="1" t="s">
        <v>30</v>
      </c>
      <c r="D31" t="s">
        <v>156</v>
      </c>
      <c r="F31" s="4">
        <f>F25</f>
        <v>66.756156756756766</v>
      </c>
      <c r="G31" s="4">
        <f t="shared" si="5" ref="G31:AQ31">G25</f>
        <v>90.563299999999998</v>
      </c>
      <c r="H31" s="4">
        <f t="shared" si="5"/>
        <v>137.91999999999999</v>
      </c>
      <c r="I31" s="4">
        <f t="shared" si="5"/>
        <v>82.638000000000005</v>
      </c>
      <c r="J31" s="4">
        <f t="shared" si="5"/>
        <v>61.850499999999997</v>
      </c>
      <c r="K31" s="4">
        <f t="shared" si="5"/>
        <v>27.199200000000001</v>
      </c>
      <c r="L31" s="4">
        <f t="shared" si="5"/>
        <v>55.678800000000003</v>
      </c>
      <c r="M31" s="4">
        <f t="shared" si="5"/>
        <v>43.694899999999997</v>
      </c>
      <c r="N31" s="4">
        <f t="shared" si="5"/>
        <v>50.453299999999999</v>
      </c>
      <c r="O31" s="4">
        <f t="shared" si="5"/>
        <v>80.075500000000005</v>
      </c>
      <c r="P31" s="4">
        <f t="shared" si="5"/>
        <v>37.301299999999998</v>
      </c>
      <c r="Q31" s="4">
        <f t="shared" si="5"/>
        <v>45.694899999999997</v>
      </c>
      <c r="R31" s="4">
        <f t="shared" si="5"/>
        <v>90.563299999999998</v>
      </c>
      <c r="S31" s="4">
        <f t="shared" si="5"/>
        <v>79.589699999999993</v>
      </c>
      <c r="T31" s="4">
        <f t="shared" si="5"/>
        <v>59.858400000000003</v>
      </c>
      <c r="U31" s="4">
        <f t="shared" si="5"/>
        <v>44.487099999999998</v>
      </c>
      <c r="V31" s="4">
        <f t="shared" si="5"/>
        <v>82.638000000000005</v>
      </c>
      <c r="W31" s="4">
        <f t="shared" si="5"/>
        <v>61.781700000000001</v>
      </c>
      <c r="X31" s="4">
        <f t="shared" si="5"/>
        <v>54.327599999999997</v>
      </c>
      <c r="Y31" s="4">
        <f t="shared" si="5"/>
        <v>46.338999999999999</v>
      </c>
      <c r="Z31" s="4">
        <f t="shared" si="5"/>
        <v>42.782899999999998</v>
      </c>
      <c r="AA31" s="4">
        <f t="shared" si="5"/>
        <v>82.638000000000005</v>
      </c>
      <c r="AB31" s="4">
        <f t="shared" si="5"/>
        <v>15.8658</v>
      </c>
      <c r="AC31" s="4">
        <f t="shared" si="5"/>
        <v>192.143</v>
      </c>
      <c r="AD31" s="4">
        <f t="shared" si="5"/>
        <v>89.929000000000002</v>
      </c>
      <c r="AE31" s="4">
        <f t="shared" si="5"/>
        <v>90.563299999999998</v>
      </c>
      <c r="AF31" s="4">
        <f t="shared" si="5"/>
        <v>21.8232</v>
      </c>
      <c r="AG31" s="4">
        <f t="shared" si="5"/>
        <v>30.152699999999999</v>
      </c>
      <c r="AH31" s="4">
        <f t="shared" si="5"/>
        <v>65.260599999999997</v>
      </c>
      <c r="AI31" s="4">
        <f t="shared" si="5"/>
        <v>63.827599999999997</v>
      </c>
      <c r="AJ31" s="4">
        <f t="shared" si="5"/>
        <v>33.9756</v>
      </c>
      <c r="AK31" s="4">
        <f t="shared" si="5"/>
        <v>37.721600000000002</v>
      </c>
      <c r="AL31" s="4">
        <f t="shared" si="5"/>
        <v>28.950700000000001</v>
      </c>
      <c r="AM31" s="4">
        <f t="shared" si="5"/>
        <v>82.638000000000005</v>
      </c>
      <c r="AN31" s="4">
        <f t="shared" si="5"/>
        <v>110.72</v>
      </c>
      <c r="AO31" s="4">
        <f t="shared" si="5"/>
        <v>115.751</v>
      </c>
      <c r="AP31" s="4">
        <f t="shared" si="5"/>
        <v>67.526399999999995</v>
      </c>
      <c r="AQ31" s="4">
        <f t="shared" si="5"/>
        <v>65.053899999999999</v>
      </c>
    </row>
    <row r="32" spans="1:43" ht="14.4">
      <c r="A32" s="3" t="s">
        <v>109</v>
      </c>
      <c r="C32" s="1" t="s">
        <v>30</v>
      </c>
      <c r="D32" t="s">
        <v>157</v>
      </c>
      <c r="F32" s="4">
        <f>F31</f>
        <v>66.756156756756766</v>
      </c>
      <c r="G32" s="4">
        <f t="shared" si="6" ref="G32:AQ32">G31</f>
        <v>90.563299999999998</v>
      </c>
      <c r="H32" s="4">
        <f t="shared" si="6"/>
        <v>137.91999999999999</v>
      </c>
      <c r="I32" s="4">
        <f t="shared" si="6"/>
        <v>82.638000000000005</v>
      </c>
      <c r="J32" s="4">
        <f t="shared" si="6"/>
        <v>61.850499999999997</v>
      </c>
      <c r="K32" s="4">
        <f t="shared" si="6"/>
        <v>27.199200000000001</v>
      </c>
      <c r="L32" s="4">
        <f t="shared" si="6"/>
        <v>55.678800000000003</v>
      </c>
      <c r="M32" s="4">
        <f t="shared" si="6"/>
        <v>43.694899999999997</v>
      </c>
      <c r="N32" s="4">
        <f t="shared" si="6"/>
        <v>50.453299999999999</v>
      </c>
      <c r="O32" s="4">
        <f t="shared" si="6"/>
        <v>80.075500000000005</v>
      </c>
      <c r="P32" s="4">
        <f t="shared" si="6"/>
        <v>37.301299999999998</v>
      </c>
      <c r="Q32" s="4">
        <f t="shared" si="6"/>
        <v>45.694899999999997</v>
      </c>
      <c r="R32" s="4">
        <f t="shared" si="6"/>
        <v>90.563299999999998</v>
      </c>
      <c r="S32" s="4">
        <f t="shared" si="6"/>
        <v>79.589699999999993</v>
      </c>
      <c r="T32" s="4">
        <f t="shared" si="6"/>
        <v>59.858400000000003</v>
      </c>
      <c r="U32" s="4">
        <f t="shared" si="6"/>
        <v>44.487099999999998</v>
      </c>
      <c r="V32" s="4">
        <f t="shared" si="6"/>
        <v>82.638000000000005</v>
      </c>
      <c r="W32" s="4">
        <f t="shared" si="6"/>
        <v>61.781700000000001</v>
      </c>
      <c r="X32" s="4">
        <f t="shared" si="6"/>
        <v>54.327599999999997</v>
      </c>
      <c r="Y32" s="4">
        <f t="shared" si="6"/>
        <v>46.338999999999999</v>
      </c>
      <c r="Z32" s="4">
        <f t="shared" si="6"/>
        <v>42.782899999999998</v>
      </c>
      <c r="AA32" s="4">
        <f t="shared" si="6"/>
        <v>82.638000000000005</v>
      </c>
      <c r="AB32" s="4">
        <f t="shared" si="6"/>
        <v>15.8658</v>
      </c>
      <c r="AC32" s="4">
        <f t="shared" si="6"/>
        <v>192.143</v>
      </c>
      <c r="AD32" s="4">
        <f t="shared" si="6"/>
        <v>89.929000000000002</v>
      </c>
      <c r="AE32" s="4">
        <f t="shared" si="6"/>
        <v>90.563299999999998</v>
      </c>
      <c r="AF32" s="4">
        <f t="shared" si="6"/>
        <v>21.8232</v>
      </c>
      <c r="AG32" s="4">
        <f t="shared" si="6"/>
        <v>30.152699999999999</v>
      </c>
      <c r="AH32" s="4">
        <f t="shared" si="6"/>
        <v>65.260599999999997</v>
      </c>
      <c r="AI32" s="4">
        <f t="shared" si="6"/>
        <v>63.827599999999997</v>
      </c>
      <c r="AJ32" s="4">
        <f t="shared" si="6"/>
        <v>33.9756</v>
      </c>
      <c r="AK32" s="4">
        <f t="shared" si="6"/>
        <v>37.721600000000002</v>
      </c>
      <c r="AL32" s="4">
        <f t="shared" si="6"/>
        <v>28.950700000000001</v>
      </c>
      <c r="AM32" s="4">
        <f t="shared" si="6"/>
        <v>82.638000000000005</v>
      </c>
      <c r="AN32" s="4">
        <f t="shared" si="6"/>
        <v>110.72</v>
      </c>
      <c r="AO32" s="4">
        <f t="shared" si="6"/>
        <v>115.751</v>
      </c>
      <c r="AP32" s="4">
        <f t="shared" si="6"/>
        <v>67.526399999999995</v>
      </c>
      <c r="AQ32" s="4">
        <f t="shared" si="6"/>
        <v>65.053899999999999</v>
      </c>
    </row>
    <row r="33" spans="1:43" ht="14.4">
      <c r="A33" s="3" t="s">
        <v>110</v>
      </c>
      <c r="C33" s="1" t="s">
        <v>30</v>
      </c>
      <c r="D33" t="s">
        <v>158</v>
      </c>
      <c r="F33" s="4">
        <f>F26</f>
        <v>59.629108333333321</v>
      </c>
      <c r="G33" s="4">
        <f t="shared" si="7" ref="G33:AQ33">G26</f>
        <v>69.344200000000001</v>
      </c>
      <c r="H33" s="4">
        <f t="shared" si="7"/>
        <v>103.075</v>
      </c>
      <c r="I33" s="4">
        <f t="shared" si="7"/>
        <v>78.566500000000005</v>
      </c>
      <c r="J33" s="4">
        <f t="shared" si="7"/>
        <v>68.863600000000005</v>
      </c>
      <c r="K33" s="4">
        <f t="shared" si="7"/>
        <v>23.736799999999999</v>
      </c>
      <c r="L33" s="4">
        <f t="shared" si="7"/>
        <v>56.004600000000003</v>
      </c>
      <c r="M33" s="4">
        <f t="shared" si="7"/>
        <v>36.5657</v>
      </c>
      <c r="N33" s="4">
        <f t="shared" si="7"/>
        <v>40.363799999999998</v>
      </c>
      <c r="O33" s="4">
        <f>O26</f>
        <v>35.722799999999999</v>
      </c>
      <c r="P33" s="4">
        <f t="shared" si="7"/>
        <v>99.782899999999998</v>
      </c>
      <c r="Q33" s="4" t="str">
        <f t="shared" si="7"/>
        <v/>
      </c>
      <c r="R33" s="4">
        <f t="shared" si="7"/>
        <v>69.344200000000001</v>
      </c>
      <c r="S33" s="4">
        <f t="shared" si="7"/>
        <v>31.154800000000002</v>
      </c>
      <c r="T33" s="4">
        <f t="shared" si="7"/>
        <v>60.418599999999998</v>
      </c>
      <c r="U33" s="4">
        <f t="shared" si="7"/>
        <v>44.388800000000003</v>
      </c>
      <c r="V33" s="4">
        <f t="shared" si="7"/>
        <v>78.566500000000005</v>
      </c>
      <c r="W33" s="4">
        <f t="shared" si="7"/>
        <v>48.915199999999999</v>
      </c>
      <c r="X33" s="4">
        <f t="shared" si="7"/>
        <v>53.386299999999999</v>
      </c>
      <c r="Y33" s="4">
        <f t="shared" si="7"/>
        <v>46.338999999999999</v>
      </c>
      <c r="Z33" s="4">
        <f t="shared" si="7"/>
        <v>43.805700000000002</v>
      </c>
      <c r="AA33" s="4">
        <f t="shared" si="7"/>
        <v>78.566500000000005</v>
      </c>
      <c r="AB33" s="4">
        <f t="shared" si="7"/>
        <v>38.915300000000002</v>
      </c>
      <c r="AC33" s="4">
        <f t="shared" si="7"/>
        <v>192.048</v>
      </c>
      <c r="AD33" s="4">
        <f t="shared" si="7"/>
        <v>99.701899999999995</v>
      </c>
      <c r="AE33" s="4">
        <f t="shared" si="7"/>
        <v>69.344200000000001</v>
      </c>
      <c r="AF33" s="4">
        <f t="shared" si="7"/>
        <v>22.366299999999999</v>
      </c>
      <c r="AG33" s="4">
        <f t="shared" si="7"/>
        <v>10.2369</v>
      </c>
      <c r="AH33" s="4">
        <f t="shared" si="7"/>
        <v>65.427599999999998</v>
      </c>
      <c r="AI33" s="4">
        <f t="shared" si="7"/>
        <v>63.8277</v>
      </c>
      <c r="AJ33" s="4">
        <f t="shared" si="7"/>
        <v>33.184199999999997</v>
      </c>
      <c r="AK33" s="4">
        <f t="shared" si="7"/>
        <v>31.991499999999998</v>
      </c>
      <c r="AL33" s="4">
        <f t="shared" si="7"/>
        <v>26.405999999999999</v>
      </c>
      <c r="AM33" s="4">
        <f t="shared" si="7"/>
        <v>78.566500000000005</v>
      </c>
      <c r="AN33" s="4">
        <f t="shared" si="7"/>
        <v>104.86799999999999</v>
      </c>
      <c r="AO33" s="4">
        <f t="shared" si="7"/>
        <v>19.151299999999999</v>
      </c>
      <c r="AP33" s="4">
        <f t="shared" si="7"/>
        <v>67.831000000000003</v>
      </c>
      <c r="AQ33" s="4">
        <f t="shared" si="7"/>
        <v>55.869999999999997</v>
      </c>
    </row>
    <row r="34" spans="1:43" ht="14.4">
      <c r="A34" s="3" t="s">
        <v>110</v>
      </c>
      <c r="C34" s="1" t="s">
        <v>30</v>
      </c>
      <c r="D34" t="s">
        <v>159</v>
      </c>
      <c r="F34" s="4">
        <f>F33</f>
        <v>59.629108333333321</v>
      </c>
      <c r="G34" s="4">
        <f t="shared" si="8" ref="G34:AQ34">G33</f>
        <v>69.344200000000001</v>
      </c>
      <c r="H34" s="4">
        <f t="shared" si="8"/>
        <v>103.075</v>
      </c>
      <c r="I34" s="4">
        <f t="shared" si="8"/>
        <v>78.566500000000005</v>
      </c>
      <c r="J34" s="4">
        <f t="shared" si="8"/>
        <v>68.863600000000005</v>
      </c>
      <c r="K34" s="4">
        <f t="shared" si="8"/>
        <v>23.736799999999999</v>
      </c>
      <c r="L34" s="4">
        <f t="shared" si="8"/>
        <v>56.004600000000003</v>
      </c>
      <c r="M34" s="4">
        <f t="shared" si="8"/>
        <v>36.5657</v>
      </c>
      <c r="N34" s="4">
        <f t="shared" si="8"/>
        <v>40.363799999999998</v>
      </c>
      <c r="O34" s="4">
        <f t="shared" si="8"/>
        <v>35.722799999999999</v>
      </c>
      <c r="P34" s="4">
        <f t="shared" si="8"/>
        <v>99.782899999999998</v>
      </c>
      <c r="Q34" s="4" t="str">
        <f t="shared" si="8"/>
        <v/>
      </c>
      <c r="R34" s="4">
        <f t="shared" si="8"/>
        <v>69.344200000000001</v>
      </c>
      <c r="S34" s="4">
        <f t="shared" si="8"/>
        <v>31.154800000000002</v>
      </c>
      <c r="T34" s="4">
        <f t="shared" si="8"/>
        <v>60.418599999999998</v>
      </c>
      <c r="U34" s="4">
        <f t="shared" si="8"/>
        <v>44.388800000000003</v>
      </c>
      <c r="V34" s="4">
        <f t="shared" si="8"/>
        <v>78.566500000000005</v>
      </c>
      <c r="W34" s="4">
        <f t="shared" si="8"/>
        <v>48.915199999999999</v>
      </c>
      <c r="X34" s="4">
        <f t="shared" si="8"/>
        <v>53.386299999999999</v>
      </c>
      <c r="Y34" s="4">
        <f t="shared" si="8"/>
        <v>46.338999999999999</v>
      </c>
      <c r="Z34" s="4">
        <f t="shared" si="8"/>
        <v>43.805700000000002</v>
      </c>
      <c r="AA34" s="4">
        <f t="shared" si="8"/>
        <v>78.566500000000005</v>
      </c>
      <c r="AB34" s="4">
        <f t="shared" si="8"/>
        <v>38.915300000000002</v>
      </c>
      <c r="AC34" s="4">
        <f t="shared" si="8"/>
        <v>192.048</v>
      </c>
      <c r="AD34" s="4">
        <f t="shared" si="8"/>
        <v>99.701899999999995</v>
      </c>
      <c r="AE34" s="4">
        <f t="shared" si="8"/>
        <v>69.344200000000001</v>
      </c>
      <c r="AF34" s="4">
        <f t="shared" si="8"/>
        <v>22.366299999999999</v>
      </c>
      <c r="AG34" s="4">
        <f t="shared" si="8"/>
        <v>10.2369</v>
      </c>
      <c r="AH34" s="4">
        <f t="shared" si="8"/>
        <v>65.427599999999998</v>
      </c>
      <c r="AI34" s="4">
        <f t="shared" si="8"/>
        <v>63.8277</v>
      </c>
      <c r="AJ34" s="4">
        <f t="shared" si="8"/>
        <v>33.184199999999997</v>
      </c>
      <c r="AK34" s="4">
        <f t="shared" si="8"/>
        <v>31.991499999999998</v>
      </c>
      <c r="AL34" s="4">
        <f t="shared" si="8"/>
        <v>26.405999999999999</v>
      </c>
      <c r="AM34" s="4">
        <f t="shared" si="8"/>
        <v>78.566500000000005</v>
      </c>
      <c r="AN34" s="4">
        <f t="shared" si="8"/>
        <v>104.86799999999999</v>
      </c>
      <c r="AO34" s="4">
        <f t="shared" si="8"/>
        <v>19.151299999999999</v>
      </c>
      <c r="AP34" s="4">
        <f t="shared" si="8"/>
        <v>67.831000000000003</v>
      </c>
      <c r="AQ34" s="4">
        <f t="shared" si="8"/>
        <v>55.869999999999997</v>
      </c>
    </row>
    <row r="35" spans="1:43" ht="14.4">
      <c r="A35" s="3" t="s">
        <v>115</v>
      </c>
      <c r="C35" s="1" t="s">
        <v>30</v>
      </c>
      <c r="D35" t="str">
        <f t="shared" si="4"/>
        <v>TRA_Car_Cng_Exe*</v>
      </c>
      <c r="F35" s="4"/>
      <c r="G35" s="4">
        <f>HLOOKUP(G$22,'Average km per veh'!$E$65:$AO$69,2,0)</f>
        <v>17.187329003884749</v>
      </c>
      <c r="H35" s="4">
        <f>HLOOKUP(H$22,'Average km per veh'!$E$65:$AO$69,2,0)</f>
        <v>25.025052622429936</v>
      </c>
      <c r="I35" s="4">
        <f>HLOOKUP(I$22,'Average km per veh'!$E$65:$AO$69,2,0)</f>
        <v>19.086663508829385</v>
      </c>
      <c r="J35" s="4">
        <f>HLOOKUP(J$22,'Average km per veh'!$E$65:$AO$69,2,0)</f>
        <v>19.086560929096091</v>
      </c>
      <c r="K35" s="4">
        <f>HLOOKUP(K$22,'Average km per veh'!$E$65:$AO$69,2,0)</f>
        <v>12.279247755569884</v>
      </c>
      <c r="L35" s="4">
        <f>HLOOKUP(L$22,'Average km per veh'!$E$65:$AO$69,2,0)</f>
        <v>15.980351221889968</v>
      </c>
      <c r="M35" s="4">
        <f>HLOOKUP(M$22,'Average km per veh'!$E$65:$AO$69,2,0)</f>
        <v>16.797328923766816</v>
      </c>
      <c r="N35" s="4">
        <f>HLOOKUP(N$22,'Average km per veh'!$E$65:$AO$69,2,0)</f>
        <v>16.09814741142873</v>
      </c>
      <c r="O35" s="4">
        <f>HLOOKUP(O$22,'Average km per veh'!$E$65:$AO$69,2,0)</f>
        <v>18.973079059253344</v>
      </c>
      <c r="P35" s="4">
        <f>HLOOKUP(P$22,'Average km per veh'!$E$65:$AO$69,2,0)</f>
        <v>25.580764212634229</v>
      </c>
      <c r="Q35" s="4">
        <f>HLOOKUP(Q$22,'Average km per veh'!$E$65:$AO$69,2,0)</f>
        <v>19.16955287420161</v>
      </c>
      <c r="R35" s="4">
        <f>HLOOKUP(R$22,'Average km per veh'!$E$65:$AO$69,2,0)</f>
        <v>12.271629817813764</v>
      </c>
      <c r="S35" s="4">
        <f>HLOOKUP(S$22,'Average km per veh'!$E$65:$AO$69,2,0)</f>
        <v>17.275072779413662</v>
      </c>
      <c r="T35" s="4">
        <f>HLOOKUP(T$22,'Average km per veh'!$E$65:$AO$69,2,0)</f>
        <v>16.134107967980523</v>
      </c>
      <c r="U35" s="4">
        <f>HLOOKUP(U$22,'Average km per veh'!$E$65:$AO$69,2,0)</f>
        <v>17.783225475773321</v>
      </c>
      <c r="V35" s="4">
        <f>HLOOKUP(V$22,'Average km per veh'!$E$65:$AO$69,2,0)</f>
        <v>18.53311182091182</v>
      </c>
      <c r="W35" s="4">
        <f>HLOOKUP(W$22,'Average km per veh'!$E$65:$AO$69,2,0)</f>
        <v>20.661307100157313</v>
      </c>
      <c r="X35" s="4">
        <f>HLOOKUP(X$22,'Average km per veh'!$E$65:$AO$69,2,0)</f>
        <v>21.550370986433663</v>
      </c>
      <c r="Y35" s="4">
        <f>HLOOKUP(Y$22,'Average km per veh'!$E$65:$AO$69,2,0)</f>
        <v>14.125697567114095</v>
      </c>
      <c r="Z35" s="4">
        <f>HLOOKUP(Z$22,'Average km per veh'!$E$65:$AO$69,2,0)</f>
        <v>14.629349395111811</v>
      </c>
      <c r="AA35" s="4">
        <f>HLOOKUP(AA$22,'Average km per veh'!$E$65:$AO$69,2,0)</f>
        <v>19.411908193682176</v>
      </c>
      <c r="AB35" s="4">
        <f>HLOOKUP(AB$22,'Average km per veh'!$E$65:$AO$69,2,0)</f>
        <v>6.4624578459343782</v>
      </c>
      <c r="AC35" s="4">
        <f>HLOOKUP(AC$22,'Average km per veh'!$E$65:$AO$69,2,0)</f>
        <v>60.259427732769758</v>
      </c>
      <c r="AD35" s="4">
        <f>HLOOKUP(AD$22,'Average km per veh'!$E$65:$AO$69,2,0)</f>
        <v>20.309185585323238</v>
      </c>
      <c r="AE35" s="4">
        <f>HLOOKUP(AE$22,'Average km per veh'!$E$65:$AO$69,2,0)</f>
        <v>15.344308751665046</v>
      </c>
      <c r="AF35" s="4">
        <f>HLOOKUP(AF$22,'Average km per veh'!$E$65:$AO$69,2,0)</f>
        <v>22.461738661417325</v>
      </c>
      <c r="AG35" s="4">
        <f>HLOOKUP(AG$22,'Average km per veh'!$E$65:$AO$69,2,0)</f>
        <v>4.7024503111111109</v>
      </c>
      <c r="AH35" s="4">
        <f>HLOOKUP(AH$22,'Average km per veh'!$E$65:$AO$69,2,0)</f>
        <v>16.794994469426101</v>
      </c>
      <c r="AI35" s="4">
        <f>HLOOKUP(AI$22,'Average km per veh'!$E$65:$AO$69,2,0)</f>
        <v>14.026452987965319</v>
      </c>
      <c r="AJ35" s="4">
        <f>HLOOKUP(AJ$22,'Average km per veh'!$E$65:$AO$69,2,0)</f>
        <v>10.81800855527951</v>
      </c>
      <c r="AK35" s="4">
        <f>HLOOKUP(AK$22,'Average km per veh'!$E$65:$AO$69,2,0)</f>
        <v>18.55396921662453</v>
      </c>
      <c r="AL35" s="4">
        <f>HLOOKUP(AL$22,'Average km per veh'!$E$65:$AO$69,2,0)</f>
        <v>9.1725655702249203</v>
      </c>
      <c r="AM35" s="4">
        <f>HLOOKUP(AM$22,'Average km per veh'!$E$65:$AO$69,2,0)</f>
        <v>19.978034651652312</v>
      </c>
      <c r="AN35" s="4">
        <f>HLOOKUP(AN$22,'Average km per veh'!$E$65:$AO$69,2,0)</f>
        <v>17.350521880216299</v>
      </c>
      <c r="AO35" s="4">
        <f>HLOOKUP(AO$22,'Average km per veh'!$E$65:$AO$69,2,0)</f>
        <v>22.498549324469224</v>
      </c>
      <c r="AP35" s="4">
        <f>HLOOKUP(AP$22,'Average km per veh'!$E$65:$AO$69,2,0)</f>
        <v>12.115085790082409</v>
      </c>
      <c r="AQ35" s="4">
        <f>HLOOKUP(AQ$22,'Average km per veh'!$E$65:$AO$69,2,0)</f>
        <v>17.313498269740187</v>
      </c>
    </row>
    <row r="36" spans="1:43" ht="14.4">
      <c r="A36" s="3" t="s">
        <v>116</v>
      </c>
      <c r="C36" s="1" t="s">
        <v>30</v>
      </c>
      <c r="D36" t="str">
        <f t="shared" si="4"/>
        <v>TRA_Car_Cng_Lom*</v>
      </c>
      <c r="F36" s="4"/>
      <c r="G36" s="4">
        <f>HLOOKUP(G$22,'Average km per veh'!$E$65:$AO$69,3,0)</f>
        <v>11.231087114664275</v>
      </c>
      <c r="H36" s="4">
        <f>HLOOKUP(H$22,'Average km per veh'!$E$65:$AO$69,3,0)</f>
        <v>22.244048618155091</v>
      </c>
      <c r="I36" s="4">
        <f>HLOOKUP(I$22,'Average km per veh'!$E$65:$AO$69,3,0)</f>
        <v>16.42471030778432</v>
      </c>
      <c r="J36" s="4">
        <f>HLOOKUP(J$22,'Average km per veh'!$E$65:$AO$69,3,0)</f>
        <v>19.891649283964757</v>
      </c>
      <c r="K36" s="4">
        <f>HLOOKUP(K$22,'Average km per veh'!$E$65:$AO$69,3,0)</f>
        <v>10.901197551335713</v>
      </c>
      <c r="L36" s="4">
        <f>HLOOKUP(L$22,'Average km per veh'!$E$65:$AO$69,3,0)</f>
        <v>14.007953539760289</v>
      </c>
      <c r="M36" s="4">
        <f>HLOOKUP(M$22,'Average km per veh'!$E$65:$AO$69,3,0)</f>
        <v>13.758117371890284</v>
      </c>
      <c r="N36" s="4">
        <f>HLOOKUP(N$22,'Average km per veh'!$E$65:$AO$69,3,0)</f>
        <v>12.746347121999223</v>
      </c>
      <c r="O36" s="4">
        <f>HLOOKUP(O$22,'Average km per veh'!$E$65:$AO$69,3,0)</f>
        <v>14.291636032899783</v>
      </c>
      <c r="P36" s="4">
        <f>HLOOKUP(P$22,'Average km per veh'!$E$65:$AO$69,3,0)</f>
        <v>18.955415998406256</v>
      </c>
      <c r="Q36" s="4">
        <f>HLOOKUP(Q$22,'Average km per veh'!$E$65:$AO$69,3,0)</f>
        <v>15.723121041017654</v>
      </c>
      <c r="R36" s="4">
        <f>HLOOKUP(R$22,'Average km per veh'!$E$65:$AO$69,3,0)</f>
        <v>9.6830639435569275</v>
      </c>
      <c r="S36" s="4">
        <f>HLOOKUP(S$22,'Average km per veh'!$E$65:$AO$69,3,0)</f>
        <v>12.678180886874376</v>
      </c>
      <c r="T36" s="4">
        <f>HLOOKUP(T$22,'Average km per veh'!$E$65:$AO$69,3,0)</f>
        <v>12.143734491772449</v>
      </c>
      <c r="U36" s="4">
        <f>HLOOKUP(U$22,'Average km per veh'!$E$65:$AO$69,3,0)</f>
        <v>16.087815823558863</v>
      </c>
      <c r="V36" s="4">
        <f>HLOOKUP(V$22,'Average km per veh'!$E$65:$AO$69,3,0)</f>
        <v>15.777693507232247</v>
      </c>
      <c r="W36" s="4">
        <f>HLOOKUP(W$22,'Average km per veh'!$E$65:$AO$69,3,0)</f>
        <v>15.226527818723538</v>
      </c>
      <c r="X36" s="4">
        <f>HLOOKUP(X$22,'Average km per veh'!$E$65:$AO$69,3,0)</f>
        <v>18.891178816087223</v>
      </c>
      <c r="Y36" s="4">
        <f>HLOOKUP(Y$22,'Average km per veh'!$E$65:$AO$69,3,0)</f>
        <v>13.908331858407079</v>
      </c>
      <c r="Z36" s="4">
        <f>HLOOKUP(Z$22,'Average km per veh'!$E$65:$AO$69,3,0)</f>
        <v>12.880904086296288</v>
      </c>
      <c r="AA36" s="4">
        <f>HLOOKUP(AA$22,'Average km per veh'!$E$65:$AO$69,3,0)</f>
        <v>16.8641645188744</v>
      </c>
      <c r="AB36" s="4">
        <f>HLOOKUP(AB$22,'Average km per veh'!$E$65:$AO$69,3,0)</f>
        <v>4.5663864566836079</v>
      </c>
      <c r="AC36" s="4">
        <f>HLOOKUP(AC$22,'Average km per veh'!$E$65:$AO$69,3,0)</f>
        <v>60.513667289150504</v>
      </c>
      <c r="AD36" s="4">
        <f>HLOOKUP(AD$22,'Average km per veh'!$E$65:$AO$69,3,0)</f>
        <v>15.206679130901289</v>
      </c>
      <c r="AE36" s="4">
        <f>HLOOKUP(AE$22,'Average km per veh'!$E$65:$AO$69,3,0)</f>
        <v>10.449953078657643</v>
      </c>
      <c r="AF36" s="4">
        <f>HLOOKUP(AF$22,'Average km per veh'!$E$65:$AO$69,3,0)</f>
        <v>14.316233678794557</v>
      </c>
      <c r="AG36" s="4">
        <f>HLOOKUP(AG$22,'Average km per veh'!$E$65:$AO$69,3,0)</f>
        <v>5.7965102895027627</v>
      </c>
      <c r="AH36" s="4">
        <f>HLOOKUP(AH$22,'Average km per veh'!$E$65:$AO$69,3,0)</f>
        <v>15.127654895177955</v>
      </c>
      <c r="AI36" s="4">
        <f>HLOOKUP(AI$22,'Average km per veh'!$E$65:$AO$69,3,0)</f>
        <v>14.506015783274441</v>
      </c>
      <c r="AJ36" s="4">
        <f>HLOOKUP(AJ$22,'Average km per veh'!$E$65:$AO$69,3,0)</f>
        <v>9.3650665260818684</v>
      </c>
      <c r="AK36" s="4">
        <f>HLOOKUP(AK$22,'Average km per veh'!$E$65:$AO$69,3,0)</f>
        <v>17.0671114268408</v>
      </c>
      <c r="AL36" s="4">
        <f>HLOOKUP(AL$22,'Average km per veh'!$E$65:$AO$69,3,0)</f>
        <v>7.3714097802608078</v>
      </c>
      <c r="AM36" s="4">
        <f>HLOOKUP(AM$22,'Average km per veh'!$E$65:$AO$69,3,0)</f>
        <v>17.646700627252056</v>
      </c>
      <c r="AN36" s="4">
        <f>HLOOKUP(AN$22,'Average km per veh'!$E$65:$AO$69,3,0)</f>
        <v>15.662784427351433</v>
      </c>
      <c r="AO36" s="4">
        <f>HLOOKUP(AO$22,'Average km per veh'!$E$65:$AO$69,3,0)</f>
        <v>20.842831337813077</v>
      </c>
      <c r="AP36" s="4">
        <f>HLOOKUP(AP$22,'Average km per veh'!$E$65:$AO$69,3,0)</f>
        <v>9.8494029998184125</v>
      </c>
      <c r="AQ36" s="4">
        <f>HLOOKUP(AQ$22,'Average km per veh'!$E$65:$AO$69,3,0)</f>
        <v>15.161497015908354</v>
      </c>
    </row>
    <row r="37" spans="1:43" ht="14.4">
      <c r="A37" s="3" t="s">
        <v>117</v>
      </c>
      <c r="C37" s="1" t="s">
        <v>30</v>
      </c>
      <c r="D37" t="str">
        <f t="shared" si="4"/>
        <v>TRA_Car_Cng_Sma*</v>
      </c>
      <c r="F37" s="4"/>
      <c r="G37" s="4">
        <f>HLOOKUP(G$22,'Average km per veh'!$E$65:$AO$69,4,0)</f>
        <v>7.1153892898945754</v>
      </c>
      <c r="H37" s="4">
        <f>HLOOKUP(H$22,'Average km per veh'!$E$65:$AO$69,4,0)</f>
        <v>19.046218031019158</v>
      </c>
      <c r="I37" s="4">
        <f>HLOOKUP(I$22,'Average km per veh'!$E$65:$AO$69,4,0)</f>
        <v>13.907251607963026</v>
      </c>
      <c r="J37" s="4">
        <f>HLOOKUP(J$22,'Average km per veh'!$E$65:$AO$69,4,0)</f>
        <v>15.699539365821733</v>
      </c>
      <c r="K37" s="4">
        <f>HLOOKUP(K$22,'Average km per veh'!$E$65:$AO$69,4,0)</f>
        <v>8.6603503456274833</v>
      </c>
      <c r="L37" s="4">
        <f>HLOOKUP(L$22,'Average km per veh'!$E$65:$AO$69,4,0)</f>
        <v>12.080379378702526</v>
      </c>
      <c r="M37" s="4">
        <f>HLOOKUP(M$22,'Average km per veh'!$E$65:$AO$69,4,0)</f>
        <v>12.118160426656232</v>
      </c>
      <c r="N37" s="4">
        <f>HLOOKUP(N$22,'Average km per veh'!$E$65:$AO$69,4,0)</f>
        <v>10.153642297486675</v>
      </c>
      <c r="O37" s="4">
        <f>HLOOKUP(O$22,'Average km per veh'!$E$65:$AO$69,4,0)</f>
        <v>11.891510641645281</v>
      </c>
      <c r="P37" s="4">
        <f>HLOOKUP(P$22,'Average km per veh'!$E$65:$AO$69,4,0)</f>
        <v>17.294506025445777</v>
      </c>
      <c r="Q37" s="4">
        <f>HLOOKUP(Q$22,'Average km per veh'!$E$65:$AO$69,4,0)</f>
        <v>15.477056713955788</v>
      </c>
      <c r="R37" s="4">
        <f>HLOOKUP(R$22,'Average km per veh'!$E$65:$AO$69,4,0)</f>
        <v>6.7264821240877559</v>
      </c>
      <c r="S37" s="4">
        <f>HLOOKUP(S$22,'Average km per veh'!$E$65:$AO$69,4,0)</f>
        <v>11.29255016067237</v>
      </c>
      <c r="T37" s="4">
        <f>HLOOKUP(T$22,'Average km per veh'!$E$65:$AO$69,4,0)</f>
        <v>13.142548793132425</v>
      </c>
      <c r="U37" s="4">
        <f>HLOOKUP(U$22,'Average km per veh'!$E$65:$AO$69,4,0)</f>
        <v>13.398263828780863</v>
      </c>
      <c r="V37" s="4">
        <f>HLOOKUP(V$22,'Average km per veh'!$E$65:$AO$69,4,0)</f>
        <v>13.250472537429653</v>
      </c>
      <c r="W37" s="4">
        <f>HLOOKUP(W$22,'Average km per veh'!$E$65:$AO$69,4,0)</f>
        <v>11.48912308859947</v>
      </c>
      <c r="X37" s="4">
        <f>HLOOKUP(X$22,'Average km per veh'!$E$65:$AO$69,4,0)</f>
        <v>18.400087257973201</v>
      </c>
      <c r="Y37" s="4">
        <f>HLOOKUP(Y$22,'Average km per veh'!$E$65:$AO$69,4,0)</f>
        <v>13.82816482240437</v>
      </c>
      <c r="Z37" s="4">
        <f>HLOOKUP(Z$22,'Average km per veh'!$E$65:$AO$69,4,0)</f>
        <v>9.4055545752053789</v>
      </c>
      <c r="AA37" s="4">
        <f>HLOOKUP(AA$22,'Average km per veh'!$E$65:$AO$69,4,0)</f>
        <v>14.207133380446304</v>
      </c>
      <c r="AB37" s="4">
        <f>HLOOKUP(AB$22,'Average km per veh'!$E$65:$AO$69,4,0)</f>
        <v>4.3530321962187957</v>
      </c>
      <c r="AC37" s="4">
        <f>HLOOKUP(AC$22,'Average km per veh'!$E$65:$AO$69,4,0)</f>
        <v>58.462971338757399</v>
      </c>
      <c r="AD37" s="4">
        <f>HLOOKUP(AD$22,'Average km per veh'!$E$65:$AO$69,4,0)</f>
        <v>17.80032329414129</v>
      </c>
      <c r="AE37" s="4">
        <f>HLOOKUP(AE$22,'Average km per veh'!$E$65:$AO$69,4,0)</f>
        <v>6.904828971386566</v>
      </c>
      <c r="AF37" s="4">
        <f>HLOOKUP(AF$22,'Average km per veh'!$E$65:$AO$69,4,0)</f>
        <v>11.115743412584051</v>
      </c>
      <c r="AG37" s="4">
        <f>HLOOKUP(AG$22,'Average km per veh'!$E$65:$AO$69,4,0)</f>
        <v>7.3052660023146743</v>
      </c>
      <c r="AH37" s="4">
        <f>HLOOKUP(AH$22,'Average km per veh'!$E$65:$AO$69,4,0)</f>
        <v>13.267237590574732</v>
      </c>
      <c r="AI37" s="4">
        <f>HLOOKUP(AI$22,'Average km per veh'!$E$65:$AO$69,4,0)</f>
        <v>13.729387949778152</v>
      </c>
      <c r="AJ37" s="4">
        <f>HLOOKUP(AJ$22,'Average km per veh'!$E$65:$AO$69,4,0)</f>
        <v>7.5615301989604831</v>
      </c>
      <c r="AK37" s="4">
        <f>HLOOKUP(AK$22,'Average km per veh'!$E$65:$AO$69,4,0)</f>
        <v>12.278672046364283</v>
      </c>
      <c r="AL37" s="4">
        <f>HLOOKUP(AL$22,'Average km per veh'!$E$65:$AO$69,4,0)</f>
        <v>5.6036277219646493</v>
      </c>
      <c r="AM37" s="4">
        <f>HLOOKUP(AM$22,'Average km per veh'!$E$65:$AO$69,4,0)</f>
        <v>14.594461539777287</v>
      </c>
      <c r="AN37" s="4">
        <f>HLOOKUP(AN$22,'Average km per veh'!$E$65:$AO$69,4,0)</f>
        <v>15.707090146793464</v>
      </c>
      <c r="AO37" s="4">
        <f>HLOOKUP(AO$22,'Average km per veh'!$E$65:$AO$69,4,0)</f>
        <v>14.48901706527155</v>
      </c>
      <c r="AP37" s="4">
        <f>HLOOKUP(AP$22,'Average km per veh'!$E$65:$AO$69,4,0)</f>
        <v>9.0724184923026314</v>
      </c>
      <c r="AQ37" s="4">
        <f>HLOOKUP(AQ$22,'Average km per veh'!$E$65:$AO$69,4,0)</f>
        <v>12.891664931184952</v>
      </c>
    </row>
    <row r="38" spans="1:43" ht="14.4">
      <c r="A38" s="3" t="s">
        <v>118</v>
      </c>
      <c r="C38" s="1" t="s">
        <v>30</v>
      </c>
      <c r="D38" t="str">
        <f t="shared" si="4"/>
        <v>TRA_Car_Cng_Upm*</v>
      </c>
      <c r="F38" s="4"/>
      <c r="G38" s="4">
        <f>HLOOKUP(G$22,'Average km per veh'!$E$65:$AO$69,5,0)</f>
        <v>11.979463627417346</v>
      </c>
      <c r="H38" s="4">
        <f>HLOOKUP(H$22,'Average km per veh'!$E$65:$AO$69,5,0)</f>
        <v>22.586000785233029</v>
      </c>
      <c r="I38" s="4">
        <f>HLOOKUP(I$22,'Average km per veh'!$E$65:$AO$69,5,0)</f>
        <v>16.601808729771438</v>
      </c>
      <c r="J38" s="4">
        <f>HLOOKUP(J$22,'Average km per veh'!$E$65:$AO$69,5,0)</f>
        <v>18.840383976560062</v>
      </c>
      <c r="K38" s="4">
        <f>HLOOKUP(K$22,'Average km per veh'!$E$65:$AO$69,5,0)</f>
        <v>8.9216805281293077</v>
      </c>
      <c r="L38" s="4">
        <f>HLOOKUP(L$22,'Average km per veh'!$E$65:$AO$69,5,0)</f>
        <v>13.941752252489593</v>
      </c>
      <c r="M38" s="4">
        <f>HLOOKUP(M$22,'Average km per veh'!$E$65:$AO$69,5,0)</f>
        <v>13.332813301719028</v>
      </c>
      <c r="N38" s="4">
        <f>HLOOKUP(N$22,'Average km per veh'!$E$65:$AO$69,5,0)</f>
        <v>12.806798341212225</v>
      </c>
      <c r="O38" s="4">
        <f>HLOOKUP(O$22,'Average km per veh'!$E$65:$AO$69,5,0)</f>
        <v>14.595800046458264</v>
      </c>
      <c r="P38" s="4">
        <f>HLOOKUP(P$22,'Average km per veh'!$E$65:$AO$69,5,0)</f>
        <v>18.620476413875664</v>
      </c>
      <c r="Q38" s="4">
        <f>HLOOKUP(Q$22,'Average km per veh'!$E$65:$AO$69,5,0)</f>
        <v>16.361826867400119</v>
      </c>
      <c r="R38" s="4">
        <f>HLOOKUP(R$22,'Average km per veh'!$E$65:$AO$69,5,0)</f>
        <v>10.150511348013517</v>
      </c>
      <c r="S38" s="4">
        <f>HLOOKUP(S$22,'Average km per veh'!$E$65:$AO$69,5,0)</f>
        <v>12.453836754688188</v>
      </c>
      <c r="T38" s="4">
        <f>HLOOKUP(T$22,'Average km per veh'!$E$65:$AO$69,5,0)</f>
        <v>11.99363126834997</v>
      </c>
      <c r="U38" s="4">
        <f>HLOOKUP(U$22,'Average km per veh'!$E$65:$AO$69,5,0)</f>
        <v>16.433393323500013</v>
      </c>
      <c r="V38" s="4">
        <f>HLOOKUP(V$22,'Average km per veh'!$E$65:$AO$69,5,0)</f>
        <v>15.80229603721155</v>
      </c>
      <c r="W38" s="4">
        <f>HLOOKUP(W$22,'Average km per veh'!$E$65:$AO$69,5,0)</f>
        <v>15.097961658447872</v>
      </c>
      <c r="X38" s="4">
        <f>HLOOKUP(X$22,'Average km per veh'!$E$65:$AO$69,5,0)</f>
        <v>20.006307041088583</v>
      </c>
      <c r="Y38" s="4">
        <f>HLOOKUP(Y$22,'Average km per veh'!$E$65:$AO$69,5,0)</f>
        <v>14.174238681130458</v>
      </c>
      <c r="Z38" s="4">
        <f>HLOOKUP(Z$22,'Average km per veh'!$E$65:$AO$69,5,0)</f>
        <v>12.91138750282413</v>
      </c>
      <c r="AA38" s="4">
        <f>HLOOKUP(AA$22,'Average km per veh'!$E$65:$AO$69,5,0)</f>
        <v>17.030395017604405</v>
      </c>
      <c r="AB38" s="4">
        <f>HLOOKUP(AB$22,'Average km per veh'!$E$65:$AO$69,5,0)</f>
        <v>4.5457640264475874</v>
      </c>
      <c r="AC38" s="4">
        <f>HLOOKUP(AC$22,'Average km per veh'!$E$65:$AO$69,5,0)</f>
        <v>63.725923083739481</v>
      </c>
      <c r="AD38" s="4">
        <f>HLOOKUP(AD$22,'Average km per veh'!$E$65:$AO$69,5,0)</f>
        <v>15.977938952027754</v>
      </c>
      <c r="AE38" s="4">
        <f>HLOOKUP(AE$22,'Average km per veh'!$E$65:$AO$69,5,0)</f>
        <v>11.062872673867675</v>
      </c>
      <c r="AF38" s="4">
        <f>HLOOKUP(AF$22,'Average km per veh'!$E$65:$AO$69,5,0)</f>
        <v>14.420115180327869</v>
      </c>
      <c r="AG38" s="4">
        <f>HLOOKUP(AG$22,'Average km per veh'!$E$65:$AO$69,5,0)</f>
        <v>5.6424041744701832</v>
      </c>
      <c r="AH38" s="4">
        <f>HLOOKUP(AH$22,'Average km per veh'!$E$65:$AO$69,5,0)</f>
        <v>15.094557383770121</v>
      </c>
      <c r="AI38" s="4">
        <f>HLOOKUP(AI$22,'Average km per veh'!$E$65:$AO$69,5,0)</f>
        <v>14.206396758090095</v>
      </c>
      <c r="AJ38" s="4">
        <f>HLOOKUP(AJ$22,'Average km per veh'!$E$65:$AO$69,5,0)</f>
        <v>9.2524250327592252</v>
      </c>
      <c r="AK38" s="4">
        <f>HLOOKUP(AK$22,'Average km per veh'!$E$65:$AO$69,5,0)</f>
        <v>17.067061941554286</v>
      </c>
      <c r="AL38" s="4">
        <f>HLOOKUP(AL$22,'Average km per veh'!$E$65:$AO$69,5,0)</f>
        <v>7.3489137858842204</v>
      </c>
      <c r="AM38" s="4">
        <f>HLOOKUP(AM$22,'Average km per veh'!$E$65:$AO$69,5,0)</f>
        <v>17.715759300409051</v>
      </c>
      <c r="AN38" s="4">
        <f>HLOOKUP(AN$22,'Average km per veh'!$E$65:$AO$69,5,0)</f>
        <v>16.132104648494625</v>
      </c>
      <c r="AO38" s="4">
        <f>HLOOKUP(AO$22,'Average km per veh'!$E$65:$AO$69,5,0)</f>
        <v>19.993092098092642</v>
      </c>
      <c r="AP38" s="4">
        <f>HLOOKUP(AP$22,'Average km per veh'!$E$65:$AO$69,5,0)</f>
        <v>9.6833938056118019</v>
      </c>
      <c r="AQ38" s="4">
        <f>HLOOKUP(AQ$22,'Average km per veh'!$E$65:$AO$69,5,0)</f>
        <v>16.114876109981896</v>
      </c>
    </row>
    <row r="39" spans="1:43" ht="14.4">
      <c r="A39" s="3" t="s">
        <v>119</v>
      </c>
      <c r="C39" s="1" t="s">
        <v>30</v>
      </c>
      <c r="D39" t="str">
        <f t="shared" si="4"/>
        <v>TRA_Car_Dis_Exe*</v>
      </c>
      <c r="F39" s="4"/>
      <c r="G39" s="2">
        <f t="shared" si="9" ref="G39:G58">G35-0.05</f>
        <v>17.137329003884748</v>
      </c>
      <c r="H39" s="2">
        <f t="shared" si="10" ref="H39:AQ48">H35-0.05</f>
        <v>24.975052622429935</v>
      </c>
      <c r="I39" s="2">
        <f t="shared" si="10"/>
        <v>19.036663508829385</v>
      </c>
      <c r="J39" s="2">
        <f t="shared" si="10"/>
        <v>19.03656092909609</v>
      </c>
      <c r="K39" s="2">
        <f t="shared" si="10"/>
        <v>12.229247755569883</v>
      </c>
      <c r="L39" s="2">
        <f t="shared" si="10"/>
        <v>15.930351221889968</v>
      </c>
      <c r="M39" s="2">
        <f t="shared" si="10"/>
        <v>16.747328923766815</v>
      </c>
      <c r="N39" s="2">
        <f t="shared" si="10"/>
        <v>16.048147411428729</v>
      </c>
      <c r="O39" s="2">
        <f t="shared" si="10"/>
        <v>18.923079059253343</v>
      </c>
      <c r="P39" s="2">
        <f t="shared" si="10"/>
        <v>25.530764212634228</v>
      </c>
      <c r="Q39" s="2">
        <f t="shared" si="10"/>
        <v>19.119552874201609</v>
      </c>
      <c r="R39" s="2">
        <f t="shared" si="10"/>
        <v>12.221629817813763</v>
      </c>
      <c r="S39" s="2">
        <f t="shared" si="10"/>
        <v>17.225072779413662</v>
      </c>
      <c r="T39" s="2">
        <f t="shared" si="10"/>
        <v>16.084107967980522</v>
      </c>
      <c r="U39" s="2">
        <f t="shared" si="10"/>
        <v>17.73322547577332</v>
      </c>
      <c r="V39" s="2">
        <f t="shared" si="10"/>
        <v>18.483111820911819</v>
      </c>
      <c r="W39" s="2">
        <f t="shared" si="10"/>
        <v>20.611307100157312</v>
      </c>
      <c r="X39" s="2">
        <f t="shared" si="10"/>
        <v>21.500370986433662</v>
      </c>
      <c r="Y39" s="2">
        <f t="shared" si="10"/>
        <v>14.075697567114094</v>
      </c>
      <c r="Z39" s="2">
        <f t="shared" si="10"/>
        <v>14.57934939511181</v>
      </c>
      <c r="AA39" s="2">
        <f t="shared" si="10"/>
        <v>19.361908193682176</v>
      </c>
      <c r="AB39" s="2">
        <f t="shared" si="10"/>
        <v>6.4124578459343784</v>
      </c>
      <c r="AC39" s="2">
        <f t="shared" si="10"/>
        <v>60.209427732769761</v>
      </c>
      <c r="AD39" s="2">
        <f t="shared" si="10"/>
        <v>20.259185585323237</v>
      </c>
      <c r="AE39" s="2">
        <f t="shared" si="10"/>
        <v>15.294308751665046</v>
      </c>
      <c r="AF39" s="2">
        <f t="shared" si="10"/>
        <v>22.411738661417324</v>
      </c>
      <c r="AG39" s="2">
        <f t="shared" si="10"/>
        <v>4.6524503111111111</v>
      </c>
      <c r="AH39" s="2">
        <f t="shared" si="10"/>
        <v>16.7449944694261</v>
      </c>
      <c r="AI39" s="2">
        <f t="shared" si="10"/>
        <v>13.976452987965319</v>
      </c>
      <c r="AJ39" s="2">
        <f t="shared" si="10"/>
        <v>10.76800855527951</v>
      </c>
      <c r="AK39" s="2">
        <f t="shared" si="10"/>
        <v>18.50396921662453</v>
      </c>
      <c r="AL39" s="2">
        <f t="shared" si="10"/>
        <v>9.1225655702249195</v>
      </c>
      <c r="AM39" s="2">
        <f t="shared" si="10"/>
        <v>19.928034651652311</v>
      </c>
      <c r="AN39" s="2">
        <f t="shared" si="10"/>
        <v>17.300521880216298</v>
      </c>
      <c r="AO39" s="2">
        <f t="shared" si="10"/>
        <v>22.448549324469223</v>
      </c>
      <c r="AP39" s="2">
        <f t="shared" si="10"/>
        <v>12.065085790082408</v>
      </c>
      <c r="AQ39" s="2">
        <f t="shared" si="10"/>
        <v>17.263498269740186</v>
      </c>
    </row>
    <row r="40" spans="1:43" ht="14.4">
      <c r="A40" s="3" t="s">
        <v>120</v>
      </c>
      <c r="C40" s="1" t="s">
        <v>30</v>
      </c>
      <c r="D40" t="str">
        <f t="shared" si="4"/>
        <v>TRA_Car_Dis_Lom*</v>
      </c>
      <c r="F40" s="4"/>
      <c r="G40" s="2">
        <f t="shared" si="9"/>
        <v>11.181087114664274</v>
      </c>
      <c r="H40" s="2">
        <f t="shared" si="11" ref="H40:V40">H36-0.05</f>
        <v>22.19404861815509</v>
      </c>
      <c r="I40" s="2">
        <f t="shared" si="11"/>
        <v>16.374710307784319</v>
      </c>
      <c r="J40" s="2">
        <f t="shared" si="11"/>
        <v>19.841649283964756</v>
      </c>
      <c r="K40" s="2">
        <f t="shared" si="11"/>
        <v>10.851197551335712</v>
      </c>
      <c r="L40" s="2">
        <f t="shared" si="11"/>
        <v>13.957953539760288</v>
      </c>
      <c r="M40" s="2">
        <f t="shared" si="11"/>
        <v>13.708117371890284</v>
      </c>
      <c r="N40" s="2">
        <f t="shared" si="11"/>
        <v>12.696347121999223</v>
      </c>
      <c r="O40" s="2">
        <f t="shared" si="11"/>
        <v>14.241636032899782</v>
      </c>
      <c r="P40" s="2">
        <f t="shared" si="11"/>
        <v>18.905415998406255</v>
      </c>
      <c r="Q40" s="2">
        <f t="shared" si="11"/>
        <v>15.673121041017653</v>
      </c>
      <c r="R40" s="2">
        <f t="shared" si="11"/>
        <v>9.6330639435569267</v>
      </c>
      <c r="S40" s="2">
        <f t="shared" si="11"/>
        <v>12.628180886874375</v>
      </c>
      <c r="T40" s="2">
        <f t="shared" si="11"/>
        <v>12.093734491772448</v>
      </c>
      <c r="U40" s="2">
        <f t="shared" si="11"/>
        <v>16.037815823558862</v>
      </c>
      <c r="V40" s="2">
        <f t="shared" si="11"/>
        <v>15.727693507232246</v>
      </c>
      <c r="W40" s="2">
        <f t="shared" si="10"/>
        <v>15.176527818723537</v>
      </c>
      <c r="X40" s="2">
        <f t="shared" si="10"/>
        <v>18.841178816087222</v>
      </c>
      <c r="Y40" s="2">
        <f t="shared" si="10"/>
        <v>13.858331858407078</v>
      </c>
      <c r="Z40" s="2">
        <f t="shared" si="10"/>
        <v>12.830904086296288</v>
      </c>
      <c r="AA40" s="2">
        <f t="shared" si="10"/>
        <v>16.814164518874399</v>
      </c>
      <c r="AB40" s="2">
        <f t="shared" si="10"/>
        <v>4.5163864566836081</v>
      </c>
      <c r="AC40" s="2">
        <f t="shared" si="10"/>
        <v>60.463667289150507</v>
      </c>
      <c r="AD40" s="2">
        <f t="shared" si="10"/>
        <v>15.156679130901288</v>
      </c>
      <c r="AE40" s="2">
        <f t="shared" si="10"/>
        <v>10.399953078657642</v>
      </c>
      <c r="AF40" s="2">
        <f t="shared" si="10"/>
        <v>14.266233678794556</v>
      </c>
      <c r="AG40" s="2">
        <f t="shared" si="10"/>
        <v>5.7465102895027629</v>
      </c>
      <c r="AH40" s="2">
        <f t="shared" si="10"/>
        <v>15.077654895177954</v>
      </c>
      <c r="AI40" s="2">
        <f t="shared" si="10"/>
        <v>14.45601578327444</v>
      </c>
      <c r="AJ40" s="2">
        <f t="shared" si="10"/>
        <v>9.3150665260818677</v>
      </c>
      <c r="AK40" s="2">
        <f t="shared" si="10"/>
        <v>17.017111426840799</v>
      </c>
      <c r="AL40" s="2">
        <f t="shared" si="10"/>
        <v>7.321409780260808</v>
      </c>
      <c r="AM40" s="2">
        <f t="shared" si="10"/>
        <v>17.596700627252055</v>
      </c>
      <c r="AN40" s="2">
        <f t="shared" si="10"/>
        <v>15.612784427351432</v>
      </c>
      <c r="AO40" s="2">
        <f t="shared" si="10"/>
        <v>20.792831337813077</v>
      </c>
      <c r="AP40" s="2">
        <f t="shared" si="10"/>
        <v>9.7994029998184118</v>
      </c>
      <c r="AQ40" s="2">
        <f t="shared" si="10"/>
        <v>15.111497015908354</v>
      </c>
    </row>
    <row r="41" spans="1:43" ht="14.4">
      <c r="A41" s="3" t="s">
        <v>121</v>
      </c>
      <c r="C41" s="1" t="s">
        <v>30</v>
      </c>
      <c r="D41" t="str">
        <f t="shared" si="4"/>
        <v>TRA_Car_Dis_Sma*</v>
      </c>
      <c r="F41" s="4"/>
      <c r="G41" s="2">
        <f t="shared" si="9"/>
        <v>7.0653892898945756</v>
      </c>
      <c r="H41" s="2">
        <f t="shared" si="10"/>
        <v>18.996218031019158</v>
      </c>
      <c r="I41" s="2">
        <f t="shared" si="10"/>
        <v>13.857251607963025</v>
      </c>
      <c r="J41" s="2">
        <f t="shared" si="10"/>
        <v>15.649539365821733</v>
      </c>
      <c r="K41" s="2">
        <f t="shared" si="10"/>
        <v>8.6103503456274826</v>
      </c>
      <c r="L41" s="2">
        <f t="shared" si="10"/>
        <v>12.030379378702525</v>
      </c>
      <c r="M41" s="2">
        <f t="shared" si="10"/>
        <v>12.068160426656231</v>
      </c>
      <c r="N41" s="2">
        <f t="shared" si="10"/>
        <v>10.103642297486674</v>
      </c>
      <c r="O41" s="2">
        <f t="shared" si="10"/>
        <v>11.84151064164528</v>
      </c>
      <c r="P41" s="2">
        <f t="shared" si="10"/>
        <v>17.244506025445776</v>
      </c>
      <c r="Q41" s="2">
        <f t="shared" si="10"/>
        <v>15.427056713955787</v>
      </c>
      <c r="R41" s="2">
        <f t="shared" si="10"/>
        <v>6.6764821240877561</v>
      </c>
      <c r="S41" s="2">
        <f t="shared" si="10"/>
        <v>11.242550160672369</v>
      </c>
      <c r="T41" s="2">
        <f t="shared" si="10"/>
        <v>13.092548793132424</v>
      </c>
      <c r="U41" s="2">
        <f t="shared" si="10"/>
        <v>13.348263828780862</v>
      </c>
      <c r="V41" s="2">
        <f t="shared" si="10"/>
        <v>13.200472537429652</v>
      </c>
      <c r="W41" s="2">
        <f t="shared" si="10"/>
        <v>11.439123088599469</v>
      </c>
      <c r="X41" s="2">
        <f t="shared" si="10"/>
        <v>18.3500872579732</v>
      </c>
      <c r="Y41" s="2">
        <f t="shared" si="10"/>
        <v>13.778164822404369</v>
      </c>
      <c r="Z41" s="2">
        <f t="shared" si="10"/>
        <v>9.3555545752053781</v>
      </c>
      <c r="AA41" s="2">
        <f t="shared" si="10"/>
        <v>14.157133380446304</v>
      </c>
      <c r="AB41" s="2">
        <f t="shared" si="10"/>
        <v>4.3030321962187958</v>
      </c>
      <c r="AC41" s="2">
        <f t="shared" si="10"/>
        <v>58.412971338757401</v>
      </c>
      <c r="AD41" s="2">
        <f t="shared" si="10"/>
        <v>17.750323294141289</v>
      </c>
      <c r="AE41" s="2">
        <f t="shared" si="10"/>
        <v>6.8548289713865662</v>
      </c>
      <c r="AF41" s="2">
        <f t="shared" si="10"/>
        <v>11.06574341258405</v>
      </c>
      <c r="AG41" s="2">
        <f t="shared" si="10"/>
        <v>7.2552660023146744</v>
      </c>
      <c r="AH41" s="2">
        <f t="shared" si="10"/>
        <v>13.217237590574731</v>
      </c>
      <c r="AI41" s="2">
        <f t="shared" si="10"/>
        <v>13.679387949778151</v>
      </c>
      <c r="AJ41" s="2">
        <f t="shared" si="10"/>
        <v>7.5115301989604832</v>
      </c>
      <c r="AK41" s="2">
        <f t="shared" si="10"/>
        <v>12.228672046364283</v>
      </c>
      <c r="AL41" s="2">
        <f t="shared" si="10"/>
        <v>5.5536277219646495</v>
      </c>
      <c r="AM41" s="2">
        <f t="shared" si="10"/>
        <v>14.544461539777286</v>
      </c>
      <c r="AN41" s="2">
        <f t="shared" si="10"/>
        <v>15.657090146793463</v>
      </c>
      <c r="AO41" s="2">
        <f t="shared" si="10"/>
        <v>14.43901706527155</v>
      </c>
      <c r="AP41" s="2">
        <f t="shared" si="10"/>
        <v>9.0224184923026307</v>
      </c>
      <c r="AQ41" s="2">
        <f t="shared" si="10"/>
        <v>12.841664931184951</v>
      </c>
    </row>
    <row r="42" spans="1:43" ht="14.4">
      <c r="A42" s="3" t="s">
        <v>122</v>
      </c>
      <c r="C42" s="1" t="s">
        <v>30</v>
      </c>
      <c r="D42" t="str">
        <f t="shared" si="4"/>
        <v>TRA_Car_Dis_Upm*</v>
      </c>
      <c r="F42" s="4"/>
      <c r="G42" s="2">
        <f t="shared" si="9"/>
        <v>11.929463627417345</v>
      </c>
      <c r="H42" s="2">
        <f t="shared" si="10"/>
        <v>22.536000785233028</v>
      </c>
      <c r="I42" s="2">
        <f t="shared" si="10"/>
        <v>16.551808729771437</v>
      </c>
      <c r="J42" s="2">
        <f t="shared" si="10"/>
        <v>18.790383976560062</v>
      </c>
      <c r="K42" s="2">
        <f t="shared" si="10"/>
        <v>8.871680528129307</v>
      </c>
      <c r="L42" s="2">
        <f t="shared" si="10"/>
        <v>13.891752252489592</v>
      </c>
      <c r="M42" s="2">
        <f t="shared" si="10"/>
        <v>13.282813301719028</v>
      </c>
      <c r="N42" s="2">
        <f t="shared" si="10"/>
        <v>12.756798341212225</v>
      </c>
      <c r="O42" s="2">
        <f t="shared" si="10"/>
        <v>14.545800046458263</v>
      </c>
      <c r="P42" s="2">
        <f t="shared" si="10"/>
        <v>18.570476413875664</v>
      </c>
      <c r="Q42" s="2">
        <f t="shared" si="10"/>
        <v>16.311826867400118</v>
      </c>
      <c r="R42" s="2">
        <f t="shared" si="10"/>
        <v>10.100511348013516</v>
      </c>
      <c r="S42" s="2">
        <f t="shared" si="10"/>
        <v>12.403836754688188</v>
      </c>
      <c r="T42" s="2">
        <f t="shared" si="10"/>
        <v>11.94363126834997</v>
      </c>
      <c r="U42" s="2">
        <f t="shared" si="10"/>
        <v>16.383393323500012</v>
      </c>
      <c r="V42" s="2">
        <f t="shared" si="10"/>
        <v>15.752296037211549</v>
      </c>
      <c r="W42" s="2">
        <f t="shared" si="10"/>
        <v>15.047961658447871</v>
      </c>
      <c r="X42" s="2">
        <f t="shared" si="10"/>
        <v>19.956307041088582</v>
      </c>
      <c r="Y42" s="2">
        <f t="shared" si="10"/>
        <v>14.124238681130457</v>
      </c>
      <c r="Z42" s="2">
        <f t="shared" si="10"/>
        <v>12.86138750282413</v>
      </c>
      <c r="AA42" s="2">
        <f t="shared" si="10"/>
        <v>16.980395017604405</v>
      </c>
      <c r="AB42" s="2">
        <f t="shared" si="10"/>
        <v>4.4957640264475875</v>
      </c>
      <c r="AC42" s="2">
        <f t="shared" si="10"/>
        <v>63.675923083739484</v>
      </c>
      <c r="AD42" s="2">
        <f t="shared" si="10"/>
        <v>15.927938952027754</v>
      </c>
      <c r="AE42" s="2">
        <f t="shared" si="10"/>
        <v>11.012872673867674</v>
      </c>
      <c r="AF42" s="2">
        <f t="shared" si="10"/>
        <v>14.370115180327868</v>
      </c>
      <c r="AG42" s="2">
        <f t="shared" si="10"/>
        <v>5.5924041744701833</v>
      </c>
      <c r="AH42" s="2">
        <f t="shared" si="10"/>
        <v>15.044557383770121</v>
      </c>
      <c r="AI42" s="2">
        <f t="shared" si="10"/>
        <v>14.156396758090095</v>
      </c>
      <c r="AJ42" s="2">
        <f t="shared" si="10"/>
        <v>9.2024250327592245</v>
      </c>
      <c r="AK42" s="2">
        <f t="shared" si="10"/>
        <v>17.017061941554285</v>
      </c>
      <c r="AL42" s="2">
        <f t="shared" si="10"/>
        <v>7.2989137858842206</v>
      </c>
      <c r="AM42" s="2">
        <f t="shared" si="10"/>
        <v>17.66575930040905</v>
      </c>
      <c r="AN42" s="2">
        <f t="shared" si="10"/>
        <v>16.082104648494624</v>
      </c>
      <c r="AO42" s="2">
        <f t="shared" si="10"/>
        <v>19.943092098092642</v>
      </c>
      <c r="AP42" s="2">
        <f t="shared" si="10"/>
        <v>9.6333938056118011</v>
      </c>
      <c r="AQ42" s="2">
        <f t="shared" si="10"/>
        <v>16.064876109981896</v>
      </c>
    </row>
    <row r="43" spans="1:43" ht="14.4">
      <c r="A43" s="3" t="s">
        <v>123</v>
      </c>
      <c r="C43" s="1" t="s">
        <v>30</v>
      </c>
      <c r="D43" t="str">
        <f t="shared" si="4"/>
        <v>TRA_Car_Fle_Fue_Exe*</v>
      </c>
      <c r="F43" s="4"/>
      <c r="G43" s="2">
        <f t="shared" si="9"/>
        <v>17.087329003884747</v>
      </c>
      <c r="H43" s="2">
        <f t="shared" si="12" ref="H43:AQ43">H39-0.05</f>
        <v>24.925052622429934</v>
      </c>
      <c r="I43" s="2">
        <f t="shared" si="12"/>
        <v>18.986663508829384</v>
      </c>
      <c r="J43" s="2">
        <f t="shared" si="12"/>
        <v>18.98656092909609</v>
      </c>
      <c r="K43" s="2">
        <f t="shared" si="12"/>
        <v>12.179247755569882</v>
      </c>
      <c r="L43" s="2">
        <f t="shared" si="12"/>
        <v>15.880351221889967</v>
      </c>
      <c r="M43" s="2">
        <f t="shared" si="12"/>
        <v>16.697328923766815</v>
      </c>
      <c r="N43" s="2">
        <f t="shared" si="12"/>
        <v>15.998147411428729</v>
      </c>
      <c r="O43" s="2">
        <f t="shared" si="12"/>
        <v>18.873079059253342</v>
      </c>
      <c r="P43" s="2">
        <f t="shared" si="12"/>
        <v>25.480764212634227</v>
      </c>
      <c r="Q43" s="2">
        <f t="shared" si="12"/>
        <v>19.069552874201609</v>
      </c>
      <c r="R43" s="2">
        <f t="shared" si="12"/>
        <v>12.171629817813763</v>
      </c>
      <c r="S43" s="2">
        <f t="shared" si="12"/>
        <v>17.175072779413661</v>
      </c>
      <c r="T43" s="2">
        <f t="shared" si="12"/>
        <v>16.034107967980521</v>
      </c>
      <c r="U43" s="2">
        <f t="shared" si="12"/>
        <v>17.68322547577332</v>
      </c>
      <c r="V43" s="2">
        <f t="shared" si="12"/>
        <v>18.433111820911819</v>
      </c>
      <c r="W43" s="2">
        <f t="shared" si="12"/>
        <v>20.561307100157311</v>
      </c>
      <c r="X43" s="2">
        <f t="shared" si="12"/>
        <v>21.450370986433661</v>
      </c>
      <c r="Y43" s="2">
        <f t="shared" si="12"/>
        <v>14.025697567114094</v>
      </c>
      <c r="Z43" s="2">
        <f t="shared" si="12"/>
        <v>14.52934939511181</v>
      </c>
      <c r="AA43" s="2">
        <f t="shared" si="12"/>
        <v>19.311908193682175</v>
      </c>
      <c r="AB43" s="2">
        <f t="shared" si="12"/>
        <v>6.3624578459343786</v>
      </c>
      <c r="AC43" s="2">
        <f t="shared" si="12"/>
        <v>60.159427732769764</v>
      </c>
      <c r="AD43" s="2">
        <f t="shared" si="12"/>
        <v>20.209185585323237</v>
      </c>
      <c r="AE43" s="2">
        <f t="shared" si="12"/>
        <v>15.244308751665045</v>
      </c>
      <c r="AF43" s="2">
        <f t="shared" si="12"/>
        <v>22.361738661417323</v>
      </c>
      <c r="AG43" s="2">
        <f t="shared" si="12"/>
        <v>4.6024503111111112</v>
      </c>
      <c r="AH43" s="2">
        <f t="shared" si="12"/>
        <v>16.694994469426099</v>
      </c>
      <c r="AI43" s="2">
        <f t="shared" si="12"/>
        <v>13.926452987965318</v>
      </c>
      <c r="AJ43" s="2">
        <f t="shared" si="12"/>
        <v>10.718008555279509</v>
      </c>
      <c r="AK43" s="2">
        <f t="shared" si="12"/>
        <v>18.453969216624529</v>
      </c>
      <c r="AL43" s="2">
        <f t="shared" si="12"/>
        <v>9.0725655702249188</v>
      </c>
      <c r="AM43" s="2">
        <f t="shared" si="12"/>
        <v>19.87803465165231</v>
      </c>
      <c r="AN43" s="2">
        <f t="shared" si="12"/>
        <v>17.250521880216297</v>
      </c>
      <c r="AO43" s="2">
        <f t="shared" si="12"/>
        <v>22.398549324469222</v>
      </c>
      <c r="AP43" s="2">
        <f t="shared" si="12"/>
        <v>12.015085790082408</v>
      </c>
      <c r="AQ43" s="2">
        <f t="shared" si="12"/>
        <v>17.213498269740185</v>
      </c>
    </row>
    <row r="44" spans="1:43" ht="14.4">
      <c r="A44" s="3" t="s">
        <v>124</v>
      </c>
      <c r="C44" s="1" t="s">
        <v>30</v>
      </c>
      <c r="D44" t="str">
        <f t="shared" si="4"/>
        <v>TRA_Car_Fle_Fue_Lom*</v>
      </c>
      <c r="F44" s="4"/>
      <c r="G44" s="2">
        <f t="shared" si="9"/>
        <v>11.131087114664274</v>
      </c>
      <c r="H44" s="2">
        <f t="shared" si="10"/>
        <v>22.14404861815509</v>
      </c>
      <c r="I44" s="2">
        <f t="shared" si="10"/>
        <v>16.324710307784319</v>
      </c>
      <c r="J44" s="2">
        <f t="shared" si="10"/>
        <v>19.791649283964755</v>
      </c>
      <c r="K44" s="2">
        <f t="shared" si="10"/>
        <v>10.801197551335711</v>
      </c>
      <c r="L44" s="2">
        <f t="shared" si="10"/>
        <v>13.907953539760287</v>
      </c>
      <c r="M44" s="2">
        <f t="shared" si="10"/>
        <v>13.658117371890283</v>
      </c>
      <c r="N44" s="2">
        <f t="shared" si="10"/>
        <v>12.646347121999222</v>
      </c>
      <c r="O44" s="2">
        <f t="shared" si="10"/>
        <v>14.191636032899781</v>
      </c>
      <c r="P44" s="2">
        <f t="shared" si="10"/>
        <v>18.855415998406254</v>
      </c>
      <c r="Q44" s="2">
        <f t="shared" si="10"/>
        <v>15.623121041017653</v>
      </c>
      <c r="R44" s="2">
        <f t="shared" si="10"/>
        <v>9.583063943556926</v>
      </c>
      <c r="S44" s="2">
        <f t="shared" si="10"/>
        <v>12.578180886874375</v>
      </c>
      <c r="T44" s="2">
        <f t="shared" si="10"/>
        <v>12.043734491772447</v>
      </c>
      <c r="U44" s="2">
        <f t="shared" si="10"/>
        <v>15.987815823558861</v>
      </c>
      <c r="V44" s="2">
        <f t="shared" si="10"/>
        <v>15.677693507232245</v>
      </c>
      <c r="W44" s="2">
        <f t="shared" si="10"/>
        <v>15.126527818723536</v>
      </c>
      <c r="X44" s="2">
        <f t="shared" si="10"/>
        <v>18.791178816087221</v>
      </c>
      <c r="Y44" s="2">
        <f t="shared" si="10"/>
        <v>13.808331858407078</v>
      </c>
      <c r="Z44" s="2">
        <f t="shared" si="10"/>
        <v>12.780904086296287</v>
      </c>
      <c r="AA44" s="2">
        <f t="shared" si="10"/>
        <v>16.764164518874399</v>
      </c>
      <c r="AB44" s="2">
        <f t="shared" si="10"/>
        <v>4.4663864566836082</v>
      </c>
      <c r="AC44" s="2">
        <f t="shared" si="10"/>
        <v>60.41366728915051</v>
      </c>
      <c r="AD44" s="2">
        <f t="shared" si="10"/>
        <v>15.106679130901288</v>
      </c>
      <c r="AE44" s="2">
        <f t="shared" si="10"/>
        <v>10.349953078657641</v>
      </c>
      <c r="AF44" s="2">
        <f t="shared" si="10"/>
        <v>14.216233678794556</v>
      </c>
      <c r="AG44" s="2">
        <f t="shared" si="10"/>
        <v>5.6965102895027631</v>
      </c>
      <c r="AH44" s="2">
        <f t="shared" si="10"/>
        <v>15.027654895177953</v>
      </c>
      <c r="AI44" s="2">
        <f t="shared" si="10"/>
        <v>14.406015783274439</v>
      </c>
      <c r="AJ44" s="2">
        <f t="shared" si="10"/>
        <v>9.265066526081867</v>
      </c>
      <c r="AK44" s="2">
        <f t="shared" si="10"/>
        <v>16.967111426840798</v>
      </c>
      <c r="AL44" s="2">
        <f t="shared" si="10"/>
        <v>7.2714097802608082</v>
      </c>
      <c r="AM44" s="2">
        <f t="shared" si="10"/>
        <v>17.546700627252054</v>
      </c>
      <c r="AN44" s="2">
        <f t="shared" si="10"/>
        <v>15.562784427351431</v>
      </c>
      <c r="AO44" s="2">
        <f t="shared" si="10"/>
        <v>20.742831337813076</v>
      </c>
      <c r="AP44" s="2">
        <f t="shared" si="10"/>
        <v>9.7494029998184111</v>
      </c>
      <c r="AQ44" s="2">
        <f t="shared" si="10"/>
        <v>15.061497015908353</v>
      </c>
    </row>
    <row r="45" spans="1:43" ht="14.4">
      <c r="A45" s="3" t="s">
        <v>125</v>
      </c>
      <c r="C45" s="1" t="s">
        <v>30</v>
      </c>
      <c r="D45" t="str">
        <f t="shared" si="4"/>
        <v>TRA_Car_Fle_Fue_Sma*</v>
      </c>
      <c r="F45" s="4"/>
      <c r="G45" s="2">
        <f t="shared" si="9"/>
        <v>7.0153892898945758</v>
      </c>
      <c r="H45" s="2">
        <f t="shared" si="10"/>
        <v>18.946218031019157</v>
      </c>
      <c r="I45" s="2">
        <f t="shared" si="10"/>
        <v>13.807251607963025</v>
      </c>
      <c r="J45" s="2">
        <f t="shared" si="10"/>
        <v>15.599539365821732</v>
      </c>
      <c r="K45" s="2">
        <f t="shared" si="10"/>
        <v>8.5603503456274819</v>
      </c>
      <c r="L45" s="2">
        <f t="shared" si="10"/>
        <v>11.980379378702525</v>
      </c>
      <c r="M45" s="2">
        <f t="shared" si="10"/>
        <v>12.01816042665623</v>
      </c>
      <c r="N45" s="2">
        <f t="shared" si="10"/>
        <v>10.053642297486673</v>
      </c>
      <c r="O45" s="2">
        <f t="shared" si="10"/>
        <v>11.79151064164528</v>
      </c>
      <c r="P45" s="2">
        <f t="shared" si="10"/>
        <v>17.194506025445776</v>
      </c>
      <c r="Q45" s="2">
        <f t="shared" si="10"/>
        <v>15.377056713955787</v>
      </c>
      <c r="R45" s="2">
        <f t="shared" si="10"/>
        <v>6.6264821240877563</v>
      </c>
      <c r="S45" s="2">
        <f t="shared" si="10"/>
        <v>11.192550160672369</v>
      </c>
      <c r="T45" s="2">
        <f t="shared" si="10"/>
        <v>13.042548793132424</v>
      </c>
      <c r="U45" s="2">
        <f t="shared" si="10"/>
        <v>13.298263828780861</v>
      </c>
      <c r="V45" s="2">
        <f t="shared" si="10"/>
        <v>13.150472537429652</v>
      </c>
      <c r="W45" s="2">
        <f t="shared" si="10"/>
        <v>11.389123088599469</v>
      </c>
      <c r="X45" s="2">
        <f t="shared" si="10"/>
        <v>18.3000872579732</v>
      </c>
      <c r="Y45" s="2">
        <f t="shared" si="10"/>
        <v>13.728164822404368</v>
      </c>
      <c r="Z45" s="2">
        <f t="shared" si="10"/>
        <v>9.3055545752053774</v>
      </c>
      <c r="AA45" s="2">
        <f t="shared" si="10"/>
        <v>14.107133380446303</v>
      </c>
      <c r="AB45" s="2">
        <f t="shared" si="10"/>
        <v>4.253032196218796</v>
      </c>
      <c r="AC45" s="2">
        <f t="shared" si="10"/>
        <v>58.362971338757404</v>
      </c>
      <c r="AD45" s="2">
        <f t="shared" si="10"/>
        <v>17.700323294141288</v>
      </c>
      <c r="AE45" s="2">
        <f t="shared" si="10"/>
        <v>6.8048289713865664</v>
      </c>
      <c r="AF45" s="2">
        <f t="shared" si="10"/>
        <v>11.015743412584049</v>
      </c>
      <c r="AG45" s="2">
        <f t="shared" si="10"/>
        <v>7.2052660023146746</v>
      </c>
      <c r="AH45" s="2">
        <f t="shared" si="10"/>
        <v>13.167237590574731</v>
      </c>
      <c r="AI45" s="2">
        <f t="shared" si="10"/>
        <v>13.629387949778151</v>
      </c>
      <c r="AJ45" s="2">
        <f t="shared" si="10"/>
        <v>7.4615301989604834</v>
      </c>
      <c r="AK45" s="2">
        <f t="shared" si="10"/>
        <v>12.178672046364282</v>
      </c>
      <c r="AL45" s="2">
        <f t="shared" si="10"/>
        <v>5.5036277219646497</v>
      </c>
      <c r="AM45" s="2">
        <f t="shared" si="10"/>
        <v>14.494461539777285</v>
      </c>
      <c r="AN45" s="2">
        <f t="shared" si="10"/>
        <v>15.607090146793462</v>
      </c>
      <c r="AO45" s="2">
        <f t="shared" si="10"/>
        <v>14.389017065271549</v>
      </c>
      <c r="AP45" s="2">
        <f t="shared" si="10"/>
        <v>8.97241849230263</v>
      </c>
      <c r="AQ45" s="2">
        <f t="shared" si="10"/>
        <v>12.79166493118495</v>
      </c>
    </row>
    <row r="46" spans="1:43" ht="14.4">
      <c r="A46" s="3" t="s">
        <v>126</v>
      </c>
      <c r="C46" s="1" t="s">
        <v>30</v>
      </c>
      <c r="D46" t="str">
        <f t="shared" si="4"/>
        <v>TRA_Car_Fle_Fue_Upm*</v>
      </c>
      <c r="F46" s="4"/>
      <c r="G46" s="2">
        <f t="shared" si="9"/>
        <v>11.879463627417344</v>
      </c>
      <c r="H46" s="2">
        <f t="shared" si="10"/>
        <v>22.486000785233028</v>
      </c>
      <c r="I46" s="2">
        <f t="shared" si="10"/>
        <v>16.501808729771437</v>
      </c>
      <c r="J46" s="2">
        <f t="shared" si="10"/>
        <v>18.740383976560061</v>
      </c>
      <c r="K46" s="2">
        <f t="shared" si="10"/>
        <v>8.8216805281293063</v>
      </c>
      <c r="L46" s="2">
        <f t="shared" si="10"/>
        <v>13.841752252489592</v>
      </c>
      <c r="M46" s="2">
        <f t="shared" si="10"/>
        <v>13.232813301719027</v>
      </c>
      <c r="N46" s="2">
        <f t="shared" si="10"/>
        <v>12.706798341212224</v>
      </c>
      <c r="O46" s="2">
        <f t="shared" si="10"/>
        <v>14.495800046458262</v>
      </c>
      <c r="P46" s="2">
        <f t="shared" si="10"/>
        <v>18.520476413875663</v>
      </c>
      <c r="Q46" s="2">
        <f t="shared" si="10"/>
        <v>16.261826867400117</v>
      </c>
      <c r="R46" s="2">
        <f t="shared" si="10"/>
        <v>10.050511348013515</v>
      </c>
      <c r="S46" s="2">
        <f t="shared" si="10"/>
        <v>12.353836754688187</v>
      </c>
      <c r="T46" s="2">
        <f t="shared" si="10"/>
        <v>11.893631268349969</v>
      </c>
      <c r="U46" s="2">
        <f t="shared" si="10"/>
        <v>16.333393323500012</v>
      </c>
      <c r="V46" s="2">
        <f t="shared" si="10"/>
        <v>15.702296037211548</v>
      </c>
      <c r="W46" s="2">
        <f t="shared" si="10"/>
        <v>14.997961658447871</v>
      </c>
      <c r="X46" s="2">
        <f t="shared" si="10"/>
        <v>19.906307041088581</v>
      </c>
      <c r="Y46" s="2">
        <f t="shared" si="10"/>
        <v>14.074238681130456</v>
      </c>
      <c r="Z46" s="2">
        <f t="shared" si="10"/>
        <v>12.811387502824129</v>
      </c>
      <c r="AA46" s="2">
        <f t="shared" si="10"/>
        <v>16.930395017604404</v>
      </c>
      <c r="AB46" s="2">
        <f t="shared" si="10"/>
        <v>4.4457640264475877</v>
      </c>
      <c r="AC46" s="2">
        <f t="shared" si="10"/>
        <v>63.625923083739487</v>
      </c>
      <c r="AD46" s="2">
        <f t="shared" si="10"/>
        <v>15.877938952027753</v>
      </c>
      <c r="AE46" s="2">
        <f t="shared" si="10"/>
        <v>10.962872673867674</v>
      </c>
      <c r="AF46" s="2">
        <f t="shared" si="10"/>
        <v>14.320115180327868</v>
      </c>
      <c r="AG46" s="2">
        <f t="shared" si="10"/>
        <v>5.5424041744701835</v>
      </c>
      <c r="AH46" s="2">
        <f t="shared" si="10"/>
        <v>14.99455738377012</v>
      </c>
      <c r="AI46" s="2">
        <f t="shared" si="10"/>
        <v>14.106396758090094</v>
      </c>
      <c r="AJ46" s="2">
        <f t="shared" si="10"/>
        <v>9.1524250327592238</v>
      </c>
      <c r="AK46" s="2">
        <f t="shared" si="10"/>
        <v>16.967061941554284</v>
      </c>
      <c r="AL46" s="2">
        <f t="shared" si="10"/>
        <v>7.2489137858842208</v>
      </c>
      <c r="AM46" s="2">
        <f t="shared" si="10"/>
        <v>17.615759300409049</v>
      </c>
      <c r="AN46" s="2">
        <f t="shared" si="10"/>
        <v>16.032104648494624</v>
      </c>
      <c r="AO46" s="2">
        <f t="shared" si="10"/>
        <v>19.893092098092641</v>
      </c>
      <c r="AP46" s="2">
        <f t="shared" si="10"/>
        <v>9.5833938056118004</v>
      </c>
      <c r="AQ46" s="2">
        <f t="shared" si="10"/>
        <v>16.014876109981895</v>
      </c>
    </row>
    <row r="47" spans="1:43" ht="14.4">
      <c r="A47" s="3" t="s">
        <v>127</v>
      </c>
      <c r="C47" s="1" t="s">
        <v>30</v>
      </c>
      <c r="D47" t="str">
        <f t="shared" si="4"/>
        <v>TRA_Car_Gas_Exe*</v>
      </c>
      <c r="F47" s="4"/>
      <c r="G47" s="2">
        <f t="shared" si="9"/>
        <v>17.037329003884746</v>
      </c>
      <c r="H47" s="2">
        <f t="shared" si="13" ref="H47:AQ56">H43-0.05</f>
        <v>24.875052622429934</v>
      </c>
      <c r="I47" s="2">
        <f t="shared" si="13"/>
        <v>18.936663508829383</v>
      </c>
      <c r="J47" s="2">
        <f t="shared" si="13"/>
        <v>18.936560929096089</v>
      </c>
      <c r="K47" s="2">
        <f t="shared" si="13"/>
        <v>12.129247755569882</v>
      </c>
      <c r="L47" s="2">
        <f t="shared" si="13"/>
        <v>15.830351221889966</v>
      </c>
      <c r="M47" s="2">
        <f t="shared" si="13"/>
        <v>16.647328923766814</v>
      </c>
      <c r="N47" s="2">
        <f t="shared" si="13"/>
        <v>15.948147411428728</v>
      </c>
      <c r="O47" s="2">
        <f t="shared" si="13"/>
        <v>18.823079059253342</v>
      </c>
      <c r="P47" s="2">
        <f t="shared" si="13"/>
        <v>25.430764212634227</v>
      </c>
      <c r="Q47" s="2">
        <f t="shared" si="13"/>
        <v>19.019552874201608</v>
      </c>
      <c r="R47" s="2">
        <f t="shared" si="13"/>
        <v>12.121629817813762</v>
      </c>
      <c r="S47" s="2">
        <f t="shared" si="13"/>
        <v>17.12507277941366</v>
      </c>
      <c r="T47" s="2">
        <f t="shared" si="13"/>
        <v>15.98410796798052</v>
      </c>
      <c r="U47" s="2">
        <f t="shared" si="13"/>
        <v>17.633225475773319</v>
      </c>
      <c r="V47" s="2">
        <f t="shared" si="13"/>
        <v>18.383111820911818</v>
      </c>
      <c r="W47" s="2">
        <f t="shared" si="13"/>
        <v>20.51130710015731</v>
      </c>
      <c r="X47" s="2">
        <f t="shared" si="13"/>
        <v>21.400370986433661</v>
      </c>
      <c r="Y47" s="2">
        <f t="shared" si="13"/>
        <v>13.975697567114093</v>
      </c>
      <c r="Z47" s="2">
        <f t="shared" si="13"/>
        <v>14.479349395111809</v>
      </c>
      <c r="AA47" s="2">
        <f t="shared" si="13"/>
        <v>19.261908193682174</v>
      </c>
      <c r="AB47" s="2">
        <f t="shared" si="13"/>
        <v>6.3124578459343788</v>
      </c>
      <c r="AC47" s="2">
        <f t="shared" si="13"/>
        <v>60.109427732769767</v>
      </c>
      <c r="AD47" s="2">
        <f t="shared" si="13"/>
        <v>20.159185585323236</v>
      </c>
      <c r="AE47" s="2">
        <f t="shared" si="13"/>
        <v>15.194308751665044</v>
      </c>
      <c r="AF47" s="2">
        <f t="shared" si="13"/>
        <v>22.311738661417323</v>
      </c>
      <c r="AG47" s="2">
        <f t="shared" si="13"/>
        <v>4.5524503111111114</v>
      </c>
      <c r="AH47" s="2">
        <f t="shared" si="13"/>
        <v>16.644994469426099</v>
      </c>
      <c r="AI47" s="2">
        <f t="shared" si="13"/>
        <v>13.876452987965317</v>
      </c>
      <c r="AJ47" s="2">
        <f t="shared" si="13"/>
        <v>10.668008555279508</v>
      </c>
      <c r="AK47" s="2">
        <f t="shared" si="13"/>
        <v>18.403969216624528</v>
      </c>
      <c r="AL47" s="2">
        <f t="shared" si="13"/>
        <v>9.0225655702249181</v>
      </c>
      <c r="AM47" s="2">
        <f t="shared" si="13"/>
        <v>19.82803465165231</v>
      </c>
      <c r="AN47" s="2">
        <f t="shared" si="13"/>
        <v>17.200521880216296</v>
      </c>
      <c r="AO47" s="2">
        <f t="shared" si="13"/>
        <v>22.348549324469221</v>
      </c>
      <c r="AP47" s="2">
        <f t="shared" si="13"/>
        <v>11.965085790082407</v>
      </c>
      <c r="AQ47" s="2">
        <f t="shared" si="13"/>
        <v>17.163498269740185</v>
      </c>
    </row>
    <row r="48" spans="1:43" ht="14.4">
      <c r="A48" s="3" t="s">
        <v>128</v>
      </c>
      <c r="C48" s="1" t="s">
        <v>30</v>
      </c>
      <c r="D48" t="str">
        <f t="shared" si="4"/>
        <v>TRA_Car_Gas_Lom*</v>
      </c>
      <c r="F48" s="4"/>
      <c r="G48" s="2">
        <f t="shared" si="9"/>
        <v>11.081087114664273</v>
      </c>
      <c r="H48" s="2">
        <f t="shared" si="10"/>
        <v>22.094048618155089</v>
      </c>
      <c r="I48" s="2">
        <f t="shared" si="10"/>
        <v>16.274710307784318</v>
      </c>
      <c r="J48" s="2">
        <f t="shared" si="10"/>
        <v>19.741649283964755</v>
      </c>
      <c r="K48" s="2">
        <f t="shared" si="10"/>
        <v>10.751197551335711</v>
      </c>
      <c r="L48" s="2">
        <f t="shared" si="10"/>
        <v>13.857953539760286</v>
      </c>
      <c r="M48" s="2">
        <f t="shared" si="10"/>
        <v>13.608117371890282</v>
      </c>
      <c r="N48" s="2">
        <f t="shared" si="10"/>
        <v>12.596347121999221</v>
      </c>
      <c r="O48" s="2">
        <f t="shared" si="10"/>
        <v>14.141636032899781</v>
      </c>
      <c r="P48" s="2">
        <f t="shared" si="10"/>
        <v>18.805415998406254</v>
      </c>
      <c r="Q48" s="2">
        <f t="shared" si="10"/>
        <v>15.573121041017652</v>
      </c>
      <c r="R48" s="2">
        <f t="shared" si="10"/>
        <v>9.5330639435569253</v>
      </c>
      <c r="S48" s="2">
        <f t="shared" si="10"/>
        <v>12.528180886874374</v>
      </c>
      <c r="T48" s="2">
        <f t="shared" si="10"/>
        <v>11.993734491772447</v>
      </c>
      <c r="U48" s="2">
        <f t="shared" si="10"/>
        <v>15.937815823558861</v>
      </c>
      <c r="V48" s="2">
        <f t="shared" si="10"/>
        <v>15.627693507232244</v>
      </c>
      <c r="W48" s="2">
        <f t="shared" si="10"/>
        <v>15.076527818723536</v>
      </c>
      <c r="X48" s="2">
        <f t="shared" si="10"/>
        <v>18.741178816087221</v>
      </c>
      <c r="Y48" s="2">
        <f t="shared" si="10"/>
        <v>13.758331858407077</v>
      </c>
      <c r="Z48" s="2">
        <f t="shared" si="13"/>
        <v>12.730904086296286</v>
      </c>
      <c r="AA48" s="2">
        <f t="shared" si="13"/>
        <v>16.714164518874398</v>
      </c>
      <c r="AB48" s="2">
        <f t="shared" si="13"/>
        <v>4.4163864566836084</v>
      </c>
      <c r="AC48" s="2">
        <f t="shared" si="13"/>
        <v>60.363667289150513</v>
      </c>
      <c r="AD48" s="2">
        <f t="shared" si="13"/>
        <v>15.056679130901287</v>
      </c>
      <c r="AE48" s="2">
        <f t="shared" si="13"/>
        <v>10.299953078657641</v>
      </c>
      <c r="AF48" s="2">
        <f t="shared" si="13"/>
        <v>14.166233678794555</v>
      </c>
      <c r="AG48" s="2">
        <f t="shared" si="13"/>
        <v>5.6465102895027632</v>
      </c>
      <c r="AH48" s="2">
        <f t="shared" si="13"/>
        <v>14.977654895177952</v>
      </c>
      <c r="AI48" s="2">
        <f t="shared" si="13"/>
        <v>14.356015783274438</v>
      </c>
      <c r="AJ48" s="2">
        <f t="shared" si="13"/>
        <v>9.2150665260818663</v>
      </c>
      <c r="AK48" s="2">
        <f t="shared" si="13"/>
        <v>16.917111426840798</v>
      </c>
      <c r="AL48" s="2">
        <f t="shared" si="13"/>
        <v>7.2214097802608084</v>
      </c>
      <c r="AM48" s="2">
        <f t="shared" si="13"/>
        <v>17.496700627252054</v>
      </c>
      <c r="AN48" s="2">
        <f t="shared" si="13"/>
        <v>15.512784427351431</v>
      </c>
      <c r="AO48" s="2">
        <f t="shared" si="13"/>
        <v>20.692831337813075</v>
      </c>
      <c r="AP48" s="2">
        <f t="shared" si="13"/>
        <v>9.6994029998184104</v>
      </c>
      <c r="AQ48" s="2">
        <f t="shared" si="13"/>
        <v>15.011497015908352</v>
      </c>
    </row>
    <row r="49" spans="1:43" ht="14.4">
      <c r="A49" s="3" t="s">
        <v>129</v>
      </c>
      <c r="C49" s="1" t="s">
        <v>30</v>
      </c>
      <c r="D49" t="str">
        <f t="shared" si="4"/>
        <v>TRA_Car_Gas_Sma*</v>
      </c>
      <c r="F49" s="4"/>
      <c r="G49" s="2">
        <f t="shared" si="9"/>
        <v>6.965389289894576</v>
      </c>
      <c r="H49" s="2">
        <f t="shared" si="13"/>
        <v>18.896218031019156</v>
      </c>
      <c r="I49" s="2">
        <f t="shared" si="13"/>
        <v>13.757251607963024</v>
      </c>
      <c r="J49" s="2">
        <f t="shared" si="13"/>
        <v>15.549539365821731</v>
      </c>
      <c r="K49" s="2">
        <f t="shared" si="13"/>
        <v>8.5103503456274812</v>
      </c>
      <c r="L49" s="2">
        <f t="shared" si="13"/>
        <v>11.930379378702524</v>
      </c>
      <c r="M49" s="2">
        <f t="shared" si="13"/>
        <v>11.96816042665623</v>
      </c>
      <c r="N49" s="2">
        <f t="shared" si="13"/>
        <v>10.003642297486673</v>
      </c>
      <c r="O49" s="2">
        <f t="shared" si="13"/>
        <v>11.741510641645279</v>
      </c>
      <c r="P49" s="2">
        <f t="shared" si="13"/>
        <v>17.144506025445775</v>
      </c>
      <c r="Q49" s="2">
        <f t="shared" si="13"/>
        <v>15.327056713955786</v>
      </c>
      <c r="R49" s="2">
        <f t="shared" si="13"/>
        <v>6.5764821240877565</v>
      </c>
      <c r="S49" s="2">
        <f t="shared" si="13"/>
        <v>11.142550160672368</v>
      </c>
      <c r="T49" s="2">
        <f t="shared" si="13"/>
        <v>12.992548793132423</v>
      </c>
      <c r="U49" s="2">
        <f t="shared" si="13"/>
        <v>13.248263828780861</v>
      </c>
      <c r="V49" s="2">
        <f t="shared" si="13"/>
        <v>13.100472537429651</v>
      </c>
      <c r="W49" s="2">
        <f t="shared" si="13"/>
        <v>11.339123088599468</v>
      </c>
      <c r="X49" s="2">
        <f t="shared" si="13"/>
        <v>18.250087257973199</v>
      </c>
      <c r="Y49" s="2">
        <f t="shared" si="13"/>
        <v>13.678164822404367</v>
      </c>
      <c r="Z49" s="2">
        <f t="shared" si="13"/>
        <v>9.2555545752053767</v>
      </c>
      <c r="AA49" s="2">
        <f t="shared" si="13"/>
        <v>14.057133380446302</v>
      </c>
      <c r="AB49" s="2">
        <f t="shared" si="13"/>
        <v>4.2030321962187962</v>
      </c>
      <c r="AC49" s="2">
        <f t="shared" si="13"/>
        <v>58.312971338757407</v>
      </c>
      <c r="AD49" s="2">
        <f t="shared" si="13"/>
        <v>17.650323294141288</v>
      </c>
      <c r="AE49" s="2">
        <f t="shared" si="13"/>
        <v>6.7548289713865666</v>
      </c>
      <c r="AF49" s="2">
        <f t="shared" si="13"/>
        <v>10.965743412584048</v>
      </c>
      <c r="AG49" s="2">
        <f t="shared" si="13"/>
        <v>7.1552660023146748</v>
      </c>
      <c r="AH49" s="2">
        <f t="shared" si="13"/>
        <v>13.11723759057473</v>
      </c>
      <c r="AI49" s="2">
        <f t="shared" si="13"/>
        <v>13.57938794977815</v>
      </c>
      <c r="AJ49" s="2">
        <f t="shared" si="13"/>
        <v>7.4115301989604836</v>
      </c>
      <c r="AK49" s="2">
        <f t="shared" si="13"/>
        <v>12.128672046364281</v>
      </c>
      <c r="AL49" s="2">
        <f t="shared" si="13"/>
        <v>5.4536277219646498</v>
      </c>
      <c r="AM49" s="2">
        <f t="shared" si="13"/>
        <v>14.444461539777285</v>
      </c>
      <c r="AN49" s="2">
        <f t="shared" si="13"/>
        <v>15.557090146793461</v>
      </c>
      <c r="AO49" s="2">
        <f t="shared" si="13"/>
        <v>14.339017065271548</v>
      </c>
      <c r="AP49" s="2">
        <f t="shared" si="13"/>
        <v>8.9224184923026293</v>
      </c>
      <c r="AQ49" s="2">
        <f t="shared" si="13"/>
        <v>12.74166493118495</v>
      </c>
    </row>
    <row r="50" spans="1:43" ht="14.4">
      <c r="A50" s="3" t="s">
        <v>130</v>
      </c>
      <c r="C50" s="1" t="s">
        <v>30</v>
      </c>
      <c r="D50" t="str">
        <f t="shared" si="4"/>
        <v>TRA_Car_Gas_Upm*</v>
      </c>
      <c r="F50" s="4"/>
      <c r="G50" s="2">
        <f t="shared" si="9"/>
        <v>11.829463627417343</v>
      </c>
      <c r="H50" s="2">
        <f t="shared" si="13"/>
        <v>22.436000785233027</v>
      </c>
      <c r="I50" s="2">
        <f t="shared" si="13"/>
        <v>16.451808729771436</v>
      </c>
      <c r="J50" s="2">
        <f t="shared" si="13"/>
        <v>18.69038397656006</v>
      </c>
      <c r="K50" s="2">
        <f t="shared" si="13"/>
        <v>8.7716805281293055</v>
      </c>
      <c r="L50" s="2">
        <f t="shared" si="13"/>
        <v>13.791752252489591</v>
      </c>
      <c r="M50" s="2">
        <f t="shared" si="13"/>
        <v>13.182813301719026</v>
      </c>
      <c r="N50" s="2">
        <f t="shared" si="13"/>
        <v>12.656798341212223</v>
      </c>
      <c r="O50" s="2">
        <f t="shared" si="13"/>
        <v>14.445800046458261</v>
      </c>
      <c r="P50" s="2">
        <f t="shared" si="13"/>
        <v>18.470476413875662</v>
      </c>
      <c r="Q50" s="2">
        <f t="shared" si="13"/>
        <v>16.211826867400116</v>
      </c>
      <c r="R50" s="2">
        <f t="shared" si="13"/>
        <v>10.000511348013514</v>
      </c>
      <c r="S50" s="2">
        <f t="shared" si="13"/>
        <v>12.303836754688186</v>
      </c>
      <c r="T50" s="2">
        <f t="shared" si="13"/>
        <v>11.843631268349968</v>
      </c>
      <c r="U50" s="2">
        <f t="shared" si="13"/>
        <v>16.283393323500011</v>
      </c>
      <c r="V50" s="2">
        <f t="shared" si="13"/>
        <v>15.652296037211547</v>
      </c>
      <c r="W50" s="2">
        <f t="shared" si="13"/>
        <v>14.94796165844787</v>
      </c>
      <c r="X50" s="2">
        <f t="shared" si="13"/>
        <v>19.856307041088581</v>
      </c>
      <c r="Y50" s="2">
        <f t="shared" si="13"/>
        <v>14.024238681130456</v>
      </c>
      <c r="Z50" s="2">
        <f t="shared" si="13"/>
        <v>12.761387502824128</v>
      </c>
      <c r="AA50" s="2">
        <f t="shared" si="13"/>
        <v>16.880395017604403</v>
      </c>
      <c r="AB50" s="2">
        <f t="shared" si="13"/>
        <v>4.3957640264475879</v>
      </c>
      <c r="AC50" s="2">
        <f t="shared" si="13"/>
        <v>63.57592308373949</v>
      </c>
      <c r="AD50" s="2">
        <f t="shared" si="13"/>
        <v>15.827938952027752</v>
      </c>
      <c r="AE50" s="2">
        <f t="shared" si="13"/>
        <v>10.912872673867673</v>
      </c>
      <c r="AF50" s="2">
        <f t="shared" si="13"/>
        <v>14.270115180327867</v>
      </c>
      <c r="AG50" s="2">
        <f t="shared" si="13"/>
        <v>5.4924041744701837</v>
      </c>
      <c r="AH50" s="2">
        <f t="shared" si="13"/>
        <v>14.944557383770119</v>
      </c>
      <c r="AI50" s="2">
        <f t="shared" si="13"/>
        <v>14.056396758090093</v>
      </c>
      <c r="AJ50" s="2">
        <f t="shared" si="13"/>
        <v>9.1024250327592231</v>
      </c>
      <c r="AK50" s="2">
        <f t="shared" si="13"/>
        <v>16.917061941554284</v>
      </c>
      <c r="AL50" s="2">
        <f t="shared" si="13"/>
        <v>7.1989137858842209</v>
      </c>
      <c r="AM50" s="2">
        <f t="shared" si="13"/>
        <v>17.565759300409049</v>
      </c>
      <c r="AN50" s="2">
        <f t="shared" si="13"/>
        <v>15.982104648494623</v>
      </c>
      <c r="AO50" s="2">
        <f t="shared" si="13"/>
        <v>19.84309209809264</v>
      </c>
      <c r="AP50" s="2">
        <f t="shared" si="13"/>
        <v>9.5333938056117997</v>
      </c>
      <c r="AQ50" s="2">
        <f t="shared" si="13"/>
        <v>15.964876109981894</v>
      </c>
    </row>
    <row r="51" spans="1:43" ht="14.4">
      <c r="A51" s="3" t="s">
        <v>131</v>
      </c>
      <c r="C51" s="1" t="s">
        <v>30</v>
      </c>
      <c r="D51" t="str">
        <f t="shared" si="4"/>
        <v>TRA_Car_Lpg_Exe*</v>
      </c>
      <c r="F51" s="4"/>
      <c r="G51" s="2">
        <f t="shared" si="9"/>
        <v>16.987329003884746</v>
      </c>
      <c r="H51" s="2">
        <f t="shared" si="14" ref="H51:AQ51">H47-0.05</f>
        <v>24.825052622429933</v>
      </c>
      <c r="I51" s="2">
        <f t="shared" si="14"/>
        <v>18.886663508829383</v>
      </c>
      <c r="J51" s="2">
        <f t="shared" si="14"/>
        <v>18.886560929096088</v>
      </c>
      <c r="K51" s="2">
        <f t="shared" si="14"/>
        <v>12.079247755569881</v>
      </c>
      <c r="L51" s="2">
        <f t="shared" si="14"/>
        <v>15.780351221889966</v>
      </c>
      <c r="M51" s="2">
        <f t="shared" si="14"/>
        <v>16.597328923766813</v>
      </c>
      <c r="N51" s="2">
        <f t="shared" si="14"/>
        <v>15.898147411428727</v>
      </c>
      <c r="O51" s="2">
        <f t="shared" si="14"/>
        <v>18.773079059253341</v>
      </c>
      <c r="P51" s="2">
        <f t="shared" si="14"/>
        <v>25.380764212634226</v>
      </c>
      <c r="Q51" s="2">
        <f t="shared" si="14"/>
        <v>18.969552874201607</v>
      </c>
      <c r="R51" s="2">
        <f t="shared" si="14"/>
        <v>12.071629817813761</v>
      </c>
      <c r="S51" s="2">
        <f t="shared" si="14"/>
        <v>17.075072779413659</v>
      </c>
      <c r="T51" s="2">
        <f t="shared" si="14"/>
        <v>15.93410796798052</v>
      </c>
      <c r="U51" s="2">
        <f t="shared" si="14"/>
        <v>17.583225475773318</v>
      </c>
      <c r="V51" s="2">
        <f t="shared" si="14"/>
        <v>18.333111820911817</v>
      </c>
      <c r="W51" s="2">
        <f t="shared" si="14"/>
        <v>20.46130710015731</v>
      </c>
      <c r="X51" s="2">
        <f t="shared" si="14"/>
        <v>21.35037098643366</v>
      </c>
      <c r="Y51" s="2">
        <f t="shared" si="14"/>
        <v>13.925697567114092</v>
      </c>
      <c r="Z51" s="2">
        <f t="shared" si="14"/>
        <v>14.429349395111808</v>
      </c>
      <c r="AA51" s="2">
        <f t="shared" si="14"/>
        <v>19.211908193682174</v>
      </c>
      <c r="AB51" s="2">
        <f t="shared" si="14"/>
        <v>6.2624578459343789</v>
      </c>
      <c r="AC51" s="2">
        <f t="shared" si="14"/>
        <v>60.05942773276977</v>
      </c>
      <c r="AD51" s="2">
        <f t="shared" si="14"/>
        <v>20.109185585323235</v>
      </c>
      <c r="AE51" s="2">
        <f t="shared" si="14"/>
        <v>15.144308751665044</v>
      </c>
      <c r="AF51" s="2">
        <f t="shared" si="14"/>
        <v>22.261738661417322</v>
      </c>
      <c r="AG51" s="2">
        <f t="shared" si="14"/>
        <v>4.5024503111111116</v>
      </c>
      <c r="AH51" s="2">
        <f t="shared" si="14"/>
        <v>16.594994469426098</v>
      </c>
      <c r="AI51" s="2">
        <f t="shared" si="14"/>
        <v>13.826452987965316</v>
      </c>
      <c r="AJ51" s="2">
        <f t="shared" si="14"/>
        <v>10.618008555279507</v>
      </c>
      <c r="AK51" s="2">
        <f t="shared" si="14"/>
        <v>18.353969216624527</v>
      </c>
      <c r="AL51" s="2">
        <f t="shared" si="14"/>
        <v>8.9725655702249174</v>
      </c>
      <c r="AM51" s="2">
        <f t="shared" si="14"/>
        <v>19.778034651652309</v>
      </c>
      <c r="AN51" s="2">
        <f t="shared" si="14"/>
        <v>17.150521880216296</v>
      </c>
      <c r="AO51" s="2">
        <f t="shared" si="14"/>
        <v>22.298549324469221</v>
      </c>
      <c r="AP51" s="2">
        <f t="shared" si="14"/>
        <v>11.915085790082406</v>
      </c>
      <c r="AQ51" s="2">
        <f t="shared" si="14"/>
        <v>17.113498269740184</v>
      </c>
    </row>
    <row r="52" spans="1:43" ht="14.4">
      <c r="A52" s="3" t="s">
        <v>132</v>
      </c>
      <c r="C52" s="1" t="s">
        <v>30</v>
      </c>
      <c r="D52" t="str">
        <f t="shared" si="4"/>
        <v>TRA_Car_Lpg_Lom*</v>
      </c>
      <c r="F52" s="4"/>
      <c r="G52" s="2">
        <f t="shared" si="9"/>
        <v>11.031087114664272</v>
      </c>
      <c r="H52" s="2">
        <f t="shared" si="13"/>
        <v>22.044048618155088</v>
      </c>
      <c r="I52" s="2">
        <f t="shared" si="13"/>
        <v>16.224710307784317</v>
      </c>
      <c r="J52" s="2">
        <f t="shared" si="13"/>
        <v>19.691649283964754</v>
      </c>
      <c r="K52" s="2">
        <f t="shared" si="13"/>
        <v>10.70119755133571</v>
      </c>
      <c r="L52" s="2">
        <f t="shared" si="13"/>
        <v>13.807953539760286</v>
      </c>
      <c r="M52" s="2">
        <f t="shared" si="13"/>
        <v>13.558117371890281</v>
      </c>
      <c r="N52" s="2">
        <f t="shared" si="13"/>
        <v>12.54634712199922</v>
      </c>
      <c r="O52" s="2">
        <f t="shared" si="13"/>
        <v>14.09163603289978</v>
      </c>
      <c r="P52" s="2">
        <f t="shared" si="13"/>
        <v>18.755415998406253</v>
      </c>
      <c r="Q52" s="2">
        <f t="shared" si="13"/>
        <v>15.523121041017651</v>
      </c>
      <c r="R52" s="2">
        <f t="shared" si="13"/>
        <v>9.4830639435569246</v>
      </c>
      <c r="S52" s="2">
        <f t="shared" si="13"/>
        <v>12.478180886874373</v>
      </c>
      <c r="T52" s="2">
        <f t="shared" si="13"/>
        <v>11.943734491772446</v>
      </c>
      <c r="U52" s="2">
        <f t="shared" si="13"/>
        <v>15.88781582355886</v>
      </c>
      <c r="V52" s="2">
        <f t="shared" si="13"/>
        <v>15.577693507232244</v>
      </c>
      <c r="W52" s="2">
        <f t="shared" si="13"/>
        <v>15.026527818723535</v>
      </c>
      <c r="X52" s="2">
        <f t="shared" si="13"/>
        <v>18.69117881608722</v>
      </c>
      <c r="Y52" s="2">
        <f t="shared" si="13"/>
        <v>13.708331858407076</v>
      </c>
      <c r="Z52" s="2">
        <f t="shared" si="13"/>
        <v>12.680904086296286</v>
      </c>
      <c r="AA52" s="2">
        <f t="shared" si="13"/>
        <v>16.664164518874397</v>
      </c>
      <c r="AB52" s="2">
        <f t="shared" si="13"/>
        <v>4.3663864566836086</v>
      </c>
      <c r="AC52" s="2">
        <f t="shared" si="13"/>
        <v>60.313667289150516</v>
      </c>
      <c r="AD52" s="2">
        <f t="shared" si="13"/>
        <v>15.006679130901286</v>
      </c>
      <c r="AE52" s="2">
        <f t="shared" si="13"/>
        <v>10.24995307865764</v>
      </c>
      <c r="AF52" s="2">
        <f t="shared" si="13"/>
        <v>14.116233678794554</v>
      </c>
      <c r="AG52" s="2">
        <f t="shared" si="13"/>
        <v>5.5965102895027634</v>
      </c>
      <c r="AH52" s="2">
        <f t="shared" si="13"/>
        <v>14.927654895177952</v>
      </c>
      <c r="AI52" s="2">
        <f t="shared" si="13"/>
        <v>14.306015783274438</v>
      </c>
      <c r="AJ52" s="2">
        <f t="shared" si="13"/>
        <v>9.1650665260818656</v>
      </c>
      <c r="AK52" s="2">
        <f t="shared" si="13"/>
        <v>16.867111426840797</v>
      </c>
      <c r="AL52" s="2">
        <f t="shared" si="13"/>
        <v>7.1714097802608086</v>
      </c>
      <c r="AM52" s="2">
        <f t="shared" si="13"/>
        <v>17.446700627252053</v>
      </c>
      <c r="AN52" s="2">
        <f t="shared" si="13"/>
        <v>15.46278442735143</v>
      </c>
      <c r="AO52" s="2">
        <f t="shared" si="13"/>
        <v>20.642831337813075</v>
      </c>
      <c r="AP52" s="2">
        <f t="shared" si="13"/>
        <v>9.6494029998184097</v>
      </c>
      <c r="AQ52" s="2">
        <f t="shared" si="13"/>
        <v>14.961497015908352</v>
      </c>
    </row>
    <row r="53" spans="1:43" ht="14.4">
      <c r="A53" s="3" t="s">
        <v>133</v>
      </c>
      <c r="C53" s="1" t="s">
        <v>30</v>
      </c>
      <c r="D53" t="str">
        <f t="shared" si="4"/>
        <v>TRA_Car_Lpg_Sma*</v>
      </c>
      <c r="F53" s="4"/>
      <c r="G53" s="2">
        <f t="shared" si="9"/>
        <v>6.9153892898945761</v>
      </c>
      <c r="H53" s="2">
        <f t="shared" si="13"/>
        <v>18.846218031019156</v>
      </c>
      <c r="I53" s="2">
        <f t="shared" si="13"/>
        <v>13.707251607963023</v>
      </c>
      <c r="J53" s="2">
        <f t="shared" si="13"/>
        <v>15.499539365821731</v>
      </c>
      <c r="K53" s="2">
        <f t="shared" si="13"/>
        <v>8.4603503456274805</v>
      </c>
      <c r="L53" s="2">
        <f t="shared" si="13"/>
        <v>11.880379378702523</v>
      </c>
      <c r="M53" s="2">
        <f t="shared" si="13"/>
        <v>11.918160426656229</v>
      </c>
      <c r="N53" s="2">
        <f t="shared" si="13"/>
        <v>9.9536422974866721</v>
      </c>
      <c r="O53" s="2">
        <f t="shared" si="13"/>
        <v>11.691510641645278</v>
      </c>
      <c r="P53" s="2">
        <f t="shared" si="13"/>
        <v>17.094506025445774</v>
      </c>
      <c r="Q53" s="2">
        <f t="shared" si="13"/>
        <v>15.277056713955785</v>
      </c>
      <c r="R53" s="2">
        <f t="shared" si="13"/>
        <v>6.5264821240877566</v>
      </c>
      <c r="S53" s="2">
        <f t="shared" si="13"/>
        <v>11.092550160672367</v>
      </c>
      <c r="T53" s="2">
        <f t="shared" si="13"/>
        <v>12.942548793132422</v>
      </c>
      <c r="U53" s="2">
        <f t="shared" si="13"/>
        <v>13.19826382878086</v>
      </c>
      <c r="V53" s="2">
        <f t="shared" si="13"/>
        <v>13.05047253742965</v>
      </c>
      <c r="W53" s="2">
        <f t="shared" si="13"/>
        <v>11.289123088599467</v>
      </c>
      <c r="X53" s="2">
        <f t="shared" si="13"/>
        <v>18.200087257973198</v>
      </c>
      <c r="Y53" s="2">
        <f t="shared" si="13"/>
        <v>13.628164822404367</v>
      </c>
      <c r="Z53" s="2">
        <f t="shared" si="13"/>
        <v>9.205554575205376</v>
      </c>
      <c r="AA53" s="2">
        <f t="shared" si="13"/>
        <v>14.007133380446302</v>
      </c>
      <c r="AB53" s="2">
        <f t="shared" si="13"/>
        <v>4.1530321962187964</v>
      </c>
      <c r="AC53" s="2">
        <f t="shared" si="13"/>
        <v>58.26297133875741</v>
      </c>
      <c r="AD53" s="2">
        <f t="shared" si="13"/>
        <v>17.600323294141287</v>
      </c>
      <c r="AE53" s="2">
        <f t="shared" si="13"/>
        <v>6.7048289713865667</v>
      </c>
      <c r="AF53" s="2">
        <f t="shared" si="13"/>
        <v>10.915743412584048</v>
      </c>
      <c r="AG53" s="2">
        <f t="shared" si="13"/>
        <v>7.105266002314675</v>
      </c>
      <c r="AH53" s="2">
        <f t="shared" si="13"/>
        <v>13.067237590574729</v>
      </c>
      <c r="AI53" s="2">
        <f t="shared" si="13"/>
        <v>13.529387949778149</v>
      </c>
      <c r="AJ53" s="2">
        <f t="shared" si="13"/>
        <v>7.3615301989604838</v>
      </c>
      <c r="AK53" s="2">
        <f t="shared" si="13"/>
        <v>12.07867204636428</v>
      </c>
      <c r="AL53" s="2">
        <f t="shared" si="13"/>
        <v>5.40362772196465</v>
      </c>
      <c r="AM53" s="2">
        <f t="shared" si="13"/>
        <v>14.394461539777284</v>
      </c>
      <c r="AN53" s="2">
        <f t="shared" si="13"/>
        <v>15.507090146793461</v>
      </c>
      <c r="AO53" s="2">
        <f t="shared" si="13"/>
        <v>14.289017065271548</v>
      </c>
      <c r="AP53" s="2">
        <f t="shared" si="13"/>
        <v>8.8724184923026286</v>
      </c>
      <c r="AQ53" s="2">
        <f t="shared" si="13"/>
        <v>12.691664931184949</v>
      </c>
    </row>
    <row r="54" spans="1:43" ht="14.4">
      <c r="A54" s="3" t="s">
        <v>134</v>
      </c>
      <c r="C54" s="1" t="s">
        <v>30</v>
      </c>
      <c r="D54" t="str">
        <f t="shared" si="4"/>
        <v>TRA_Car_Lpg_Upm*</v>
      </c>
      <c r="F54" s="4"/>
      <c r="G54" s="2">
        <f t="shared" si="9"/>
        <v>11.779463627417343</v>
      </c>
      <c r="H54" s="2">
        <f t="shared" si="13"/>
        <v>22.386000785233026</v>
      </c>
      <c r="I54" s="2">
        <f t="shared" si="13"/>
        <v>16.401808729771435</v>
      </c>
      <c r="J54" s="2">
        <f t="shared" si="13"/>
        <v>18.640383976560059</v>
      </c>
      <c r="K54" s="2">
        <f t="shared" si="13"/>
        <v>8.7216805281293048</v>
      </c>
      <c r="L54" s="2">
        <f t="shared" si="13"/>
        <v>13.74175225248959</v>
      </c>
      <c r="M54" s="2">
        <f t="shared" si="13"/>
        <v>13.132813301719025</v>
      </c>
      <c r="N54" s="2">
        <f t="shared" si="13"/>
        <v>12.606798341212222</v>
      </c>
      <c r="O54" s="2">
        <f t="shared" si="13"/>
        <v>14.395800046458261</v>
      </c>
      <c r="P54" s="2">
        <f t="shared" si="13"/>
        <v>18.420476413875662</v>
      </c>
      <c r="Q54" s="2">
        <f t="shared" si="13"/>
        <v>16.161826867400116</v>
      </c>
      <c r="R54" s="2">
        <f t="shared" si="13"/>
        <v>9.9505113480135137</v>
      </c>
      <c r="S54" s="2">
        <f t="shared" si="13"/>
        <v>12.253836754688185</v>
      </c>
      <c r="T54" s="2">
        <f t="shared" si="13"/>
        <v>11.793631268349968</v>
      </c>
      <c r="U54" s="2">
        <f t="shared" si="13"/>
        <v>16.23339332350001</v>
      </c>
      <c r="V54" s="2">
        <f t="shared" si="13"/>
        <v>15.602296037211547</v>
      </c>
      <c r="W54" s="2">
        <f t="shared" si="13"/>
        <v>14.897961658447869</v>
      </c>
      <c r="X54" s="2">
        <f t="shared" si="13"/>
        <v>19.80630704108858</v>
      </c>
      <c r="Y54" s="2">
        <f t="shared" si="13"/>
        <v>13.974238681130455</v>
      </c>
      <c r="Z54" s="2">
        <f t="shared" si="13"/>
        <v>12.711387502824127</v>
      </c>
      <c r="AA54" s="2">
        <f t="shared" si="13"/>
        <v>16.830395017604403</v>
      </c>
      <c r="AB54" s="2">
        <f t="shared" si="13"/>
        <v>4.3457640264475881</v>
      </c>
      <c r="AC54" s="2">
        <f t="shared" si="13"/>
        <v>63.525923083739492</v>
      </c>
      <c r="AD54" s="2">
        <f t="shared" si="13"/>
        <v>15.777938952027752</v>
      </c>
      <c r="AE54" s="2">
        <f t="shared" si="13"/>
        <v>10.862872673867672</v>
      </c>
      <c r="AF54" s="2">
        <f t="shared" si="13"/>
        <v>14.220115180327866</v>
      </c>
      <c r="AG54" s="2">
        <f t="shared" si="13"/>
        <v>5.4424041744701839</v>
      </c>
      <c r="AH54" s="2">
        <f t="shared" si="13"/>
        <v>14.894557383770119</v>
      </c>
      <c r="AI54" s="2">
        <f t="shared" si="13"/>
        <v>14.006396758090093</v>
      </c>
      <c r="AJ54" s="2">
        <f t="shared" si="13"/>
        <v>9.0524250327592224</v>
      </c>
      <c r="AK54" s="2">
        <f t="shared" si="13"/>
        <v>16.867061941554283</v>
      </c>
      <c r="AL54" s="2">
        <f t="shared" si="13"/>
        <v>7.1489137858842211</v>
      </c>
      <c r="AM54" s="2">
        <f t="shared" si="13"/>
        <v>17.515759300409048</v>
      </c>
      <c r="AN54" s="2">
        <f t="shared" si="13"/>
        <v>15.932104648494622</v>
      </c>
      <c r="AO54" s="2">
        <f t="shared" si="13"/>
        <v>19.793092098092639</v>
      </c>
      <c r="AP54" s="2">
        <f t="shared" si="13"/>
        <v>9.483393805611799</v>
      </c>
      <c r="AQ54" s="2">
        <f t="shared" si="13"/>
        <v>15.914876109981893</v>
      </c>
    </row>
    <row r="55" spans="1:43" ht="14.4">
      <c r="A55" s="3" t="s">
        <v>135</v>
      </c>
      <c r="C55" s="1" t="s">
        <v>30</v>
      </c>
      <c r="D55" t="str">
        <f t="shared" si="4"/>
        <v>TRA_Car_Oth_Exe*</v>
      </c>
      <c r="F55" s="4"/>
      <c r="G55" s="2">
        <f t="shared" si="9"/>
        <v>16.937329003884745</v>
      </c>
      <c r="H55" s="2">
        <f t="shared" si="15" ref="H55:AQ58">H51-0.05</f>
        <v>24.775052622429932</v>
      </c>
      <c r="I55" s="2">
        <f t="shared" si="15"/>
        <v>18.836663508829382</v>
      </c>
      <c r="J55" s="2">
        <f t="shared" si="15"/>
        <v>18.836560929096088</v>
      </c>
      <c r="K55" s="2">
        <f t="shared" si="15"/>
        <v>12.02924775556988</v>
      </c>
      <c r="L55" s="2">
        <f t="shared" si="15"/>
        <v>15.730351221889965</v>
      </c>
      <c r="M55" s="2">
        <f t="shared" si="15"/>
        <v>16.547328923766813</v>
      </c>
      <c r="N55" s="2">
        <f t="shared" si="15"/>
        <v>15.848147411428727</v>
      </c>
      <c r="O55" s="2">
        <f t="shared" si="15"/>
        <v>18.72307905925334</v>
      </c>
      <c r="P55" s="2">
        <f t="shared" si="15"/>
        <v>25.330764212634225</v>
      </c>
      <c r="Q55" s="2">
        <f t="shared" si="15"/>
        <v>18.919552874201607</v>
      </c>
      <c r="R55" s="2">
        <f t="shared" si="15"/>
        <v>12.021629817813761</v>
      </c>
      <c r="S55" s="2">
        <f t="shared" si="15"/>
        <v>17.025072779413659</v>
      </c>
      <c r="T55" s="2">
        <f t="shared" si="15"/>
        <v>15.884107967980519</v>
      </c>
      <c r="U55" s="2">
        <f t="shared" si="15"/>
        <v>17.533225475773317</v>
      </c>
      <c r="V55" s="2">
        <f t="shared" si="15"/>
        <v>18.283111820911817</v>
      </c>
      <c r="W55" s="2">
        <f t="shared" si="15"/>
        <v>20.411307100157309</v>
      </c>
      <c r="X55" s="2">
        <f t="shared" si="15"/>
        <v>21.300370986433659</v>
      </c>
      <c r="Y55" s="2">
        <f t="shared" si="15"/>
        <v>13.875697567114091</v>
      </c>
      <c r="Z55" s="2">
        <f t="shared" si="15"/>
        <v>14.379349395111808</v>
      </c>
      <c r="AA55" s="2">
        <f t="shared" si="15"/>
        <v>19.161908193682173</v>
      </c>
      <c r="AB55" s="2">
        <f t="shared" si="15"/>
        <v>6.2124578459343791</v>
      </c>
      <c r="AC55" s="2">
        <f t="shared" si="15"/>
        <v>60.009427732769772</v>
      </c>
      <c r="AD55" s="2">
        <f t="shared" si="15"/>
        <v>20.059185585323235</v>
      </c>
      <c r="AE55" s="2">
        <f t="shared" si="15"/>
        <v>15.094308751665043</v>
      </c>
      <c r="AF55" s="2">
        <f t="shared" si="15"/>
        <v>22.211738661417321</v>
      </c>
      <c r="AG55" s="2">
        <f t="shared" si="15"/>
        <v>4.4524503111111118</v>
      </c>
      <c r="AH55" s="2">
        <f t="shared" si="15"/>
        <v>16.544994469426097</v>
      </c>
      <c r="AI55" s="2">
        <f t="shared" si="15"/>
        <v>13.776452987965316</v>
      </c>
      <c r="AJ55" s="2">
        <f t="shared" si="15"/>
        <v>10.568008555279507</v>
      </c>
      <c r="AK55" s="2">
        <f t="shared" si="15"/>
        <v>18.303969216624527</v>
      </c>
      <c r="AL55" s="2">
        <f t="shared" si="15"/>
        <v>8.9225655702249167</v>
      </c>
      <c r="AM55" s="2">
        <f t="shared" si="15"/>
        <v>19.728034651652308</v>
      </c>
      <c r="AN55" s="2">
        <f t="shared" si="15"/>
        <v>17.100521880216295</v>
      </c>
      <c r="AO55" s="2">
        <f t="shared" si="15"/>
        <v>22.24854932446922</v>
      </c>
      <c r="AP55" s="2">
        <f t="shared" si="15"/>
        <v>11.865085790082405</v>
      </c>
      <c r="AQ55" s="2">
        <f t="shared" si="15"/>
        <v>17.063498269740183</v>
      </c>
    </row>
    <row r="56" spans="1:43" ht="14.4">
      <c r="A56" s="3" t="s">
        <v>136</v>
      </c>
      <c r="C56" s="1" t="s">
        <v>30</v>
      </c>
      <c r="D56" t="str">
        <f t="shared" si="4"/>
        <v>TRA_Car_Oth_Lom*</v>
      </c>
      <c r="F56" s="4"/>
      <c r="G56" s="2">
        <f t="shared" si="9"/>
        <v>10.981087114664271</v>
      </c>
      <c r="H56" s="2">
        <f t="shared" si="13"/>
        <v>21.994048618155087</v>
      </c>
      <c r="I56" s="2">
        <f t="shared" si="13"/>
        <v>16.174710307784316</v>
      </c>
      <c r="J56" s="2">
        <f t="shared" si="13"/>
        <v>19.641649283964753</v>
      </c>
      <c r="K56" s="2">
        <f t="shared" si="13"/>
        <v>10.651197551335709</v>
      </c>
      <c r="L56" s="2">
        <f t="shared" si="13"/>
        <v>13.757953539760285</v>
      </c>
      <c r="M56" s="2">
        <f t="shared" si="13"/>
        <v>13.508117371890281</v>
      </c>
      <c r="N56" s="2">
        <f t="shared" si="13"/>
        <v>12.49634712199922</v>
      </c>
      <c r="O56" s="2">
        <f t="shared" si="13"/>
        <v>14.041636032899779</v>
      </c>
      <c r="P56" s="2">
        <f t="shared" si="13"/>
        <v>18.705415998406252</v>
      </c>
      <c r="Q56" s="2">
        <f t="shared" si="13"/>
        <v>15.473121041017651</v>
      </c>
      <c r="R56" s="2">
        <f t="shared" si="13"/>
        <v>9.4330639435569239</v>
      </c>
      <c r="S56" s="2">
        <f t="shared" si="13"/>
        <v>12.428180886874372</v>
      </c>
      <c r="T56" s="2">
        <f t="shared" si="13"/>
        <v>11.893734491772445</v>
      </c>
      <c r="U56" s="2">
        <f t="shared" si="13"/>
        <v>15.837815823558859</v>
      </c>
      <c r="V56" s="2">
        <f t="shared" si="13"/>
        <v>15.527693507232243</v>
      </c>
      <c r="W56" s="2">
        <f t="shared" si="13"/>
        <v>14.976527818723534</v>
      </c>
      <c r="X56" s="2">
        <f t="shared" si="13"/>
        <v>18.641178816087219</v>
      </c>
      <c r="Y56" s="2">
        <f t="shared" si="13"/>
        <v>13.658331858407076</v>
      </c>
      <c r="Z56" s="2">
        <f t="shared" si="13"/>
        <v>12.630904086296285</v>
      </c>
      <c r="AA56" s="2">
        <f t="shared" si="13"/>
        <v>16.614164518874396</v>
      </c>
      <c r="AB56" s="2">
        <f t="shared" si="13"/>
        <v>4.3163864566836088</v>
      </c>
      <c r="AC56" s="2">
        <f t="shared" si="15"/>
        <v>60.263667289150519</v>
      </c>
      <c r="AD56" s="2">
        <f t="shared" si="15"/>
        <v>14.956679130901286</v>
      </c>
      <c r="AE56" s="2">
        <f t="shared" si="15"/>
        <v>10.199953078657639</v>
      </c>
      <c r="AF56" s="2">
        <f t="shared" si="15"/>
        <v>14.066233678794553</v>
      </c>
      <c r="AG56" s="2">
        <f t="shared" si="15"/>
        <v>5.5465102895027636</v>
      </c>
      <c r="AH56" s="2">
        <f t="shared" si="15"/>
        <v>14.877654895177951</v>
      </c>
      <c r="AI56" s="2">
        <f t="shared" si="15"/>
        <v>14.256015783274437</v>
      </c>
      <c r="AJ56" s="2">
        <f t="shared" si="15"/>
        <v>9.1150665260818649</v>
      </c>
      <c r="AK56" s="2">
        <f t="shared" si="15"/>
        <v>16.817111426840796</v>
      </c>
      <c r="AL56" s="2">
        <f t="shared" si="15"/>
        <v>7.1214097802608087</v>
      </c>
      <c r="AM56" s="2">
        <f t="shared" si="15"/>
        <v>17.396700627252052</v>
      </c>
      <c r="AN56" s="2">
        <f t="shared" si="15"/>
        <v>15.412784427351429</v>
      </c>
      <c r="AO56" s="2">
        <f t="shared" si="15"/>
        <v>20.592831337813074</v>
      </c>
      <c r="AP56" s="2">
        <f t="shared" si="15"/>
        <v>9.5994029998184089</v>
      </c>
      <c r="AQ56" s="2">
        <f t="shared" si="15"/>
        <v>14.911497015908351</v>
      </c>
    </row>
    <row r="57" spans="1:43" ht="14.4">
      <c r="A57" s="3" t="s">
        <v>137</v>
      </c>
      <c r="C57" s="1" t="s">
        <v>30</v>
      </c>
      <c r="D57" t="str">
        <f t="shared" si="4"/>
        <v>TRA_Car_Oth_Sma*</v>
      </c>
      <c r="F57" s="4"/>
      <c r="G57" s="2">
        <f t="shared" si="9"/>
        <v>6.8653892898945763</v>
      </c>
      <c r="H57" s="2">
        <f t="shared" si="15"/>
        <v>18.796218031019155</v>
      </c>
      <c r="I57" s="2">
        <f t="shared" si="15"/>
        <v>13.657251607963023</v>
      </c>
      <c r="J57" s="2">
        <f t="shared" si="15"/>
        <v>15.44953936582173</v>
      </c>
      <c r="K57" s="2">
        <f t="shared" si="15"/>
        <v>8.4103503456274797</v>
      </c>
      <c r="L57" s="2">
        <f t="shared" si="15"/>
        <v>11.830379378702522</v>
      </c>
      <c r="M57" s="2">
        <f t="shared" si="15"/>
        <v>11.868160426656228</v>
      </c>
      <c r="N57" s="2">
        <f t="shared" si="15"/>
        <v>9.9036422974866714</v>
      </c>
      <c r="O57" s="2">
        <f t="shared" si="15"/>
        <v>11.641510641645278</v>
      </c>
      <c r="P57" s="2">
        <f t="shared" si="15"/>
        <v>17.044506025445774</v>
      </c>
      <c r="Q57" s="2">
        <f t="shared" si="15"/>
        <v>15.227056713955784</v>
      </c>
      <c r="R57" s="2">
        <f t="shared" si="15"/>
        <v>6.4764821240877568</v>
      </c>
      <c r="S57" s="2">
        <f t="shared" si="15"/>
        <v>11.042550160672366</v>
      </c>
      <c r="T57" s="2">
        <f t="shared" si="15"/>
        <v>12.892548793132422</v>
      </c>
      <c r="U57" s="2">
        <f t="shared" si="15"/>
        <v>13.148263828780859</v>
      </c>
      <c r="V57" s="2">
        <f t="shared" si="15"/>
        <v>13.000472537429649</v>
      </c>
      <c r="W57" s="2">
        <f t="shared" si="15"/>
        <v>11.239123088599467</v>
      </c>
      <c r="X57" s="2">
        <f t="shared" si="15"/>
        <v>18.150087257973198</v>
      </c>
      <c r="Y57" s="2">
        <f t="shared" si="15"/>
        <v>13.578164822404366</v>
      </c>
      <c r="Z57" s="2">
        <f t="shared" si="15"/>
        <v>9.1555545752053753</v>
      </c>
      <c r="AA57" s="2">
        <f t="shared" si="15"/>
        <v>13.957133380446301</v>
      </c>
      <c r="AB57" s="2">
        <f t="shared" si="15"/>
        <v>4.1030321962187966</v>
      </c>
      <c r="AC57" s="2">
        <f t="shared" si="15"/>
        <v>58.212971338757413</v>
      </c>
      <c r="AD57" s="2">
        <f t="shared" si="15"/>
        <v>17.550323294141286</v>
      </c>
      <c r="AE57" s="2">
        <f t="shared" si="15"/>
        <v>6.6548289713865669</v>
      </c>
      <c r="AF57" s="2">
        <f t="shared" si="15"/>
        <v>10.865743412584047</v>
      </c>
      <c r="AG57" s="2">
        <f t="shared" si="15"/>
        <v>7.0552660023146752</v>
      </c>
      <c r="AH57" s="2">
        <f t="shared" si="15"/>
        <v>13.017237590574728</v>
      </c>
      <c r="AI57" s="2">
        <f t="shared" si="15"/>
        <v>13.479387949778149</v>
      </c>
      <c r="AJ57" s="2">
        <f t="shared" si="15"/>
        <v>7.311530198960484</v>
      </c>
      <c r="AK57" s="2">
        <f t="shared" si="15"/>
        <v>12.02867204636428</v>
      </c>
      <c r="AL57" s="2">
        <f t="shared" si="15"/>
        <v>5.3536277219646502</v>
      </c>
      <c r="AM57" s="2">
        <f t="shared" si="15"/>
        <v>14.344461539777283</v>
      </c>
      <c r="AN57" s="2">
        <f t="shared" si="15"/>
        <v>15.45709014679346</v>
      </c>
      <c r="AO57" s="2">
        <f t="shared" si="15"/>
        <v>14.239017065271547</v>
      </c>
      <c r="AP57" s="2">
        <f t="shared" si="15"/>
        <v>8.8224184923026279</v>
      </c>
      <c r="AQ57" s="2">
        <f t="shared" si="15"/>
        <v>12.641664931184948</v>
      </c>
    </row>
    <row r="58" spans="1:43" ht="14.4">
      <c r="A58" s="3" t="s">
        <v>138</v>
      </c>
      <c r="C58" s="1" t="s">
        <v>30</v>
      </c>
      <c r="D58" t="str">
        <f t="shared" si="4"/>
        <v>TRA_Car_Oth_Upm*</v>
      </c>
      <c r="F58" s="4"/>
      <c r="G58" s="2">
        <f t="shared" si="9"/>
        <v>11.729463627417342</v>
      </c>
      <c r="H58" s="2">
        <f t="shared" si="15"/>
        <v>22.336000785233026</v>
      </c>
      <c r="I58" s="2">
        <f t="shared" si="15"/>
        <v>16.351808729771435</v>
      </c>
      <c r="J58" s="2">
        <f t="shared" si="15"/>
        <v>18.590383976560059</v>
      </c>
      <c r="K58" s="2">
        <f t="shared" si="15"/>
        <v>8.6716805281293041</v>
      </c>
      <c r="L58" s="2">
        <f t="shared" si="15"/>
        <v>13.691752252489589</v>
      </c>
      <c r="M58" s="2">
        <f t="shared" si="15"/>
        <v>13.082813301719025</v>
      </c>
      <c r="N58" s="2">
        <f t="shared" si="15"/>
        <v>12.556798341212222</v>
      </c>
      <c r="O58" s="2">
        <f t="shared" si="15"/>
        <v>14.34580004645826</v>
      </c>
      <c r="P58" s="2">
        <f t="shared" si="15"/>
        <v>18.370476413875661</v>
      </c>
      <c r="Q58" s="2">
        <f t="shared" si="15"/>
        <v>16.111826867400115</v>
      </c>
      <c r="R58" s="2">
        <f t="shared" si="15"/>
        <v>9.900511348013513</v>
      </c>
      <c r="S58" s="2">
        <f t="shared" si="15"/>
        <v>12.203836754688185</v>
      </c>
      <c r="T58" s="2">
        <f t="shared" si="15"/>
        <v>11.743631268349967</v>
      </c>
      <c r="U58" s="2">
        <f t="shared" si="15"/>
        <v>16.18339332350001</v>
      </c>
      <c r="V58" s="2">
        <f t="shared" si="15"/>
        <v>15.552296037211546</v>
      </c>
      <c r="W58" s="2">
        <f t="shared" si="15"/>
        <v>14.847961658447868</v>
      </c>
      <c r="X58" s="2">
        <f t="shared" si="15"/>
        <v>19.756307041088579</v>
      </c>
      <c r="Y58" s="2">
        <f t="shared" si="15"/>
        <v>13.924238681130454</v>
      </c>
      <c r="Z58" s="2">
        <f t="shared" si="15"/>
        <v>12.661387502824127</v>
      </c>
      <c r="AA58" s="2">
        <f t="shared" si="15"/>
        <v>16.780395017604402</v>
      </c>
      <c r="AB58" s="2">
        <f t="shared" si="15"/>
        <v>4.2957640264475883</v>
      </c>
      <c r="AC58" s="2">
        <f t="shared" si="15"/>
        <v>63.475923083739495</v>
      </c>
      <c r="AD58" s="2">
        <f t="shared" si="15"/>
        <v>15.727938952027751</v>
      </c>
      <c r="AE58" s="2">
        <f t="shared" si="15"/>
        <v>10.812872673867671</v>
      </c>
      <c r="AF58" s="2">
        <f t="shared" si="15"/>
        <v>14.170115180327866</v>
      </c>
      <c r="AG58" s="2">
        <f t="shared" si="15"/>
        <v>5.3924041744701841</v>
      </c>
      <c r="AH58" s="2">
        <f t="shared" si="15"/>
        <v>14.844557383770118</v>
      </c>
      <c r="AI58" s="2">
        <f t="shared" si="15"/>
        <v>13.956396758090092</v>
      </c>
      <c r="AJ58" s="2">
        <f t="shared" si="15"/>
        <v>9.0024250327592217</v>
      </c>
      <c r="AK58" s="2">
        <f t="shared" si="15"/>
        <v>16.817061941554282</v>
      </c>
      <c r="AL58" s="2">
        <f t="shared" si="15"/>
        <v>7.0989137858842213</v>
      </c>
      <c r="AM58" s="2">
        <f t="shared" si="15"/>
        <v>17.465759300409047</v>
      </c>
      <c r="AN58" s="2">
        <f t="shared" si="15"/>
        <v>15.882104648494622</v>
      </c>
      <c r="AO58" s="2">
        <f t="shared" si="15"/>
        <v>19.743092098092639</v>
      </c>
      <c r="AP58" s="2">
        <f t="shared" si="15"/>
        <v>9.4333938056117983</v>
      </c>
      <c r="AQ58" s="2">
        <f t="shared" si="15"/>
        <v>15.864876109981893</v>
      </c>
    </row>
    <row r="59" spans="1:43" ht="14.4">
      <c r="A59" s="3" t="s">
        <v>139</v>
      </c>
      <c r="C59" s="1" t="s">
        <v>30</v>
      </c>
      <c r="D59" t="str">
        <f t="shared" si="4"/>
        <v>TRA_Hdt_Dis*</v>
      </c>
      <c r="F59" s="4">
        <f>AVERAGE(G59:AQ59)</f>
        <v>52.94271809441738</v>
      </c>
      <c r="G59" s="2">
        <f>IFERROR(AVERAGEIFS(RdTRABYVals!L$2:L$999,RdTRABYVals!$B$2:$B$999,"="&amp;$C59,RdTRABYVals!$C$2:$C$999,"="&amp;INS!$A59),"")</f>
        <v>30.821991173218901</v>
      </c>
      <c r="H59" s="2">
        <f>IFERROR(AVERAGEIFS(RdTRABYVals!M$2:M$999,RdTRABYVals!$B$2:$B$999,"="&amp;$C59,RdTRABYVals!$C$2:$C$999,"="&amp;INS!$A59),"")</f>
        <v>106.043198696044</v>
      </c>
      <c r="I59" s="2">
        <f>IFERROR(AVERAGEIFS(RdTRABYVals!N$2:N$999,RdTRABYVals!$B$2:$B$999,"="&amp;$C59,RdTRABYVals!$C$2:$C$999,"="&amp;INS!$A59),"")</f>
        <v>42.566525259170703</v>
      </c>
      <c r="J59" s="2">
        <f>IFERROR(AVERAGEIFS(RdTRABYVals!O$2:O$999,RdTRABYVals!$B$2:$B$999,"="&amp;$C59,RdTRABYVals!$C$2:$C$999,"="&amp;INS!$A59),"")</f>
        <v>68.136525827162401</v>
      </c>
      <c r="K59" s="2">
        <f>IFERROR(AVERAGEIFS(RdTRABYVals!P$2:P$999,RdTRABYVals!$B$2:$B$999,"="&amp;$C59,RdTRABYVals!$C$2:$C$999,"="&amp;INS!$A59),"")</f>
        <v>15.2715301838104</v>
      </c>
      <c r="L59" s="2">
        <f>IFERROR(AVERAGEIFS(RdTRABYVals!Q$2:Q$999,RdTRABYVals!$B$2:$B$999,"="&amp;$C59,RdTRABYVals!$C$2:$C$999,"="&amp;INS!$A59),"")</f>
        <v>76.375920685751495</v>
      </c>
      <c r="M59" s="2">
        <f>IFERROR(AVERAGEIFS(RdTRABYVals!R$2:R$999,RdTRABYVals!$B$2:$B$999,"="&amp;$C59,RdTRABYVals!$C$2:$C$999,"="&amp;INS!$A59),"")</f>
        <v>20.348355673481802</v>
      </c>
      <c r="N59" s="2">
        <f>IFERROR(AVERAGEIFS(RdTRABYVals!S$2:S$999,RdTRABYVals!$B$2:$B$999,"="&amp;$C59,RdTRABYVals!$C$2:$C$999,"="&amp;INS!$A59),"")</f>
        <v>37.320740979023697</v>
      </c>
      <c r="O59" s="2">
        <f>IFERROR(AVERAGEIFS(RdTRABYVals!T$2:T$999,RdTRABYVals!$B$2:$B$999,"="&amp;$C59,RdTRABYVals!$C$2:$C$999,"="&amp;INS!$A59),"")</f>
        <v>62.920187646285903</v>
      </c>
      <c r="P59" s="2">
        <f>IFERROR(AVERAGEIFS(RdTRABYVals!U$2:U$999,RdTRABYVals!$B$2:$B$999,"="&amp;$C59,RdTRABYVals!$C$2:$C$999,"="&amp;INS!$A59),"")</f>
        <v>71.129504112703302</v>
      </c>
      <c r="Q59" s="2">
        <f>IFERROR(AVERAGEIFS(RdTRABYVals!V$2:V$999,RdTRABYVals!$B$2:$B$999,"="&amp;$C59,RdTRABYVals!$C$2:$C$999,"="&amp;INS!$A59),"")</f>
        <v>39.310311565708503</v>
      </c>
      <c r="R59" s="2">
        <f>IFERROR(AVERAGEIFS(RdTRABYVals!W$2:W$999,RdTRABYVals!$B$2:$B$999,"="&amp;$C59,RdTRABYVals!$C$2:$C$999,"="&amp;INS!$A59),"")</f>
        <v>30.821991173218901</v>
      </c>
      <c r="S59" s="2">
        <f>IFERROR(AVERAGEIFS(RdTRABYVals!X$2:X$999,RdTRABYVals!$B$2:$B$999,"="&amp;$C59,RdTRABYVals!$C$2:$C$999,"="&amp;INS!$A59),"")</f>
        <v>78.334836520018897</v>
      </c>
      <c r="T59" s="2">
        <f>IFERROR(AVERAGEIFS(RdTRABYVals!Y$2:Y$999,RdTRABYVals!$B$2:$B$999,"="&amp;$C59,RdTRABYVals!$C$2:$C$999,"="&amp;INS!$A59),"")</f>
        <v>38.4776781541632</v>
      </c>
      <c r="U59" s="2">
        <f>IFERROR(AVERAGEIFS(RdTRABYVals!Z$2:Z$999,RdTRABYVals!$B$2:$B$999,"="&amp;$C59,RdTRABYVals!$C$2:$C$999,"="&amp;INS!$A59),"")</f>
        <v>59.866648711085197</v>
      </c>
      <c r="V59" s="2">
        <f>IFERROR(AVERAGEIFS(RdTRABYVals!AA$2:AA$999,RdTRABYVals!$B$2:$B$999,"="&amp;$C59,RdTRABYVals!$C$2:$C$999,"="&amp;INS!$A59),"")</f>
        <v>42.566525259170703</v>
      </c>
      <c r="W59" s="2">
        <f>IFERROR(AVERAGEIFS(RdTRABYVals!AB$2:AB$999,RdTRABYVals!$B$2:$B$999,"="&amp;$C59,RdTRABYVals!$C$2:$C$999,"="&amp;INS!$A59),"")</f>
        <v>47.321164179705498</v>
      </c>
      <c r="X59" s="2">
        <f>IFERROR(AVERAGEIFS(RdTRABYVals!AC$2:AC$999,RdTRABYVals!$B$2:$B$999,"="&amp;$C59,RdTRABYVals!$C$2:$C$999,"="&amp;INS!$A59),"")</f>
        <v>57.429951888954001</v>
      </c>
      <c r="Y59" s="2">
        <f>IFERROR(AVERAGEIFS(RdTRABYVals!AD$2:AD$999,RdTRABYVals!$B$2:$B$999,"="&amp;$C59,RdTRABYVals!$C$2:$C$999,"="&amp;INS!$A59),"")</f>
        <v>20.275159446338201</v>
      </c>
      <c r="Z59" s="2">
        <f>IFERROR(AVERAGEIFS(RdTRABYVals!AE$2:AE$999,RdTRABYVals!$B$2:$B$999,"="&amp;$C59,RdTRABYVals!$C$2:$C$999,"="&amp;INS!$A59),"")</f>
        <v>35.667308738078098</v>
      </c>
      <c r="AA59" s="2">
        <f>IFERROR(AVERAGEIFS(RdTRABYVals!AF$2:AF$999,RdTRABYVals!$B$2:$B$999,"="&amp;$C59,RdTRABYVals!$C$2:$C$999,"="&amp;INS!$A59),"")</f>
        <v>42.566525259170703</v>
      </c>
      <c r="AB59" s="2">
        <f>IFERROR(AVERAGEIFS(RdTRABYVals!AG$2:AG$999,RdTRABYVals!$B$2:$B$999,"="&amp;$C59,RdTRABYVals!$C$2:$C$999,"="&amp;INS!$A59),"")</f>
        <v>31.204106879401198</v>
      </c>
      <c r="AC59" s="2">
        <f>IFERROR(AVERAGEIFS(RdTRABYVals!AH$2:AH$999,RdTRABYVals!$B$2:$B$999,"="&amp;$C59,RdTRABYVals!$C$2:$C$999,"="&amp;INS!$A59),"")</f>
        <v>237.667752520102</v>
      </c>
      <c r="AD59" s="2">
        <f>IFERROR(AVERAGEIFS(RdTRABYVals!AI$2:AI$999,RdTRABYVals!$B$2:$B$999,"="&amp;$C59,RdTRABYVals!$C$2:$C$999,"="&amp;INS!$A59),"")</f>
        <v>71.914907156954996</v>
      </c>
      <c r="AE59" s="2">
        <f>IFERROR(AVERAGEIFS(RdTRABYVals!AJ$2:AJ$999,RdTRABYVals!$B$2:$B$999,"="&amp;$C59,RdTRABYVals!$C$2:$C$999,"="&amp;INS!$A59),"")</f>
        <v>30.821991173218901</v>
      </c>
      <c r="AF59" s="2">
        <f>IFERROR(AVERAGEIFS(RdTRABYVals!AK$2:AK$999,RdTRABYVals!$B$2:$B$999,"="&amp;$C59,RdTRABYVals!$C$2:$C$999,"="&amp;INS!$A59),"")</f>
        <v>57.072939562297101</v>
      </c>
      <c r="AG59" s="2">
        <f>IFERROR(AVERAGEIFS(RdTRABYVals!AL$2:AL$999,RdTRABYVals!$B$2:$B$999,"="&amp;$C59,RdTRABYVals!$C$2:$C$999,"="&amp;INS!$A59),"")</f>
        <v>27.354661778424301</v>
      </c>
      <c r="AH59" s="2">
        <f>IFERROR(AVERAGEIFS(RdTRABYVals!AM$2:AM$999,RdTRABYVals!$B$2:$B$999,"="&amp;$C59,RdTRABYVals!$C$2:$C$999,"="&amp;INS!$A59),"")</f>
        <v>73.940931803873994</v>
      </c>
      <c r="AI59" s="2">
        <f>IFERROR(AVERAGEIFS(RdTRABYVals!AN$2:AN$999,RdTRABYVals!$B$2:$B$999,"="&amp;$C59,RdTRABYVals!$C$2:$C$999,"="&amp;INS!$A59),"")</f>
        <v>25.3190614242903</v>
      </c>
      <c r="AJ59" s="2">
        <f>IFERROR(AVERAGEIFS(RdTRABYVals!AO$2:AO$999,RdTRABYVals!$B$2:$B$999,"="&amp;$C59,RdTRABYVals!$C$2:$C$999,"="&amp;INS!$A59),"")</f>
        <v>42.6653942006498</v>
      </c>
      <c r="AK59" s="2">
        <f>IFERROR(AVERAGEIFS(RdTRABYVals!AP$2:AP$999,RdTRABYVals!$B$2:$B$999,"="&amp;$C59,RdTRABYVals!$C$2:$C$999,"="&amp;INS!$A59),"")</f>
        <v>31.938506174463399</v>
      </c>
      <c r="AL59" s="2">
        <f>IFERROR(AVERAGEIFS(RdTRABYVals!AQ$2:AQ$999,RdTRABYVals!$B$2:$B$999,"="&amp;$C59,RdTRABYVals!$C$2:$C$999,"="&amp;INS!$A59),"")</f>
        <v>22.6961555955526</v>
      </c>
      <c r="AM59" s="2">
        <f>IFERROR(AVERAGEIFS(RdTRABYVals!AR$2:AR$999,RdTRABYVals!$B$2:$B$999,"="&amp;$C59,RdTRABYVals!$C$2:$C$999,"="&amp;INS!$A59),"")</f>
        <v>42.566525259170703</v>
      </c>
      <c r="AN59" s="2">
        <f>IFERROR(AVERAGEIFS(RdTRABYVals!AS$2:AS$999,RdTRABYVals!$B$2:$B$999,"="&amp;$C59,RdTRABYVals!$C$2:$C$999,"="&amp;INS!$A59),"")</f>
        <v>44.569396743717803</v>
      </c>
      <c r="AO59" s="2">
        <f>IFERROR(AVERAGEIFS(RdTRABYVals!AT$2:AT$999,RdTRABYVals!$B$2:$B$999,"="&amp;$C59,RdTRABYVals!$C$2:$C$999,"="&amp;INS!$A59),"")</f>
        <v>77.516104603355799</v>
      </c>
      <c r="AP59" s="2">
        <f>IFERROR(AVERAGEIFS(RdTRABYVals!AU$2:AU$999,RdTRABYVals!$B$2:$B$999,"="&amp;$C59,RdTRABYVals!$C$2:$C$999,"="&amp;INS!$A59),"")</f>
        <v>56.275935662917902</v>
      </c>
      <c r="AQ59" s="2">
        <f>IFERROR(AVERAGEIFS(RdTRABYVals!AV$2:AV$999,RdTRABYVals!$B$2:$B$999,"="&amp;$C59,RdTRABYVals!$C$2:$C$999,"="&amp;INS!$A59),"")</f>
        <v>61.783617822788003</v>
      </c>
    </row>
    <row r="60" spans="1:43" ht="14.4">
      <c r="A60" s="3" t="s">
        <v>140</v>
      </c>
      <c r="C60" s="1" t="s">
        <v>30</v>
      </c>
      <c r="D60" t="str">
        <f t="shared" si="4"/>
        <v>TRA_Hdt_Gas*</v>
      </c>
      <c r="F60" s="4">
        <f>AVERAGE(G60:AQ60)</f>
        <v>30.851828077573689</v>
      </c>
      <c r="G60" s="2">
        <f>IFERROR(AVERAGEIFS(RdTRABYVals!L$2:L$999,RdTRABYVals!$B$2:$B$999,"="&amp;$C60,RdTRABYVals!$C$2:$C$999,"="&amp;INS!$A60),"")</f>
        <v>20.527077553445501</v>
      </c>
      <c r="H60" s="2" t="str">
        <f>IFERROR(AVERAGEIFS(RdTRABYVals!M$2:M$999,RdTRABYVals!$B$2:$B$999,"="&amp;$C60,RdTRABYVals!$C$2:$C$999,"="&amp;INS!$A60),"")</f>
        <v/>
      </c>
      <c r="I60" s="2">
        <f>IFERROR(AVERAGEIFS(RdTRABYVals!N$2:N$999,RdTRABYVals!$B$2:$B$999,"="&amp;$C60,RdTRABYVals!$C$2:$C$999,"="&amp;INS!$A60),"")</f>
        <v>42.184469311385001</v>
      </c>
      <c r="J60" s="2" t="str">
        <f>IFERROR(AVERAGEIFS(RdTRABYVals!O$2:O$999,RdTRABYVals!$B$2:$B$999,"="&amp;$C60,RdTRABYVals!$C$2:$C$999,"="&amp;INS!$A60),"")</f>
        <v/>
      </c>
      <c r="K60" s="2">
        <f>IFERROR(AVERAGEIFS(RdTRABYVals!P$2:P$999,RdTRABYVals!$B$2:$B$999,"="&amp;$C60,RdTRABYVals!$C$2:$C$999,"="&amp;INS!$A60),"")</f>
        <v>6.6019088210346704</v>
      </c>
      <c r="L60" s="2" t="str">
        <f>IFERROR(AVERAGEIFS(RdTRABYVals!Q$2:Q$999,RdTRABYVals!$B$2:$B$999,"="&amp;$C60,RdTRABYVals!$C$2:$C$999,"="&amp;INS!$A60),"")</f>
        <v/>
      </c>
      <c r="M60" s="2">
        <f>IFERROR(AVERAGEIFS(RdTRABYVals!R$2:R$999,RdTRABYVals!$B$2:$B$999,"="&amp;$C60,RdTRABYVals!$C$2:$C$999,"="&amp;INS!$A60),"")</f>
        <v>25.260999989859801</v>
      </c>
      <c r="N60" s="2">
        <f>IFERROR(AVERAGEIFS(RdTRABYVals!S$2:S$999,RdTRABYVals!$B$2:$B$999,"="&amp;$C60,RdTRABYVals!$C$2:$C$999,"="&amp;INS!$A60),"")</f>
        <v>11.1995521527012</v>
      </c>
      <c r="O60" s="2" t="str">
        <f>IFERROR(AVERAGEIFS(RdTRABYVals!T$2:T$999,RdTRABYVals!$B$2:$B$999,"="&amp;$C60,RdTRABYVals!$C$2:$C$999,"="&amp;INS!$A60),"")</f>
        <v/>
      </c>
      <c r="P60" s="2">
        <f>IFERROR(AVERAGEIFS(RdTRABYVals!U$2:U$999,RdTRABYVals!$B$2:$B$999,"="&amp;$C60,RdTRABYVals!$C$2:$C$999,"="&amp;INS!$A60),"")</f>
        <v>17.657511036555</v>
      </c>
      <c r="Q60" s="2">
        <f>IFERROR(AVERAGEIFS(RdTRABYVals!V$2:V$999,RdTRABYVals!$B$2:$B$999,"="&amp;$C60,RdTRABYVals!$C$2:$C$999,"="&amp;INS!$A60),"")</f>
        <v>5.6697277559878598</v>
      </c>
      <c r="R60" s="2">
        <f>IFERROR(AVERAGEIFS(RdTRABYVals!W$2:W$999,RdTRABYVals!$B$2:$B$999,"="&amp;$C60,RdTRABYVals!$C$2:$C$999,"="&amp;INS!$A60),"")</f>
        <v>20.527077553445501</v>
      </c>
      <c r="S60" s="2">
        <f>IFERROR(AVERAGEIFS(RdTRABYVals!X$2:X$999,RdTRABYVals!$B$2:$B$999,"="&amp;$C60,RdTRABYVals!$C$2:$C$999,"="&amp;INS!$A60),"")</f>
        <v>91.851086185359804</v>
      </c>
      <c r="T60" s="2">
        <f>IFERROR(AVERAGEIFS(RdTRABYVals!Y$2:Y$999,RdTRABYVals!$B$2:$B$999,"="&amp;$C60,RdTRABYVals!$C$2:$C$999,"="&amp;INS!$A60),"")</f>
        <v>17.0761158677773</v>
      </c>
      <c r="U60" s="2">
        <f>IFERROR(AVERAGEIFS(RdTRABYVals!Z$2:Z$999,RdTRABYVals!$B$2:$B$999,"="&amp;$C60,RdTRABYVals!$C$2:$C$999,"="&amp;INS!$A60),"")</f>
        <v>32.664252202903</v>
      </c>
      <c r="V60" s="2">
        <f>IFERROR(AVERAGEIFS(RdTRABYVals!AA$2:AA$999,RdTRABYVals!$B$2:$B$999,"="&amp;$C60,RdTRABYVals!$C$2:$C$999,"="&amp;INS!$A60),"")</f>
        <v>42.184469311385001</v>
      </c>
      <c r="W60" s="2">
        <f>IFERROR(AVERAGEIFS(RdTRABYVals!AB$2:AB$999,RdTRABYVals!$B$2:$B$999,"="&amp;$C60,RdTRABYVals!$C$2:$C$999,"="&amp;INS!$A60),"")</f>
        <v>10.5305960293705</v>
      </c>
      <c r="X60" s="2">
        <f>IFERROR(AVERAGEIFS(RdTRABYVals!AC$2:AC$999,RdTRABYVals!$B$2:$B$999,"="&amp;$C60,RdTRABYVals!$C$2:$C$999,"="&amp;INS!$A60),"")</f>
        <v>38.282574886307501</v>
      </c>
      <c r="Y60" s="2">
        <f>IFERROR(AVERAGEIFS(RdTRABYVals!AD$2:AD$999,RdTRABYVals!$B$2:$B$999,"="&amp;$C60,RdTRABYVals!$C$2:$C$999,"="&amp;INS!$A60),"")</f>
        <v>21.274865988777201</v>
      </c>
      <c r="Z60" s="2">
        <f>IFERROR(AVERAGEIFS(RdTRABYVals!AE$2:AE$999,RdTRABYVals!$B$2:$B$999,"="&amp;$C60,RdTRABYVals!$C$2:$C$999,"="&amp;INS!$A60),"")</f>
        <v>5.8481464522486002</v>
      </c>
      <c r="AA60" s="2">
        <f>IFERROR(AVERAGEIFS(RdTRABYVals!AF$2:AF$999,RdTRABYVals!$B$2:$B$999,"="&amp;$C60,RdTRABYVals!$C$2:$C$999,"="&amp;INS!$A60),"")</f>
        <v>42.184469311385001</v>
      </c>
      <c r="AB60" s="2">
        <f>IFERROR(AVERAGEIFS(RdTRABYVals!AG$2:AG$999,RdTRABYVals!$B$2:$B$999,"="&amp;$C60,RdTRABYVals!$C$2:$C$999,"="&amp;INS!$A60),"")</f>
        <v>16.0480159162361</v>
      </c>
      <c r="AC60" s="2">
        <f>IFERROR(AVERAGEIFS(RdTRABYVals!AH$2:AH$999,RdTRABYVals!$B$2:$B$999,"="&amp;$C60,RdTRABYVals!$C$2:$C$999,"="&amp;INS!$A60),"")</f>
        <v>156.34583609258101</v>
      </c>
      <c r="AD60" s="2">
        <f>IFERROR(AVERAGEIFS(RdTRABYVals!AI$2:AI$999,RdTRABYVals!$B$2:$B$999,"="&amp;$C60,RdTRABYVals!$C$2:$C$999,"="&amp;INS!$A60),"")</f>
        <v>32.795361387189701</v>
      </c>
      <c r="AE60" s="2">
        <f>IFERROR(AVERAGEIFS(RdTRABYVals!AJ$2:AJ$999,RdTRABYVals!$B$2:$B$999,"="&amp;$C60,RdTRABYVals!$C$2:$C$999,"="&amp;INS!$A60),"")</f>
        <v>20.527077553445501</v>
      </c>
      <c r="AF60" s="2">
        <f>IFERROR(AVERAGEIFS(RdTRABYVals!AK$2:AK$999,RdTRABYVals!$B$2:$B$999,"="&amp;$C60,RdTRABYVals!$C$2:$C$999,"="&amp;INS!$A60),"")</f>
        <v>24.874082146975098</v>
      </c>
      <c r="AG60" s="2" t="str">
        <f>IFERROR(AVERAGEIFS(RdTRABYVals!AL$2:AL$999,RdTRABYVals!$B$2:$B$999,"="&amp;$C60,RdTRABYVals!$C$2:$C$999,"="&amp;INS!$A60),"")</f>
        <v/>
      </c>
      <c r="AH60" s="2">
        <f>IFERROR(AVERAGEIFS(RdTRABYVals!AM$2:AM$999,RdTRABYVals!$B$2:$B$999,"="&amp;$C60,RdTRABYVals!$C$2:$C$999,"="&amp;INS!$A60),"")</f>
        <v>55.842911899726701</v>
      </c>
      <c r="AI60" s="2">
        <f>IFERROR(AVERAGEIFS(RdTRABYVals!AN$2:AN$999,RdTRABYVals!$B$2:$B$999,"="&amp;$C60,RdTRABYVals!$C$2:$C$999,"="&amp;INS!$A60),"")</f>
        <v>13.520154801040301</v>
      </c>
      <c r="AJ60" s="2">
        <f>IFERROR(AVERAGEIFS(RdTRABYVals!AO$2:AO$999,RdTRABYVals!$B$2:$B$999,"="&amp;$C60,RdTRABYVals!$C$2:$C$999,"="&amp;INS!$A60),"")</f>
        <v>18.5254893918537</v>
      </c>
      <c r="AK60" s="2" t="str">
        <f>IFERROR(AVERAGEIFS(RdTRABYVals!AP$2:AP$999,RdTRABYVals!$B$2:$B$999,"="&amp;$C60,RdTRABYVals!$C$2:$C$999,"="&amp;INS!$A60),"")</f>
        <v/>
      </c>
      <c r="AL60" s="2">
        <f>IFERROR(AVERAGEIFS(RdTRABYVals!AQ$2:AQ$999,RdTRABYVals!$B$2:$B$999,"="&amp;$C60,RdTRABYVals!$C$2:$C$999,"="&amp;INS!$A60),"")</f>
        <v>5.3014200824072004</v>
      </c>
      <c r="AM60" s="2">
        <f>IFERROR(AVERAGEIFS(RdTRABYVals!AR$2:AR$999,RdTRABYVals!$B$2:$B$999,"="&amp;$C60,RdTRABYVals!$C$2:$C$999,"="&amp;INS!$A60),"")</f>
        <v>42.184469311385001</v>
      </c>
      <c r="AN60" s="2">
        <f>IFERROR(AVERAGEIFS(RdTRABYVals!AS$2:AS$999,RdTRABYVals!$B$2:$B$999,"="&amp;$C60,RdTRABYVals!$C$2:$C$999,"="&amp;INS!$A60),"")</f>
        <v>7.7675132482023397</v>
      </c>
      <c r="AO60" s="2">
        <f>IFERROR(AVERAGEIFS(RdTRABYVals!AT$2:AT$999,RdTRABYVals!$B$2:$B$999,"="&amp;$C60,RdTRABYVals!$C$2:$C$999,"="&amp;INS!$A60),"")</f>
        <v>32.140698549811098</v>
      </c>
      <c r="AP60" s="2" t="str">
        <f>IFERROR(AVERAGEIFS(RdTRABYVals!AU$2:AU$999,RdTRABYVals!$B$2:$B$999,"="&amp;$C60,RdTRABYVals!$C$2:$C$999,"="&amp;INS!$A60),"")</f>
        <v/>
      </c>
      <c r="AQ60" s="2">
        <f>IFERROR(AVERAGEIFS(RdTRABYVals!AV$2:AV$999,RdTRABYVals!$B$2:$B$999,"="&amp;$C60,RdTRABYVals!$C$2:$C$999,"="&amp;INS!$A60),"")</f>
        <v>48.156911536428403</v>
      </c>
    </row>
    <row r="61" spans="1:43" ht="14.4">
      <c r="A61" s="3" t="s">
        <v>139</v>
      </c>
      <c r="C61" s="1" t="s">
        <v>30</v>
      </c>
      <c r="D61" t="s">
        <v>171</v>
      </c>
      <c r="F61" s="4">
        <f>F59</f>
        <v>52.94271809441738</v>
      </c>
      <c r="G61" s="4">
        <f t="shared" si="16" ref="G61:AQ61">G59</f>
        <v>30.821991173218901</v>
      </c>
      <c r="H61" s="4">
        <f t="shared" si="16"/>
        <v>106.043198696044</v>
      </c>
      <c r="I61" s="4">
        <f t="shared" si="16"/>
        <v>42.566525259170703</v>
      </c>
      <c r="J61" s="4">
        <f t="shared" si="16"/>
        <v>68.136525827162401</v>
      </c>
      <c r="K61" s="4">
        <f t="shared" si="16"/>
        <v>15.2715301838104</v>
      </c>
      <c r="L61" s="4">
        <f t="shared" si="16"/>
        <v>76.375920685751495</v>
      </c>
      <c r="M61" s="4">
        <f t="shared" si="16"/>
        <v>20.348355673481802</v>
      </c>
      <c r="N61" s="4">
        <f t="shared" si="16"/>
        <v>37.320740979023697</v>
      </c>
      <c r="O61" s="4">
        <f t="shared" si="16"/>
        <v>62.920187646285903</v>
      </c>
      <c r="P61" s="4">
        <f t="shared" si="16"/>
        <v>71.129504112703302</v>
      </c>
      <c r="Q61" s="4">
        <f t="shared" si="16"/>
        <v>39.310311565708503</v>
      </c>
      <c r="R61" s="4">
        <f t="shared" si="16"/>
        <v>30.821991173218901</v>
      </c>
      <c r="S61" s="4">
        <f t="shared" si="16"/>
        <v>78.334836520018897</v>
      </c>
      <c r="T61" s="4">
        <f t="shared" si="16"/>
        <v>38.4776781541632</v>
      </c>
      <c r="U61" s="4">
        <f t="shared" si="16"/>
        <v>59.866648711085197</v>
      </c>
      <c r="V61" s="4">
        <f t="shared" si="16"/>
        <v>42.566525259170703</v>
      </c>
      <c r="W61" s="4">
        <f t="shared" si="16"/>
        <v>47.321164179705498</v>
      </c>
      <c r="X61" s="4">
        <f t="shared" si="16"/>
        <v>57.429951888954001</v>
      </c>
      <c r="Y61" s="4">
        <f t="shared" si="16"/>
        <v>20.275159446338201</v>
      </c>
      <c r="Z61" s="4">
        <f t="shared" si="16"/>
        <v>35.667308738078098</v>
      </c>
      <c r="AA61" s="4">
        <f t="shared" si="16"/>
        <v>42.566525259170703</v>
      </c>
      <c r="AB61" s="4">
        <f t="shared" si="16"/>
        <v>31.204106879401198</v>
      </c>
      <c r="AC61" s="4">
        <f t="shared" si="16"/>
        <v>237.667752520102</v>
      </c>
      <c r="AD61" s="4">
        <f t="shared" si="16"/>
        <v>71.914907156954996</v>
      </c>
      <c r="AE61" s="4">
        <f t="shared" si="16"/>
        <v>30.821991173218901</v>
      </c>
      <c r="AF61" s="4">
        <f t="shared" si="16"/>
        <v>57.072939562297101</v>
      </c>
      <c r="AG61" s="4">
        <f t="shared" si="16"/>
        <v>27.354661778424301</v>
      </c>
      <c r="AH61" s="4">
        <f t="shared" si="16"/>
        <v>73.940931803873994</v>
      </c>
      <c r="AI61" s="4">
        <f t="shared" si="16"/>
        <v>25.3190614242903</v>
      </c>
      <c r="AJ61" s="4">
        <f t="shared" si="16"/>
        <v>42.6653942006498</v>
      </c>
      <c r="AK61" s="4">
        <f t="shared" si="16"/>
        <v>31.938506174463399</v>
      </c>
      <c r="AL61" s="4">
        <f t="shared" si="16"/>
        <v>22.6961555955526</v>
      </c>
      <c r="AM61" s="4">
        <f t="shared" si="16"/>
        <v>42.566525259170703</v>
      </c>
      <c r="AN61" s="4">
        <f t="shared" si="16"/>
        <v>44.569396743717803</v>
      </c>
      <c r="AO61" s="4">
        <f t="shared" si="16"/>
        <v>77.516104603355799</v>
      </c>
      <c r="AP61" s="4">
        <f t="shared" si="16"/>
        <v>56.275935662917902</v>
      </c>
      <c r="AQ61" s="4">
        <f t="shared" si="16"/>
        <v>61.783617822788003</v>
      </c>
    </row>
    <row r="62" spans="1:43" ht="14.4">
      <c r="A62" s="3" t="s">
        <v>139</v>
      </c>
      <c r="C62" s="1" t="s">
        <v>30</v>
      </c>
      <c r="D62" t="s">
        <v>172</v>
      </c>
      <c r="F62" s="4">
        <f>F61</f>
        <v>52.94271809441738</v>
      </c>
      <c r="G62" s="4">
        <f t="shared" si="17" ref="G62:AQ62">G61</f>
        <v>30.821991173218901</v>
      </c>
      <c r="H62" s="4">
        <f t="shared" si="17"/>
        <v>106.043198696044</v>
      </c>
      <c r="I62" s="4">
        <f t="shared" si="17"/>
        <v>42.566525259170703</v>
      </c>
      <c r="J62" s="4">
        <f t="shared" si="17"/>
        <v>68.136525827162401</v>
      </c>
      <c r="K62" s="4">
        <f t="shared" si="17"/>
        <v>15.2715301838104</v>
      </c>
      <c r="L62" s="4">
        <f t="shared" si="17"/>
        <v>76.375920685751495</v>
      </c>
      <c r="M62" s="4">
        <f t="shared" si="17"/>
        <v>20.348355673481802</v>
      </c>
      <c r="N62" s="4">
        <f t="shared" si="17"/>
        <v>37.320740979023697</v>
      </c>
      <c r="O62" s="4">
        <f t="shared" si="17"/>
        <v>62.920187646285903</v>
      </c>
      <c r="P62" s="4">
        <f t="shared" si="17"/>
        <v>71.129504112703302</v>
      </c>
      <c r="Q62" s="4">
        <f t="shared" si="17"/>
        <v>39.310311565708503</v>
      </c>
      <c r="R62" s="4">
        <f t="shared" si="17"/>
        <v>30.821991173218901</v>
      </c>
      <c r="S62" s="4">
        <f t="shared" si="17"/>
        <v>78.334836520018897</v>
      </c>
      <c r="T62" s="4">
        <f t="shared" si="17"/>
        <v>38.4776781541632</v>
      </c>
      <c r="U62" s="4">
        <f t="shared" si="17"/>
        <v>59.866648711085197</v>
      </c>
      <c r="V62" s="4">
        <f t="shared" si="17"/>
        <v>42.566525259170703</v>
      </c>
      <c r="W62" s="4">
        <f t="shared" si="17"/>
        <v>47.321164179705498</v>
      </c>
      <c r="X62" s="4">
        <f t="shared" si="17"/>
        <v>57.429951888954001</v>
      </c>
      <c r="Y62" s="4">
        <f t="shared" si="17"/>
        <v>20.275159446338201</v>
      </c>
      <c r="Z62" s="4">
        <f t="shared" si="17"/>
        <v>35.667308738078098</v>
      </c>
      <c r="AA62" s="4">
        <f t="shared" si="17"/>
        <v>42.566525259170703</v>
      </c>
      <c r="AB62" s="4">
        <f t="shared" si="17"/>
        <v>31.204106879401198</v>
      </c>
      <c r="AC62" s="4">
        <f t="shared" si="17"/>
        <v>237.667752520102</v>
      </c>
      <c r="AD62" s="4">
        <f t="shared" si="17"/>
        <v>71.914907156954996</v>
      </c>
      <c r="AE62" s="4">
        <f t="shared" si="17"/>
        <v>30.821991173218901</v>
      </c>
      <c r="AF62" s="4">
        <f t="shared" si="17"/>
        <v>57.072939562297101</v>
      </c>
      <c r="AG62" s="4">
        <f t="shared" si="17"/>
        <v>27.354661778424301</v>
      </c>
      <c r="AH62" s="4">
        <f t="shared" si="17"/>
        <v>73.940931803873994</v>
      </c>
      <c r="AI62" s="4">
        <f t="shared" si="17"/>
        <v>25.3190614242903</v>
      </c>
      <c r="AJ62" s="4">
        <f t="shared" si="17"/>
        <v>42.6653942006498</v>
      </c>
      <c r="AK62" s="4">
        <f t="shared" si="17"/>
        <v>31.938506174463399</v>
      </c>
      <c r="AL62" s="4">
        <f t="shared" si="17"/>
        <v>22.6961555955526</v>
      </c>
      <c r="AM62" s="4">
        <f t="shared" si="17"/>
        <v>42.566525259170703</v>
      </c>
      <c r="AN62" s="4">
        <f t="shared" si="17"/>
        <v>44.569396743717803</v>
      </c>
      <c r="AO62" s="4">
        <f t="shared" si="17"/>
        <v>77.516104603355799</v>
      </c>
      <c r="AP62" s="4">
        <f t="shared" si="17"/>
        <v>56.275935662917902</v>
      </c>
      <c r="AQ62" s="4">
        <f t="shared" si="17"/>
        <v>61.783617822788003</v>
      </c>
    </row>
    <row r="63" spans="1:43" ht="14.4">
      <c r="A63" s="3" t="s">
        <v>141</v>
      </c>
      <c r="C63" s="1" t="s">
        <v>30</v>
      </c>
      <c r="D63" t="str">
        <f t="shared" si="4"/>
        <v>TRA_Lcv_Cng*</v>
      </c>
      <c r="F63" s="4">
        <f>AVERAGE(G63:AQ63)</f>
        <v>16.92091353382277</v>
      </c>
      <c r="G63" s="2" t="str">
        <f>IFERROR(AVERAGEIFS(RdTRABYVals!L$2:L$999,RdTRABYVals!$B$2:$B$999,"="&amp;$C63,RdTRABYVals!$C$2:$C$999,"="&amp;INS!$A63),"")</f>
        <v/>
      </c>
      <c r="H63" s="2" t="str">
        <f>IFERROR(AVERAGEIFS(RdTRABYVals!M$2:M$999,RdTRABYVals!$B$2:$B$999,"="&amp;$C63,RdTRABYVals!$C$2:$C$999,"="&amp;INS!$A63),"")</f>
        <v/>
      </c>
      <c r="I63" s="2" t="str">
        <f>IFERROR(AVERAGEIFS(RdTRABYVals!N$2:N$999,RdTRABYVals!$B$2:$B$999,"="&amp;$C63,RdTRABYVals!$C$2:$C$999,"="&amp;INS!$A63),"")</f>
        <v/>
      </c>
      <c r="J63" s="2" t="str">
        <f>IFERROR(AVERAGEIFS(RdTRABYVals!O$2:O$999,RdTRABYVals!$B$2:$B$999,"="&amp;$C63,RdTRABYVals!$C$2:$C$999,"="&amp;INS!$A63),"")</f>
        <v/>
      </c>
      <c r="K63" s="2" t="str">
        <f>IFERROR(AVERAGEIFS(RdTRABYVals!P$2:P$999,RdTRABYVals!$B$2:$B$999,"="&amp;$C63,RdTRABYVals!$C$2:$C$999,"="&amp;INS!$A63),"")</f>
        <v/>
      </c>
      <c r="L63" s="2">
        <f>IFERROR(AVERAGEIFS(RdTRABYVals!Q$2:Q$999,RdTRABYVals!$B$2:$B$999,"="&amp;$C63,RdTRABYVals!$C$2:$C$999,"="&amp;INS!$A63),"")</f>
        <v>13.7096791532894</v>
      </c>
      <c r="M63" s="2" t="str">
        <f>IFERROR(AVERAGEIFS(RdTRABYVals!R$2:R$999,RdTRABYVals!$B$2:$B$999,"="&amp;$C63,RdTRABYVals!$C$2:$C$999,"="&amp;INS!$A63),"")</f>
        <v/>
      </c>
      <c r="N63" s="2" t="str">
        <f>IFERROR(AVERAGEIFS(RdTRABYVals!S$2:S$999,RdTRABYVals!$B$2:$B$999,"="&amp;$C63,RdTRABYVals!$C$2:$C$999,"="&amp;INS!$A63),"")</f>
        <v/>
      </c>
      <c r="O63" s="2">
        <f>IFERROR(AVERAGEIFS(RdTRABYVals!T$2:T$999,RdTRABYVals!$B$2:$B$999,"="&amp;$C63,RdTRABYVals!$C$2:$C$999,"="&amp;INS!$A63),"")</f>
        <v>26.398945369338801</v>
      </c>
      <c r="P63" s="2" t="str">
        <f>IFERROR(AVERAGEIFS(RdTRABYVals!U$2:U$999,RdTRABYVals!$B$2:$B$999,"="&amp;$C63,RdTRABYVals!$C$2:$C$999,"="&amp;INS!$A63),"")</f>
        <v/>
      </c>
      <c r="Q63" s="2" t="str">
        <f>IFERROR(AVERAGEIFS(RdTRABYVals!V$2:V$999,RdTRABYVals!$B$2:$B$999,"="&amp;$C63,RdTRABYVals!$C$2:$C$999,"="&amp;INS!$A63),"")</f>
        <v/>
      </c>
      <c r="R63" s="2" t="str">
        <f>IFERROR(AVERAGEIFS(RdTRABYVals!W$2:W$999,RdTRABYVals!$B$2:$B$999,"="&amp;$C63,RdTRABYVals!$C$2:$C$999,"="&amp;INS!$A63),"")</f>
        <v/>
      </c>
      <c r="S63" s="2" t="str">
        <f>IFERROR(AVERAGEIFS(RdTRABYVals!X$2:X$999,RdTRABYVals!$B$2:$B$999,"="&amp;$C63,RdTRABYVals!$C$2:$C$999,"="&amp;INS!$A63),"")</f>
        <v/>
      </c>
      <c r="T63" s="2" t="str">
        <f>IFERROR(AVERAGEIFS(RdTRABYVals!Y$2:Y$999,RdTRABYVals!$B$2:$B$999,"="&amp;$C63,RdTRABYVals!$C$2:$C$999,"="&amp;INS!$A63),"")</f>
        <v/>
      </c>
      <c r="U63" s="2" t="str">
        <f>IFERROR(AVERAGEIFS(RdTRABYVals!Z$2:Z$999,RdTRABYVals!$B$2:$B$999,"="&amp;$C63,RdTRABYVals!$C$2:$C$999,"="&amp;INS!$A63),"")</f>
        <v/>
      </c>
      <c r="V63" s="2" t="str">
        <f>IFERROR(AVERAGEIFS(RdTRABYVals!AA$2:AA$999,RdTRABYVals!$B$2:$B$999,"="&amp;$C63,RdTRABYVals!$C$2:$C$999,"="&amp;INS!$A63),"")</f>
        <v/>
      </c>
      <c r="W63" s="2" t="str">
        <f>IFERROR(AVERAGEIFS(RdTRABYVals!AB$2:AB$999,RdTRABYVals!$B$2:$B$999,"="&amp;$C63,RdTRABYVals!$C$2:$C$999,"="&amp;INS!$A63),"")</f>
        <v/>
      </c>
      <c r="X63" s="2" t="str">
        <f>IFERROR(AVERAGEIFS(RdTRABYVals!AC$2:AC$999,RdTRABYVals!$B$2:$B$999,"="&amp;$C63,RdTRABYVals!$C$2:$C$999,"="&amp;INS!$A63),"")</f>
        <v/>
      </c>
      <c r="Y63" s="2" t="str">
        <f>IFERROR(AVERAGEIFS(RdTRABYVals!AD$2:AD$999,RdTRABYVals!$B$2:$B$999,"="&amp;$C63,RdTRABYVals!$C$2:$C$999,"="&amp;INS!$A63),"")</f>
        <v/>
      </c>
      <c r="Z63" s="2" t="str">
        <f>IFERROR(AVERAGEIFS(RdTRABYVals!AE$2:AE$999,RdTRABYVals!$B$2:$B$999,"="&amp;$C63,RdTRABYVals!$C$2:$C$999,"="&amp;INS!$A63),"")</f>
        <v/>
      </c>
      <c r="AA63" s="2" t="str">
        <f>IFERROR(AVERAGEIFS(RdTRABYVals!AF$2:AF$999,RdTRABYVals!$B$2:$B$999,"="&amp;$C63,RdTRABYVals!$C$2:$C$999,"="&amp;INS!$A63),"")</f>
        <v/>
      </c>
      <c r="AB63" s="2" t="str">
        <f>IFERROR(AVERAGEIFS(RdTRABYVals!AG$2:AG$999,RdTRABYVals!$B$2:$B$999,"="&amp;$C63,RdTRABYVals!$C$2:$C$999,"="&amp;INS!$A63),"")</f>
        <v/>
      </c>
      <c r="AC63" s="2" t="str">
        <f>IFERROR(AVERAGEIFS(RdTRABYVals!AH$2:AH$999,RdTRABYVals!$B$2:$B$999,"="&amp;$C63,RdTRABYVals!$C$2:$C$999,"="&amp;INS!$A63),"")</f>
        <v/>
      </c>
      <c r="AD63" s="2" t="str">
        <f>IFERROR(AVERAGEIFS(RdTRABYVals!AI$2:AI$999,RdTRABYVals!$B$2:$B$999,"="&amp;$C63,RdTRABYVals!$C$2:$C$999,"="&amp;INS!$A63),"")</f>
        <v/>
      </c>
      <c r="AE63" s="2" t="str">
        <f>IFERROR(AVERAGEIFS(RdTRABYVals!AJ$2:AJ$999,RdTRABYVals!$B$2:$B$999,"="&amp;$C63,RdTRABYVals!$C$2:$C$999,"="&amp;INS!$A63),"")</f>
        <v/>
      </c>
      <c r="AF63" s="2" t="str">
        <f>IFERROR(AVERAGEIFS(RdTRABYVals!AK$2:AK$999,RdTRABYVals!$B$2:$B$999,"="&amp;$C63,RdTRABYVals!$C$2:$C$999,"="&amp;INS!$A63),"")</f>
        <v/>
      </c>
      <c r="AG63" s="2" t="str">
        <f>IFERROR(AVERAGEIFS(RdTRABYVals!AL$2:AL$999,RdTRABYVals!$B$2:$B$999,"="&amp;$C63,RdTRABYVals!$C$2:$C$999,"="&amp;INS!$A63),"")</f>
        <v/>
      </c>
      <c r="AH63" s="2">
        <f>IFERROR(AVERAGEIFS(RdTRABYVals!AM$2:AM$999,RdTRABYVals!$B$2:$B$999,"="&amp;$C63,RdTRABYVals!$C$2:$C$999,"="&amp;INS!$A63),"")</f>
        <v>10.654116078840101</v>
      </c>
      <c r="AI63" s="2" t="str">
        <f>IFERROR(AVERAGEIFS(RdTRABYVals!AN$2:AN$999,RdTRABYVals!$B$2:$B$999,"="&amp;$C63,RdTRABYVals!$C$2:$C$999,"="&amp;INS!$A63),"")</f>
        <v/>
      </c>
      <c r="AJ63" s="2" t="str">
        <f>IFERROR(AVERAGEIFS(RdTRABYVals!AO$2:AO$999,RdTRABYVals!$B$2:$B$999,"="&amp;$C63,RdTRABYVals!$C$2:$C$999,"="&amp;INS!$A63),"")</f>
        <v/>
      </c>
      <c r="AK63" s="2" t="str">
        <f>IFERROR(AVERAGEIFS(RdTRABYVals!AP$2:AP$999,RdTRABYVals!$B$2:$B$999,"="&amp;$C63,RdTRABYVals!$C$2:$C$999,"="&amp;INS!$A63),"")</f>
        <v/>
      </c>
      <c r="AL63" s="2" t="str">
        <f>IFERROR(AVERAGEIFS(RdTRABYVals!AQ$2:AQ$999,RdTRABYVals!$B$2:$B$999,"="&amp;$C63,RdTRABYVals!$C$2:$C$999,"="&amp;INS!$A63),"")</f>
        <v/>
      </c>
      <c r="AM63" s="2" t="str">
        <f>IFERROR(AVERAGEIFS(RdTRABYVals!AR$2:AR$999,RdTRABYVals!$B$2:$B$999,"="&amp;$C63,RdTRABYVals!$C$2:$C$999,"="&amp;INS!$A63),"")</f>
        <v/>
      </c>
      <c r="AN63" s="2" t="str">
        <f>IFERROR(AVERAGEIFS(RdTRABYVals!AS$2:AS$999,RdTRABYVals!$B$2:$B$999,"="&amp;$C63,RdTRABYVals!$C$2:$C$999,"="&amp;INS!$A63),"")</f>
        <v/>
      </c>
      <c r="AO63" s="2" t="str">
        <f>IFERROR(AVERAGEIFS(RdTRABYVals!AT$2:AT$999,RdTRABYVals!$B$2:$B$999,"="&amp;$C63,RdTRABYVals!$C$2:$C$999,"="&amp;INS!$A63),"")</f>
        <v/>
      </c>
      <c r="AP63" s="2" t="str">
        <f>IFERROR(AVERAGEIFS(RdTRABYVals!AU$2:AU$999,RdTRABYVals!$B$2:$B$999,"="&amp;$C63,RdTRABYVals!$C$2:$C$999,"="&amp;INS!$A63),"")</f>
        <v/>
      </c>
      <c r="AQ63" s="2" t="str">
        <f>IFERROR(AVERAGEIFS(RdTRABYVals!AV$2:AV$999,RdTRABYVals!$B$2:$B$999,"="&amp;$C63,RdTRABYVals!$C$2:$C$999,"="&amp;INS!$A63),"")</f>
        <v/>
      </c>
    </row>
    <row r="64" spans="1:43" ht="14.4">
      <c r="A64" s="3" t="s">
        <v>142</v>
      </c>
      <c r="C64" s="1" t="s">
        <v>30</v>
      </c>
      <c r="D64" t="str">
        <f t="shared" si="4"/>
        <v>TRA_Lcv_Dis*</v>
      </c>
      <c r="F64" s="4">
        <f>AVERAGE(G64:AQ64)</f>
        <v>26.488345641475</v>
      </c>
      <c r="G64" s="2">
        <f>IFERROR(AVERAGEIFS(RdTRABYVals!L$2:L$999,RdTRABYVals!$B$2:$B$999,"="&amp;$C64,RdTRABYVals!$C$2:$C$999,"="&amp;INS!$A64),"")</f>
        <v>21.486584748049701</v>
      </c>
      <c r="H64" s="2">
        <f>IFERROR(AVERAGEIFS(RdTRABYVals!M$2:M$999,RdTRABYVals!$B$2:$B$999,"="&amp;$C64,RdTRABYVals!$C$2:$C$999,"="&amp;INS!$A64),"")</f>
        <v>35.614100468510898</v>
      </c>
      <c r="I64" s="2">
        <f>IFERROR(AVERAGEIFS(RdTRABYVals!N$2:N$999,RdTRABYVals!$B$2:$B$999,"="&amp;$C64,RdTRABYVals!$C$2:$C$999,"="&amp;INS!$A64),"")</f>
        <v>33.003087063524397</v>
      </c>
      <c r="J64" s="2">
        <f>IFERROR(AVERAGEIFS(RdTRABYVals!O$2:O$999,RdTRABYVals!$B$2:$B$999,"="&amp;$C64,RdTRABYVals!$C$2:$C$999,"="&amp;INS!$A64),"")</f>
        <v>22.067710513481799</v>
      </c>
      <c r="K64" s="2">
        <f>IFERROR(AVERAGEIFS(RdTRABYVals!P$2:P$999,RdTRABYVals!$B$2:$B$999,"="&amp;$C64,RdTRABYVals!$C$2:$C$999,"="&amp;INS!$A64),"")</f>
        <v>10.033842399063101</v>
      </c>
      <c r="L64" s="2">
        <f>IFERROR(AVERAGEIFS(RdTRABYVals!Q$2:Q$999,RdTRABYVals!$B$2:$B$999,"="&amp;$C64,RdTRABYVals!$C$2:$C$999,"="&amp;INS!$A64),"")</f>
        <v>13.8805170508109</v>
      </c>
      <c r="M64" s="2">
        <f>IFERROR(AVERAGEIFS(RdTRABYVals!R$2:R$999,RdTRABYVals!$B$2:$B$999,"="&amp;$C64,RdTRABYVals!$C$2:$C$999,"="&amp;INS!$A64),"")</f>
        <v>16.622691349572001</v>
      </c>
      <c r="N64" s="2">
        <f>IFERROR(AVERAGEIFS(RdTRABYVals!S$2:S$999,RdTRABYVals!$B$2:$B$999,"="&amp;$C64,RdTRABYVals!$C$2:$C$999,"="&amp;INS!$A64),"")</f>
        <v>18.591443622826102</v>
      </c>
      <c r="O64" s="2">
        <f>IFERROR(AVERAGEIFS(RdTRABYVals!T$2:T$999,RdTRABYVals!$B$2:$B$999,"="&amp;$C64,RdTRABYVals!$C$2:$C$999,"="&amp;INS!$A64),"")</f>
        <v>22.085670997916299</v>
      </c>
      <c r="P64" s="2">
        <f>IFERROR(AVERAGEIFS(RdTRABYVals!U$2:U$999,RdTRABYVals!$B$2:$B$999,"="&amp;$C64,RdTRABYVals!$C$2:$C$999,"="&amp;INS!$A64),"")</f>
        <v>28.0699338606072</v>
      </c>
      <c r="Q64" s="2">
        <f>IFERROR(AVERAGEIFS(RdTRABYVals!V$2:V$999,RdTRABYVals!$B$2:$B$999,"="&amp;$C64,RdTRABYVals!$C$2:$C$999,"="&amp;INS!$A64),"")</f>
        <v>22.754270406549299</v>
      </c>
      <c r="R64" s="2">
        <f>IFERROR(AVERAGEIFS(RdTRABYVals!W$2:W$999,RdTRABYVals!$B$2:$B$999,"="&amp;$C64,RdTRABYVals!$C$2:$C$999,"="&amp;INS!$A64),"")</f>
        <v>21.486584748049701</v>
      </c>
      <c r="S64" s="2">
        <f>IFERROR(AVERAGEIFS(RdTRABYVals!X$2:X$999,RdTRABYVals!$B$2:$B$999,"="&amp;$C64,RdTRABYVals!$C$2:$C$999,"="&amp;INS!$A64),"")</f>
        <v>5.2471854015496602</v>
      </c>
      <c r="T64" s="2">
        <f>IFERROR(AVERAGEIFS(RdTRABYVals!Y$2:Y$999,RdTRABYVals!$B$2:$B$999,"="&amp;$C64,RdTRABYVals!$C$2:$C$999,"="&amp;INS!$A64),"")</f>
        <v>16.0973231917859</v>
      </c>
      <c r="U64" s="2">
        <f>IFERROR(AVERAGEIFS(RdTRABYVals!Z$2:Z$999,RdTRABYVals!$B$2:$B$999,"="&amp;$C64,RdTRABYVals!$C$2:$C$999,"="&amp;INS!$A64),"")</f>
        <v>19.134382646872499</v>
      </c>
      <c r="V64" s="2">
        <f>IFERROR(AVERAGEIFS(RdTRABYVals!AA$2:AA$999,RdTRABYVals!$B$2:$B$999,"="&amp;$C64,RdTRABYVals!$C$2:$C$999,"="&amp;INS!$A64),"")</f>
        <v>33.003087063524397</v>
      </c>
      <c r="W64" s="2">
        <f>IFERROR(AVERAGEIFS(RdTRABYVals!AB$2:AB$999,RdTRABYVals!$B$2:$B$999,"="&amp;$C64,RdTRABYVals!$C$2:$C$999,"="&amp;INS!$A64),"")</f>
        <v>24.279792931373098</v>
      </c>
      <c r="X64" s="2">
        <f>IFERROR(AVERAGEIFS(RdTRABYVals!AC$2:AC$999,RdTRABYVals!$B$2:$B$999,"="&amp;$C64,RdTRABYVals!$C$2:$C$999,"="&amp;INS!$A64),"")</f>
        <v>50.308454844194102</v>
      </c>
      <c r="Y64" s="2">
        <f>IFERROR(AVERAGEIFS(RdTRABYVals!AD$2:AD$999,RdTRABYVals!$B$2:$B$999,"="&amp;$C64,RdTRABYVals!$C$2:$C$999,"="&amp;INS!$A64),"")</f>
        <v>17.0508823040938</v>
      </c>
      <c r="Z64" s="2">
        <f>IFERROR(AVERAGEIFS(RdTRABYVals!AE$2:AE$999,RdTRABYVals!$B$2:$B$999,"="&amp;$C64,RdTRABYVals!$C$2:$C$999,"="&amp;INS!$A64),"")</f>
        <v>22.293931022226701</v>
      </c>
      <c r="AA64" s="2">
        <f>IFERROR(AVERAGEIFS(RdTRABYVals!AF$2:AF$999,RdTRABYVals!$B$2:$B$999,"="&amp;$C64,RdTRABYVals!$C$2:$C$999,"="&amp;INS!$A64),"")</f>
        <v>33.003087063524397</v>
      </c>
      <c r="AB64" s="2">
        <f>IFERROR(AVERAGEIFS(RdTRABYVals!AG$2:AG$999,RdTRABYVals!$B$2:$B$999,"="&amp;$C64,RdTRABYVals!$C$2:$C$999,"="&amp;INS!$A64),"")</f>
        <v>21.037093562088401</v>
      </c>
      <c r="AC64" s="2">
        <f>IFERROR(AVERAGEIFS(RdTRABYVals!AH$2:AH$999,RdTRABYVals!$B$2:$B$999,"="&amp;$C64,RdTRABYVals!$C$2:$C$999,"="&amp;INS!$A64),"")</f>
        <v>148.15590955150901</v>
      </c>
      <c r="AD64" s="2">
        <f>IFERROR(AVERAGEIFS(RdTRABYVals!AI$2:AI$999,RdTRABYVals!$B$2:$B$999,"="&amp;$C64,RdTRABYVals!$C$2:$C$999,"="&amp;INS!$A64),"")</f>
        <v>40.243872277319397</v>
      </c>
      <c r="AE64" s="2">
        <f>IFERROR(AVERAGEIFS(RdTRABYVals!AJ$2:AJ$999,RdTRABYVals!$B$2:$B$999,"="&amp;$C64,RdTRABYVals!$C$2:$C$999,"="&amp;INS!$A64),"")</f>
        <v>21.486584748049701</v>
      </c>
      <c r="AF64" s="2">
        <f>IFERROR(AVERAGEIFS(RdTRABYVals!AK$2:AK$999,RdTRABYVals!$B$2:$B$999,"="&amp;$C64,RdTRABYVals!$C$2:$C$999,"="&amp;INS!$A64),"")</f>
        <v>29.506745368165401</v>
      </c>
      <c r="AG64" s="2">
        <f>IFERROR(AVERAGEIFS(RdTRABYVals!AL$2:AL$999,RdTRABYVals!$B$2:$B$999,"="&amp;$C64,RdTRABYVals!$C$2:$C$999,"="&amp;INS!$A64),"")</f>
        <v>5.03151459125095</v>
      </c>
      <c r="AH64" s="2">
        <f>IFERROR(AVERAGEIFS(RdTRABYVals!AM$2:AM$999,RdTRABYVals!$B$2:$B$999,"="&amp;$C64,RdTRABYVals!$C$2:$C$999,"="&amp;INS!$A64),"")</f>
        <v>23.376997486467701</v>
      </c>
      <c r="AI64" s="2">
        <f>IFERROR(AVERAGEIFS(RdTRABYVals!AN$2:AN$999,RdTRABYVals!$B$2:$B$999,"="&amp;$C64,RdTRABYVals!$C$2:$C$999,"="&amp;INS!$A64),"")</f>
        <v>22.145325321043899</v>
      </c>
      <c r="AJ64" s="2">
        <f>IFERROR(AVERAGEIFS(RdTRABYVals!AO$2:AO$999,RdTRABYVals!$B$2:$B$999,"="&amp;$C64,RdTRABYVals!$C$2:$C$999,"="&amp;INS!$A64),"")</f>
        <v>10.092945370533499</v>
      </c>
      <c r="AK64" s="2">
        <f>IFERROR(AVERAGEIFS(RdTRABYVals!AP$2:AP$999,RdTRABYVals!$B$2:$B$999,"="&amp;$C64,RdTRABYVals!$C$2:$C$999,"="&amp;INS!$A64),"")</f>
        <v>17.2548893861793</v>
      </c>
      <c r="AL64" s="2">
        <f>IFERROR(AVERAGEIFS(RdTRABYVals!AQ$2:AQ$999,RdTRABYVals!$B$2:$B$999,"="&amp;$C64,RdTRABYVals!$C$2:$C$999,"="&amp;INS!$A64),"")</f>
        <v>13.4355009663301</v>
      </c>
      <c r="AM64" s="2">
        <f>IFERROR(AVERAGEIFS(RdTRABYVals!AR$2:AR$999,RdTRABYVals!$B$2:$B$999,"="&amp;$C64,RdTRABYVals!$C$2:$C$999,"="&amp;INS!$A64),"")</f>
        <v>33.003087063524397</v>
      </c>
      <c r="AN64" s="2">
        <f>IFERROR(AVERAGEIFS(RdTRABYVals!AS$2:AS$999,RdTRABYVals!$B$2:$B$999,"="&amp;$C64,RdTRABYVals!$C$2:$C$999,"="&amp;INS!$A64),"")</f>
        <v>28.965916606556799</v>
      </c>
      <c r="AO64" s="2">
        <f>IFERROR(AVERAGEIFS(RdTRABYVals!AT$2:AT$999,RdTRABYVals!$B$2:$B$999,"="&amp;$C64,RdTRABYVals!$C$2:$C$999,"="&amp;INS!$A64),"")</f>
        <v>40.540523129910298</v>
      </c>
      <c r="AP64" s="2">
        <f>IFERROR(AVERAGEIFS(RdTRABYVals!AU$2:AU$999,RdTRABYVals!$B$2:$B$999,"="&amp;$C64,RdTRABYVals!$C$2:$C$999,"="&amp;INS!$A64),"")</f>
        <v>18.320939540396601</v>
      </c>
      <c r="AQ64" s="2">
        <f>IFERROR(AVERAGEIFS(RdTRABYVals!AV$2:AV$999,RdTRABYVals!$B$2:$B$999,"="&amp;$C64,RdTRABYVals!$C$2:$C$999,"="&amp;INS!$A64),"")</f>
        <v>21.3563800671437</v>
      </c>
    </row>
    <row r="65" spans="1:43" ht="14.4">
      <c r="A65" s="3" t="s">
        <v>143</v>
      </c>
      <c r="C65" s="1" t="s">
        <v>30</v>
      </c>
      <c r="D65" t="str">
        <f t="shared" si="4"/>
        <v>TRA_Lcv_Gas*</v>
      </c>
      <c r="F65" s="4">
        <f>AVERAGE(G65:AQ65)</f>
        <v>17.705282367524909</v>
      </c>
      <c r="G65" s="2">
        <f>IFERROR(AVERAGEIFS(RdTRABYVals!L$2:L$999,RdTRABYVals!$B$2:$B$999,"="&amp;$C65,RdTRABYVals!$C$2:$C$999,"="&amp;INS!$A65),"")</f>
        <v>15.109813351659801</v>
      </c>
      <c r="H65" s="2">
        <f>IFERROR(AVERAGEIFS(RdTRABYVals!M$2:M$999,RdTRABYVals!$B$2:$B$999,"="&amp;$C65,RdTRABYVals!$C$2:$C$999,"="&amp;INS!$A65),"")</f>
        <v>21.288196384263799</v>
      </c>
      <c r="I65" s="2">
        <f>IFERROR(AVERAGEIFS(RdTRABYVals!N$2:N$999,RdTRABYVals!$B$2:$B$999,"="&amp;$C65,RdTRABYVals!$C$2:$C$999,"="&amp;INS!$A65),"")</f>
        <v>23.753692793365001</v>
      </c>
      <c r="J65" s="2">
        <f>IFERROR(AVERAGEIFS(RdTRABYVals!O$2:O$999,RdTRABYVals!$B$2:$B$999,"="&amp;$C65,RdTRABYVals!$C$2:$C$999,"="&amp;INS!$A65),"")</f>
        <v>5.9949092065691403</v>
      </c>
      <c r="K65" s="2">
        <f>IFERROR(AVERAGEIFS(RdTRABYVals!P$2:P$999,RdTRABYVals!$B$2:$B$999,"="&amp;$C65,RdTRABYVals!$C$2:$C$999,"="&amp;INS!$A65),"")</f>
        <v>10.3738011367706</v>
      </c>
      <c r="L65" s="2">
        <f>IFERROR(AVERAGEIFS(RdTRABYVals!Q$2:Q$999,RdTRABYVals!$B$2:$B$999,"="&amp;$C65,RdTRABYVals!$C$2:$C$999,"="&amp;INS!$A65),"")</f>
        <v>9.7831353866159994</v>
      </c>
      <c r="M65" s="2">
        <f>IFERROR(AVERAGEIFS(RdTRABYVals!R$2:R$999,RdTRABYVals!$B$2:$B$999,"="&amp;$C65,RdTRABYVals!$C$2:$C$999,"="&amp;INS!$A65),"")</f>
        <v>14.054175587048</v>
      </c>
      <c r="N65" s="2">
        <f>IFERROR(AVERAGEIFS(RdTRABYVals!S$2:S$999,RdTRABYVals!$B$2:$B$999,"="&amp;$C65,RdTRABYVals!$C$2:$C$999,"="&amp;INS!$A65),"")</f>
        <v>11.1713473818292</v>
      </c>
      <c r="O65" s="2">
        <f>IFERROR(AVERAGEIFS(RdTRABYVals!T$2:T$999,RdTRABYVals!$B$2:$B$999,"="&amp;$C65,RdTRABYVals!$C$2:$C$999,"="&amp;INS!$A65),"")</f>
        <v>14.4649606266766</v>
      </c>
      <c r="P65" s="2">
        <f>IFERROR(AVERAGEIFS(RdTRABYVals!U$2:U$999,RdTRABYVals!$B$2:$B$999,"="&amp;$C65,RdTRABYVals!$C$2:$C$999,"="&amp;INS!$A65),"")</f>
        <v>17.279089044774999</v>
      </c>
      <c r="Q65" s="2">
        <f>IFERROR(AVERAGEIFS(RdTRABYVals!V$2:V$999,RdTRABYVals!$B$2:$B$999,"="&amp;$C65,RdTRABYVals!$C$2:$C$999,"="&amp;INS!$A65),"")</f>
        <v>15.8305235940675</v>
      </c>
      <c r="R65" s="2">
        <f>IFERROR(AVERAGEIFS(RdTRABYVals!W$2:W$999,RdTRABYVals!$B$2:$B$999,"="&amp;$C65,RdTRABYVals!$C$2:$C$999,"="&amp;INS!$A65),"")</f>
        <v>15.109813351659801</v>
      </c>
      <c r="S65" s="2">
        <f>IFERROR(AVERAGEIFS(RdTRABYVals!X$2:X$999,RdTRABYVals!$B$2:$B$999,"="&amp;$C65,RdTRABYVals!$C$2:$C$999,"="&amp;INS!$A65),"")</f>
        <v>0.840801522921234</v>
      </c>
      <c r="T65" s="2">
        <f>IFERROR(AVERAGEIFS(RdTRABYVals!Y$2:Y$999,RdTRABYVals!$B$2:$B$999,"="&amp;$C65,RdTRABYVals!$C$2:$C$999,"="&amp;INS!$A65),"")</f>
        <v>7.2490837309838296</v>
      </c>
      <c r="U65" s="2">
        <f>IFERROR(AVERAGEIFS(RdTRABYVals!Z$2:Z$999,RdTRABYVals!$B$2:$B$999,"="&amp;$C65,RdTRABYVals!$C$2:$C$999,"="&amp;INS!$A65),"")</f>
        <v>26.374219940342201</v>
      </c>
      <c r="V65" s="2">
        <f>IFERROR(AVERAGEIFS(RdTRABYVals!AA$2:AA$999,RdTRABYVals!$B$2:$B$999,"="&amp;$C65,RdTRABYVals!$C$2:$C$999,"="&amp;INS!$A65),"")</f>
        <v>23.753692793365001</v>
      </c>
      <c r="W65" s="2">
        <f>IFERROR(AVERAGEIFS(RdTRABYVals!AB$2:AB$999,RdTRABYVals!$B$2:$B$999,"="&amp;$C65,RdTRABYVals!$C$2:$C$999,"="&amp;INS!$A65),"")</f>
        <v>12.8865198650668</v>
      </c>
      <c r="X65" s="2">
        <f>IFERROR(AVERAGEIFS(RdTRABYVals!AC$2:AC$999,RdTRABYVals!$B$2:$B$999,"="&amp;$C65,RdTRABYVals!$C$2:$C$999,"="&amp;INS!$A65),"")</f>
        <v>39.423867570026999</v>
      </c>
      <c r="Y65" s="2">
        <f>IFERROR(AVERAGEIFS(RdTRABYVals!AD$2:AD$999,RdTRABYVals!$B$2:$B$999,"="&amp;$C65,RdTRABYVals!$C$2:$C$999,"="&amp;INS!$A65),"")</f>
        <v>11.584974407499599</v>
      </c>
      <c r="Z65" s="2">
        <f>IFERROR(AVERAGEIFS(RdTRABYVals!AE$2:AE$999,RdTRABYVals!$B$2:$B$999,"="&amp;$C65,RdTRABYVals!$C$2:$C$999,"="&amp;INS!$A65),"")</f>
        <v>11.550832670949699</v>
      </c>
      <c r="AA65" s="2">
        <f>IFERROR(AVERAGEIFS(RdTRABYVals!AF$2:AF$999,RdTRABYVals!$B$2:$B$999,"="&amp;$C65,RdTRABYVals!$C$2:$C$999,"="&amp;INS!$A65),"")</f>
        <v>23.753692793365001</v>
      </c>
      <c r="AB65" s="2">
        <f>IFERROR(AVERAGEIFS(RdTRABYVals!AG$2:AG$999,RdTRABYVals!$B$2:$B$999,"="&amp;$C65,RdTRABYVals!$C$2:$C$999,"="&amp;INS!$A65),"")</f>
        <v>5.4670076083707402</v>
      </c>
      <c r="AC65" s="2">
        <f>IFERROR(AVERAGEIFS(RdTRABYVals!AH$2:AH$999,RdTRABYVals!$B$2:$B$999,"="&amp;$C65,RdTRABYVals!$C$2:$C$999,"="&amp;INS!$A65),"")</f>
        <v>98.418932416963202</v>
      </c>
      <c r="AD65" s="2">
        <f>IFERROR(AVERAGEIFS(RdTRABYVals!AI$2:AI$999,RdTRABYVals!$B$2:$B$999,"="&amp;$C65,RdTRABYVals!$C$2:$C$999,"="&amp;INS!$A65),"")</f>
        <v>27.754772306555498</v>
      </c>
      <c r="AE65" s="2">
        <f>IFERROR(AVERAGEIFS(RdTRABYVals!AJ$2:AJ$999,RdTRABYVals!$B$2:$B$999,"="&amp;$C65,RdTRABYVals!$C$2:$C$999,"="&amp;INS!$A65),"")</f>
        <v>15.109813351659801</v>
      </c>
      <c r="AF65" s="2">
        <f>IFERROR(AVERAGEIFS(RdTRABYVals!AK$2:AK$999,RdTRABYVals!$B$2:$B$999,"="&amp;$C65,RdTRABYVals!$C$2:$C$999,"="&amp;INS!$A65),"")</f>
        <v>13.023325050350101</v>
      </c>
      <c r="AG65" s="2">
        <f>IFERROR(AVERAGEIFS(RdTRABYVals!AL$2:AL$999,RdTRABYVals!$B$2:$B$999,"="&amp;$C65,RdTRABYVals!$C$2:$C$999,"="&amp;INS!$A65),"")</f>
        <v>11.533115073411899</v>
      </c>
      <c r="AH65" s="2">
        <f>IFERROR(AVERAGEIFS(RdTRABYVals!AM$2:AM$999,RdTRABYVals!$B$2:$B$999,"="&amp;$C65,RdTRABYVals!$C$2:$C$999,"="&amp;INS!$A65),"")</f>
        <v>12.8854582455693</v>
      </c>
      <c r="AI65" s="2">
        <f>IFERROR(AVERAGEIFS(RdTRABYVals!AN$2:AN$999,RdTRABYVals!$B$2:$B$999,"="&amp;$C65,RdTRABYVals!$C$2:$C$999,"="&amp;INS!$A65),"")</f>
        <v>10.130714412369</v>
      </c>
      <c r="AJ65" s="2">
        <f>IFERROR(AVERAGEIFS(RdTRABYVals!AO$2:AO$999,RdTRABYVals!$B$2:$B$999,"="&amp;$C65,RdTRABYVals!$C$2:$C$999,"="&amp;INS!$A65),"")</f>
        <v>4.3840428760374301</v>
      </c>
      <c r="AK65" s="2">
        <f>IFERROR(AVERAGEIFS(RdTRABYVals!AP$2:AP$999,RdTRABYVals!$B$2:$B$999,"="&amp;$C65,RdTRABYVals!$C$2:$C$999,"="&amp;INS!$A65),"")</f>
        <v>11.8118496882158</v>
      </c>
      <c r="AL65" s="2">
        <f>IFERROR(AVERAGEIFS(RdTRABYVals!AQ$2:AQ$999,RdTRABYVals!$B$2:$B$999,"="&amp;$C65,RdTRABYVals!$C$2:$C$999,"="&amp;INS!$A65),"")</f>
        <v>7.4305456097544997</v>
      </c>
      <c r="AM65" s="2">
        <f>IFERROR(AVERAGEIFS(RdTRABYVals!AR$2:AR$999,RdTRABYVals!$B$2:$B$999,"="&amp;$C65,RdTRABYVals!$C$2:$C$999,"="&amp;INS!$A65),"")</f>
        <v>23.753692793365001</v>
      </c>
      <c r="AN65" s="2">
        <f>IFERROR(AVERAGEIFS(RdTRABYVals!AS$2:AS$999,RdTRABYVals!$B$2:$B$999,"="&amp;$C65,RdTRABYVals!$C$2:$C$999,"="&amp;INS!$A65),"")</f>
        <v>10.540587303090501</v>
      </c>
      <c r="AO65" s="2">
        <f>IFERROR(AVERAGEIFS(RdTRABYVals!AT$2:AT$999,RdTRABYVals!$B$2:$B$999,"="&amp;$C65,RdTRABYVals!$C$2:$C$999,"="&amp;INS!$A65),"")</f>
        <v>40.920709413244701</v>
      </c>
      <c r="AP65" s="2">
        <f>IFERROR(AVERAGEIFS(RdTRABYVals!AU$2:AU$999,RdTRABYVals!$B$2:$B$999,"="&amp;$C65,RdTRABYVals!$C$2:$C$999,"="&amp;INS!$A65),"")</f>
        <v>13.346382329003999</v>
      </c>
      <c r="AQ65" s="2">
        <f>IFERROR(AVERAGEIFS(RdTRABYVals!AV$2:AV$999,RdTRABYVals!$B$2:$B$999,"="&amp;$C65,RdTRABYVals!$C$2:$C$999,"="&amp;INS!$A65),"")</f>
        <v>16.953355980639301</v>
      </c>
    </row>
    <row r="66" spans="1:43" ht="14.4">
      <c r="A66" s="3" t="s">
        <v>144</v>
      </c>
      <c r="C66" s="1" t="s">
        <v>30</v>
      </c>
      <c r="D66" t="str">
        <f t="shared" si="4"/>
        <v>TRA_Lcv_Lpg*</v>
      </c>
      <c r="F66" s="4">
        <f>AVERAGE(G66:AQ66)</f>
        <v>18.91401125590864</v>
      </c>
      <c r="G66" s="2" t="str">
        <f>IFERROR(AVERAGEIFS(RdTRABYVals!L$2:L$999,RdTRABYVals!$B$2:$B$999,"="&amp;$C66,RdTRABYVals!$C$2:$C$999,"="&amp;INS!$A66),"")</f>
        <v/>
      </c>
      <c r="H66" s="2" t="str">
        <f>IFERROR(AVERAGEIFS(RdTRABYVals!M$2:M$999,RdTRABYVals!$B$2:$B$999,"="&amp;$C66,RdTRABYVals!$C$2:$C$999,"="&amp;INS!$A66),"")</f>
        <v/>
      </c>
      <c r="I66" s="2" t="str">
        <f>IFERROR(AVERAGEIFS(RdTRABYVals!N$2:N$999,RdTRABYVals!$B$2:$B$999,"="&amp;$C66,RdTRABYVals!$C$2:$C$999,"="&amp;INS!$A66),"")</f>
        <v/>
      </c>
      <c r="J66" s="2" t="str">
        <f>IFERROR(AVERAGEIFS(RdTRABYVals!O$2:O$999,RdTRABYVals!$B$2:$B$999,"="&amp;$C66,RdTRABYVals!$C$2:$C$999,"="&amp;INS!$A66),"")</f>
        <v/>
      </c>
      <c r="K66" s="2" t="str">
        <f>IFERROR(AVERAGEIFS(RdTRABYVals!P$2:P$999,RdTRABYVals!$B$2:$B$999,"="&amp;$C66,RdTRABYVals!$C$2:$C$999,"="&amp;INS!$A66),"")</f>
        <v/>
      </c>
      <c r="L66" s="2" t="str">
        <f>IFERROR(AVERAGEIFS(RdTRABYVals!Q$2:Q$999,RdTRABYVals!$B$2:$B$999,"="&amp;$C66,RdTRABYVals!$C$2:$C$999,"="&amp;INS!$A66),"")</f>
        <v/>
      </c>
      <c r="M66" s="2" t="str">
        <f>IFERROR(AVERAGEIFS(RdTRABYVals!R$2:R$999,RdTRABYVals!$B$2:$B$999,"="&amp;$C66,RdTRABYVals!$C$2:$C$999,"="&amp;INS!$A66),"")</f>
        <v/>
      </c>
      <c r="N66" s="2" t="str">
        <f>IFERROR(AVERAGEIFS(RdTRABYVals!S$2:S$999,RdTRABYVals!$B$2:$B$999,"="&amp;$C66,RdTRABYVals!$C$2:$C$999,"="&amp;INS!$A66),"")</f>
        <v/>
      </c>
      <c r="O66" s="2">
        <f>IFERROR(AVERAGEIFS(RdTRABYVals!T$2:T$999,RdTRABYVals!$B$2:$B$999,"="&amp;$C66,RdTRABYVals!$C$2:$C$999,"="&amp;INS!$A66),"")</f>
        <v>18.696217922535801</v>
      </c>
      <c r="P66" s="2">
        <f>IFERROR(AVERAGEIFS(RdTRABYVals!U$2:U$999,RdTRABYVals!$B$2:$B$999,"="&amp;$C66,RdTRABYVals!$C$2:$C$999,"="&amp;INS!$A66),"")</f>
        <v>14.3865908909723</v>
      </c>
      <c r="Q66" s="2" t="str">
        <f>IFERROR(AVERAGEIFS(RdTRABYVals!V$2:V$999,RdTRABYVals!$B$2:$B$999,"="&amp;$C66,RdTRABYVals!$C$2:$C$999,"="&amp;INS!$A66),"")</f>
        <v/>
      </c>
      <c r="R66" s="2" t="str">
        <f>IFERROR(AVERAGEIFS(RdTRABYVals!W$2:W$999,RdTRABYVals!$B$2:$B$999,"="&amp;$C66,RdTRABYVals!$C$2:$C$999,"="&amp;INS!$A66),"")</f>
        <v/>
      </c>
      <c r="S66" s="2" t="str">
        <f>IFERROR(AVERAGEIFS(RdTRABYVals!X$2:X$999,RdTRABYVals!$B$2:$B$999,"="&amp;$C66,RdTRABYVals!$C$2:$C$999,"="&amp;INS!$A66),"")</f>
        <v/>
      </c>
      <c r="T66" s="2" t="str">
        <f>IFERROR(AVERAGEIFS(RdTRABYVals!Y$2:Y$999,RdTRABYVals!$B$2:$B$999,"="&amp;$C66,RdTRABYVals!$C$2:$C$999,"="&amp;INS!$A66),"")</f>
        <v/>
      </c>
      <c r="U66" s="2" t="str">
        <f>IFERROR(AVERAGEIFS(RdTRABYVals!Z$2:Z$999,RdTRABYVals!$B$2:$B$999,"="&amp;$C66,RdTRABYVals!$C$2:$C$999,"="&amp;INS!$A66),"")</f>
        <v/>
      </c>
      <c r="V66" s="2" t="str">
        <f>IFERROR(AVERAGEIFS(RdTRABYVals!AA$2:AA$999,RdTRABYVals!$B$2:$B$999,"="&amp;$C66,RdTRABYVals!$C$2:$C$999,"="&amp;INS!$A66),"")</f>
        <v/>
      </c>
      <c r="W66" s="2" t="str">
        <f>IFERROR(AVERAGEIFS(RdTRABYVals!AB$2:AB$999,RdTRABYVals!$B$2:$B$999,"="&amp;$C66,RdTRABYVals!$C$2:$C$999,"="&amp;INS!$A66),"")</f>
        <v/>
      </c>
      <c r="X66" s="2" t="str">
        <f>IFERROR(AVERAGEIFS(RdTRABYVals!AC$2:AC$999,RdTRABYVals!$B$2:$B$999,"="&amp;$C66,RdTRABYVals!$C$2:$C$999,"="&amp;INS!$A66),"")</f>
        <v/>
      </c>
      <c r="Y66" s="2" t="str">
        <f>IFERROR(AVERAGEIFS(RdTRABYVals!AD$2:AD$999,RdTRABYVals!$B$2:$B$999,"="&amp;$C66,RdTRABYVals!$C$2:$C$999,"="&amp;INS!$A66),"")</f>
        <v/>
      </c>
      <c r="Z66" s="2" t="str">
        <f>IFERROR(AVERAGEIFS(RdTRABYVals!AE$2:AE$999,RdTRABYVals!$B$2:$B$999,"="&amp;$C66,RdTRABYVals!$C$2:$C$999,"="&amp;INS!$A66),"")</f>
        <v/>
      </c>
      <c r="AA66" s="2" t="str">
        <f>IFERROR(AVERAGEIFS(RdTRABYVals!AF$2:AF$999,RdTRABYVals!$B$2:$B$999,"="&amp;$C66,RdTRABYVals!$C$2:$C$999,"="&amp;INS!$A66),"")</f>
        <v/>
      </c>
      <c r="AB66" s="2" t="str">
        <f>IFERROR(AVERAGEIFS(RdTRABYVals!AG$2:AG$999,RdTRABYVals!$B$2:$B$999,"="&amp;$C66,RdTRABYVals!$C$2:$C$999,"="&amp;INS!$A66),"")</f>
        <v/>
      </c>
      <c r="AC66" s="2" t="str">
        <f>IFERROR(AVERAGEIFS(RdTRABYVals!AH$2:AH$999,RdTRABYVals!$B$2:$B$999,"="&amp;$C66,RdTRABYVals!$C$2:$C$999,"="&amp;INS!$A66),"")</f>
        <v/>
      </c>
      <c r="AD66" s="2">
        <f>IFERROR(AVERAGEIFS(RdTRABYVals!AI$2:AI$999,RdTRABYVals!$B$2:$B$999,"="&amp;$C66,RdTRABYVals!$C$2:$C$999,"="&amp;INS!$A66),"")</f>
        <v>23.244303740467402</v>
      </c>
      <c r="AE66" s="2" t="str">
        <f>IFERROR(AVERAGEIFS(RdTRABYVals!AJ$2:AJ$999,RdTRABYVals!$B$2:$B$999,"="&amp;$C66,RdTRABYVals!$C$2:$C$999,"="&amp;INS!$A66),"")</f>
        <v/>
      </c>
      <c r="AF66" s="2" t="str">
        <f>IFERROR(AVERAGEIFS(RdTRABYVals!AK$2:AK$999,RdTRABYVals!$B$2:$B$999,"="&amp;$C66,RdTRABYVals!$C$2:$C$999,"="&amp;INS!$A66),"")</f>
        <v/>
      </c>
      <c r="AG66" s="2" t="str">
        <f>IFERROR(AVERAGEIFS(RdTRABYVals!AL$2:AL$999,RdTRABYVals!$B$2:$B$999,"="&amp;$C66,RdTRABYVals!$C$2:$C$999,"="&amp;INS!$A66),"")</f>
        <v/>
      </c>
      <c r="AH66" s="2">
        <f>IFERROR(AVERAGEIFS(RdTRABYVals!AM$2:AM$999,RdTRABYVals!$B$2:$B$999,"="&amp;$C66,RdTRABYVals!$C$2:$C$999,"="&amp;INS!$A66),"")</f>
        <v>16.066108133822802</v>
      </c>
      <c r="AI66" s="2" t="str">
        <f>IFERROR(AVERAGEIFS(RdTRABYVals!AN$2:AN$999,RdTRABYVals!$B$2:$B$999,"="&amp;$C66,RdTRABYVals!$C$2:$C$999,"="&amp;INS!$A66),"")</f>
        <v/>
      </c>
      <c r="AJ66" s="2">
        <f>IFERROR(AVERAGEIFS(RdTRABYVals!AO$2:AO$999,RdTRABYVals!$B$2:$B$999,"="&amp;$C66,RdTRABYVals!$C$2:$C$999,"="&amp;INS!$A66),"")</f>
        <v>8.2811861014813797</v>
      </c>
      <c r="AK66" s="2">
        <f>IFERROR(AVERAGEIFS(RdTRABYVals!AP$2:AP$999,RdTRABYVals!$B$2:$B$999,"="&amp;$C66,RdTRABYVals!$C$2:$C$999,"="&amp;INS!$A66),"")</f>
        <v>13.661108598079</v>
      </c>
      <c r="AL66" s="2" t="str">
        <f>IFERROR(AVERAGEIFS(RdTRABYVals!AQ$2:AQ$999,RdTRABYVals!$B$2:$B$999,"="&amp;$C66,RdTRABYVals!$C$2:$C$999,"="&amp;INS!$A66),"")</f>
        <v/>
      </c>
      <c r="AM66" s="2" t="str">
        <f>IFERROR(AVERAGEIFS(RdTRABYVals!AR$2:AR$999,RdTRABYVals!$B$2:$B$999,"="&amp;$C66,RdTRABYVals!$C$2:$C$999,"="&amp;INS!$A66),"")</f>
        <v/>
      </c>
      <c r="AN66" s="2" t="str">
        <f>IFERROR(AVERAGEIFS(RdTRABYVals!AS$2:AS$999,RdTRABYVals!$B$2:$B$999,"="&amp;$C66,RdTRABYVals!$C$2:$C$999,"="&amp;INS!$A66),"")</f>
        <v/>
      </c>
      <c r="AO66" s="2" t="str">
        <f>IFERROR(AVERAGEIFS(RdTRABYVals!AT$2:AT$999,RdTRABYVals!$B$2:$B$999,"="&amp;$C66,RdTRABYVals!$C$2:$C$999,"="&amp;INS!$A66),"")</f>
        <v/>
      </c>
      <c r="AP66" s="2" t="str">
        <f>IFERROR(AVERAGEIFS(RdTRABYVals!AU$2:AU$999,RdTRABYVals!$B$2:$B$999,"="&amp;$C66,RdTRABYVals!$C$2:$C$999,"="&amp;INS!$A66),"")</f>
        <v/>
      </c>
      <c r="AQ66" s="2">
        <f>IFERROR(AVERAGEIFS(RdTRABYVals!AV$2:AV$999,RdTRABYVals!$B$2:$B$999,"="&amp;$C66,RdTRABYVals!$C$2:$C$999,"="&amp;INS!$A66),"")</f>
        <v>38.0625634040018</v>
      </c>
    </row>
    <row r="67" spans="1:43" ht="14.4">
      <c r="A67" s="3" t="s">
        <v>142</v>
      </c>
      <c r="C67" s="1" t="s">
        <v>30</v>
      </c>
      <c r="D67" t="s">
        <v>168</v>
      </c>
      <c r="F67" s="4">
        <f>F64</f>
        <v>26.488345641475</v>
      </c>
      <c r="G67" s="4">
        <f t="shared" si="18" ref="G67:AQ67">G64</f>
        <v>21.486584748049701</v>
      </c>
      <c r="H67" s="4">
        <f t="shared" si="18"/>
        <v>35.614100468510898</v>
      </c>
      <c r="I67" s="4">
        <f t="shared" si="18"/>
        <v>33.003087063524397</v>
      </c>
      <c r="J67" s="4">
        <f t="shared" si="18"/>
        <v>22.067710513481799</v>
      </c>
      <c r="K67" s="4">
        <f t="shared" si="18"/>
        <v>10.033842399063101</v>
      </c>
      <c r="L67" s="4">
        <f t="shared" si="18"/>
        <v>13.8805170508109</v>
      </c>
      <c r="M67" s="4">
        <f t="shared" si="18"/>
        <v>16.622691349572001</v>
      </c>
      <c r="N67" s="4">
        <f t="shared" si="18"/>
        <v>18.591443622826102</v>
      </c>
      <c r="O67" s="4">
        <f t="shared" si="18"/>
        <v>22.085670997916299</v>
      </c>
      <c r="P67" s="4">
        <f t="shared" si="18"/>
        <v>28.0699338606072</v>
      </c>
      <c r="Q67" s="4">
        <f t="shared" si="18"/>
        <v>22.754270406549299</v>
      </c>
      <c r="R67" s="4">
        <f t="shared" si="18"/>
        <v>21.486584748049701</v>
      </c>
      <c r="S67" s="4">
        <f t="shared" si="18"/>
        <v>5.2471854015496602</v>
      </c>
      <c r="T67" s="4">
        <f t="shared" si="18"/>
        <v>16.0973231917859</v>
      </c>
      <c r="U67" s="4">
        <f t="shared" si="18"/>
        <v>19.134382646872499</v>
      </c>
      <c r="V67" s="4">
        <f t="shared" si="18"/>
        <v>33.003087063524397</v>
      </c>
      <c r="W67" s="4">
        <f t="shared" si="18"/>
        <v>24.279792931373098</v>
      </c>
      <c r="X67" s="4">
        <f t="shared" si="18"/>
        <v>50.308454844194102</v>
      </c>
      <c r="Y67" s="4">
        <f t="shared" si="18"/>
        <v>17.0508823040938</v>
      </c>
      <c r="Z67" s="4">
        <f t="shared" si="18"/>
        <v>22.293931022226701</v>
      </c>
      <c r="AA67" s="4">
        <f t="shared" si="18"/>
        <v>33.003087063524397</v>
      </c>
      <c r="AB67" s="4">
        <f t="shared" si="18"/>
        <v>21.037093562088401</v>
      </c>
      <c r="AC67" s="4">
        <f t="shared" si="18"/>
        <v>148.15590955150901</v>
      </c>
      <c r="AD67" s="4">
        <f t="shared" si="18"/>
        <v>40.243872277319397</v>
      </c>
      <c r="AE67" s="4">
        <f t="shared" si="18"/>
        <v>21.486584748049701</v>
      </c>
      <c r="AF67" s="4">
        <f t="shared" si="18"/>
        <v>29.506745368165401</v>
      </c>
      <c r="AG67" s="4">
        <f t="shared" si="18"/>
        <v>5.03151459125095</v>
      </c>
      <c r="AH67" s="4">
        <f t="shared" si="18"/>
        <v>23.376997486467701</v>
      </c>
      <c r="AI67" s="4">
        <f t="shared" si="18"/>
        <v>22.145325321043899</v>
      </c>
      <c r="AJ67" s="4">
        <f t="shared" si="18"/>
        <v>10.092945370533499</v>
      </c>
      <c r="AK67" s="4">
        <f t="shared" si="18"/>
        <v>17.2548893861793</v>
      </c>
      <c r="AL67" s="4">
        <f t="shared" si="18"/>
        <v>13.4355009663301</v>
      </c>
      <c r="AM67" s="4">
        <f t="shared" si="18"/>
        <v>33.003087063524397</v>
      </c>
      <c r="AN67" s="4">
        <f t="shared" si="18"/>
        <v>28.965916606556799</v>
      </c>
      <c r="AO67" s="4">
        <f t="shared" si="18"/>
        <v>40.540523129910298</v>
      </c>
      <c r="AP67" s="4">
        <f t="shared" si="18"/>
        <v>18.320939540396601</v>
      </c>
      <c r="AQ67" s="4">
        <f t="shared" si="18"/>
        <v>21.3563800671437</v>
      </c>
    </row>
    <row r="68" spans="1:43" ht="14.4">
      <c r="A68" s="3" t="s">
        <v>142</v>
      </c>
      <c r="C68" s="1" t="s">
        <v>30</v>
      </c>
      <c r="D68" t="s">
        <v>169</v>
      </c>
      <c r="F68" s="4">
        <f>F67</f>
        <v>26.488345641475</v>
      </c>
      <c r="G68" s="4">
        <f t="shared" si="19" ref="G68:AQ69">G67</f>
        <v>21.486584748049701</v>
      </c>
      <c r="H68" s="4">
        <f t="shared" si="19"/>
        <v>35.614100468510898</v>
      </c>
      <c r="I68" s="4">
        <f t="shared" si="19"/>
        <v>33.003087063524397</v>
      </c>
      <c r="J68" s="4">
        <f t="shared" si="19"/>
        <v>22.067710513481799</v>
      </c>
      <c r="K68" s="4">
        <f t="shared" si="19"/>
        <v>10.033842399063101</v>
      </c>
      <c r="L68" s="4">
        <f t="shared" si="19"/>
        <v>13.8805170508109</v>
      </c>
      <c r="M68" s="4">
        <f t="shared" si="19"/>
        <v>16.622691349572001</v>
      </c>
      <c r="N68" s="4">
        <f t="shared" si="19"/>
        <v>18.591443622826102</v>
      </c>
      <c r="O68" s="4">
        <f t="shared" si="19"/>
        <v>22.085670997916299</v>
      </c>
      <c r="P68" s="4">
        <f t="shared" si="19"/>
        <v>28.0699338606072</v>
      </c>
      <c r="Q68" s="4">
        <f t="shared" si="19"/>
        <v>22.754270406549299</v>
      </c>
      <c r="R68" s="4">
        <f t="shared" si="19"/>
        <v>21.486584748049701</v>
      </c>
      <c r="S68" s="4">
        <f t="shared" si="19"/>
        <v>5.2471854015496602</v>
      </c>
      <c r="T68" s="4">
        <f t="shared" si="19"/>
        <v>16.0973231917859</v>
      </c>
      <c r="U68" s="4">
        <f t="shared" si="19"/>
        <v>19.134382646872499</v>
      </c>
      <c r="V68" s="4">
        <f t="shared" si="19"/>
        <v>33.003087063524397</v>
      </c>
      <c r="W68" s="4">
        <f t="shared" si="19"/>
        <v>24.279792931373098</v>
      </c>
      <c r="X68" s="4">
        <f t="shared" si="19"/>
        <v>50.308454844194102</v>
      </c>
      <c r="Y68" s="4">
        <f t="shared" si="19"/>
        <v>17.0508823040938</v>
      </c>
      <c r="Z68" s="4">
        <f t="shared" si="19"/>
        <v>22.293931022226701</v>
      </c>
      <c r="AA68" s="4">
        <f t="shared" si="19"/>
        <v>33.003087063524397</v>
      </c>
      <c r="AB68" s="4">
        <f t="shared" si="19"/>
        <v>21.037093562088401</v>
      </c>
      <c r="AC68" s="4">
        <f t="shared" si="19"/>
        <v>148.15590955150901</v>
      </c>
      <c r="AD68" s="4">
        <f t="shared" si="19"/>
        <v>40.243872277319397</v>
      </c>
      <c r="AE68" s="4">
        <f t="shared" si="19"/>
        <v>21.486584748049701</v>
      </c>
      <c r="AF68" s="4">
        <f t="shared" si="19"/>
        <v>29.506745368165401</v>
      </c>
      <c r="AG68" s="4">
        <f t="shared" si="19"/>
        <v>5.03151459125095</v>
      </c>
      <c r="AH68" s="4">
        <f t="shared" si="19"/>
        <v>23.376997486467701</v>
      </c>
      <c r="AI68" s="4">
        <f t="shared" si="19"/>
        <v>22.145325321043899</v>
      </c>
      <c r="AJ68" s="4">
        <f t="shared" si="19"/>
        <v>10.092945370533499</v>
      </c>
      <c r="AK68" s="4">
        <f t="shared" si="19"/>
        <v>17.2548893861793</v>
      </c>
      <c r="AL68" s="4">
        <f t="shared" si="19"/>
        <v>13.4355009663301</v>
      </c>
      <c r="AM68" s="4">
        <f t="shared" si="19"/>
        <v>33.003087063524397</v>
      </c>
      <c r="AN68" s="4">
        <f t="shared" si="19"/>
        <v>28.965916606556799</v>
      </c>
      <c r="AO68" s="4">
        <f t="shared" si="19"/>
        <v>40.540523129910298</v>
      </c>
      <c r="AP68" s="4">
        <f t="shared" si="19"/>
        <v>18.320939540396601</v>
      </c>
      <c r="AQ68" s="4">
        <f t="shared" si="19"/>
        <v>21.3563800671437</v>
      </c>
    </row>
    <row r="69" spans="1:43" ht="14.4">
      <c r="A69" s="3" t="s">
        <v>142</v>
      </c>
      <c r="C69" s="1" t="s">
        <v>30</v>
      </c>
      <c r="D69" t="s">
        <v>170</v>
      </c>
      <c r="F69" s="4">
        <f>F68</f>
        <v>26.488345641475</v>
      </c>
      <c r="G69" s="4">
        <f t="shared" si="19"/>
        <v>21.486584748049701</v>
      </c>
      <c r="H69" s="4">
        <f t="shared" si="19"/>
        <v>35.614100468510898</v>
      </c>
      <c r="I69" s="4">
        <f t="shared" si="19"/>
        <v>33.003087063524397</v>
      </c>
      <c r="J69" s="4">
        <f t="shared" si="19"/>
        <v>22.067710513481799</v>
      </c>
      <c r="K69" s="4">
        <f t="shared" si="19"/>
        <v>10.033842399063101</v>
      </c>
      <c r="L69" s="4">
        <f t="shared" si="19"/>
        <v>13.8805170508109</v>
      </c>
      <c r="M69" s="4">
        <f t="shared" si="19"/>
        <v>16.622691349572001</v>
      </c>
      <c r="N69" s="4">
        <f t="shared" si="19"/>
        <v>18.591443622826102</v>
      </c>
      <c r="O69" s="4">
        <f t="shared" si="19"/>
        <v>22.085670997916299</v>
      </c>
      <c r="P69" s="4">
        <f t="shared" si="19"/>
        <v>28.0699338606072</v>
      </c>
      <c r="Q69" s="4">
        <f t="shared" si="19"/>
        <v>22.754270406549299</v>
      </c>
      <c r="R69" s="4">
        <f t="shared" si="19"/>
        <v>21.486584748049701</v>
      </c>
      <c r="S69" s="4">
        <f t="shared" si="19"/>
        <v>5.2471854015496602</v>
      </c>
      <c r="T69" s="4">
        <f t="shared" si="19"/>
        <v>16.0973231917859</v>
      </c>
      <c r="U69" s="4">
        <f t="shared" si="19"/>
        <v>19.134382646872499</v>
      </c>
      <c r="V69" s="4">
        <f t="shared" si="19"/>
        <v>33.003087063524397</v>
      </c>
      <c r="W69" s="4">
        <f t="shared" si="19"/>
        <v>24.279792931373098</v>
      </c>
      <c r="X69" s="4">
        <f t="shared" si="19"/>
        <v>50.308454844194102</v>
      </c>
      <c r="Y69" s="4">
        <f t="shared" si="19"/>
        <v>17.0508823040938</v>
      </c>
      <c r="Z69" s="4">
        <f t="shared" si="19"/>
        <v>22.293931022226701</v>
      </c>
      <c r="AA69" s="4">
        <f t="shared" si="19"/>
        <v>33.003087063524397</v>
      </c>
      <c r="AB69" s="4">
        <f t="shared" si="19"/>
        <v>21.037093562088401</v>
      </c>
      <c r="AC69" s="4">
        <f t="shared" si="19"/>
        <v>148.15590955150901</v>
      </c>
      <c r="AD69" s="4">
        <f t="shared" si="19"/>
        <v>40.243872277319397</v>
      </c>
      <c r="AE69" s="4">
        <f t="shared" si="19"/>
        <v>21.486584748049701</v>
      </c>
      <c r="AF69" s="4">
        <f t="shared" si="19"/>
        <v>29.506745368165401</v>
      </c>
      <c r="AG69" s="4">
        <f t="shared" si="19"/>
        <v>5.03151459125095</v>
      </c>
      <c r="AH69" s="4">
        <f t="shared" si="19"/>
        <v>23.376997486467701</v>
      </c>
      <c r="AI69" s="4">
        <f t="shared" si="19"/>
        <v>22.145325321043899</v>
      </c>
      <c r="AJ69" s="4">
        <f t="shared" si="19"/>
        <v>10.092945370533499</v>
      </c>
      <c r="AK69" s="4">
        <f t="shared" si="19"/>
        <v>17.2548893861793</v>
      </c>
      <c r="AL69" s="4">
        <f t="shared" si="19"/>
        <v>13.4355009663301</v>
      </c>
      <c r="AM69" s="4">
        <f t="shared" si="19"/>
        <v>33.003087063524397</v>
      </c>
      <c r="AN69" s="4">
        <f t="shared" si="19"/>
        <v>28.965916606556799</v>
      </c>
      <c r="AO69" s="4">
        <f t="shared" si="19"/>
        <v>40.540523129910298</v>
      </c>
      <c r="AP69" s="4">
        <f t="shared" si="19"/>
        <v>18.320939540396601</v>
      </c>
      <c r="AQ69" s="4">
        <f t="shared" si="19"/>
        <v>21.3563800671437</v>
      </c>
    </row>
    <row r="70" spans="1:43" ht="14.4">
      <c r="A70" s="3" t="s">
        <v>145</v>
      </c>
      <c r="C70" s="1" t="s">
        <v>30</v>
      </c>
      <c r="D70" t="str">
        <f t="shared" si="4"/>
        <v>TRA_Mop_Gas*</v>
      </c>
      <c r="F70" s="4">
        <f>AVERAGE(G70:AQ70)</f>
        <v>3.2833248472815848</v>
      </c>
      <c r="G70" s="2">
        <f>IFERROR(AVERAGEIFS(RdTRABYVals!L$2:L$999,RdTRABYVals!$B$2:$B$999,"="&amp;$C70,RdTRABYVals!$C$2:$C$999,"="&amp;INS!$A70),"")</f>
        <v>3.0595050267446799</v>
      </c>
      <c r="H70" s="2">
        <f>IFERROR(AVERAGEIFS(RdTRABYVals!M$2:M$999,RdTRABYVals!$B$2:$B$999,"="&amp;$C70,RdTRABYVals!$C$2:$C$999,"="&amp;INS!$A70),"")</f>
        <v>1.5659906112170501</v>
      </c>
      <c r="I70" s="2">
        <f>IFERROR(AVERAGEIFS(RdTRABYVals!N$2:N$999,RdTRABYVals!$B$2:$B$999,"="&amp;$C70,RdTRABYVals!$C$2:$C$999,"="&amp;INS!$A70),"")</f>
        <v>6.7674854243124702</v>
      </c>
      <c r="J70" s="2">
        <f>IFERROR(AVERAGEIFS(RdTRABYVals!O$2:O$999,RdTRABYVals!$B$2:$B$999,"="&amp;$C70,RdTRABYVals!$C$2:$C$999,"="&amp;INS!$A70),"")</f>
        <v>0.53522085798034202</v>
      </c>
      <c r="K70" s="2">
        <f>IFERROR(AVERAGEIFS(RdTRABYVals!P$2:P$999,RdTRABYVals!$B$2:$B$999,"="&amp;$C70,RdTRABYVals!$C$2:$C$999,"="&amp;INS!$A70),"")</f>
        <v>1.1910728367518399</v>
      </c>
      <c r="L70" s="2">
        <f>IFERROR(AVERAGEIFS(RdTRABYVals!Q$2:Q$999,RdTRABYVals!$B$2:$B$999,"="&amp;$C70,RdTRABYVals!$C$2:$C$999,"="&amp;INS!$A70),"")</f>
        <v>1.3524993024177501</v>
      </c>
      <c r="M70" s="2">
        <f>IFERROR(AVERAGEIFS(RdTRABYVals!R$2:R$999,RdTRABYVals!$B$2:$B$999,"="&amp;$C70,RdTRABYVals!$C$2:$C$999,"="&amp;INS!$A70),"")</f>
        <v>5.6488064473686501</v>
      </c>
      <c r="N70" s="2">
        <f>IFERROR(AVERAGEIFS(RdTRABYVals!S$2:S$999,RdTRABYVals!$B$2:$B$999,"="&amp;$C70,RdTRABYVals!$C$2:$C$999,"="&amp;INS!$A70),"")</f>
        <v>2.15033481324723</v>
      </c>
      <c r="O70" s="2">
        <f>IFERROR(AVERAGEIFS(RdTRABYVals!T$2:T$999,RdTRABYVals!$B$2:$B$999,"="&amp;$C70,RdTRABYVals!$C$2:$C$999,"="&amp;INS!$A70),"")</f>
        <v>2.7418781467083901</v>
      </c>
      <c r="P70" s="2">
        <f>IFERROR(AVERAGEIFS(RdTRABYVals!U$2:U$999,RdTRABYVals!$B$2:$B$999,"="&amp;$C70,RdTRABYVals!$C$2:$C$999,"="&amp;INS!$A70),"")</f>
        <v>1.75315116893009</v>
      </c>
      <c r="Q70" s="2" t="str">
        <f>IFERROR(AVERAGEIFS(RdTRABYVals!V$2:V$999,RdTRABYVals!$B$2:$B$999,"="&amp;$C70,RdTRABYVals!$C$2:$C$999,"="&amp;INS!$A70),"")</f>
        <v/>
      </c>
      <c r="R70" s="2">
        <f>IFERROR(AVERAGEIFS(RdTRABYVals!W$2:W$999,RdTRABYVals!$B$2:$B$999,"="&amp;$C70,RdTRABYVals!$C$2:$C$999,"="&amp;INS!$A70),"")</f>
        <v>3.0595050267446799</v>
      </c>
      <c r="S70" s="2">
        <f>IFERROR(AVERAGEIFS(RdTRABYVals!X$2:X$999,RdTRABYVals!$B$2:$B$999,"="&amp;$C70,RdTRABYVals!$C$2:$C$999,"="&amp;INS!$A70),"")</f>
        <v>2.7667343908509601</v>
      </c>
      <c r="T70" s="2">
        <f>IFERROR(AVERAGEIFS(RdTRABYVals!Y$2:Y$999,RdTRABYVals!$B$2:$B$999,"="&amp;$C70,RdTRABYVals!$C$2:$C$999,"="&amp;INS!$A70),"")</f>
        <v>1.3416393648706</v>
      </c>
      <c r="U70" s="2">
        <f>IFERROR(AVERAGEIFS(RdTRABYVals!Z$2:Z$999,RdTRABYVals!$B$2:$B$999,"="&amp;$C70,RdTRABYVals!$C$2:$C$999,"="&amp;INS!$A70),"")</f>
        <v>2.88422664324156</v>
      </c>
      <c r="V70" s="2">
        <f>IFERROR(AVERAGEIFS(RdTRABYVals!AA$2:AA$999,RdTRABYVals!$B$2:$B$999,"="&amp;$C70,RdTRABYVals!$C$2:$C$999,"="&amp;INS!$A70),"")</f>
        <v>6.7674854243124702</v>
      </c>
      <c r="W70" s="2">
        <f>IFERROR(AVERAGEIFS(RdTRABYVals!AB$2:AB$999,RdTRABYVals!$B$2:$B$999,"="&amp;$C70,RdTRABYVals!$C$2:$C$999,"="&amp;INS!$A70),"")</f>
        <v>2.3390040540945098</v>
      </c>
      <c r="X70" s="2">
        <f>IFERROR(AVERAGEIFS(RdTRABYVals!AC$2:AC$999,RdTRABYVals!$B$2:$B$999,"="&amp;$C70,RdTRABYVals!$C$2:$C$999,"="&amp;INS!$A70),"")</f>
        <v>13.301357437826001</v>
      </c>
      <c r="Y70" s="2" t="str">
        <f>IFERROR(AVERAGEIFS(RdTRABYVals!AD$2:AD$999,RdTRABYVals!$B$2:$B$999,"="&amp;$C70,RdTRABYVals!$C$2:$C$999,"="&amp;INS!$A70),"")</f>
        <v/>
      </c>
      <c r="Z70" s="2">
        <f>IFERROR(AVERAGEIFS(RdTRABYVals!AE$2:AE$999,RdTRABYVals!$B$2:$B$999,"="&amp;$C70,RdTRABYVals!$C$2:$C$999,"="&amp;INS!$A70),"")</f>
        <v>4.7235230506383301</v>
      </c>
      <c r="AA70" s="2">
        <f>IFERROR(AVERAGEIFS(RdTRABYVals!AF$2:AF$999,RdTRABYVals!$B$2:$B$999,"="&amp;$C70,RdTRABYVals!$C$2:$C$999,"="&amp;INS!$A70),"")</f>
        <v>6.7674854243124702</v>
      </c>
      <c r="AB70" s="2">
        <f>IFERROR(AVERAGEIFS(RdTRABYVals!AG$2:AG$999,RdTRABYVals!$B$2:$B$999,"="&amp;$C70,RdTRABYVals!$C$2:$C$999,"="&amp;INS!$A70),"")</f>
        <v>1.64368201541536</v>
      </c>
      <c r="AC70" s="2">
        <f>IFERROR(AVERAGEIFS(RdTRABYVals!AH$2:AH$999,RdTRABYVals!$B$2:$B$999,"="&amp;$C70,RdTRABYVals!$C$2:$C$999,"="&amp;INS!$A70),"")</f>
        <v>4.8530789123324798</v>
      </c>
      <c r="AD70" s="2">
        <f>IFERROR(AVERAGEIFS(RdTRABYVals!AI$2:AI$999,RdTRABYVals!$B$2:$B$999,"="&amp;$C70,RdTRABYVals!$C$2:$C$999,"="&amp;INS!$A70),"")</f>
        <v>2.2186425099624598</v>
      </c>
      <c r="AE70" s="2">
        <f>IFERROR(AVERAGEIFS(RdTRABYVals!AJ$2:AJ$999,RdTRABYVals!$B$2:$B$999,"="&amp;$C70,RdTRABYVals!$C$2:$C$999,"="&amp;INS!$A70),"")</f>
        <v>3.0595050267446799</v>
      </c>
      <c r="AF70" s="2" t="str">
        <f>IFERROR(AVERAGEIFS(RdTRABYVals!AK$2:AK$999,RdTRABYVals!$B$2:$B$999,"="&amp;$C70,RdTRABYVals!$C$2:$C$999,"="&amp;INS!$A70),"")</f>
        <v/>
      </c>
      <c r="AG70" s="2">
        <f>IFERROR(AVERAGEIFS(RdTRABYVals!AL$2:AL$999,RdTRABYVals!$B$2:$B$999,"="&amp;$C70,RdTRABYVals!$C$2:$C$999,"="&amp;INS!$A70),"")</f>
        <v>3.94451367887772</v>
      </c>
      <c r="AH70" s="2">
        <f>IFERROR(AVERAGEIFS(RdTRABYVals!AM$2:AM$999,RdTRABYVals!$B$2:$B$999,"="&amp;$C70,RdTRABYVals!$C$2:$C$999,"="&amp;INS!$A70),"")</f>
        <v>1.4421043952988</v>
      </c>
      <c r="AI70" s="2">
        <f>IFERROR(AVERAGEIFS(RdTRABYVals!AN$2:AN$999,RdTRABYVals!$B$2:$B$999,"="&amp;$C70,RdTRABYVals!$C$2:$C$999,"="&amp;INS!$A70),"")</f>
        <v>2.2901493667359798</v>
      </c>
      <c r="AJ70" s="2">
        <f>IFERROR(AVERAGEIFS(RdTRABYVals!AO$2:AO$999,RdTRABYVals!$B$2:$B$999,"="&amp;$C70,RdTRABYVals!$C$2:$C$999,"="&amp;INS!$A70),"")</f>
        <v>1.0083866953562901</v>
      </c>
      <c r="AK70" s="2">
        <f>IFERROR(AVERAGEIFS(RdTRABYVals!AP$2:AP$999,RdTRABYVals!$B$2:$B$999,"="&amp;$C70,RdTRABYVals!$C$2:$C$999,"="&amp;INS!$A70),"")</f>
        <v>2.8941498150512399</v>
      </c>
      <c r="AL70" s="2">
        <f>IFERROR(AVERAGEIFS(RdTRABYVals!AQ$2:AQ$999,RdTRABYVals!$B$2:$B$999,"="&amp;$C70,RdTRABYVals!$C$2:$C$999,"="&amp;INS!$A70),"")</f>
        <v>1.07487178866765</v>
      </c>
      <c r="AM70" s="2">
        <f>IFERROR(AVERAGEIFS(RdTRABYVals!AR$2:AR$999,RdTRABYVals!$B$2:$B$999,"="&amp;$C70,RdTRABYVals!$C$2:$C$999,"="&amp;INS!$A70),"")</f>
        <v>6.7674854243124702</v>
      </c>
      <c r="AN70" s="2">
        <f>IFERROR(AVERAGEIFS(RdTRABYVals!AS$2:AS$999,RdTRABYVals!$B$2:$B$999,"="&amp;$C70,RdTRABYVals!$C$2:$C$999,"="&amp;INS!$A70),"")</f>
        <v>1.2266647323567601</v>
      </c>
      <c r="AO70" s="2">
        <f>IFERROR(AVERAGEIFS(RdTRABYVals!AT$2:AT$999,RdTRABYVals!$B$2:$B$999,"="&amp;$C70,RdTRABYVals!$C$2:$C$999,"="&amp;INS!$A70),"")</f>
        <v>3.1772114825955802</v>
      </c>
      <c r="AP70" s="2">
        <f>IFERROR(AVERAGEIFS(RdTRABYVals!AU$2:AU$999,RdTRABYVals!$B$2:$B$999,"="&amp;$C70,RdTRABYVals!$C$2:$C$999,"="&amp;INS!$A70),"")</f>
        <v>1.7340622981087099</v>
      </c>
      <c r="AQ70" s="2">
        <f>IFERROR(AVERAGEIFS(RdTRABYVals!AV$2:AV$999,RdTRABYVals!$B$2:$B$999,"="&amp;$C70,RdTRABYVals!$C$2:$C$999,"="&amp;INS!$A70),"")</f>
        <v>3.58163121318765</v>
      </c>
    </row>
    <row r="71" spans="1:43" ht="14.4">
      <c r="A71" s="3" t="s">
        <v>146</v>
      </c>
      <c r="C71" s="1" t="s">
        <v>30</v>
      </c>
      <c r="D71" t="str">
        <f t="shared" si="4"/>
        <v>TRA_Mot_Gas*</v>
      </c>
      <c r="F71" s="4">
        <f>AVERAGE(G71:AQ71)</f>
        <v>5.3377367314123427</v>
      </c>
      <c r="G71" s="2">
        <f>IFERROR(AVERAGEIFS(RdTRABYVals!L$2:L$999,RdTRABYVals!$B$2:$B$999,"="&amp;$C71,RdTRABYVals!$C$2:$C$999,"="&amp;INS!$A71),"")</f>
        <v>7.8760562666369296</v>
      </c>
      <c r="H71" s="2">
        <f>IFERROR(AVERAGEIFS(RdTRABYVals!M$2:M$999,RdTRABYVals!$B$2:$B$999,"="&amp;$C71,RdTRABYVals!$C$2:$C$999,"="&amp;INS!$A71),"")</f>
        <v>3.2445654120714198</v>
      </c>
      <c r="I71" s="2">
        <f>IFERROR(AVERAGEIFS(RdTRABYVals!N$2:N$999,RdTRABYVals!$B$2:$B$999,"="&amp;$C71,RdTRABYVals!$C$2:$C$999,"="&amp;INS!$A71),"")</f>
        <v>7.6462312480550301</v>
      </c>
      <c r="J71" s="2">
        <f>IFERROR(AVERAGEIFS(RdTRABYVals!O$2:O$999,RdTRABYVals!$B$2:$B$999,"="&amp;$C71,RdTRABYVals!$C$2:$C$999,"="&amp;INS!$A71),"")</f>
        <v>4.4298610833747603</v>
      </c>
      <c r="K71" s="2">
        <f>IFERROR(AVERAGEIFS(RdTRABYVals!P$2:P$999,RdTRABYVals!$B$2:$B$999,"="&amp;$C71,RdTRABYVals!$C$2:$C$999,"="&amp;INS!$A71),"")</f>
        <v>3.1484170140394299</v>
      </c>
      <c r="L71" s="2">
        <f>IFERROR(AVERAGEIFS(RdTRABYVals!Q$2:Q$999,RdTRABYVals!$B$2:$B$999,"="&amp;$C71,RdTRABYVals!$C$2:$C$999,"="&amp;INS!$A71),"")</f>
        <v>3.0052331033668702</v>
      </c>
      <c r="M71" s="2">
        <f>IFERROR(AVERAGEIFS(RdTRABYVals!R$2:R$999,RdTRABYVals!$B$2:$B$999,"="&amp;$C71,RdTRABYVals!$C$2:$C$999,"="&amp;INS!$A71),"")</f>
        <v>5.3900111987146797</v>
      </c>
      <c r="N71" s="2">
        <f>IFERROR(AVERAGEIFS(RdTRABYVals!S$2:S$999,RdTRABYVals!$B$2:$B$999,"="&amp;$C71,RdTRABYVals!$C$2:$C$999,"="&amp;INS!$A71),"")</f>
        <v>4.0744282992761098</v>
      </c>
      <c r="O71" s="2">
        <f>IFERROR(AVERAGEIFS(RdTRABYVals!T$2:T$999,RdTRABYVals!$B$2:$B$999,"="&amp;$C71,RdTRABYVals!$C$2:$C$999,"="&amp;INS!$A71),"")</f>
        <v>3.0055854179905599</v>
      </c>
      <c r="P71" s="2">
        <f>IFERROR(AVERAGEIFS(RdTRABYVals!U$2:U$999,RdTRABYVals!$B$2:$B$999,"="&amp;$C71,RdTRABYVals!$C$2:$C$999,"="&amp;INS!$A71),"")</f>
        <v>3.7974360516926402</v>
      </c>
      <c r="Q71" s="2">
        <f>IFERROR(AVERAGEIFS(RdTRABYVals!V$2:V$999,RdTRABYVals!$B$2:$B$999,"="&amp;$C71,RdTRABYVals!$C$2:$C$999,"="&amp;INS!$A71),"")</f>
        <v>4.7671192412664301</v>
      </c>
      <c r="R71" s="2">
        <f>IFERROR(AVERAGEIFS(RdTRABYVals!W$2:W$999,RdTRABYVals!$B$2:$B$999,"="&amp;$C71,RdTRABYVals!$C$2:$C$999,"="&amp;INS!$A71),"")</f>
        <v>7.8760562666369296</v>
      </c>
      <c r="S71" s="2">
        <f>IFERROR(AVERAGEIFS(RdTRABYVals!X$2:X$999,RdTRABYVals!$B$2:$B$999,"="&amp;$C71,RdTRABYVals!$C$2:$C$999,"="&amp;INS!$A71),"")</f>
        <v>5.9261677442778904</v>
      </c>
      <c r="T71" s="2">
        <f>IFERROR(AVERAGEIFS(RdTRABYVals!Y$2:Y$999,RdTRABYVals!$B$2:$B$999,"="&amp;$C71,RdTRABYVals!$C$2:$C$999,"="&amp;INS!$A71),"")</f>
        <v>2.8686141582779898</v>
      </c>
      <c r="U71" s="2">
        <f>IFERROR(AVERAGEIFS(RdTRABYVals!Z$2:Z$999,RdTRABYVals!$B$2:$B$999,"="&amp;$C71,RdTRABYVals!$C$2:$C$999,"="&amp;INS!$A71),"")</f>
        <v>7.7853274956903</v>
      </c>
      <c r="V71" s="2">
        <f>IFERROR(AVERAGEIFS(RdTRABYVals!AA$2:AA$999,RdTRABYVals!$B$2:$B$999,"="&amp;$C71,RdTRABYVals!$C$2:$C$999,"="&amp;INS!$A71),"")</f>
        <v>7.6462312480550301</v>
      </c>
      <c r="W71" s="2">
        <f>IFERROR(AVERAGEIFS(RdTRABYVals!AB$2:AB$999,RdTRABYVals!$B$2:$B$999,"="&amp;$C71,RdTRABYVals!$C$2:$C$999,"="&amp;INS!$A71),"")</f>
        <v>4.6885261033932704</v>
      </c>
      <c r="X71" s="2">
        <f>IFERROR(AVERAGEIFS(RdTRABYVals!AC$2:AC$999,RdTRABYVals!$B$2:$B$999,"="&amp;$C71,RdTRABYVals!$C$2:$C$999,"="&amp;INS!$A71),"")</f>
        <v>18.374716862843901</v>
      </c>
      <c r="Y71" s="2">
        <f>IFERROR(AVERAGEIFS(RdTRABYVals!AD$2:AD$999,RdTRABYVals!$B$2:$B$999,"="&amp;$C71,RdTRABYVals!$C$2:$C$999,"="&amp;INS!$A71),"")</f>
        <v>2.15696790636897</v>
      </c>
      <c r="Z71" s="2">
        <f>IFERROR(AVERAGEIFS(RdTRABYVals!AE$2:AE$999,RdTRABYVals!$B$2:$B$999,"="&amp;$C71,RdTRABYVals!$C$2:$C$999,"="&amp;INS!$A71),"")</f>
        <v>5.30039647370167</v>
      </c>
      <c r="AA71" s="2">
        <f>IFERROR(AVERAGEIFS(RdTRABYVals!AF$2:AF$999,RdTRABYVals!$B$2:$B$999,"="&amp;$C71,RdTRABYVals!$C$2:$C$999,"="&amp;INS!$A71),"")</f>
        <v>7.6462312480550301</v>
      </c>
      <c r="AB71" s="2">
        <f>IFERROR(AVERAGEIFS(RdTRABYVals!AG$2:AG$999,RdTRABYVals!$B$2:$B$999,"="&amp;$C71,RdTRABYVals!$C$2:$C$999,"="&amp;INS!$A71),"")</f>
        <v>2.9819981741155499</v>
      </c>
      <c r="AC71" s="2">
        <f>IFERROR(AVERAGEIFS(RdTRABYVals!AH$2:AH$999,RdTRABYVals!$B$2:$B$999,"="&amp;$C71,RdTRABYVals!$C$2:$C$999,"="&amp;INS!$A71),"")</f>
        <v>15.9405295386183</v>
      </c>
      <c r="AD71" s="2">
        <f>IFERROR(AVERAGEIFS(RdTRABYVals!AI$2:AI$999,RdTRABYVals!$B$2:$B$999,"="&amp;$C71,RdTRABYVals!$C$2:$C$999,"="&amp;INS!$A71),"")</f>
        <v>3.1093269375706898</v>
      </c>
      <c r="AE71" s="2">
        <f>IFERROR(AVERAGEIFS(RdTRABYVals!AJ$2:AJ$999,RdTRABYVals!$B$2:$B$999,"="&amp;$C71,RdTRABYVals!$C$2:$C$999,"="&amp;INS!$A71),"")</f>
        <v>7.8760562666369296</v>
      </c>
      <c r="AF71" s="2">
        <f>IFERROR(AVERAGEIFS(RdTRABYVals!AK$2:AK$999,RdTRABYVals!$B$2:$B$999,"="&amp;$C71,RdTRABYVals!$C$2:$C$999,"="&amp;INS!$A71),"")</f>
        <v>2.4954061911657601</v>
      </c>
      <c r="AG71" s="2">
        <f>IFERROR(AVERAGEIFS(RdTRABYVals!AL$2:AL$999,RdTRABYVals!$B$2:$B$999,"="&amp;$C71,RdTRABYVals!$C$2:$C$999,"="&amp;INS!$A71),"")</f>
        <v>4.0454531509860203</v>
      </c>
      <c r="AH71" s="2">
        <f>IFERROR(AVERAGEIFS(RdTRABYVals!AM$2:AM$999,RdTRABYVals!$B$2:$B$999,"="&amp;$C71,RdTRABYVals!$C$2:$C$999,"="&amp;INS!$A71),"")</f>
        <v>2.6064476377705699</v>
      </c>
      <c r="AI71" s="2">
        <f>IFERROR(AVERAGEIFS(RdTRABYVals!AN$2:AN$999,RdTRABYVals!$B$2:$B$999,"="&amp;$C71,RdTRABYVals!$C$2:$C$999,"="&amp;INS!$A71),"")</f>
        <v>4.6545641281048997</v>
      </c>
      <c r="AJ71" s="2">
        <f>IFERROR(AVERAGEIFS(RdTRABYVals!AO$2:AO$999,RdTRABYVals!$B$2:$B$999,"="&amp;$C71,RdTRABYVals!$C$2:$C$999,"="&amp;INS!$A71),"")</f>
        <v>2.1108678970240602</v>
      </c>
      <c r="AK71" s="2">
        <f>IFERROR(AVERAGEIFS(RdTRABYVals!AP$2:AP$999,RdTRABYVals!$B$2:$B$999,"="&amp;$C71,RdTRABYVals!$C$2:$C$999,"="&amp;INS!$A71),"")</f>
        <v>5.0012979015064003</v>
      </c>
      <c r="AL71" s="2">
        <f>IFERROR(AVERAGEIFS(RdTRABYVals!AQ$2:AQ$999,RdTRABYVals!$B$2:$B$999,"="&amp;$C71,RdTRABYVals!$C$2:$C$999,"="&amp;INS!$A71),"")</f>
        <v>2.3494097086909398</v>
      </c>
      <c r="AM71" s="2">
        <f>IFERROR(AVERAGEIFS(RdTRABYVals!AR$2:AR$999,RdTRABYVals!$B$2:$B$999,"="&amp;$C71,RdTRABYVals!$C$2:$C$999,"="&amp;INS!$A71),"")</f>
        <v>7.6462312480550301</v>
      </c>
      <c r="AN71" s="2">
        <f>IFERROR(AVERAGEIFS(RdTRABYVals!AS$2:AS$999,RdTRABYVals!$B$2:$B$999,"="&amp;$C71,RdTRABYVals!$C$2:$C$999,"="&amp;INS!$A71),"")</f>
        <v>2.7978689634781202</v>
      </c>
      <c r="AO71" s="2">
        <f>IFERROR(AVERAGEIFS(RdTRABYVals!AT$2:AT$999,RdTRABYVals!$B$2:$B$999,"="&amp;$C71,RdTRABYVals!$C$2:$C$999,"="&amp;INS!$A71),"")</f>
        <v>3.9710831115954699</v>
      </c>
      <c r="AP71" s="2">
        <f>IFERROR(AVERAGEIFS(RdTRABYVals!AU$2:AU$999,RdTRABYVals!$B$2:$B$999,"="&amp;$C71,RdTRABYVals!$C$2:$C$999,"="&amp;INS!$A71),"")</f>
        <v>3.1108676086348699</v>
      </c>
      <c r="AQ71" s="2">
        <f>IFERROR(AVERAGEIFS(RdTRABYVals!AV$2:AV$999,RdTRABYVals!$B$2:$B$999,"="&amp;$C71,RdTRABYVals!$C$2:$C$999,"="&amp;INS!$A71),"")</f>
        <v>6.1446707545172501</v>
      </c>
    </row>
    <row r="72" spans="1:43" ht="14.4">
      <c r="A72" s="3" t="s">
        <v>145</v>
      </c>
      <c r="C72" s="1" t="s">
        <v>30</v>
      </c>
      <c r="D72" s="1" t="s">
        <v>180</v>
      </c>
      <c r="F72" s="4">
        <f>F70</f>
        <v>3.2833248472815848</v>
      </c>
      <c r="G72" s="4">
        <f t="shared" si="20" ref="G72:AQ72">G70</f>
        <v>3.0595050267446799</v>
      </c>
      <c r="H72" s="4">
        <f t="shared" si="20"/>
        <v>1.5659906112170501</v>
      </c>
      <c r="I72" s="4">
        <f t="shared" si="20"/>
        <v>6.7674854243124702</v>
      </c>
      <c r="J72" s="4">
        <f t="shared" si="20"/>
        <v>0.53522085798034202</v>
      </c>
      <c r="K72" s="4">
        <f t="shared" si="20"/>
        <v>1.1910728367518399</v>
      </c>
      <c r="L72" s="4">
        <f t="shared" si="20"/>
        <v>1.3524993024177501</v>
      </c>
      <c r="M72" s="4">
        <f t="shared" si="20"/>
        <v>5.6488064473686501</v>
      </c>
      <c r="N72" s="4">
        <f t="shared" si="20"/>
        <v>2.15033481324723</v>
      </c>
      <c r="O72" s="4">
        <f t="shared" si="20"/>
        <v>2.7418781467083901</v>
      </c>
      <c r="P72" s="4">
        <f t="shared" si="20"/>
        <v>1.75315116893009</v>
      </c>
      <c r="Q72" s="4" t="str">
        <f t="shared" si="20"/>
        <v/>
      </c>
      <c r="R72" s="4">
        <f t="shared" si="20"/>
        <v>3.0595050267446799</v>
      </c>
      <c r="S72" s="4">
        <f t="shared" si="20"/>
        <v>2.7667343908509601</v>
      </c>
      <c r="T72" s="4">
        <f t="shared" si="20"/>
        <v>1.3416393648706</v>
      </c>
      <c r="U72" s="4">
        <f t="shared" si="20"/>
        <v>2.88422664324156</v>
      </c>
      <c r="V72" s="4">
        <f t="shared" si="20"/>
        <v>6.7674854243124702</v>
      </c>
      <c r="W72" s="4">
        <f t="shared" si="20"/>
        <v>2.3390040540945098</v>
      </c>
      <c r="X72" s="4">
        <f t="shared" si="20"/>
        <v>13.301357437826001</v>
      </c>
      <c r="Y72" s="4" t="str">
        <f t="shared" si="20"/>
        <v/>
      </c>
      <c r="Z72" s="4">
        <f t="shared" si="20"/>
        <v>4.7235230506383301</v>
      </c>
      <c r="AA72" s="4">
        <f t="shared" si="20"/>
        <v>6.7674854243124702</v>
      </c>
      <c r="AB72" s="4">
        <f t="shared" si="20"/>
        <v>1.64368201541536</v>
      </c>
      <c r="AC72" s="4">
        <f t="shared" si="20"/>
        <v>4.8530789123324798</v>
      </c>
      <c r="AD72" s="4">
        <f t="shared" si="20"/>
        <v>2.2186425099624598</v>
      </c>
      <c r="AE72" s="4">
        <f t="shared" si="20"/>
        <v>3.0595050267446799</v>
      </c>
      <c r="AF72" s="4" t="str">
        <f t="shared" si="20"/>
        <v/>
      </c>
      <c r="AG72" s="4">
        <f t="shared" si="20"/>
        <v>3.94451367887772</v>
      </c>
      <c r="AH72" s="4">
        <f t="shared" si="20"/>
        <v>1.4421043952988</v>
      </c>
      <c r="AI72" s="4">
        <f t="shared" si="20"/>
        <v>2.2901493667359798</v>
      </c>
      <c r="AJ72" s="4">
        <f t="shared" si="20"/>
        <v>1.0083866953562901</v>
      </c>
      <c r="AK72" s="4">
        <f t="shared" si="20"/>
        <v>2.8941498150512399</v>
      </c>
      <c r="AL72" s="4">
        <f t="shared" si="20"/>
        <v>1.07487178866765</v>
      </c>
      <c r="AM72" s="4">
        <f t="shared" si="20"/>
        <v>6.7674854243124702</v>
      </c>
      <c r="AN72" s="4">
        <f t="shared" si="20"/>
        <v>1.2266647323567601</v>
      </c>
      <c r="AO72" s="4">
        <f t="shared" si="20"/>
        <v>3.1772114825955802</v>
      </c>
      <c r="AP72" s="4">
        <f t="shared" si="20"/>
        <v>1.7340622981087099</v>
      </c>
      <c r="AQ72" s="4">
        <f t="shared" si="20"/>
        <v>3.58163121318765</v>
      </c>
    </row>
    <row r="73" spans="1:43" ht="14.4">
      <c r="A73" s="3" t="s">
        <v>146</v>
      </c>
      <c r="C73" s="1" t="s">
        <v>30</v>
      </c>
      <c r="D73" s="1" t="s">
        <v>181</v>
      </c>
      <c r="F73" s="4">
        <f>F71</f>
        <v>5.3377367314123427</v>
      </c>
      <c r="G73" s="4">
        <f t="shared" si="21" ref="G73:AQ73">G71</f>
        <v>7.8760562666369296</v>
      </c>
      <c r="H73" s="4">
        <f t="shared" si="21"/>
        <v>3.2445654120714198</v>
      </c>
      <c r="I73" s="4">
        <f t="shared" si="21"/>
        <v>7.6462312480550301</v>
      </c>
      <c r="J73" s="4">
        <f t="shared" si="21"/>
        <v>4.4298610833747603</v>
      </c>
      <c r="K73" s="4">
        <f t="shared" si="21"/>
        <v>3.1484170140394299</v>
      </c>
      <c r="L73" s="4">
        <f t="shared" si="21"/>
        <v>3.0052331033668702</v>
      </c>
      <c r="M73" s="4">
        <f t="shared" si="21"/>
        <v>5.3900111987146797</v>
      </c>
      <c r="N73" s="4">
        <f t="shared" si="21"/>
        <v>4.0744282992761098</v>
      </c>
      <c r="O73" s="4">
        <f t="shared" si="21"/>
        <v>3.0055854179905599</v>
      </c>
      <c r="P73" s="4">
        <f t="shared" si="21"/>
        <v>3.7974360516926402</v>
      </c>
      <c r="Q73" s="4">
        <f t="shared" si="21"/>
        <v>4.7671192412664301</v>
      </c>
      <c r="R73" s="4">
        <f t="shared" si="21"/>
        <v>7.8760562666369296</v>
      </c>
      <c r="S73" s="4">
        <f t="shared" si="21"/>
        <v>5.9261677442778904</v>
      </c>
      <c r="T73" s="4">
        <f t="shared" si="21"/>
        <v>2.8686141582779898</v>
      </c>
      <c r="U73" s="4">
        <f t="shared" si="21"/>
        <v>7.7853274956903</v>
      </c>
      <c r="V73" s="4">
        <f t="shared" si="21"/>
        <v>7.6462312480550301</v>
      </c>
      <c r="W73" s="4">
        <f t="shared" si="21"/>
        <v>4.6885261033932704</v>
      </c>
      <c r="X73" s="4">
        <f t="shared" si="21"/>
        <v>18.374716862843901</v>
      </c>
      <c r="Y73" s="4">
        <f t="shared" si="21"/>
        <v>2.15696790636897</v>
      </c>
      <c r="Z73" s="4">
        <f t="shared" si="21"/>
        <v>5.30039647370167</v>
      </c>
      <c r="AA73" s="4">
        <f t="shared" si="21"/>
        <v>7.6462312480550301</v>
      </c>
      <c r="AB73" s="4">
        <f t="shared" si="21"/>
        <v>2.9819981741155499</v>
      </c>
      <c r="AC73" s="4">
        <f t="shared" si="21"/>
        <v>15.9405295386183</v>
      </c>
      <c r="AD73" s="4">
        <f t="shared" si="21"/>
        <v>3.1093269375706898</v>
      </c>
      <c r="AE73" s="4">
        <f t="shared" si="21"/>
        <v>7.8760562666369296</v>
      </c>
      <c r="AF73" s="4">
        <f t="shared" si="21"/>
        <v>2.4954061911657601</v>
      </c>
      <c r="AG73" s="4">
        <f t="shared" si="21"/>
        <v>4.0454531509860203</v>
      </c>
      <c r="AH73" s="4">
        <f t="shared" si="21"/>
        <v>2.6064476377705699</v>
      </c>
      <c r="AI73" s="4">
        <f t="shared" si="21"/>
        <v>4.6545641281048997</v>
      </c>
      <c r="AJ73" s="4">
        <f t="shared" si="21"/>
        <v>2.1108678970240602</v>
      </c>
      <c r="AK73" s="4">
        <f t="shared" si="21"/>
        <v>5.0012979015064003</v>
      </c>
      <c r="AL73" s="4">
        <f t="shared" si="21"/>
        <v>2.3494097086909398</v>
      </c>
      <c r="AM73" s="4">
        <f t="shared" si="21"/>
        <v>7.6462312480550301</v>
      </c>
      <c r="AN73" s="4">
        <f t="shared" si="21"/>
        <v>2.7978689634781202</v>
      </c>
      <c r="AO73" s="4">
        <f t="shared" si="21"/>
        <v>3.9710831115954699</v>
      </c>
      <c r="AP73" s="4">
        <f t="shared" si="21"/>
        <v>3.1108676086348699</v>
      </c>
      <c r="AQ73" s="4">
        <f t="shared" si="21"/>
        <v>6.1446707545172501</v>
      </c>
    </row>
    <row r="74" spans="1:43" ht="14.4">
      <c r="A74" s="3" t="s">
        <v>127</v>
      </c>
      <c r="C74" s="1" t="s">
        <v>30</v>
      </c>
      <c r="D74" t="s">
        <v>160</v>
      </c>
      <c r="F74" s="4"/>
      <c r="G74" s="2">
        <f>G35+0.05</f>
        <v>17.237329003884749</v>
      </c>
      <c r="H74" s="2">
        <f t="shared" si="22" ref="H74:AQ77">H35+0.05</f>
        <v>25.075052622429936</v>
      </c>
      <c r="I74" s="2">
        <f t="shared" si="22"/>
        <v>19.136663508829386</v>
      </c>
      <c r="J74" s="2">
        <f t="shared" si="22"/>
        <v>19.136560929096092</v>
      </c>
      <c r="K74" s="2">
        <f t="shared" si="22"/>
        <v>12.329247755569885</v>
      </c>
      <c r="L74" s="2">
        <f t="shared" si="22"/>
        <v>16.030351221889969</v>
      </c>
      <c r="M74" s="2">
        <f t="shared" si="22"/>
        <v>16.847328923766817</v>
      </c>
      <c r="N74" s="2">
        <f t="shared" si="22"/>
        <v>16.148147411428731</v>
      </c>
      <c r="O74" s="2">
        <f t="shared" si="22"/>
        <v>19.023079059253345</v>
      </c>
      <c r="P74" s="2">
        <f t="shared" si="22"/>
        <v>25.630764212634229</v>
      </c>
      <c r="Q74" s="2">
        <f t="shared" si="22"/>
        <v>19.219552874201611</v>
      </c>
      <c r="R74" s="2">
        <f t="shared" si="22"/>
        <v>12.321629817813765</v>
      </c>
      <c r="S74" s="2">
        <f t="shared" si="22"/>
        <v>17.325072779413663</v>
      </c>
      <c r="T74" s="2">
        <f t="shared" si="22"/>
        <v>16.184107967980523</v>
      </c>
      <c r="U74" s="2">
        <f t="shared" si="22"/>
        <v>17.833225475773322</v>
      </c>
      <c r="V74" s="2">
        <f t="shared" si="22"/>
        <v>18.583111820911821</v>
      </c>
      <c r="W74" s="2">
        <f t="shared" si="22"/>
        <v>20.711307100157313</v>
      </c>
      <c r="X74" s="2">
        <f t="shared" si="22"/>
        <v>21.600370986433663</v>
      </c>
      <c r="Y74" s="2">
        <f t="shared" si="22"/>
        <v>14.175697567114096</v>
      </c>
      <c r="Z74" s="2">
        <f t="shared" si="22"/>
        <v>14.679349395111812</v>
      </c>
      <c r="AA74" s="2">
        <f t="shared" si="22"/>
        <v>19.461908193682177</v>
      </c>
      <c r="AB74" s="2">
        <f t="shared" si="22"/>
        <v>6.512457845934378</v>
      </c>
      <c r="AC74" s="2">
        <f t="shared" si="22"/>
        <v>60.309427732769755</v>
      </c>
      <c r="AD74" s="2">
        <f t="shared" si="22"/>
        <v>20.359185585323239</v>
      </c>
      <c r="AE74" s="2">
        <f t="shared" si="22"/>
        <v>15.394308751665047</v>
      </c>
      <c r="AF74" s="2">
        <f t="shared" si="22"/>
        <v>22.511738661417326</v>
      </c>
      <c r="AG74" s="2">
        <f t="shared" si="22"/>
        <v>4.7524503111111107</v>
      </c>
      <c r="AH74" s="2">
        <f t="shared" si="22"/>
        <v>16.844994469426101</v>
      </c>
      <c r="AI74" s="2">
        <f t="shared" si="22"/>
        <v>14.07645298796532</v>
      </c>
      <c r="AJ74" s="2">
        <f t="shared" si="22"/>
        <v>10.868008555279511</v>
      </c>
      <c r="AK74" s="2">
        <f t="shared" si="22"/>
        <v>18.603969216624531</v>
      </c>
      <c r="AL74" s="2">
        <f t="shared" si="22"/>
        <v>9.222565570224921</v>
      </c>
      <c r="AM74" s="2">
        <f t="shared" si="22"/>
        <v>20.028034651652312</v>
      </c>
      <c r="AN74" s="2">
        <f t="shared" si="22"/>
        <v>17.400521880216299</v>
      </c>
      <c r="AO74" s="2">
        <f t="shared" si="22"/>
        <v>22.548549324469224</v>
      </c>
      <c r="AP74" s="2">
        <f t="shared" si="22"/>
        <v>12.16508579008241</v>
      </c>
      <c r="AQ74" s="2">
        <f t="shared" si="22"/>
        <v>17.363498269740187</v>
      </c>
    </row>
    <row r="75" spans="1:43" ht="14.4">
      <c r="A75" s="3" t="s">
        <v>128</v>
      </c>
      <c r="C75" s="1" t="s">
        <v>30</v>
      </c>
      <c r="D75" t="s">
        <v>161</v>
      </c>
      <c r="F75" s="4"/>
      <c r="G75" s="2">
        <f>G36+0.05</f>
        <v>11.281087114664276</v>
      </c>
      <c r="H75" s="2">
        <f t="shared" si="23" ref="H75:V75">H36+0.05</f>
        <v>22.294048618155092</v>
      </c>
      <c r="I75" s="2">
        <f t="shared" si="23"/>
        <v>16.474710307784321</v>
      </c>
      <c r="J75" s="2">
        <f t="shared" si="23"/>
        <v>19.941649283964757</v>
      </c>
      <c r="K75" s="2">
        <f t="shared" si="23"/>
        <v>10.951197551335714</v>
      </c>
      <c r="L75" s="2">
        <f t="shared" si="23"/>
        <v>14.057953539760289</v>
      </c>
      <c r="M75" s="2">
        <f t="shared" si="23"/>
        <v>13.808117371890285</v>
      </c>
      <c r="N75" s="2">
        <f t="shared" si="23"/>
        <v>12.796347121999224</v>
      </c>
      <c r="O75" s="2">
        <f t="shared" si="23"/>
        <v>14.341636032899784</v>
      </c>
      <c r="P75" s="2">
        <f t="shared" si="23"/>
        <v>19.005415998406257</v>
      </c>
      <c r="Q75" s="2">
        <f t="shared" si="23"/>
        <v>15.773121041017655</v>
      </c>
      <c r="R75" s="2">
        <f t="shared" si="23"/>
        <v>9.7330639435569282</v>
      </c>
      <c r="S75" s="2">
        <f t="shared" si="23"/>
        <v>12.728180886874377</v>
      </c>
      <c r="T75" s="2">
        <f t="shared" si="23"/>
        <v>12.19373449177245</v>
      </c>
      <c r="U75" s="2">
        <f t="shared" si="23"/>
        <v>16.137815823558864</v>
      </c>
      <c r="V75" s="2">
        <f t="shared" si="23"/>
        <v>15.827693507232247</v>
      </c>
      <c r="W75" s="2">
        <f t="shared" si="22"/>
        <v>15.276527818723538</v>
      </c>
      <c r="X75" s="2">
        <f t="shared" si="22"/>
        <v>18.941178816087223</v>
      </c>
      <c r="Y75" s="2">
        <f t="shared" si="22"/>
        <v>13.95833185840708</v>
      </c>
      <c r="Z75" s="2">
        <f t="shared" si="22"/>
        <v>12.930904086296289</v>
      </c>
      <c r="AA75" s="2">
        <f t="shared" si="22"/>
        <v>16.914164518874401</v>
      </c>
      <c r="AB75" s="2">
        <f t="shared" si="22"/>
        <v>4.6163864566836077</v>
      </c>
      <c r="AC75" s="2">
        <f t="shared" si="22"/>
        <v>60.563667289150501</v>
      </c>
      <c r="AD75" s="2">
        <f t="shared" si="22"/>
        <v>15.25667913090129</v>
      </c>
      <c r="AE75" s="2">
        <f t="shared" si="22"/>
        <v>10.499953078657644</v>
      </c>
      <c r="AF75" s="2">
        <f t="shared" si="22"/>
        <v>14.366233678794558</v>
      </c>
      <c r="AG75" s="2">
        <f t="shared" si="22"/>
        <v>5.8465102895027625</v>
      </c>
      <c r="AH75" s="2">
        <f t="shared" si="22"/>
        <v>15.177654895177955</v>
      </c>
      <c r="AI75" s="2">
        <f t="shared" si="22"/>
        <v>14.556015783274441</v>
      </c>
      <c r="AJ75" s="2">
        <f t="shared" si="22"/>
        <v>9.4150665260818691</v>
      </c>
      <c r="AK75" s="2">
        <f t="shared" si="22"/>
        <v>17.1171114268408</v>
      </c>
      <c r="AL75" s="2">
        <f t="shared" si="22"/>
        <v>7.4214097802608077</v>
      </c>
      <c r="AM75" s="2">
        <f t="shared" si="22"/>
        <v>17.696700627252056</v>
      </c>
      <c r="AN75" s="2">
        <f t="shared" si="22"/>
        <v>15.712784427351433</v>
      </c>
      <c r="AO75" s="2">
        <f t="shared" si="22"/>
        <v>20.892831337813078</v>
      </c>
      <c r="AP75" s="2">
        <f t="shared" si="22"/>
        <v>9.8994029998184132</v>
      </c>
      <c r="AQ75" s="2">
        <f t="shared" si="22"/>
        <v>15.211497015908355</v>
      </c>
    </row>
    <row r="76" spans="1:43" ht="14.4">
      <c r="A76" s="3" t="s">
        <v>129</v>
      </c>
      <c r="C76" s="1" t="s">
        <v>30</v>
      </c>
      <c r="D76" t="s">
        <v>162</v>
      </c>
      <c r="F76" s="4"/>
      <c r="G76" s="2">
        <f>G37+0.05</f>
        <v>7.1653892898945752</v>
      </c>
      <c r="H76" s="2">
        <f t="shared" si="22"/>
        <v>19.096218031019159</v>
      </c>
      <c r="I76" s="2">
        <f t="shared" si="22"/>
        <v>13.957251607963027</v>
      </c>
      <c r="J76" s="2">
        <f t="shared" si="22"/>
        <v>15.749539365821734</v>
      </c>
      <c r="K76" s="2">
        <f t="shared" si="22"/>
        <v>8.710350345627484</v>
      </c>
      <c r="L76" s="2">
        <f t="shared" si="22"/>
        <v>12.130379378702527</v>
      </c>
      <c r="M76" s="2">
        <f t="shared" si="22"/>
        <v>12.168160426656232</v>
      </c>
      <c r="N76" s="2">
        <f t="shared" si="22"/>
        <v>10.203642297486676</v>
      </c>
      <c r="O76" s="2">
        <f t="shared" si="22"/>
        <v>11.941510641645282</v>
      </c>
      <c r="P76" s="2">
        <f t="shared" si="22"/>
        <v>17.344506025445778</v>
      </c>
      <c r="Q76" s="2">
        <f t="shared" si="22"/>
        <v>15.527056713955789</v>
      </c>
      <c r="R76" s="2">
        <f t="shared" si="22"/>
        <v>6.7764821240877557</v>
      </c>
      <c r="S76" s="2">
        <f t="shared" si="22"/>
        <v>11.342550160672371</v>
      </c>
      <c r="T76" s="2">
        <f t="shared" si="22"/>
        <v>13.192548793132426</v>
      </c>
      <c r="U76" s="2">
        <f t="shared" si="22"/>
        <v>13.448263828780863</v>
      </c>
      <c r="V76" s="2">
        <f t="shared" si="22"/>
        <v>13.300472537429654</v>
      </c>
      <c r="W76" s="2">
        <f t="shared" si="22"/>
        <v>11.539123088599471</v>
      </c>
      <c r="X76" s="2">
        <f t="shared" si="22"/>
        <v>18.450087257973202</v>
      </c>
      <c r="Y76" s="2">
        <f t="shared" si="22"/>
        <v>13.87816482240437</v>
      </c>
      <c r="Z76" s="2">
        <f t="shared" si="22"/>
        <v>9.4555545752053796</v>
      </c>
      <c r="AA76" s="2">
        <f t="shared" si="22"/>
        <v>14.257133380446305</v>
      </c>
      <c r="AB76" s="2">
        <f t="shared" si="22"/>
        <v>4.4030321962187955</v>
      </c>
      <c r="AC76" s="2">
        <f t="shared" si="22"/>
        <v>58.512971338757396</v>
      </c>
      <c r="AD76" s="2">
        <f t="shared" si="22"/>
        <v>17.85032329414129</v>
      </c>
      <c r="AE76" s="2">
        <f t="shared" si="22"/>
        <v>6.9548289713865659</v>
      </c>
      <c r="AF76" s="2">
        <f t="shared" si="22"/>
        <v>11.165743412584051</v>
      </c>
      <c r="AG76" s="2">
        <f t="shared" si="22"/>
        <v>7.3552660023146741</v>
      </c>
      <c r="AH76" s="2">
        <f t="shared" si="22"/>
        <v>13.317237590574733</v>
      </c>
      <c r="AI76" s="2">
        <f t="shared" si="22"/>
        <v>13.779387949778153</v>
      </c>
      <c r="AJ76" s="2">
        <f t="shared" si="22"/>
        <v>7.6115301989604829</v>
      </c>
      <c r="AK76" s="2">
        <f t="shared" si="22"/>
        <v>12.328672046364284</v>
      </c>
      <c r="AL76" s="2">
        <f t="shared" si="22"/>
        <v>5.6536277219646491</v>
      </c>
      <c r="AM76" s="2">
        <f t="shared" si="22"/>
        <v>14.644461539777287</v>
      </c>
      <c r="AN76" s="2">
        <f t="shared" si="22"/>
        <v>15.757090146793464</v>
      </c>
      <c r="AO76" s="2">
        <f t="shared" si="22"/>
        <v>14.539017065271551</v>
      </c>
      <c r="AP76" s="2">
        <f t="shared" si="22"/>
        <v>9.1224184923026321</v>
      </c>
      <c r="AQ76" s="2">
        <f t="shared" si="22"/>
        <v>12.941664931184953</v>
      </c>
    </row>
    <row r="77" spans="1:43" ht="14.4">
      <c r="A77" s="3" t="s">
        <v>130</v>
      </c>
      <c r="C77" s="1" t="s">
        <v>30</v>
      </c>
      <c r="D77" t="s">
        <v>163</v>
      </c>
      <c r="F77" s="4"/>
      <c r="G77" s="2">
        <f>G38+0.05</f>
        <v>12.029463627417346</v>
      </c>
      <c r="H77" s="2">
        <f t="shared" si="22"/>
        <v>22.63600078523303</v>
      </c>
      <c r="I77" s="2">
        <f t="shared" si="22"/>
        <v>16.651808729771439</v>
      </c>
      <c r="J77" s="2">
        <f t="shared" si="22"/>
        <v>18.890383976560063</v>
      </c>
      <c r="K77" s="2">
        <f t="shared" si="22"/>
        <v>8.9716805281293084</v>
      </c>
      <c r="L77" s="2">
        <f t="shared" si="22"/>
        <v>13.991752252489594</v>
      </c>
      <c r="M77" s="2">
        <f t="shared" si="22"/>
        <v>13.382813301719029</v>
      </c>
      <c r="N77" s="2">
        <f t="shared" si="22"/>
        <v>12.856798341212226</v>
      </c>
      <c r="O77" s="2">
        <f t="shared" si="22"/>
        <v>14.645800046458264</v>
      </c>
      <c r="P77" s="2">
        <f t="shared" si="22"/>
        <v>18.670476413875665</v>
      </c>
      <c r="Q77" s="2">
        <f t="shared" si="22"/>
        <v>16.411826867400119</v>
      </c>
      <c r="R77" s="2">
        <f t="shared" si="22"/>
        <v>10.200511348013517</v>
      </c>
      <c r="S77" s="2">
        <f t="shared" si="22"/>
        <v>12.503836754688189</v>
      </c>
      <c r="T77" s="2">
        <f t="shared" si="22"/>
        <v>12.043631268349971</v>
      </c>
      <c r="U77" s="2">
        <f t="shared" si="22"/>
        <v>16.483393323500014</v>
      </c>
      <c r="V77" s="2">
        <f t="shared" si="22"/>
        <v>15.85229603721155</v>
      </c>
      <c r="W77" s="2">
        <f t="shared" si="22"/>
        <v>15.147961658447873</v>
      </c>
      <c r="X77" s="2">
        <f t="shared" si="22"/>
        <v>20.056307041088584</v>
      </c>
      <c r="Y77" s="2">
        <f t="shared" si="22"/>
        <v>14.224238681130458</v>
      </c>
      <c r="Z77" s="2">
        <f t="shared" si="22"/>
        <v>12.961387502824131</v>
      </c>
      <c r="AA77" s="2">
        <f t="shared" si="22"/>
        <v>17.080395017604406</v>
      </c>
      <c r="AB77" s="2">
        <f t="shared" si="22"/>
        <v>4.5957640264475872</v>
      </c>
      <c r="AC77" s="2">
        <f t="shared" si="22"/>
        <v>63.775923083739478</v>
      </c>
      <c r="AD77" s="2">
        <f t="shared" si="22"/>
        <v>16.027938952027753</v>
      </c>
      <c r="AE77" s="2">
        <f t="shared" si="22"/>
        <v>11.112872673867676</v>
      </c>
      <c r="AF77" s="2">
        <f t="shared" si="22"/>
        <v>14.47011518032787</v>
      </c>
      <c r="AG77" s="2">
        <f t="shared" si="22"/>
        <v>5.692404174470183</v>
      </c>
      <c r="AH77" s="2">
        <f t="shared" si="22"/>
        <v>15.144557383770122</v>
      </c>
      <c r="AI77" s="2">
        <f t="shared" si="22"/>
        <v>14.256396758090096</v>
      </c>
      <c r="AJ77" s="2">
        <f t="shared" si="22"/>
        <v>9.3024250327592259</v>
      </c>
      <c r="AK77" s="2">
        <f t="shared" si="22"/>
        <v>17.117061941554287</v>
      </c>
      <c r="AL77" s="2">
        <f t="shared" si="22"/>
        <v>7.3989137858842202</v>
      </c>
      <c r="AM77" s="2">
        <f t="shared" si="22"/>
        <v>17.765759300409051</v>
      </c>
      <c r="AN77" s="2">
        <f t="shared" si="22"/>
        <v>16.182104648494626</v>
      </c>
      <c r="AO77" s="2">
        <f t="shared" si="22"/>
        <v>20.043092098092643</v>
      </c>
      <c r="AP77" s="2">
        <f t="shared" si="22"/>
        <v>9.7333938056118026</v>
      </c>
      <c r="AQ77" s="2">
        <f t="shared" si="22"/>
        <v>16.164876109981897</v>
      </c>
    </row>
    <row r="78" spans="1:43" ht="14.4">
      <c r="A78" s="3" t="s">
        <v>127</v>
      </c>
      <c r="C78" s="1" t="s">
        <v>30</v>
      </c>
      <c r="D78" t="s">
        <v>152</v>
      </c>
      <c r="F78" s="4"/>
      <c r="G78" s="2">
        <f t="shared" si="24" ref="G78:G89">G74+0.05</f>
        <v>17.28732900388475</v>
      </c>
      <c r="H78" s="2">
        <f t="shared" si="25" ref="H78:AQ87">H74+0.05</f>
        <v>25.125052622429937</v>
      </c>
      <c r="I78" s="2">
        <f t="shared" si="25"/>
        <v>19.186663508829387</v>
      </c>
      <c r="J78" s="2">
        <f t="shared" si="25"/>
        <v>19.186560929096093</v>
      </c>
      <c r="K78" s="2">
        <f t="shared" si="25"/>
        <v>12.379247755569885</v>
      </c>
      <c r="L78" s="2">
        <f t="shared" si="25"/>
        <v>16.08035122188997</v>
      </c>
      <c r="M78" s="2">
        <f t="shared" si="25"/>
        <v>16.897328923766818</v>
      </c>
      <c r="N78" s="2">
        <f t="shared" si="25"/>
        <v>16.198147411428732</v>
      </c>
      <c r="O78" s="2">
        <f t="shared" si="25"/>
        <v>19.073079059253345</v>
      </c>
      <c r="P78" s="2">
        <f t="shared" si="25"/>
        <v>25.68076421263423</v>
      </c>
      <c r="Q78" s="2">
        <f t="shared" si="25"/>
        <v>19.269552874201612</v>
      </c>
      <c r="R78" s="2">
        <f t="shared" si="25"/>
        <v>12.371629817813766</v>
      </c>
      <c r="S78" s="2">
        <f t="shared" si="25"/>
        <v>17.375072779413664</v>
      </c>
      <c r="T78" s="2">
        <f t="shared" si="25"/>
        <v>16.234107967980524</v>
      </c>
      <c r="U78" s="2">
        <f t="shared" si="25"/>
        <v>17.883225475773322</v>
      </c>
      <c r="V78" s="2">
        <f t="shared" si="25"/>
        <v>18.633111820911822</v>
      </c>
      <c r="W78" s="2">
        <f t="shared" si="25"/>
        <v>20.761307100157314</v>
      </c>
      <c r="X78" s="2">
        <f t="shared" si="25"/>
        <v>21.650370986433664</v>
      </c>
      <c r="Y78" s="2">
        <f t="shared" si="25"/>
        <v>14.225697567114096</v>
      </c>
      <c r="Z78" s="2">
        <f t="shared" si="25"/>
        <v>14.729349395111813</v>
      </c>
      <c r="AA78" s="2">
        <f t="shared" si="25"/>
        <v>19.511908193682178</v>
      </c>
      <c r="AB78" s="2">
        <f t="shared" si="25"/>
        <v>6.5624578459343779</v>
      </c>
      <c r="AC78" s="2">
        <f t="shared" si="25"/>
        <v>60.359427732769753</v>
      </c>
      <c r="AD78" s="2">
        <f t="shared" si="25"/>
        <v>20.40918558532324</v>
      </c>
      <c r="AE78" s="2">
        <f t="shared" si="25"/>
        <v>15.444308751665048</v>
      </c>
      <c r="AF78" s="2">
        <f t="shared" si="25"/>
        <v>22.561738661417326</v>
      </c>
      <c r="AG78" s="2">
        <f t="shared" si="25"/>
        <v>4.8024503111111105</v>
      </c>
      <c r="AH78" s="2">
        <f t="shared" si="25"/>
        <v>16.894994469426102</v>
      </c>
      <c r="AI78" s="2">
        <f t="shared" si="25"/>
        <v>14.126452987965321</v>
      </c>
      <c r="AJ78" s="2">
        <f t="shared" si="25"/>
        <v>10.918008555279512</v>
      </c>
      <c r="AK78" s="2">
        <f t="shared" si="25"/>
        <v>18.653969216624532</v>
      </c>
      <c r="AL78" s="2">
        <f t="shared" si="25"/>
        <v>9.2725655702249217</v>
      </c>
      <c r="AM78" s="2">
        <f t="shared" si="25"/>
        <v>20.078034651652313</v>
      </c>
      <c r="AN78" s="2">
        <f t="shared" si="25"/>
        <v>17.4505218802163</v>
      </c>
      <c r="AO78" s="2">
        <f t="shared" si="25"/>
        <v>22.598549324469225</v>
      </c>
      <c r="AP78" s="2">
        <f t="shared" si="25"/>
        <v>12.21508579008241</v>
      </c>
      <c r="AQ78" s="2">
        <f t="shared" si="25"/>
        <v>17.413498269740188</v>
      </c>
    </row>
    <row r="79" spans="1:43" ht="14.4">
      <c r="A79" s="3" t="s">
        <v>129</v>
      </c>
      <c r="C79" s="1" t="s">
        <v>30</v>
      </c>
      <c r="D79" t="s">
        <v>153</v>
      </c>
      <c r="F79" s="4"/>
      <c r="G79" s="2">
        <f t="shared" si="24"/>
        <v>11.331087114664276</v>
      </c>
      <c r="H79" s="2">
        <f t="shared" si="26" ref="H79:V79">H75+0.05</f>
        <v>22.344048618155092</v>
      </c>
      <c r="I79" s="2">
        <f t="shared" si="26"/>
        <v>16.524710307784321</v>
      </c>
      <c r="J79" s="2">
        <f t="shared" si="26"/>
        <v>19.991649283964758</v>
      </c>
      <c r="K79" s="2">
        <f t="shared" si="26"/>
        <v>11.001197551335714</v>
      </c>
      <c r="L79" s="2">
        <f t="shared" si="26"/>
        <v>14.10795353976029</v>
      </c>
      <c r="M79" s="2">
        <f t="shared" si="26"/>
        <v>13.858117371890286</v>
      </c>
      <c r="N79" s="2">
        <f t="shared" si="26"/>
        <v>12.846347121999225</v>
      </c>
      <c r="O79" s="2">
        <f t="shared" si="26"/>
        <v>14.391636032899784</v>
      </c>
      <c r="P79" s="2">
        <f t="shared" si="26"/>
        <v>19.055415998406257</v>
      </c>
      <c r="Q79" s="2">
        <f t="shared" si="26"/>
        <v>15.823121041017655</v>
      </c>
      <c r="R79" s="2">
        <f t="shared" si="26"/>
        <v>9.7830639435569289</v>
      </c>
      <c r="S79" s="2">
        <f t="shared" si="26"/>
        <v>12.778180886874377</v>
      </c>
      <c r="T79" s="2">
        <f t="shared" si="26"/>
        <v>12.24373449177245</v>
      </c>
      <c r="U79" s="2">
        <f t="shared" si="26"/>
        <v>16.187815823558864</v>
      </c>
      <c r="V79" s="2">
        <f t="shared" si="26"/>
        <v>15.877693507232248</v>
      </c>
      <c r="W79" s="2">
        <f t="shared" si="25"/>
        <v>15.326527818723539</v>
      </c>
      <c r="X79" s="2">
        <f t="shared" si="25"/>
        <v>18.991178816087224</v>
      </c>
      <c r="Y79" s="2">
        <f t="shared" si="25"/>
        <v>14.008331858407081</v>
      </c>
      <c r="Z79" s="2">
        <f t="shared" si="25"/>
        <v>12.98090408629629</v>
      </c>
      <c r="AA79" s="2">
        <f t="shared" si="25"/>
        <v>16.964164518874401</v>
      </c>
      <c r="AB79" s="2">
        <f t="shared" si="25"/>
        <v>4.6663864566836075</v>
      </c>
      <c r="AC79" s="2">
        <f t="shared" si="25"/>
        <v>60.613667289150499</v>
      </c>
      <c r="AD79" s="2">
        <f t="shared" si="25"/>
        <v>15.306679130901291</v>
      </c>
      <c r="AE79" s="2">
        <f t="shared" si="25"/>
        <v>10.549953078657644</v>
      </c>
      <c r="AF79" s="2">
        <f t="shared" si="25"/>
        <v>14.416233678794558</v>
      </c>
      <c r="AG79" s="2">
        <f t="shared" si="25"/>
        <v>5.8965102895027623</v>
      </c>
      <c r="AH79" s="2">
        <f t="shared" si="25"/>
        <v>15.227654895177956</v>
      </c>
      <c r="AI79" s="2">
        <f t="shared" si="25"/>
        <v>14.606015783274442</v>
      </c>
      <c r="AJ79" s="2">
        <f t="shared" si="25"/>
        <v>9.4650665260818698</v>
      </c>
      <c r="AK79" s="2">
        <f t="shared" si="25"/>
        <v>17.167111426840801</v>
      </c>
      <c r="AL79" s="2">
        <f t="shared" si="25"/>
        <v>7.4714097802608075</v>
      </c>
      <c r="AM79" s="2">
        <f t="shared" si="25"/>
        <v>17.746700627252057</v>
      </c>
      <c r="AN79" s="2">
        <f t="shared" si="25"/>
        <v>15.762784427351434</v>
      </c>
      <c r="AO79" s="2">
        <f t="shared" si="25"/>
        <v>20.942831337813079</v>
      </c>
      <c r="AP79" s="2">
        <f t="shared" si="25"/>
        <v>9.9494029998184139</v>
      </c>
      <c r="AQ79" s="2">
        <f t="shared" si="25"/>
        <v>15.261497015908356</v>
      </c>
    </row>
    <row r="80" spans="1:43" ht="14.4">
      <c r="A80" s="3" t="s">
        <v>127</v>
      </c>
      <c r="C80" s="1" t="s">
        <v>30</v>
      </c>
      <c r="D80" t="s">
        <v>154</v>
      </c>
      <c r="F80" s="4"/>
      <c r="G80" s="2">
        <f t="shared" si="24"/>
        <v>7.2153892898945751</v>
      </c>
      <c r="H80" s="2">
        <f t="shared" si="25"/>
        <v>19.14621803101916</v>
      </c>
      <c r="I80" s="2">
        <f t="shared" si="25"/>
        <v>14.007251607963028</v>
      </c>
      <c r="J80" s="2">
        <f t="shared" si="25"/>
        <v>15.799539365821735</v>
      </c>
      <c r="K80" s="2">
        <f t="shared" si="25"/>
        <v>8.7603503456274847</v>
      </c>
      <c r="L80" s="2">
        <f t="shared" si="25"/>
        <v>12.180379378702527</v>
      </c>
      <c r="M80" s="2">
        <f t="shared" si="25"/>
        <v>12.218160426656233</v>
      </c>
      <c r="N80" s="2">
        <f t="shared" si="25"/>
        <v>10.253642297486676</v>
      </c>
      <c r="O80" s="2">
        <f t="shared" si="25"/>
        <v>11.991510641645283</v>
      </c>
      <c r="P80" s="2">
        <f t="shared" si="25"/>
        <v>17.394506025445779</v>
      </c>
      <c r="Q80" s="2">
        <f t="shared" si="25"/>
        <v>15.577056713955789</v>
      </c>
      <c r="R80" s="2">
        <f t="shared" si="25"/>
        <v>6.8264821240877556</v>
      </c>
      <c r="S80" s="2">
        <f t="shared" si="25"/>
        <v>11.392550160672371</v>
      </c>
      <c r="T80" s="2">
        <f t="shared" si="25"/>
        <v>13.242548793132427</v>
      </c>
      <c r="U80" s="2">
        <f t="shared" si="25"/>
        <v>13.498263828780864</v>
      </c>
      <c r="V80" s="2">
        <f t="shared" si="25"/>
        <v>13.350472537429654</v>
      </c>
      <c r="W80" s="2">
        <f t="shared" si="25"/>
        <v>11.589123088599472</v>
      </c>
      <c r="X80" s="2">
        <f t="shared" si="25"/>
        <v>18.500087257973203</v>
      </c>
      <c r="Y80" s="2">
        <f t="shared" si="25"/>
        <v>13.928164822404371</v>
      </c>
      <c r="Z80" s="2">
        <f t="shared" si="25"/>
        <v>9.5055545752053803</v>
      </c>
      <c r="AA80" s="2">
        <f t="shared" si="25"/>
        <v>14.307133380446306</v>
      </c>
      <c r="AB80" s="2">
        <f t="shared" si="25"/>
        <v>4.4530321962187953</v>
      </c>
      <c r="AC80" s="2">
        <f t="shared" si="25"/>
        <v>58.562971338757393</v>
      </c>
      <c r="AD80" s="2">
        <f t="shared" si="25"/>
        <v>17.900323294141291</v>
      </c>
      <c r="AE80" s="2">
        <f t="shared" si="25"/>
        <v>7.0048289713865657</v>
      </c>
      <c r="AF80" s="2">
        <f t="shared" si="25"/>
        <v>11.215743412584052</v>
      </c>
      <c r="AG80" s="2">
        <f t="shared" si="25"/>
        <v>7.4052660023146739</v>
      </c>
      <c r="AH80" s="2">
        <f t="shared" si="25"/>
        <v>13.367237590574733</v>
      </c>
      <c r="AI80" s="2">
        <f t="shared" si="25"/>
        <v>13.829387949778154</v>
      </c>
      <c r="AJ80" s="2">
        <f t="shared" si="25"/>
        <v>7.6615301989604827</v>
      </c>
      <c r="AK80" s="2">
        <f t="shared" si="25"/>
        <v>12.378672046364285</v>
      </c>
      <c r="AL80" s="2">
        <f t="shared" si="25"/>
        <v>5.703627721964649</v>
      </c>
      <c r="AM80" s="2">
        <f t="shared" si="25"/>
        <v>14.694461539777288</v>
      </c>
      <c r="AN80" s="2">
        <f t="shared" si="25"/>
        <v>15.807090146793465</v>
      </c>
      <c r="AO80" s="2">
        <f t="shared" si="25"/>
        <v>14.589017065271552</v>
      </c>
      <c r="AP80" s="2">
        <f t="shared" si="25"/>
        <v>9.1724184923026328</v>
      </c>
      <c r="AQ80" s="2">
        <f t="shared" si="25"/>
        <v>12.991664931184953</v>
      </c>
    </row>
    <row r="81" spans="1:43" ht="14.4">
      <c r="A81" s="3" t="s">
        <v>129</v>
      </c>
      <c r="C81" s="1" t="s">
        <v>30</v>
      </c>
      <c r="D81" t="s">
        <v>155</v>
      </c>
      <c r="F81" s="4"/>
      <c r="G81" s="2">
        <f t="shared" si="24"/>
        <v>12.079463627417347</v>
      </c>
      <c r="H81" s="2">
        <f t="shared" si="25"/>
        <v>22.686000785233031</v>
      </c>
      <c r="I81" s="2">
        <f t="shared" si="25"/>
        <v>16.701808729771439</v>
      </c>
      <c r="J81" s="2">
        <f t="shared" si="25"/>
        <v>18.940383976560064</v>
      </c>
      <c r="K81" s="2">
        <f t="shared" si="25"/>
        <v>9.0216805281293091</v>
      </c>
      <c r="L81" s="2">
        <f t="shared" si="25"/>
        <v>14.041752252489594</v>
      </c>
      <c r="M81" s="2">
        <f t="shared" si="25"/>
        <v>13.43281330171903</v>
      </c>
      <c r="N81" s="2">
        <f t="shared" si="25"/>
        <v>12.906798341212227</v>
      </c>
      <c r="O81" s="2">
        <f t="shared" si="25"/>
        <v>14.695800046458265</v>
      </c>
      <c r="P81" s="2">
        <f t="shared" si="25"/>
        <v>18.720476413875666</v>
      </c>
      <c r="Q81" s="2">
        <f t="shared" si="25"/>
        <v>16.46182686740012</v>
      </c>
      <c r="R81" s="2">
        <f t="shared" si="25"/>
        <v>10.250511348013518</v>
      </c>
      <c r="S81" s="2">
        <f t="shared" si="25"/>
        <v>12.55383675468819</v>
      </c>
      <c r="T81" s="2">
        <f t="shared" si="25"/>
        <v>12.093631268349972</v>
      </c>
      <c r="U81" s="2">
        <f t="shared" si="25"/>
        <v>16.533393323500015</v>
      </c>
      <c r="V81" s="2">
        <f t="shared" si="25"/>
        <v>15.902296037211551</v>
      </c>
      <c r="W81" s="2">
        <f t="shared" si="25"/>
        <v>15.197961658447873</v>
      </c>
      <c r="X81" s="2">
        <f t="shared" si="25"/>
        <v>20.106307041088584</v>
      </c>
      <c r="Y81" s="2">
        <f t="shared" si="25"/>
        <v>14.274238681130459</v>
      </c>
      <c r="Z81" s="2">
        <f t="shared" si="25"/>
        <v>13.011387502824132</v>
      </c>
      <c r="AA81" s="2">
        <f t="shared" si="25"/>
        <v>17.130395017604407</v>
      </c>
      <c r="AB81" s="2">
        <f t="shared" si="25"/>
        <v>4.645764026447587</v>
      </c>
      <c r="AC81" s="2">
        <f t="shared" si="25"/>
        <v>63.825923083739475</v>
      </c>
      <c r="AD81" s="2">
        <f t="shared" si="25"/>
        <v>16.077938952027754</v>
      </c>
      <c r="AE81" s="2">
        <f t="shared" si="25"/>
        <v>11.162872673867676</v>
      </c>
      <c r="AF81" s="2">
        <f t="shared" si="25"/>
        <v>14.520115180327871</v>
      </c>
      <c r="AG81" s="2">
        <f t="shared" si="25"/>
        <v>5.7424041744701828</v>
      </c>
      <c r="AH81" s="2">
        <f t="shared" si="25"/>
        <v>15.194557383770123</v>
      </c>
      <c r="AI81" s="2">
        <f t="shared" si="25"/>
        <v>14.306396758090097</v>
      </c>
      <c r="AJ81" s="2">
        <f t="shared" si="25"/>
        <v>9.3524250327592267</v>
      </c>
      <c r="AK81" s="2">
        <f t="shared" si="25"/>
        <v>17.167061941554287</v>
      </c>
      <c r="AL81" s="2">
        <f t="shared" si="25"/>
        <v>7.44891378588422</v>
      </c>
      <c r="AM81" s="2">
        <f t="shared" si="25"/>
        <v>17.815759300409052</v>
      </c>
      <c r="AN81" s="2">
        <f t="shared" si="25"/>
        <v>16.232104648494627</v>
      </c>
      <c r="AO81" s="2">
        <f t="shared" si="25"/>
        <v>20.093092098092644</v>
      </c>
      <c r="AP81" s="2">
        <f t="shared" si="25"/>
        <v>9.7833938056118033</v>
      </c>
      <c r="AQ81" s="2">
        <f t="shared" si="25"/>
        <v>16.214876109981898</v>
      </c>
    </row>
    <row r="82" spans="1:43" ht="14.4">
      <c r="A82" s="3" t="s">
        <v>127</v>
      </c>
      <c r="C82" s="1" t="s">
        <v>30</v>
      </c>
      <c r="D82" t="s">
        <v>164</v>
      </c>
      <c r="F82" s="4"/>
      <c r="G82" s="2">
        <f t="shared" si="24"/>
        <v>17.337329003884751</v>
      </c>
      <c r="H82" s="2">
        <f t="shared" si="27" ref="H82:AQ82">H78+0.05</f>
        <v>25.175052622429938</v>
      </c>
      <c r="I82" s="2">
        <f t="shared" si="27"/>
        <v>19.236663508829388</v>
      </c>
      <c r="J82" s="2">
        <f t="shared" si="27"/>
        <v>19.236560929096093</v>
      </c>
      <c r="K82" s="2">
        <f t="shared" si="27"/>
        <v>12.429247755569886</v>
      </c>
      <c r="L82" s="2">
        <f t="shared" si="27"/>
        <v>16.130351221889971</v>
      </c>
      <c r="M82" s="2">
        <f t="shared" si="27"/>
        <v>16.947328923766818</v>
      </c>
      <c r="N82" s="2">
        <f t="shared" si="27"/>
        <v>16.248147411428732</v>
      </c>
      <c r="O82" s="2">
        <f t="shared" si="27"/>
        <v>19.123079059253346</v>
      </c>
      <c r="P82" s="2">
        <f t="shared" si="27"/>
        <v>25.730764212634231</v>
      </c>
      <c r="Q82" s="2">
        <f t="shared" si="27"/>
        <v>19.319552874201612</v>
      </c>
      <c r="R82" s="2">
        <f t="shared" si="27"/>
        <v>12.421629817813766</v>
      </c>
      <c r="S82" s="2">
        <f t="shared" si="27"/>
        <v>17.425072779413664</v>
      </c>
      <c r="T82" s="2">
        <f t="shared" si="27"/>
        <v>16.284107967980525</v>
      </c>
      <c r="U82" s="2">
        <f t="shared" si="27"/>
        <v>17.933225475773323</v>
      </c>
      <c r="V82" s="2">
        <f t="shared" si="27"/>
        <v>18.683111820911822</v>
      </c>
      <c r="W82" s="2">
        <f t="shared" si="27"/>
        <v>20.811307100157315</v>
      </c>
      <c r="X82" s="2">
        <f t="shared" si="27"/>
        <v>21.700370986433665</v>
      </c>
      <c r="Y82" s="2">
        <f t="shared" si="27"/>
        <v>14.275697567114097</v>
      </c>
      <c r="Z82" s="2">
        <f t="shared" si="27"/>
        <v>14.779349395111813</v>
      </c>
      <c r="AA82" s="2">
        <f t="shared" si="27"/>
        <v>19.561908193682179</v>
      </c>
      <c r="AB82" s="2">
        <f t="shared" si="27"/>
        <v>6.6124578459343777</v>
      </c>
      <c r="AC82" s="2">
        <f t="shared" si="27"/>
        <v>60.40942773276975</v>
      </c>
      <c r="AD82" s="2">
        <f t="shared" si="27"/>
        <v>20.45918558532324</v>
      </c>
      <c r="AE82" s="2">
        <f t="shared" si="27"/>
        <v>15.494308751665049</v>
      </c>
      <c r="AF82" s="2">
        <f t="shared" si="27"/>
        <v>22.611738661417327</v>
      </c>
      <c r="AG82" s="2">
        <f t="shared" si="27"/>
        <v>4.8524503111111104</v>
      </c>
      <c r="AH82" s="2">
        <f t="shared" si="27"/>
        <v>16.944994469426103</v>
      </c>
      <c r="AI82" s="2">
        <f t="shared" si="27"/>
        <v>14.176452987965321</v>
      </c>
      <c r="AJ82" s="2">
        <f t="shared" si="27"/>
        <v>10.968008555279512</v>
      </c>
      <c r="AK82" s="2">
        <f t="shared" si="27"/>
        <v>18.703969216624532</v>
      </c>
      <c r="AL82" s="2">
        <f t="shared" si="27"/>
        <v>9.3225655702249224</v>
      </c>
      <c r="AM82" s="2">
        <f t="shared" si="27"/>
        <v>20.128034651652314</v>
      </c>
      <c r="AN82" s="2">
        <f t="shared" si="27"/>
        <v>17.500521880216301</v>
      </c>
      <c r="AO82" s="2">
        <f t="shared" si="27"/>
        <v>22.648549324469226</v>
      </c>
      <c r="AP82" s="2">
        <f t="shared" si="27"/>
        <v>12.265085790082411</v>
      </c>
      <c r="AQ82" s="2">
        <f t="shared" si="27"/>
        <v>17.463498269740189</v>
      </c>
    </row>
    <row r="83" spans="1:43" ht="14.4">
      <c r="A83" s="3" t="s">
        <v>128</v>
      </c>
      <c r="C83" s="1" t="s">
        <v>30</v>
      </c>
      <c r="D83" t="s">
        <v>165</v>
      </c>
      <c r="F83" s="4"/>
      <c r="G83" s="2">
        <f t="shared" si="24"/>
        <v>11.381087114664277</v>
      </c>
      <c r="H83" s="2">
        <f t="shared" si="25"/>
        <v>22.394048618155093</v>
      </c>
      <c r="I83" s="2">
        <f t="shared" si="25"/>
        <v>16.574710307784322</v>
      </c>
      <c r="J83" s="2">
        <f t="shared" si="25"/>
        <v>20.041649283964759</v>
      </c>
      <c r="K83" s="2">
        <f t="shared" si="25"/>
        <v>11.051197551335715</v>
      </c>
      <c r="L83" s="2">
        <f t="shared" si="25"/>
        <v>14.157953539760291</v>
      </c>
      <c r="M83" s="2">
        <f t="shared" si="25"/>
        <v>13.908117371890286</v>
      </c>
      <c r="N83" s="2">
        <f t="shared" si="25"/>
        <v>12.896347121999225</v>
      </c>
      <c r="O83" s="2">
        <f t="shared" si="25"/>
        <v>14.441636032899785</v>
      </c>
      <c r="P83" s="2">
        <f t="shared" si="25"/>
        <v>19.105415998406258</v>
      </c>
      <c r="Q83" s="2">
        <f t="shared" si="25"/>
        <v>15.873121041017656</v>
      </c>
      <c r="R83" s="2">
        <f t="shared" si="25"/>
        <v>9.8330639435569296</v>
      </c>
      <c r="S83" s="2">
        <f t="shared" si="25"/>
        <v>12.828180886874378</v>
      </c>
      <c r="T83" s="2">
        <f t="shared" si="25"/>
        <v>12.293734491772451</v>
      </c>
      <c r="U83" s="2">
        <f t="shared" si="25"/>
        <v>16.237815823558865</v>
      </c>
      <c r="V83" s="2">
        <f t="shared" si="25"/>
        <v>15.927693507232249</v>
      </c>
      <c r="W83" s="2">
        <f t="shared" si="25"/>
        <v>15.37652781872354</v>
      </c>
      <c r="X83" s="2">
        <f t="shared" si="25"/>
        <v>19.041178816087225</v>
      </c>
      <c r="Y83" s="2">
        <f t="shared" si="25"/>
        <v>14.058331858407081</v>
      </c>
      <c r="Z83" s="2">
        <f t="shared" si="25"/>
        <v>13.030904086296291</v>
      </c>
      <c r="AA83" s="2">
        <f t="shared" si="25"/>
        <v>17.014164518874402</v>
      </c>
      <c r="AB83" s="2">
        <f t="shared" si="25"/>
        <v>4.7163864566836073</v>
      </c>
      <c r="AC83" s="2">
        <f t="shared" si="25"/>
        <v>60.663667289150496</v>
      </c>
      <c r="AD83" s="2">
        <f t="shared" si="25"/>
        <v>15.356679130901291</v>
      </c>
      <c r="AE83" s="2">
        <f t="shared" si="25"/>
        <v>10.599953078657645</v>
      </c>
      <c r="AF83" s="2">
        <f t="shared" si="25"/>
        <v>14.466233678794559</v>
      </c>
      <c r="AG83" s="2">
        <f t="shared" si="25"/>
        <v>5.9465102895027622</v>
      </c>
      <c r="AH83" s="2">
        <f t="shared" si="25"/>
        <v>15.277654895177957</v>
      </c>
      <c r="AI83" s="2">
        <f t="shared" si="25"/>
        <v>14.656015783274443</v>
      </c>
      <c r="AJ83" s="2">
        <f t="shared" si="25"/>
        <v>9.5150665260818705</v>
      </c>
      <c r="AK83" s="2">
        <f t="shared" si="25"/>
        <v>17.217111426840802</v>
      </c>
      <c r="AL83" s="2">
        <f t="shared" si="25"/>
        <v>7.5214097802608073</v>
      </c>
      <c r="AM83" s="2">
        <f t="shared" si="25"/>
        <v>17.796700627252058</v>
      </c>
      <c r="AN83" s="2">
        <f t="shared" si="25"/>
        <v>15.812784427351435</v>
      </c>
      <c r="AO83" s="2">
        <f t="shared" si="25"/>
        <v>20.99283133781308</v>
      </c>
      <c r="AP83" s="2">
        <f t="shared" si="25"/>
        <v>9.9994029998184146</v>
      </c>
      <c r="AQ83" s="2">
        <f t="shared" si="25"/>
        <v>15.311497015908357</v>
      </c>
    </row>
    <row r="84" spans="1:43" ht="14.4">
      <c r="A84" s="3" t="s">
        <v>129</v>
      </c>
      <c r="C84" s="1" t="s">
        <v>30</v>
      </c>
      <c r="D84" t="s">
        <v>166</v>
      </c>
      <c r="F84" s="4"/>
      <c r="G84" s="2">
        <f t="shared" si="24"/>
        <v>7.2653892898945749</v>
      </c>
      <c r="H84" s="2">
        <f t="shared" si="25"/>
        <v>19.196218031019161</v>
      </c>
      <c r="I84" s="2">
        <f t="shared" si="25"/>
        <v>14.057251607963028</v>
      </c>
      <c r="J84" s="2">
        <f t="shared" si="25"/>
        <v>15.849539365821736</v>
      </c>
      <c r="K84" s="2">
        <f t="shared" si="25"/>
        <v>8.8103503456274854</v>
      </c>
      <c r="L84" s="2">
        <f t="shared" si="25"/>
        <v>12.230379378702528</v>
      </c>
      <c r="M84" s="2">
        <f t="shared" si="25"/>
        <v>12.268160426656234</v>
      </c>
      <c r="N84" s="2">
        <f t="shared" si="25"/>
        <v>10.303642297486677</v>
      </c>
      <c r="O84" s="2">
        <f t="shared" si="25"/>
        <v>12.041510641645283</v>
      </c>
      <c r="P84" s="2">
        <f t="shared" si="25"/>
        <v>17.444506025445779</v>
      </c>
      <c r="Q84" s="2">
        <f t="shared" si="25"/>
        <v>15.62705671395579</v>
      </c>
      <c r="R84" s="2">
        <f t="shared" si="25"/>
        <v>6.8764821240877554</v>
      </c>
      <c r="S84" s="2">
        <f t="shared" si="25"/>
        <v>11.442550160672372</v>
      </c>
      <c r="T84" s="2">
        <f t="shared" si="25"/>
        <v>13.292548793132427</v>
      </c>
      <c r="U84" s="2">
        <f t="shared" si="25"/>
        <v>13.548263828780865</v>
      </c>
      <c r="V84" s="2">
        <f t="shared" si="25"/>
        <v>13.400472537429655</v>
      </c>
      <c r="W84" s="2">
        <f t="shared" si="25"/>
        <v>11.639123088599472</v>
      </c>
      <c r="X84" s="2">
        <f t="shared" si="25"/>
        <v>18.550087257973203</v>
      </c>
      <c r="Y84" s="2">
        <f t="shared" si="25"/>
        <v>13.978164822404372</v>
      </c>
      <c r="Z84" s="2">
        <f t="shared" si="25"/>
        <v>9.555554575205381</v>
      </c>
      <c r="AA84" s="2">
        <f t="shared" si="25"/>
        <v>14.357133380446307</v>
      </c>
      <c r="AB84" s="2">
        <f t="shared" si="25"/>
        <v>4.5030321962187951</v>
      </c>
      <c r="AC84" s="2">
        <f t="shared" si="25"/>
        <v>58.61297133875739</v>
      </c>
      <c r="AD84" s="2">
        <f t="shared" si="25"/>
        <v>17.950323294141292</v>
      </c>
      <c r="AE84" s="2">
        <f t="shared" si="25"/>
        <v>7.0548289713865655</v>
      </c>
      <c r="AF84" s="2">
        <f t="shared" si="25"/>
        <v>11.265743412584053</v>
      </c>
      <c r="AG84" s="2">
        <f t="shared" si="25"/>
        <v>7.4552660023146737</v>
      </c>
      <c r="AH84" s="2">
        <f t="shared" si="25"/>
        <v>13.417237590574734</v>
      </c>
      <c r="AI84" s="2">
        <f t="shared" si="25"/>
        <v>13.879387949778154</v>
      </c>
      <c r="AJ84" s="2">
        <f t="shared" si="25"/>
        <v>7.7115301989604825</v>
      </c>
      <c r="AK84" s="2">
        <f t="shared" si="25"/>
        <v>12.428672046364285</v>
      </c>
      <c r="AL84" s="2">
        <f t="shared" si="25"/>
        <v>5.7536277219646488</v>
      </c>
      <c r="AM84" s="2">
        <f t="shared" si="25"/>
        <v>14.744461539777289</v>
      </c>
      <c r="AN84" s="2">
        <f t="shared" si="25"/>
        <v>15.857090146793466</v>
      </c>
      <c r="AO84" s="2">
        <f t="shared" si="25"/>
        <v>14.639017065271553</v>
      </c>
      <c r="AP84" s="2">
        <f t="shared" si="25"/>
        <v>9.2224184923026336</v>
      </c>
      <c r="AQ84" s="2">
        <f t="shared" si="25"/>
        <v>13.041664931184954</v>
      </c>
    </row>
    <row r="85" spans="1:43" ht="14.4">
      <c r="A85" s="3" t="s">
        <v>130</v>
      </c>
      <c r="C85" s="1" t="s">
        <v>30</v>
      </c>
      <c r="D85" t="s">
        <v>167</v>
      </c>
      <c r="F85" s="4"/>
      <c r="G85" s="2">
        <f t="shared" si="24"/>
        <v>12.129463627417348</v>
      </c>
      <c r="H85" s="2">
        <f t="shared" si="25"/>
        <v>22.736000785233031</v>
      </c>
      <c r="I85" s="2">
        <f t="shared" si="25"/>
        <v>16.75180872977144</v>
      </c>
      <c r="J85" s="2">
        <f t="shared" si="25"/>
        <v>18.990383976560064</v>
      </c>
      <c r="K85" s="2">
        <f t="shared" si="25"/>
        <v>9.0716805281293098</v>
      </c>
      <c r="L85" s="2">
        <f t="shared" si="25"/>
        <v>14.091752252489595</v>
      </c>
      <c r="M85" s="2">
        <f t="shared" si="25"/>
        <v>13.48281330171903</v>
      </c>
      <c r="N85" s="2">
        <f t="shared" si="25"/>
        <v>12.956798341212227</v>
      </c>
      <c r="O85" s="2">
        <f t="shared" si="25"/>
        <v>14.745800046458266</v>
      </c>
      <c r="P85" s="2">
        <f t="shared" si="25"/>
        <v>18.770476413875667</v>
      </c>
      <c r="Q85" s="2">
        <f t="shared" si="25"/>
        <v>16.511826867400121</v>
      </c>
      <c r="R85" s="2">
        <f t="shared" si="25"/>
        <v>10.300511348013519</v>
      </c>
      <c r="S85" s="2">
        <f t="shared" si="25"/>
        <v>12.60383675468819</v>
      </c>
      <c r="T85" s="2">
        <f t="shared" si="25"/>
        <v>12.143631268349973</v>
      </c>
      <c r="U85" s="2">
        <f t="shared" si="25"/>
        <v>16.583393323500015</v>
      </c>
      <c r="V85" s="2">
        <f t="shared" si="25"/>
        <v>15.952296037211552</v>
      </c>
      <c r="W85" s="2">
        <f t="shared" si="25"/>
        <v>15.247961658447874</v>
      </c>
      <c r="X85" s="2">
        <f t="shared" si="25"/>
        <v>20.156307041088585</v>
      </c>
      <c r="Y85" s="2">
        <f t="shared" si="25"/>
        <v>14.32423868113046</v>
      </c>
      <c r="Z85" s="2">
        <f t="shared" si="25"/>
        <v>13.061387502824132</v>
      </c>
      <c r="AA85" s="2">
        <f t="shared" si="25"/>
        <v>17.180395017604408</v>
      </c>
      <c r="AB85" s="2">
        <f t="shared" si="25"/>
        <v>4.6957640264475868</v>
      </c>
      <c r="AC85" s="2">
        <f t="shared" si="25"/>
        <v>63.875923083739472</v>
      </c>
      <c r="AD85" s="2">
        <f t="shared" si="25"/>
        <v>16.127938952027755</v>
      </c>
      <c r="AE85" s="2">
        <f t="shared" si="25"/>
        <v>11.212872673867677</v>
      </c>
      <c r="AF85" s="2">
        <f t="shared" si="25"/>
        <v>14.570115180327871</v>
      </c>
      <c r="AG85" s="2">
        <f t="shared" si="25"/>
        <v>5.7924041744701826</v>
      </c>
      <c r="AH85" s="2">
        <f t="shared" si="25"/>
        <v>15.244557383770124</v>
      </c>
      <c r="AI85" s="2">
        <f t="shared" si="25"/>
        <v>14.356396758090098</v>
      </c>
      <c r="AJ85" s="2">
        <f t="shared" si="25"/>
        <v>9.4024250327592274</v>
      </c>
      <c r="AK85" s="2">
        <f t="shared" si="25"/>
        <v>17.217061941554288</v>
      </c>
      <c r="AL85" s="2">
        <f t="shared" si="25"/>
        <v>7.4989137858842199</v>
      </c>
      <c r="AM85" s="2">
        <f t="shared" si="25"/>
        <v>17.865759300409053</v>
      </c>
      <c r="AN85" s="2">
        <f t="shared" si="25"/>
        <v>16.282104648494627</v>
      </c>
      <c r="AO85" s="2">
        <f t="shared" si="25"/>
        <v>20.143092098092644</v>
      </c>
      <c r="AP85" s="2">
        <f t="shared" si="25"/>
        <v>9.833393805611804</v>
      </c>
      <c r="AQ85" s="2">
        <f t="shared" si="25"/>
        <v>16.264876109981898</v>
      </c>
    </row>
    <row r="86" spans="1:43" ht="14.4">
      <c r="A86" s="3" t="s">
        <v>127</v>
      </c>
      <c r="C86" s="1" t="s">
        <v>30</v>
      </c>
      <c r="D86" t="s">
        <v>148</v>
      </c>
      <c r="F86" s="4"/>
      <c r="G86" s="2">
        <f t="shared" si="24"/>
        <v>17.387329003884751</v>
      </c>
      <c r="H86" s="2">
        <f t="shared" si="28" ref="H86:AQ89">H82+0.05</f>
        <v>25.225052622429939</v>
      </c>
      <c r="I86" s="2">
        <f t="shared" si="28"/>
        <v>19.286663508829388</v>
      </c>
      <c r="J86" s="2">
        <f t="shared" si="28"/>
        <v>19.286560929096094</v>
      </c>
      <c r="K86" s="2">
        <f t="shared" si="28"/>
        <v>12.479247755569887</v>
      </c>
      <c r="L86" s="2">
        <f t="shared" si="28"/>
        <v>16.180351221889971</v>
      </c>
      <c r="M86" s="2">
        <f t="shared" si="28"/>
        <v>16.997328923766819</v>
      </c>
      <c r="N86" s="2">
        <f t="shared" si="28"/>
        <v>16.298147411428733</v>
      </c>
      <c r="O86" s="2">
        <f t="shared" si="28"/>
        <v>19.173079059253347</v>
      </c>
      <c r="P86" s="2">
        <f t="shared" si="28"/>
        <v>25.780764212634232</v>
      </c>
      <c r="Q86" s="2">
        <f t="shared" si="28"/>
        <v>19.369552874201613</v>
      </c>
      <c r="R86" s="2">
        <f t="shared" si="28"/>
        <v>12.471629817813767</v>
      </c>
      <c r="S86" s="2">
        <f t="shared" si="28"/>
        <v>17.475072779413665</v>
      </c>
      <c r="T86" s="2">
        <f t="shared" si="28"/>
        <v>16.334107967980525</v>
      </c>
      <c r="U86" s="2">
        <f t="shared" si="28"/>
        <v>17.983225475773324</v>
      </c>
      <c r="V86" s="2">
        <f t="shared" si="28"/>
        <v>18.733111820911823</v>
      </c>
      <c r="W86" s="2">
        <f t="shared" si="28"/>
        <v>20.861307100157315</v>
      </c>
      <c r="X86" s="2">
        <f t="shared" si="28"/>
        <v>21.750370986433666</v>
      </c>
      <c r="Y86" s="2">
        <f t="shared" si="28"/>
        <v>14.325697567114098</v>
      </c>
      <c r="Z86" s="2">
        <f t="shared" si="28"/>
        <v>14.829349395111814</v>
      </c>
      <c r="AA86" s="2">
        <f t="shared" si="28"/>
        <v>19.611908193682179</v>
      </c>
      <c r="AB86" s="2">
        <f t="shared" si="28"/>
        <v>6.6624578459343775</v>
      </c>
      <c r="AC86" s="2">
        <f t="shared" si="28"/>
        <v>60.459427732769747</v>
      </c>
      <c r="AD86" s="2">
        <f t="shared" si="28"/>
        <v>20.509185585323241</v>
      </c>
      <c r="AE86" s="2">
        <f t="shared" si="28"/>
        <v>15.544308751665049</v>
      </c>
      <c r="AF86" s="2">
        <f t="shared" si="28"/>
        <v>22.661738661417328</v>
      </c>
      <c r="AG86" s="2">
        <f t="shared" si="28"/>
        <v>4.9024503111111102</v>
      </c>
      <c r="AH86" s="2">
        <f t="shared" si="28"/>
        <v>16.994994469426103</v>
      </c>
      <c r="AI86" s="2">
        <f t="shared" si="28"/>
        <v>14.226452987965322</v>
      </c>
      <c r="AJ86" s="2">
        <f t="shared" si="28"/>
        <v>11.018008555279513</v>
      </c>
      <c r="AK86" s="2">
        <f t="shared" si="28"/>
        <v>18.753969216624533</v>
      </c>
      <c r="AL86" s="2">
        <f t="shared" si="28"/>
        <v>9.3725655702249231</v>
      </c>
      <c r="AM86" s="2">
        <f t="shared" si="28"/>
        <v>20.178034651652315</v>
      </c>
      <c r="AN86" s="2">
        <f t="shared" si="28"/>
        <v>17.550521880216301</v>
      </c>
      <c r="AO86" s="2">
        <f t="shared" si="28"/>
        <v>22.698549324469226</v>
      </c>
      <c r="AP86" s="2">
        <f t="shared" si="28"/>
        <v>12.315085790082412</v>
      </c>
      <c r="AQ86" s="2">
        <f t="shared" si="28"/>
        <v>17.51349826974019</v>
      </c>
    </row>
    <row r="87" spans="1:43" ht="14.4">
      <c r="A87" s="3" t="s">
        <v>128</v>
      </c>
      <c r="C87" s="1" t="s">
        <v>30</v>
      </c>
      <c r="D87" t="s">
        <v>149</v>
      </c>
      <c r="F87" s="4"/>
      <c r="G87" s="2">
        <f t="shared" si="24"/>
        <v>11.431087114664278</v>
      </c>
      <c r="H87" s="2">
        <f t="shared" si="25"/>
        <v>22.444048618155094</v>
      </c>
      <c r="I87" s="2">
        <f t="shared" si="25"/>
        <v>16.624710307784323</v>
      </c>
      <c r="J87" s="2">
        <f t="shared" si="25"/>
        <v>20.09164928396476</v>
      </c>
      <c r="K87" s="2">
        <f t="shared" si="25"/>
        <v>11.101197551335716</v>
      </c>
      <c r="L87" s="2">
        <f t="shared" si="25"/>
        <v>14.207953539760291</v>
      </c>
      <c r="M87" s="2">
        <f t="shared" si="25"/>
        <v>13.958117371890287</v>
      </c>
      <c r="N87" s="2">
        <f t="shared" si="25"/>
        <v>12.946347121999226</v>
      </c>
      <c r="O87" s="2">
        <f t="shared" si="25"/>
        <v>14.491636032899786</v>
      </c>
      <c r="P87" s="2">
        <f t="shared" si="25"/>
        <v>19.155415998406259</v>
      </c>
      <c r="Q87" s="2">
        <f t="shared" si="25"/>
        <v>15.923121041017657</v>
      </c>
      <c r="R87" s="2">
        <f t="shared" si="25"/>
        <v>9.8830639435569303</v>
      </c>
      <c r="S87" s="2">
        <f t="shared" si="25"/>
        <v>12.878180886874379</v>
      </c>
      <c r="T87" s="2">
        <f t="shared" si="25"/>
        <v>12.343734491772452</v>
      </c>
      <c r="U87" s="2">
        <f t="shared" si="25"/>
        <v>16.287815823558866</v>
      </c>
      <c r="V87" s="2">
        <f t="shared" si="25"/>
        <v>15.977693507232249</v>
      </c>
      <c r="W87" s="2">
        <f t="shared" si="25"/>
        <v>15.426527818723541</v>
      </c>
      <c r="X87" s="2">
        <f t="shared" si="25"/>
        <v>19.091178816087226</v>
      </c>
      <c r="Y87" s="2">
        <f t="shared" si="25"/>
        <v>14.108331858407082</v>
      </c>
      <c r="Z87" s="2">
        <f t="shared" si="28"/>
        <v>13.080904086296291</v>
      </c>
      <c r="AA87" s="2">
        <f t="shared" si="28"/>
        <v>17.064164518874403</v>
      </c>
      <c r="AB87" s="2">
        <f t="shared" si="28"/>
        <v>4.7663864566836072</v>
      </c>
      <c r="AC87" s="2">
        <f t="shared" si="28"/>
        <v>60.713667289150493</v>
      </c>
      <c r="AD87" s="2">
        <f t="shared" si="28"/>
        <v>15.406679130901292</v>
      </c>
      <c r="AE87" s="2">
        <f t="shared" si="28"/>
        <v>10.649953078657646</v>
      </c>
      <c r="AF87" s="2">
        <f t="shared" si="28"/>
        <v>14.51623367879456</v>
      </c>
      <c r="AG87" s="2">
        <f t="shared" si="28"/>
        <v>5.996510289502762</v>
      </c>
      <c r="AH87" s="2">
        <f t="shared" si="28"/>
        <v>15.327654895177957</v>
      </c>
      <c r="AI87" s="2">
        <f t="shared" si="28"/>
        <v>14.706015783274443</v>
      </c>
      <c r="AJ87" s="2">
        <f t="shared" si="28"/>
        <v>9.5650665260818712</v>
      </c>
      <c r="AK87" s="2">
        <f t="shared" si="28"/>
        <v>17.267111426840803</v>
      </c>
      <c r="AL87" s="2">
        <f t="shared" si="28"/>
        <v>7.5714097802608071</v>
      </c>
      <c r="AM87" s="2">
        <f t="shared" si="28"/>
        <v>17.846700627252059</v>
      </c>
      <c r="AN87" s="2">
        <f t="shared" si="28"/>
        <v>15.862784427351436</v>
      </c>
      <c r="AO87" s="2">
        <f t="shared" si="28"/>
        <v>21.04283133781308</v>
      </c>
      <c r="AP87" s="2">
        <f t="shared" si="28"/>
        <v>10.049402999818415</v>
      </c>
      <c r="AQ87" s="2">
        <f t="shared" si="28"/>
        <v>15.361497015908357</v>
      </c>
    </row>
    <row r="88" spans="1:43" ht="14.4">
      <c r="A88" s="3" t="s">
        <v>129</v>
      </c>
      <c r="C88" s="1" t="s">
        <v>30</v>
      </c>
      <c r="D88" t="s">
        <v>150</v>
      </c>
      <c r="F88" s="4"/>
      <c r="G88" s="2">
        <f t="shared" si="24"/>
        <v>7.3153892898945747</v>
      </c>
      <c r="H88" s="2">
        <f t="shared" si="28"/>
        <v>19.246218031019161</v>
      </c>
      <c r="I88" s="2">
        <f t="shared" si="28"/>
        <v>14.107251607963029</v>
      </c>
      <c r="J88" s="2">
        <f t="shared" si="28"/>
        <v>15.899539365821736</v>
      </c>
      <c r="K88" s="2">
        <f t="shared" si="28"/>
        <v>8.8603503456274861</v>
      </c>
      <c r="L88" s="2">
        <f t="shared" si="28"/>
        <v>12.280379378702529</v>
      </c>
      <c r="M88" s="2">
        <f t="shared" si="28"/>
        <v>12.318160426656235</v>
      </c>
      <c r="N88" s="2">
        <f t="shared" si="28"/>
        <v>10.353642297486678</v>
      </c>
      <c r="O88" s="2">
        <f t="shared" si="28"/>
        <v>12.091510641645284</v>
      </c>
      <c r="P88" s="2">
        <f t="shared" si="28"/>
        <v>17.49450602544578</v>
      </c>
      <c r="Q88" s="2">
        <f t="shared" si="28"/>
        <v>15.677056713955791</v>
      </c>
      <c r="R88" s="2">
        <f t="shared" si="28"/>
        <v>6.9264821240877552</v>
      </c>
      <c r="S88" s="2">
        <f t="shared" si="28"/>
        <v>11.492550160672373</v>
      </c>
      <c r="T88" s="2">
        <f t="shared" si="28"/>
        <v>13.342548793132428</v>
      </c>
      <c r="U88" s="2">
        <f t="shared" si="28"/>
        <v>13.598263828780865</v>
      </c>
      <c r="V88" s="2">
        <f t="shared" si="28"/>
        <v>13.450472537429656</v>
      </c>
      <c r="W88" s="2">
        <f t="shared" si="28"/>
        <v>11.689123088599473</v>
      </c>
      <c r="X88" s="2">
        <f t="shared" si="28"/>
        <v>18.600087257973204</v>
      </c>
      <c r="Y88" s="2">
        <f t="shared" si="28"/>
        <v>14.028164822404372</v>
      </c>
      <c r="Z88" s="2">
        <f t="shared" si="28"/>
        <v>9.6055545752053817</v>
      </c>
      <c r="AA88" s="2">
        <f t="shared" si="28"/>
        <v>14.407133380446307</v>
      </c>
      <c r="AB88" s="2">
        <f t="shared" si="28"/>
        <v>4.553032196218795</v>
      </c>
      <c r="AC88" s="2">
        <f t="shared" si="28"/>
        <v>58.662971338757387</v>
      </c>
      <c r="AD88" s="2">
        <f t="shared" si="28"/>
        <v>18.000323294141293</v>
      </c>
      <c r="AE88" s="2">
        <f t="shared" si="28"/>
        <v>7.1048289713865653</v>
      </c>
      <c r="AF88" s="2">
        <f t="shared" si="28"/>
        <v>11.315743412584053</v>
      </c>
      <c r="AG88" s="2">
        <f t="shared" si="28"/>
        <v>7.5052660023146736</v>
      </c>
      <c r="AH88" s="2">
        <f t="shared" si="28"/>
        <v>13.467237590574735</v>
      </c>
      <c r="AI88" s="2">
        <f t="shared" si="28"/>
        <v>13.929387949778155</v>
      </c>
      <c r="AJ88" s="2">
        <f t="shared" si="28"/>
        <v>7.7615301989604824</v>
      </c>
      <c r="AK88" s="2">
        <f t="shared" si="28"/>
        <v>12.478672046364286</v>
      </c>
      <c r="AL88" s="2">
        <f t="shared" si="28"/>
        <v>5.8036277219646486</v>
      </c>
      <c r="AM88" s="2">
        <f t="shared" si="28"/>
        <v>14.79446153977729</v>
      </c>
      <c r="AN88" s="2">
        <f t="shared" si="28"/>
        <v>15.907090146793466</v>
      </c>
      <c r="AO88" s="2">
        <f t="shared" si="28"/>
        <v>14.689017065271553</v>
      </c>
      <c r="AP88" s="2">
        <f t="shared" si="28"/>
        <v>9.2724184923026343</v>
      </c>
      <c r="AQ88" s="2">
        <f t="shared" si="28"/>
        <v>13.091664931184955</v>
      </c>
    </row>
    <row r="89" spans="1:43" ht="14.4">
      <c r="A89" s="3" t="s">
        <v>130</v>
      </c>
      <c r="C89" s="1" t="s">
        <v>30</v>
      </c>
      <c r="D89" t="s">
        <v>151</v>
      </c>
      <c r="F89" s="4"/>
      <c r="G89" s="2">
        <f t="shared" si="24"/>
        <v>12.179463627417348</v>
      </c>
      <c r="H89" s="2">
        <f t="shared" si="28"/>
        <v>22.786000785233032</v>
      </c>
      <c r="I89" s="2">
        <f t="shared" si="28"/>
        <v>16.801808729771441</v>
      </c>
      <c r="J89" s="2">
        <f t="shared" si="28"/>
        <v>19.040383976560065</v>
      </c>
      <c r="K89" s="2">
        <f t="shared" si="28"/>
        <v>9.1216805281293105</v>
      </c>
      <c r="L89" s="2">
        <f t="shared" si="28"/>
        <v>14.141752252489596</v>
      </c>
      <c r="M89" s="2">
        <f t="shared" si="28"/>
        <v>13.532813301719031</v>
      </c>
      <c r="N89" s="2">
        <f t="shared" si="28"/>
        <v>13.006798341212228</v>
      </c>
      <c r="O89" s="2">
        <f t="shared" si="28"/>
        <v>14.795800046458266</v>
      </c>
      <c r="P89" s="2">
        <f t="shared" si="28"/>
        <v>18.820476413875667</v>
      </c>
      <c r="Q89" s="2">
        <f t="shared" si="28"/>
        <v>16.561826867400121</v>
      </c>
      <c r="R89" s="2">
        <f t="shared" si="28"/>
        <v>10.350511348013519</v>
      </c>
      <c r="S89" s="2">
        <f t="shared" si="28"/>
        <v>12.653836754688191</v>
      </c>
      <c r="T89" s="2">
        <f t="shared" si="28"/>
        <v>12.193631268349973</v>
      </c>
      <c r="U89" s="2">
        <f t="shared" si="28"/>
        <v>16.633393323500016</v>
      </c>
      <c r="V89" s="2">
        <f t="shared" si="28"/>
        <v>16.002296037211551</v>
      </c>
      <c r="W89" s="2">
        <f t="shared" si="28"/>
        <v>15.297961658447875</v>
      </c>
      <c r="X89" s="2">
        <f t="shared" si="28"/>
        <v>20.206307041088586</v>
      </c>
      <c r="Y89" s="2">
        <f t="shared" si="28"/>
        <v>14.374238681130461</v>
      </c>
      <c r="Z89" s="2">
        <f t="shared" si="28"/>
        <v>13.111387502824133</v>
      </c>
      <c r="AA89" s="2">
        <f t="shared" si="28"/>
        <v>17.230395017604408</v>
      </c>
      <c r="AB89" s="2">
        <f t="shared" si="28"/>
        <v>4.7457640264475867</v>
      </c>
      <c r="AC89" s="2">
        <f t="shared" si="28"/>
        <v>63.92592308373947</v>
      </c>
      <c r="AD89" s="2">
        <f t="shared" si="28"/>
        <v>16.177938952027755</v>
      </c>
      <c r="AE89" s="2">
        <f t="shared" si="28"/>
        <v>11.262872673867678</v>
      </c>
      <c r="AF89" s="2">
        <f t="shared" si="28"/>
        <v>14.620115180327872</v>
      </c>
      <c r="AG89" s="2">
        <f t="shared" si="28"/>
        <v>5.8424041744701825</v>
      </c>
      <c r="AH89" s="2">
        <f t="shared" si="28"/>
        <v>15.294557383770124</v>
      </c>
      <c r="AI89" s="2">
        <f t="shared" si="28"/>
        <v>14.406396758090098</v>
      </c>
      <c r="AJ89" s="2">
        <f t="shared" si="28"/>
        <v>9.4524250327592281</v>
      </c>
      <c r="AK89" s="2">
        <f t="shared" si="28"/>
        <v>17.267061941554289</v>
      </c>
      <c r="AL89" s="2">
        <f t="shared" si="28"/>
        <v>7.5489137858842197</v>
      </c>
      <c r="AM89" s="2">
        <f t="shared" si="28"/>
        <v>17.915759300409054</v>
      </c>
      <c r="AN89" s="2">
        <f t="shared" si="28"/>
        <v>16.332104648494628</v>
      </c>
      <c r="AO89" s="2">
        <f t="shared" si="28"/>
        <v>20.193092098092645</v>
      </c>
      <c r="AP89" s="2">
        <f t="shared" si="28"/>
        <v>9.8833938056118047</v>
      </c>
      <c r="AQ89" s="2">
        <f t="shared" si="28"/>
        <v>16.314876109981899</v>
      </c>
    </row>
    <row r="92" spans="3:3" ht="13.2">
      <c r="C92" s="5" t="s">
        <v>147</v>
      </c>
    </row>
    <row r="93" spans="3:43" ht="13.2">
      <c r="C93" s="1" t="s">
        <v>36</v>
      </c>
      <c r="D93" s="1" t="s">
        <v>103</v>
      </c>
      <c r="E93" s="1" t="s">
        <v>104</v>
      </c>
      <c r="F93" s="1" t="s">
        <v>47</v>
      </c>
      <c r="G93" t="str">
        <f>RdTRABYVals!L$1</f>
        <v>AL</v>
      </c>
      <c r="H93" t="str">
        <f>RdTRABYVals!M$1</f>
        <v>AT</v>
      </c>
      <c r="I93" t="str">
        <f>RdTRABYVals!N$1</f>
        <v>BA</v>
      </c>
      <c r="J93" t="str">
        <f>RdTRABYVals!O$1</f>
        <v>BE</v>
      </c>
      <c r="K93" t="str">
        <f>RdTRABYVals!P$1</f>
        <v>BG</v>
      </c>
      <c r="L93" t="str">
        <f>RdTRABYVals!Q$1</f>
        <v>CH</v>
      </c>
      <c r="M93" t="str">
        <f>RdTRABYVals!R$1</f>
        <v>CY</v>
      </c>
      <c r="N93" t="str">
        <f>RdTRABYVals!S$1</f>
        <v>CZ</v>
      </c>
      <c r="O93" t="str">
        <f>RdTRABYVals!T$1</f>
        <v>DE</v>
      </c>
      <c r="P93" t="str">
        <f>RdTRABYVals!U$1</f>
        <v>DK</v>
      </c>
      <c r="Q93" t="str">
        <f>RdTRABYVals!V$1</f>
        <v>EE</v>
      </c>
      <c r="R93" t="str">
        <f>RdTRABYVals!W$1</f>
        <v>EL</v>
      </c>
      <c r="S93" t="str">
        <f>RdTRABYVals!X$1</f>
        <v>ES</v>
      </c>
      <c r="T93" t="str">
        <f>RdTRABYVals!Y$1</f>
        <v>FI</v>
      </c>
      <c r="U93" t="str">
        <f>RdTRABYVals!Z$1</f>
        <v>FR</v>
      </c>
      <c r="V93" t="str">
        <f>RdTRABYVals!AA$1</f>
        <v>HR</v>
      </c>
      <c r="W93" t="str">
        <f>RdTRABYVals!AB$1</f>
        <v>HU</v>
      </c>
      <c r="X93" t="str">
        <f>RdTRABYVals!AC$1</f>
        <v>IE</v>
      </c>
      <c r="Y93" t="str">
        <f>RdTRABYVals!AD$1</f>
        <v>IS</v>
      </c>
      <c r="Z93" t="str">
        <f>RdTRABYVals!AE$1</f>
        <v>IT</v>
      </c>
      <c r="AA93" t="str">
        <f>RdTRABYVals!AF$1</f>
        <v>KS</v>
      </c>
      <c r="AB93" t="str">
        <f>RdTRABYVals!AG$1</f>
        <v>LT</v>
      </c>
      <c r="AC93" t="str">
        <f>RdTRABYVals!AH$1</f>
        <v>LU</v>
      </c>
      <c r="AD93" t="str">
        <f>RdTRABYVals!AI$1</f>
        <v>LV</v>
      </c>
      <c r="AE93" t="str">
        <f>RdTRABYVals!AJ$1</f>
        <v>ME</v>
      </c>
      <c r="AF93" t="str">
        <f>RdTRABYVals!AK$1</f>
        <v>MK</v>
      </c>
      <c r="AG93" t="str">
        <f>RdTRABYVals!AL$1</f>
        <v>MT</v>
      </c>
      <c r="AH93" t="str">
        <f>RdTRABYVals!AM$1</f>
        <v>NL</v>
      </c>
      <c r="AI93" t="str">
        <f>RdTRABYVals!AN$1</f>
        <v>NO</v>
      </c>
      <c r="AJ93" t="str">
        <f>RdTRABYVals!AO$1</f>
        <v>PL</v>
      </c>
      <c r="AK93" t="str">
        <f>RdTRABYVals!AP$1</f>
        <v>PT</v>
      </c>
      <c r="AL93" t="str">
        <f>RdTRABYVals!AQ$1</f>
        <v>RO</v>
      </c>
      <c r="AM93" t="str">
        <f>RdTRABYVals!AR$1</f>
        <v>RS</v>
      </c>
      <c r="AN93" t="str">
        <f>RdTRABYVals!AS$1</f>
        <v>SE</v>
      </c>
      <c r="AO93" t="str">
        <f>RdTRABYVals!AT$1</f>
        <v>SI</v>
      </c>
      <c r="AP93" t="str">
        <f>RdTRABYVals!AU$1</f>
        <v>SK</v>
      </c>
      <c r="AQ93" t="str">
        <f>RdTRABYVals!AV$1</f>
        <v>UK</v>
      </c>
    </row>
    <row r="94" spans="1:82" ht="14.4">
      <c r="A94" s="3" t="s">
        <v>107</v>
      </c>
      <c r="C94" s="1" t="s">
        <v>29</v>
      </c>
      <c r="D94" t="str">
        <f>A94</f>
        <v>TRA_Bus_Cng_Coa*</v>
      </c>
      <c r="F94" t="str">
        <f>IF(AS94&lt;&gt;"","*"&amp;AS94,"")</f>
        <v>*0.04</v>
      </c>
      <c r="G94" t="str">
        <f t="shared" si="29" ref="G94:AQ100">IF(AT94&lt;&gt;"","*"&amp;AT94,"")</f>
        <v>*0.04</v>
      </c>
      <c r="H94" t="str">
        <f t="shared" si="29"/>
        <v>*0.04</v>
      </c>
      <c r="I94" t="str">
        <f t="shared" si="29"/>
        <v>*0.04</v>
      </c>
      <c r="J94" t="str">
        <f t="shared" si="29"/>
        <v>*0.04</v>
      </c>
      <c r="K94" t="str">
        <f t="shared" si="29"/>
        <v>*0.04</v>
      </c>
      <c r="L94" t="str">
        <f t="shared" si="29"/>
        <v>*0.04</v>
      </c>
      <c r="M94" t="str">
        <f t="shared" si="29"/>
        <v>*0.04</v>
      </c>
      <c r="N94" t="str">
        <f t="shared" si="29"/>
        <v>*0.04</v>
      </c>
      <c r="O94" t="str">
        <f t="shared" si="29"/>
        <v>*0.04</v>
      </c>
      <c r="P94" t="str">
        <f t="shared" si="29"/>
        <v>*0.04</v>
      </c>
      <c r="Q94" t="str">
        <f t="shared" si="29"/>
        <v>*0.04</v>
      </c>
      <c r="R94" t="str">
        <f t="shared" si="29"/>
        <v>*0.04</v>
      </c>
      <c r="S94" t="str">
        <f t="shared" si="29"/>
        <v>*0.04</v>
      </c>
      <c r="T94" t="str">
        <f t="shared" si="29"/>
        <v>*0.04</v>
      </c>
      <c r="U94" t="str">
        <f t="shared" si="29"/>
        <v>*0.04</v>
      </c>
      <c r="V94" t="str">
        <f t="shared" si="29"/>
        <v>*0.04</v>
      </c>
      <c r="W94" t="str">
        <f t="shared" si="29"/>
        <v>*0.04</v>
      </c>
      <c r="X94" t="str">
        <f t="shared" si="29"/>
        <v>*0.04</v>
      </c>
      <c r="Y94" t="str">
        <f t="shared" si="29"/>
        <v>*0.04</v>
      </c>
      <c r="Z94" t="str">
        <f t="shared" si="29"/>
        <v>*0.04</v>
      </c>
      <c r="AA94" t="str">
        <f t="shared" si="29"/>
        <v>*0.04</v>
      </c>
      <c r="AB94" t="str">
        <f t="shared" si="29"/>
        <v>*0.04</v>
      </c>
      <c r="AC94" t="str">
        <f t="shared" si="29"/>
        <v>*0.04</v>
      </c>
      <c r="AD94" t="str">
        <f t="shared" si="29"/>
        <v>*0.04</v>
      </c>
      <c r="AE94" t="str">
        <f t="shared" si="29"/>
        <v>*0.04</v>
      </c>
      <c r="AF94" t="str">
        <f t="shared" si="29"/>
        <v>*0.04</v>
      </c>
      <c r="AG94" t="str">
        <f t="shared" si="29"/>
        <v>*0.04</v>
      </c>
      <c r="AH94" t="str">
        <f t="shared" si="29"/>
        <v>*0.04</v>
      </c>
      <c r="AI94" t="str">
        <f t="shared" si="29"/>
        <v>*0.04</v>
      </c>
      <c r="AJ94" t="str">
        <f t="shared" si="29"/>
        <v>*0.04</v>
      </c>
      <c r="AK94" t="str">
        <f t="shared" si="29"/>
        <v>*0.04</v>
      </c>
      <c r="AL94" t="str">
        <f t="shared" si="29"/>
        <v>*0.04</v>
      </c>
      <c r="AM94" t="str">
        <f t="shared" si="29"/>
        <v>*0.04</v>
      </c>
      <c r="AN94" t="str">
        <f t="shared" si="29"/>
        <v>*0.04</v>
      </c>
      <c r="AO94" t="str">
        <f t="shared" si="29"/>
        <v>*0.04</v>
      </c>
      <c r="AP94" t="str">
        <f t="shared" si="29"/>
        <v>*0.04</v>
      </c>
      <c r="AQ94" t="str">
        <f t="shared" si="29"/>
        <v>*0.04</v>
      </c>
      <c r="AS94" s="6">
        <f>AVERAGE(AT94:CD94)</f>
        <v>0.040000000000000001</v>
      </c>
      <c r="AT94" s="6">
        <f>IFERROR(AVERAGEIFS(RdTRABYVals!L$2:L$999,RdTRABYVals!$B$2:$B$999,"="&amp;$C94,RdTRABYVals!$C$2:$C$999,"="&amp;INS!$A94),"")</f>
        <v>0.040000000000000001</v>
      </c>
      <c r="AU94" s="6">
        <f>IFERROR(AVERAGEIFS(RdTRABYVals!M$2:M$999,RdTRABYVals!$B$2:$B$999,"="&amp;$C94,RdTRABYVals!$C$2:$C$999,"="&amp;INS!$A94),"")</f>
        <v>0.040000000000000001</v>
      </c>
      <c r="AV94" s="6">
        <f>IFERROR(AVERAGEIFS(RdTRABYVals!N$2:N$999,RdTRABYVals!$B$2:$B$999,"="&amp;$C94,RdTRABYVals!$C$2:$C$999,"="&amp;INS!$A94),"")</f>
        <v>0.040000000000000001</v>
      </c>
      <c r="AW94" s="6">
        <f>IFERROR(AVERAGEIFS(RdTRABYVals!O$2:O$999,RdTRABYVals!$B$2:$B$999,"="&amp;$C94,RdTRABYVals!$C$2:$C$999,"="&amp;INS!$A94),"")</f>
        <v>0.040000000000000001</v>
      </c>
      <c r="AX94" s="6">
        <f>IFERROR(AVERAGEIFS(RdTRABYVals!P$2:P$999,RdTRABYVals!$B$2:$B$999,"="&amp;$C94,RdTRABYVals!$C$2:$C$999,"="&amp;INS!$A94),"")</f>
        <v>0.040000000000000001</v>
      </c>
      <c r="AY94" s="6">
        <f>IFERROR(AVERAGEIFS(RdTRABYVals!Q$2:Q$999,RdTRABYVals!$B$2:$B$999,"="&amp;$C94,RdTRABYVals!$C$2:$C$999,"="&amp;INS!$A94),"")</f>
        <v>0.040000000000000001</v>
      </c>
      <c r="AZ94" s="6">
        <f>IFERROR(AVERAGEIFS(RdTRABYVals!R$2:R$999,RdTRABYVals!$B$2:$B$999,"="&amp;$C94,RdTRABYVals!$C$2:$C$999,"="&amp;INS!$A94),"")</f>
        <v>0.040000000000000001</v>
      </c>
      <c r="BA94" s="6">
        <f>IFERROR(AVERAGEIFS(RdTRABYVals!S$2:S$999,RdTRABYVals!$B$2:$B$999,"="&amp;$C94,RdTRABYVals!$C$2:$C$999,"="&amp;INS!$A94),"")</f>
        <v>0.040000000000000001</v>
      </c>
      <c r="BB94" s="6">
        <f>IFERROR(AVERAGEIFS(RdTRABYVals!T$2:T$999,RdTRABYVals!$B$2:$B$999,"="&amp;$C94,RdTRABYVals!$C$2:$C$999,"="&amp;INS!$A94),"")</f>
        <v>0.040000000000000001</v>
      </c>
      <c r="BC94" s="6">
        <f>IFERROR(AVERAGEIFS(RdTRABYVals!U$2:U$999,RdTRABYVals!$B$2:$B$999,"="&amp;$C94,RdTRABYVals!$C$2:$C$999,"="&amp;INS!$A94),"")</f>
        <v>0.040000000000000001</v>
      </c>
      <c r="BD94" s="6">
        <f>IFERROR(AVERAGEIFS(RdTRABYVals!V$2:V$999,RdTRABYVals!$B$2:$B$999,"="&amp;$C94,RdTRABYVals!$C$2:$C$999,"="&amp;INS!$A94),"")</f>
        <v>0.040000000000000001</v>
      </c>
      <c r="BE94" s="6">
        <f>IFERROR(AVERAGEIFS(RdTRABYVals!W$2:W$999,RdTRABYVals!$B$2:$B$999,"="&amp;$C94,RdTRABYVals!$C$2:$C$999,"="&amp;INS!$A94),"")</f>
        <v>0.040000000000000001</v>
      </c>
      <c r="BF94" s="6">
        <f>IFERROR(AVERAGEIFS(RdTRABYVals!X$2:X$999,RdTRABYVals!$B$2:$B$999,"="&amp;$C94,RdTRABYVals!$C$2:$C$999,"="&amp;INS!$A94),"")</f>
        <v>0.040000000000000001</v>
      </c>
      <c r="BG94" s="6">
        <f>IFERROR(AVERAGEIFS(RdTRABYVals!Y$2:Y$999,RdTRABYVals!$B$2:$B$999,"="&amp;$C94,RdTRABYVals!$C$2:$C$999,"="&amp;INS!$A94),"")</f>
        <v>0.040000000000000001</v>
      </c>
      <c r="BH94" s="6">
        <f>IFERROR(AVERAGEIFS(RdTRABYVals!Z$2:Z$999,RdTRABYVals!$B$2:$B$999,"="&amp;$C94,RdTRABYVals!$C$2:$C$999,"="&amp;INS!$A94),"")</f>
        <v>0.040000000000000001</v>
      </c>
      <c r="BI94" s="6">
        <f>IFERROR(AVERAGEIFS(RdTRABYVals!AA$2:AA$999,RdTRABYVals!$B$2:$B$999,"="&amp;$C94,RdTRABYVals!$C$2:$C$999,"="&amp;INS!$A94),"")</f>
        <v>0.040000000000000001</v>
      </c>
      <c r="BJ94" s="6">
        <f>IFERROR(AVERAGEIFS(RdTRABYVals!AB$2:AB$999,RdTRABYVals!$B$2:$B$999,"="&amp;$C94,RdTRABYVals!$C$2:$C$999,"="&amp;INS!$A94),"")</f>
        <v>0.040000000000000001</v>
      </c>
      <c r="BK94" s="6">
        <f>IFERROR(AVERAGEIFS(RdTRABYVals!AC$2:AC$999,RdTRABYVals!$B$2:$B$999,"="&amp;$C94,RdTRABYVals!$C$2:$C$999,"="&amp;INS!$A94),"")</f>
        <v>0.040000000000000001</v>
      </c>
      <c r="BL94" s="6">
        <f>IFERROR(AVERAGEIFS(RdTRABYVals!AD$2:AD$999,RdTRABYVals!$B$2:$B$999,"="&amp;$C94,RdTRABYVals!$C$2:$C$999,"="&amp;INS!$A94),"")</f>
        <v>0.040000000000000001</v>
      </c>
      <c r="BM94" s="6">
        <f>IFERROR(AVERAGEIFS(RdTRABYVals!AE$2:AE$999,RdTRABYVals!$B$2:$B$999,"="&amp;$C94,RdTRABYVals!$C$2:$C$999,"="&amp;INS!$A94),"")</f>
        <v>0.040000000000000001</v>
      </c>
      <c r="BN94" s="6">
        <f>IFERROR(AVERAGEIFS(RdTRABYVals!AF$2:AF$999,RdTRABYVals!$B$2:$B$999,"="&amp;$C94,RdTRABYVals!$C$2:$C$999,"="&amp;INS!$A94),"")</f>
        <v>0.040000000000000001</v>
      </c>
      <c r="BO94" s="6">
        <f>IFERROR(AVERAGEIFS(RdTRABYVals!AG$2:AG$999,RdTRABYVals!$B$2:$B$999,"="&amp;$C94,RdTRABYVals!$C$2:$C$999,"="&amp;INS!$A94),"")</f>
        <v>0.040000000000000001</v>
      </c>
      <c r="BP94" s="6">
        <f>IFERROR(AVERAGEIFS(RdTRABYVals!AH$2:AH$999,RdTRABYVals!$B$2:$B$999,"="&amp;$C94,RdTRABYVals!$C$2:$C$999,"="&amp;INS!$A94),"")</f>
        <v>0.040000000000000001</v>
      </c>
      <c r="BQ94" s="6">
        <f>IFERROR(AVERAGEIFS(RdTRABYVals!AI$2:AI$999,RdTRABYVals!$B$2:$B$999,"="&amp;$C94,RdTRABYVals!$C$2:$C$999,"="&amp;INS!$A94),"")</f>
        <v>0.040000000000000001</v>
      </c>
      <c r="BR94" s="6">
        <f>IFERROR(AVERAGEIFS(RdTRABYVals!AJ$2:AJ$999,RdTRABYVals!$B$2:$B$999,"="&amp;$C94,RdTRABYVals!$C$2:$C$999,"="&amp;INS!$A94),"")</f>
        <v>0.040000000000000001</v>
      </c>
      <c r="BS94" s="6">
        <f>IFERROR(AVERAGEIFS(RdTRABYVals!AK$2:AK$999,RdTRABYVals!$B$2:$B$999,"="&amp;$C94,RdTRABYVals!$C$2:$C$999,"="&amp;INS!$A94),"")</f>
        <v>0.040000000000000001</v>
      </c>
      <c r="BT94" s="6">
        <f>IFERROR(AVERAGEIFS(RdTRABYVals!AL$2:AL$999,RdTRABYVals!$B$2:$B$999,"="&amp;$C94,RdTRABYVals!$C$2:$C$999,"="&amp;INS!$A94),"")</f>
        <v>0.040000000000000001</v>
      </c>
      <c r="BU94" s="6">
        <f>IFERROR(AVERAGEIFS(RdTRABYVals!AM$2:AM$999,RdTRABYVals!$B$2:$B$999,"="&amp;$C94,RdTRABYVals!$C$2:$C$999,"="&amp;INS!$A94),"")</f>
        <v>0.040000000000000001</v>
      </c>
      <c r="BV94" s="6">
        <f>IFERROR(AVERAGEIFS(RdTRABYVals!AN$2:AN$999,RdTRABYVals!$B$2:$B$999,"="&amp;$C94,RdTRABYVals!$C$2:$C$999,"="&amp;INS!$A94),"")</f>
        <v>0.040000000000000001</v>
      </c>
      <c r="BW94" s="6">
        <f>IFERROR(AVERAGEIFS(RdTRABYVals!AO$2:AO$999,RdTRABYVals!$B$2:$B$999,"="&amp;$C94,RdTRABYVals!$C$2:$C$999,"="&amp;INS!$A94),"")</f>
        <v>0.040000000000000001</v>
      </c>
      <c r="BX94" s="6">
        <f>IFERROR(AVERAGEIFS(RdTRABYVals!AP$2:AP$999,RdTRABYVals!$B$2:$B$999,"="&amp;$C94,RdTRABYVals!$C$2:$C$999,"="&amp;INS!$A94),"")</f>
        <v>0.040000000000000001</v>
      </c>
      <c r="BY94" s="6">
        <f>IFERROR(AVERAGEIFS(RdTRABYVals!AQ$2:AQ$999,RdTRABYVals!$B$2:$B$999,"="&amp;$C94,RdTRABYVals!$C$2:$C$999,"="&amp;INS!$A94),"")</f>
        <v>0.040000000000000001</v>
      </c>
      <c r="BZ94" s="6">
        <f>IFERROR(AVERAGEIFS(RdTRABYVals!AR$2:AR$999,RdTRABYVals!$B$2:$B$999,"="&amp;$C94,RdTRABYVals!$C$2:$C$999,"="&amp;INS!$A94),"")</f>
        <v>0.040000000000000001</v>
      </c>
      <c r="CA94" s="6">
        <f>IFERROR(AVERAGEIFS(RdTRABYVals!AS$2:AS$999,RdTRABYVals!$B$2:$B$999,"="&amp;$C94,RdTRABYVals!$C$2:$C$999,"="&amp;INS!$A94),"")</f>
        <v>0.040000000000000001</v>
      </c>
      <c r="CB94" s="6">
        <f>IFERROR(AVERAGEIFS(RdTRABYVals!AT$2:AT$999,RdTRABYVals!$B$2:$B$999,"="&amp;$C94,RdTRABYVals!$C$2:$C$999,"="&amp;INS!$A94),"")</f>
        <v>0.040000000000000001</v>
      </c>
      <c r="CC94" s="6">
        <f>IFERROR(AVERAGEIFS(RdTRABYVals!AU$2:AU$999,RdTRABYVals!$B$2:$B$999,"="&amp;$C94,RdTRABYVals!$C$2:$C$999,"="&amp;INS!$A94),"")</f>
        <v>0.040000000000000001</v>
      </c>
      <c r="CD94" s="6">
        <f>IFERROR(AVERAGEIFS(RdTRABYVals!AV$2:AV$999,RdTRABYVals!$B$2:$B$999,"="&amp;$C94,RdTRABYVals!$C$2:$C$999,"="&amp;INS!$A94),"")</f>
        <v>0.040000000000000001</v>
      </c>
    </row>
    <row r="95" spans="1:82" ht="14.4">
      <c r="A95" s="3" t="s">
        <v>108</v>
      </c>
      <c r="C95" s="1" t="s">
        <v>29</v>
      </c>
      <c r="D95" t="str">
        <f t="shared" si="30" ref="D95:D138">A95</f>
        <v>TRA_Bus_Cng_Urb*</v>
      </c>
      <c r="F95" t="str">
        <f t="shared" si="31" ref="F95:F158">IF(AS95&lt;&gt;"","*"&amp;AS95,"")</f>
        <v>*0.04</v>
      </c>
      <c r="G95" t="str">
        <f t="shared" si="29"/>
        <v>*0.04</v>
      </c>
      <c r="H95" t="str">
        <f t="shared" si="29"/>
        <v>*0.04</v>
      </c>
      <c r="I95" t="str">
        <f t="shared" si="29"/>
        <v>*0.04</v>
      </c>
      <c r="J95" t="str">
        <f t="shared" si="29"/>
        <v>*0.04</v>
      </c>
      <c r="K95" t="str">
        <f t="shared" si="29"/>
        <v>*0.04</v>
      </c>
      <c r="L95" t="str">
        <f t="shared" si="29"/>
        <v>*0.04</v>
      </c>
      <c r="M95" t="str">
        <f t="shared" si="29"/>
        <v>*0.04</v>
      </c>
      <c r="N95" t="str">
        <f t="shared" si="29"/>
        <v>*0.04</v>
      </c>
      <c r="O95" t="str">
        <f t="shared" si="29"/>
        <v>*0.04</v>
      </c>
      <c r="P95" t="str">
        <f t="shared" si="29"/>
        <v>*0.04</v>
      </c>
      <c r="Q95" t="str">
        <f t="shared" si="29"/>
        <v>*0.04</v>
      </c>
      <c r="R95" t="str">
        <f t="shared" si="29"/>
        <v>*0.04</v>
      </c>
      <c r="S95" t="str">
        <f t="shared" si="29"/>
        <v>*0.04</v>
      </c>
      <c r="T95" t="str">
        <f t="shared" si="29"/>
        <v>*0.04</v>
      </c>
      <c r="U95" t="str">
        <f t="shared" si="29"/>
        <v>*0.04</v>
      </c>
      <c r="V95" t="str">
        <f t="shared" si="29"/>
        <v>*0.04</v>
      </c>
      <c r="W95" t="str">
        <f t="shared" si="29"/>
        <v>*0.04</v>
      </c>
      <c r="X95" t="str">
        <f t="shared" si="29"/>
        <v>*0.04</v>
      </c>
      <c r="Y95" t="str">
        <f t="shared" si="29"/>
        <v>*0.04</v>
      </c>
      <c r="Z95" t="str">
        <f t="shared" si="29"/>
        <v>*0.04</v>
      </c>
      <c r="AA95" t="str">
        <f t="shared" si="29"/>
        <v>*0.04</v>
      </c>
      <c r="AB95" t="str">
        <f t="shared" si="29"/>
        <v>*0.04</v>
      </c>
      <c r="AC95" t="str">
        <f t="shared" si="29"/>
        <v>*0.04</v>
      </c>
      <c r="AD95" t="str">
        <f t="shared" si="29"/>
        <v>*0.04</v>
      </c>
      <c r="AE95" t="str">
        <f t="shared" si="29"/>
        <v>*0.04</v>
      </c>
      <c r="AF95" t="str">
        <f t="shared" si="29"/>
        <v>*0.04</v>
      </c>
      <c r="AG95" t="str">
        <f t="shared" si="29"/>
        <v>*0.04</v>
      </c>
      <c r="AH95" t="str">
        <f t="shared" si="29"/>
        <v>*0.04</v>
      </c>
      <c r="AI95" t="str">
        <f t="shared" si="29"/>
        <v>*0.04</v>
      </c>
      <c r="AJ95" t="str">
        <f t="shared" si="29"/>
        <v>*0.04</v>
      </c>
      <c r="AK95" t="str">
        <f t="shared" si="29"/>
        <v>*0.04</v>
      </c>
      <c r="AL95" t="str">
        <f t="shared" si="29"/>
        <v>*0.04</v>
      </c>
      <c r="AM95" t="str">
        <f t="shared" si="29"/>
        <v>*0.04</v>
      </c>
      <c r="AN95" t="str">
        <f t="shared" si="29"/>
        <v>*0.04</v>
      </c>
      <c r="AO95" t="str">
        <f t="shared" si="29"/>
        <v>*0.04</v>
      </c>
      <c r="AP95" t="str">
        <f t="shared" si="29"/>
        <v>*0.04</v>
      </c>
      <c r="AQ95" t="str">
        <f t="shared" si="29"/>
        <v>*0.04</v>
      </c>
      <c r="AS95" s="6">
        <f t="shared" si="32" ref="AS95:AS138">AVERAGE(AT95:CD95)</f>
        <v>0.040000000000000001</v>
      </c>
      <c r="AT95" s="6">
        <f>IFERROR(AVERAGEIFS(RdTRABYVals!L$2:L$999,RdTRABYVals!$B$2:$B$999,"="&amp;$C95,RdTRABYVals!$C$2:$C$999,"="&amp;INS!$A95),"")</f>
        <v>0.040000000000000001</v>
      </c>
      <c r="AU95" s="6">
        <f>IFERROR(AVERAGEIFS(RdTRABYVals!M$2:M$999,RdTRABYVals!$B$2:$B$999,"="&amp;$C95,RdTRABYVals!$C$2:$C$999,"="&amp;INS!$A95),"")</f>
        <v>0.040000000000000001</v>
      </c>
      <c r="AV95" s="6">
        <f>IFERROR(AVERAGEIFS(RdTRABYVals!N$2:N$999,RdTRABYVals!$B$2:$B$999,"="&amp;$C95,RdTRABYVals!$C$2:$C$999,"="&amp;INS!$A95),"")</f>
        <v>0.040000000000000001</v>
      </c>
      <c r="AW95" s="6">
        <f>IFERROR(AVERAGEIFS(RdTRABYVals!O$2:O$999,RdTRABYVals!$B$2:$B$999,"="&amp;$C95,RdTRABYVals!$C$2:$C$999,"="&amp;INS!$A95),"")</f>
        <v>0.040000000000000001</v>
      </c>
      <c r="AX95" s="6">
        <f>IFERROR(AVERAGEIFS(RdTRABYVals!P$2:P$999,RdTRABYVals!$B$2:$B$999,"="&amp;$C95,RdTRABYVals!$C$2:$C$999,"="&amp;INS!$A95),"")</f>
        <v>0.040000000000000001</v>
      </c>
      <c r="AY95" s="6">
        <f>IFERROR(AVERAGEIFS(RdTRABYVals!Q$2:Q$999,RdTRABYVals!$B$2:$B$999,"="&amp;$C95,RdTRABYVals!$C$2:$C$999,"="&amp;INS!$A95),"")</f>
        <v>0.040000000000000001</v>
      </c>
      <c r="AZ95" s="6">
        <f>IFERROR(AVERAGEIFS(RdTRABYVals!R$2:R$999,RdTRABYVals!$B$2:$B$999,"="&amp;$C95,RdTRABYVals!$C$2:$C$999,"="&amp;INS!$A95),"")</f>
        <v>0.040000000000000001</v>
      </c>
      <c r="BA95" s="6">
        <f>IFERROR(AVERAGEIFS(RdTRABYVals!S$2:S$999,RdTRABYVals!$B$2:$B$999,"="&amp;$C95,RdTRABYVals!$C$2:$C$999,"="&amp;INS!$A95),"")</f>
        <v>0.040000000000000001</v>
      </c>
      <c r="BB95" s="6">
        <f>IFERROR(AVERAGEIFS(RdTRABYVals!T$2:T$999,RdTRABYVals!$B$2:$B$999,"="&amp;$C95,RdTRABYVals!$C$2:$C$999,"="&amp;INS!$A95),"")</f>
        <v>0.040000000000000001</v>
      </c>
      <c r="BC95" s="6">
        <f>IFERROR(AVERAGEIFS(RdTRABYVals!U$2:U$999,RdTRABYVals!$B$2:$B$999,"="&amp;$C95,RdTRABYVals!$C$2:$C$999,"="&amp;INS!$A95),"")</f>
        <v>0.040000000000000001</v>
      </c>
      <c r="BD95" s="6">
        <f>IFERROR(AVERAGEIFS(RdTRABYVals!V$2:V$999,RdTRABYVals!$B$2:$B$999,"="&amp;$C95,RdTRABYVals!$C$2:$C$999,"="&amp;INS!$A95),"")</f>
        <v>0.040000000000000001</v>
      </c>
      <c r="BE95" s="6">
        <f>IFERROR(AVERAGEIFS(RdTRABYVals!W$2:W$999,RdTRABYVals!$B$2:$B$999,"="&amp;$C95,RdTRABYVals!$C$2:$C$999,"="&amp;INS!$A95),"")</f>
        <v>0.040000000000000001</v>
      </c>
      <c r="BF95" s="6">
        <f>IFERROR(AVERAGEIFS(RdTRABYVals!X$2:X$999,RdTRABYVals!$B$2:$B$999,"="&amp;$C95,RdTRABYVals!$C$2:$C$999,"="&amp;INS!$A95),"")</f>
        <v>0.040000000000000001</v>
      </c>
      <c r="BG95" s="6">
        <f>IFERROR(AVERAGEIFS(RdTRABYVals!Y$2:Y$999,RdTRABYVals!$B$2:$B$999,"="&amp;$C95,RdTRABYVals!$C$2:$C$999,"="&amp;INS!$A95),"")</f>
        <v>0.040000000000000001</v>
      </c>
      <c r="BH95" s="6">
        <f>IFERROR(AVERAGEIFS(RdTRABYVals!Z$2:Z$999,RdTRABYVals!$B$2:$B$999,"="&amp;$C95,RdTRABYVals!$C$2:$C$999,"="&amp;INS!$A95),"")</f>
        <v>0.040000000000000001</v>
      </c>
      <c r="BI95" s="6">
        <f>IFERROR(AVERAGEIFS(RdTRABYVals!AA$2:AA$999,RdTRABYVals!$B$2:$B$999,"="&amp;$C95,RdTRABYVals!$C$2:$C$999,"="&amp;INS!$A95),"")</f>
        <v>0.040000000000000001</v>
      </c>
      <c r="BJ95" s="6">
        <f>IFERROR(AVERAGEIFS(RdTRABYVals!AB$2:AB$999,RdTRABYVals!$B$2:$B$999,"="&amp;$C95,RdTRABYVals!$C$2:$C$999,"="&amp;INS!$A95),"")</f>
        <v>0.040000000000000001</v>
      </c>
      <c r="BK95" s="6">
        <f>IFERROR(AVERAGEIFS(RdTRABYVals!AC$2:AC$999,RdTRABYVals!$B$2:$B$999,"="&amp;$C95,RdTRABYVals!$C$2:$C$999,"="&amp;INS!$A95),"")</f>
        <v>0.040000000000000001</v>
      </c>
      <c r="BL95" s="6">
        <f>IFERROR(AVERAGEIFS(RdTRABYVals!AD$2:AD$999,RdTRABYVals!$B$2:$B$999,"="&amp;$C95,RdTRABYVals!$C$2:$C$999,"="&amp;INS!$A95),"")</f>
        <v>0.040000000000000001</v>
      </c>
      <c r="BM95" s="6">
        <f>IFERROR(AVERAGEIFS(RdTRABYVals!AE$2:AE$999,RdTRABYVals!$B$2:$B$999,"="&amp;$C95,RdTRABYVals!$C$2:$C$999,"="&amp;INS!$A95),"")</f>
        <v>0.040000000000000001</v>
      </c>
      <c r="BN95" s="6">
        <f>IFERROR(AVERAGEIFS(RdTRABYVals!AF$2:AF$999,RdTRABYVals!$B$2:$B$999,"="&amp;$C95,RdTRABYVals!$C$2:$C$999,"="&amp;INS!$A95),"")</f>
        <v>0.040000000000000001</v>
      </c>
      <c r="BO95" s="6">
        <f>IFERROR(AVERAGEIFS(RdTRABYVals!AG$2:AG$999,RdTRABYVals!$B$2:$B$999,"="&amp;$C95,RdTRABYVals!$C$2:$C$999,"="&amp;INS!$A95),"")</f>
        <v>0.040000000000000001</v>
      </c>
      <c r="BP95" s="6">
        <f>IFERROR(AVERAGEIFS(RdTRABYVals!AH$2:AH$999,RdTRABYVals!$B$2:$B$999,"="&amp;$C95,RdTRABYVals!$C$2:$C$999,"="&amp;INS!$A95),"")</f>
        <v>0.040000000000000001</v>
      </c>
      <c r="BQ95" s="6">
        <f>IFERROR(AVERAGEIFS(RdTRABYVals!AI$2:AI$999,RdTRABYVals!$B$2:$B$999,"="&amp;$C95,RdTRABYVals!$C$2:$C$999,"="&amp;INS!$A95),"")</f>
        <v>0.040000000000000001</v>
      </c>
      <c r="BR95" s="6">
        <f>IFERROR(AVERAGEIFS(RdTRABYVals!AJ$2:AJ$999,RdTRABYVals!$B$2:$B$999,"="&amp;$C95,RdTRABYVals!$C$2:$C$999,"="&amp;INS!$A95),"")</f>
        <v>0.040000000000000001</v>
      </c>
      <c r="BS95" s="6">
        <f>IFERROR(AVERAGEIFS(RdTRABYVals!AK$2:AK$999,RdTRABYVals!$B$2:$B$999,"="&amp;$C95,RdTRABYVals!$C$2:$C$999,"="&amp;INS!$A95),"")</f>
        <v>0.040000000000000001</v>
      </c>
      <c r="BT95" s="6">
        <f>IFERROR(AVERAGEIFS(RdTRABYVals!AL$2:AL$999,RdTRABYVals!$B$2:$B$999,"="&amp;$C95,RdTRABYVals!$C$2:$C$999,"="&amp;INS!$A95),"")</f>
        <v>0.040000000000000001</v>
      </c>
      <c r="BU95" s="6">
        <f>IFERROR(AVERAGEIFS(RdTRABYVals!AM$2:AM$999,RdTRABYVals!$B$2:$B$999,"="&amp;$C95,RdTRABYVals!$C$2:$C$999,"="&amp;INS!$A95),"")</f>
        <v>0.040000000000000001</v>
      </c>
      <c r="BV95" s="6">
        <f>IFERROR(AVERAGEIFS(RdTRABYVals!AN$2:AN$999,RdTRABYVals!$B$2:$B$999,"="&amp;$C95,RdTRABYVals!$C$2:$C$999,"="&amp;INS!$A95),"")</f>
        <v>0.040000000000000001</v>
      </c>
      <c r="BW95" s="6">
        <f>IFERROR(AVERAGEIFS(RdTRABYVals!AO$2:AO$999,RdTRABYVals!$B$2:$B$999,"="&amp;$C95,RdTRABYVals!$C$2:$C$999,"="&amp;INS!$A95),"")</f>
        <v>0.040000000000000001</v>
      </c>
      <c r="BX95" s="6">
        <f>IFERROR(AVERAGEIFS(RdTRABYVals!AP$2:AP$999,RdTRABYVals!$B$2:$B$999,"="&amp;$C95,RdTRABYVals!$C$2:$C$999,"="&amp;INS!$A95),"")</f>
        <v>0.040000000000000001</v>
      </c>
      <c r="BY95" s="6">
        <f>IFERROR(AVERAGEIFS(RdTRABYVals!AQ$2:AQ$999,RdTRABYVals!$B$2:$B$999,"="&amp;$C95,RdTRABYVals!$C$2:$C$999,"="&amp;INS!$A95),"")</f>
        <v>0.040000000000000001</v>
      </c>
      <c r="BZ95" s="6">
        <f>IFERROR(AVERAGEIFS(RdTRABYVals!AR$2:AR$999,RdTRABYVals!$B$2:$B$999,"="&amp;$C95,RdTRABYVals!$C$2:$C$999,"="&amp;INS!$A95),"")</f>
        <v>0.040000000000000001</v>
      </c>
      <c r="CA95" s="6">
        <f>IFERROR(AVERAGEIFS(RdTRABYVals!AS$2:AS$999,RdTRABYVals!$B$2:$B$999,"="&amp;$C95,RdTRABYVals!$C$2:$C$999,"="&amp;INS!$A95),"")</f>
        <v>0.040000000000000001</v>
      </c>
      <c r="CB95" s="6">
        <f>IFERROR(AVERAGEIFS(RdTRABYVals!AT$2:AT$999,RdTRABYVals!$B$2:$B$999,"="&amp;$C95,RdTRABYVals!$C$2:$C$999,"="&amp;INS!$A95),"")</f>
        <v>0.040000000000000001</v>
      </c>
      <c r="CC95" s="6">
        <f>IFERROR(AVERAGEIFS(RdTRABYVals!AU$2:AU$999,RdTRABYVals!$B$2:$B$999,"="&amp;$C95,RdTRABYVals!$C$2:$C$999,"="&amp;INS!$A95),"")</f>
        <v>0.040000000000000001</v>
      </c>
      <c r="CD95" s="6">
        <f>IFERROR(AVERAGEIFS(RdTRABYVals!AV$2:AV$999,RdTRABYVals!$B$2:$B$999,"="&amp;$C95,RdTRABYVals!$C$2:$C$999,"="&amp;INS!$A95),"")</f>
        <v>0.040000000000000001</v>
      </c>
    </row>
    <row r="96" spans="1:82" ht="14.4">
      <c r="A96" s="3" t="s">
        <v>109</v>
      </c>
      <c r="C96" s="1" t="s">
        <v>29</v>
      </c>
      <c r="D96" t="str">
        <f t="shared" si="30"/>
        <v>TRA_Bus_Dis_Coa*</v>
      </c>
      <c r="F96" t="str">
        <f t="shared" si="31"/>
        <v>*0.0956756756756757</v>
      </c>
      <c r="G96" t="str">
        <f t="shared" si="29"/>
        <v>*0.11</v>
      </c>
      <c r="H96" t="str">
        <f t="shared" si="29"/>
        <v>*0.09</v>
      </c>
      <c r="I96" t="str">
        <f t="shared" si="29"/>
        <v>*0.09</v>
      </c>
      <c r="J96" t="str">
        <f t="shared" si="29"/>
        <v>*0.08</v>
      </c>
      <c r="K96" t="str">
        <f t="shared" si="29"/>
        <v>*0.1</v>
      </c>
      <c r="L96" t="str">
        <f t="shared" si="29"/>
        <v>*0.08</v>
      </c>
      <c r="M96" t="str">
        <f t="shared" si="29"/>
        <v>*0.1</v>
      </c>
      <c r="N96" t="str">
        <f t="shared" si="29"/>
        <v>*0.11</v>
      </c>
      <c r="O96" t="str">
        <f t="shared" si="29"/>
        <v>*0.11</v>
      </c>
      <c r="P96" t="str">
        <f t="shared" si="29"/>
        <v>*0.09</v>
      </c>
      <c r="Q96" t="str">
        <f t="shared" si="29"/>
        <v>*0.1</v>
      </c>
      <c r="R96" t="str">
        <f t="shared" si="29"/>
        <v>*0.11</v>
      </c>
      <c r="S96" t="str">
        <f t="shared" si="29"/>
        <v>*0.1</v>
      </c>
      <c r="T96" t="str">
        <f t="shared" si="29"/>
        <v>*0.11</v>
      </c>
      <c r="U96" t="str">
        <f t="shared" si="29"/>
        <v>*0.09</v>
      </c>
      <c r="V96" t="str">
        <f t="shared" si="29"/>
        <v>*0.09</v>
      </c>
      <c r="W96" t="str">
        <f t="shared" si="29"/>
        <v>*0.09</v>
      </c>
      <c r="X96" t="str">
        <f t="shared" si="29"/>
        <v>*0.1</v>
      </c>
      <c r="Y96" t="str">
        <f t="shared" si="29"/>
        <v>*0.1</v>
      </c>
      <c r="Z96" t="str">
        <f t="shared" si="29"/>
        <v>*0.1</v>
      </c>
      <c r="AA96" t="str">
        <f t="shared" si="29"/>
        <v>*0.09</v>
      </c>
      <c r="AB96" t="str">
        <f t="shared" si="29"/>
        <v>*0.07</v>
      </c>
      <c r="AC96" t="str">
        <f t="shared" si="29"/>
        <v>*0.08</v>
      </c>
      <c r="AD96" t="str">
        <f t="shared" si="29"/>
        <v>*0.11</v>
      </c>
      <c r="AE96" t="str">
        <f t="shared" si="29"/>
        <v>*0.11</v>
      </c>
      <c r="AF96" t="str">
        <f t="shared" si="29"/>
        <v>*0.09</v>
      </c>
      <c r="AG96" t="str">
        <f t="shared" si="29"/>
        <v>*0.1</v>
      </c>
      <c r="AH96" t="str">
        <f t="shared" si="29"/>
        <v>*0.09</v>
      </c>
      <c r="AI96" t="str">
        <f t="shared" si="29"/>
        <v>*0.11</v>
      </c>
      <c r="AJ96" t="str">
        <f t="shared" si="29"/>
        <v>*0.09</v>
      </c>
      <c r="AK96" t="str">
        <f t="shared" si="29"/>
        <v>*0.1</v>
      </c>
      <c r="AL96" t="str">
        <f t="shared" si="29"/>
        <v>*0.1</v>
      </c>
      <c r="AM96" t="str">
        <f t="shared" si="29"/>
        <v>*0.09</v>
      </c>
      <c r="AN96" t="str">
        <f t="shared" si="29"/>
        <v>*0.1</v>
      </c>
      <c r="AO96" t="str">
        <f t="shared" si="29"/>
        <v>*0.09</v>
      </c>
      <c r="AP96" t="str">
        <f t="shared" si="29"/>
        <v>*0.11</v>
      </c>
      <c r="AQ96" t="str">
        <f t="shared" si="29"/>
        <v>*0.06</v>
      </c>
      <c r="AS96" s="6">
        <f t="shared" si="32"/>
        <v>0.09567567567567567</v>
      </c>
      <c r="AT96" s="6">
        <f>IFERROR(AVERAGEIFS(RdTRABYVals!L$2:L$999,RdTRABYVals!$B$2:$B$999,"="&amp;$C96,RdTRABYVals!$C$2:$C$999,"="&amp;INS!$A96),"")</f>
        <v>0.11</v>
      </c>
      <c r="AU96" s="6">
        <f>IFERROR(AVERAGEIFS(RdTRABYVals!M$2:M$999,RdTRABYVals!$B$2:$B$999,"="&amp;$C96,RdTRABYVals!$C$2:$C$999,"="&amp;INS!$A96),"")</f>
        <v>0.089999999999999997</v>
      </c>
      <c r="AV96" s="6">
        <f>IFERROR(AVERAGEIFS(RdTRABYVals!N$2:N$999,RdTRABYVals!$B$2:$B$999,"="&amp;$C96,RdTRABYVals!$C$2:$C$999,"="&amp;INS!$A96),"")</f>
        <v>0.089999999999999997</v>
      </c>
      <c r="AW96" s="6">
        <f>IFERROR(AVERAGEIFS(RdTRABYVals!O$2:O$999,RdTRABYVals!$B$2:$B$999,"="&amp;$C96,RdTRABYVals!$C$2:$C$999,"="&amp;INS!$A96),"")</f>
        <v>0.080000000000000002</v>
      </c>
      <c r="AX96" s="6">
        <f>IFERROR(AVERAGEIFS(RdTRABYVals!P$2:P$999,RdTRABYVals!$B$2:$B$999,"="&amp;$C96,RdTRABYVals!$C$2:$C$999,"="&amp;INS!$A96),"")</f>
        <v>0.10000000000000001</v>
      </c>
      <c r="AY96" s="6">
        <f>IFERROR(AVERAGEIFS(RdTRABYVals!Q$2:Q$999,RdTRABYVals!$B$2:$B$999,"="&amp;$C96,RdTRABYVals!$C$2:$C$999,"="&amp;INS!$A96),"")</f>
        <v>0.080000000000000002</v>
      </c>
      <c r="AZ96" s="6">
        <f>IFERROR(AVERAGEIFS(RdTRABYVals!R$2:R$999,RdTRABYVals!$B$2:$B$999,"="&amp;$C96,RdTRABYVals!$C$2:$C$999,"="&amp;INS!$A96),"")</f>
        <v>0.10000000000000001</v>
      </c>
      <c r="BA96" s="6">
        <f>IFERROR(AVERAGEIFS(RdTRABYVals!S$2:S$999,RdTRABYVals!$B$2:$B$999,"="&amp;$C96,RdTRABYVals!$C$2:$C$999,"="&amp;INS!$A96),"")</f>
        <v>0.11</v>
      </c>
      <c r="BB96" s="6">
        <f>IFERROR(AVERAGEIFS(RdTRABYVals!T$2:T$999,RdTRABYVals!$B$2:$B$999,"="&amp;$C96,RdTRABYVals!$C$2:$C$999,"="&amp;INS!$A96),"")</f>
        <v>0.11</v>
      </c>
      <c r="BC96" s="6">
        <f>IFERROR(AVERAGEIFS(RdTRABYVals!U$2:U$999,RdTRABYVals!$B$2:$B$999,"="&amp;$C96,RdTRABYVals!$C$2:$C$999,"="&amp;INS!$A96),"")</f>
        <v>0.089999999999999997</v>
      </c>
      <c r="BD96" s="6">
        <f>IFERROR(AVERAGEIFS(RdTRABYVals!V$2:V$999,RdTRABYVals!$B$2:$B$999,"="&amp;$C96,RdTRABYVals!$C$2:$C$999,"="&amp;INS!$A96),"")</f>
        <v>0.10000000000000001</v>
      </c>
      <c r="BE96" s="6">
        <f>IFERROR(AVERAGEIFS(RdTRABYVals!W$2:W$999,RdTRABYVals!$B$2:$B$999,"="&amp;$C96,RdTRABYVals!$C$2:$C$999,"="&amp;INS!$A96),"")</f>
        <v>0.11</v>
      </c>
      <c r="BF96" s="6">
        <f>IFERROR(AVERAGEIFS(RdTRABYVals!X$2:X$999,RdTRABYVals!$B$2:$B$999,"="&amp;$C96,RdTRABYVals!$C$2:$C$999,"="&amp;INS!$A96),"")</f>
        <v>0.10000000000000001</v>
      </c>
      <c r="BG96" s="6">
        <f>IFERROR(AVERAGEIFS(RdTRABYVals!Y$2:Y$999,RdTRABYVals!$B$2:$B$999,"="&amp;$C96,RdTRABYVals!$C$2:$C$999,"="&amp;INS!$A96),"")</f>
        <v>0.11</v>
      </c>
      <c r="BH96" s="6">
        <f>IFERROR(AVERAGEIFS(RdTRABYVals!Z$2:Z$999,RdTRABYVals!$B$2:$B$999,"="&amp;$C96,RdTRABYVals!$C$2:$C$999,"="&amp;INS!$A96),"")</f>
        <v>0.089999999999999997</v>
      </c>
      <c r="BI96" s="6">
        <f>IFERROR(AVERAGEIFS(RdTRABYVals!AA$2:AA$999,RdTRABYVals!$B$2:$B$999,"="&amp;$C96,RdTRABYVals!$C$2:$C$999,"="&amp;INS!$A96),"")</f>
        <v>0.089999999999999997</v>
      </c>
      <c r="BJ96" s="6">
        <f>IFERROR(AVERAGEIFS(RdTRABYVals!AB$2:AB$999,RdTRABYVals!$B$2:$B$999,"="&amp;$C96,RdTRABYVals!$C$2:$C$999,"="&amp;INS!$A96),"")</f>
        <v>0.089999999999999997</v>
      </c>
      <c r="BK96" s="6">
        <f>IFERROR(AVERAGEIFS(RdTRABYVals!AC$2:AC$999,RdTRABYVals!$B$2:$B$999,"="&amp;$C96,RdTRABYVals!$C$2:$C$999,"="&amp;INS!$A96),"")</f>
        <v>0.10000000000000001</v>
      </c>
      <c r="BL96" s="6">
        <f>IFERROR(AVERAGEIFS(RdTRABYVals!AD$2:AD$999,RdTRABYVals!$B$2:$B$999,"="&amp;$C96,RdTRABYVals!$C$2:$C$999,"="&amp;INS!$A96),"")</f>
        <v>0.10000000000000001</v>
      </c>
      <c r="BM96" s="6">
        <f>IFERROR(AVERAGEIFS(RdTRABYVals!AE$2:AE$999,RdTRABYVals!$B$2:$B$999,"="&amp;$C96,RdTRABYVals!$C$2:$C$999,"="&amp;INS!$A96),"")</f>
        <v>0.10000000000000001</v>
      </c>
      <c r="BN96" s="6">
        <f>IFERROR(AVERAGEIFS(RdTRABYVals!AF$2:AF$999,RdTRABYVals!$B$2:$B$999,"="&amp;$C96,RdTRABYVals!$C$2:$C$999,"="&amp;INS!$A96),"")</f>
        <v>0.089999999999999997</v>
      </c>
      <c r="BO96" s="6">
        <f>IFERROR(AVERAGEIFS(RdTRABYVals!AG$2:AG$999,RdTRABYVals!$B$2:$B$999,"="&amp;$C96,RdTRABYVals!$C$2:$C$999,"="&amp;INS!$A96),"")</f>
        <v>0.070000000000000007</v>
      </c>
      <c r="BP96" s="6">
        <f>IFERROR(AVERAGEIFS(RdTRABYVals!AH$2:AH$999,RdTRABYVals!$B$2:$B$999,"="&amp;$C96,RdTRABYVals!$C$2:$C$999,"="&amp;INS!$A96),"")</f>
        <v>0.080000000000000002</v>
      </c>
      <c r="BQ96" s="6">
        <f>IFERROR(AVERAGEIFS(RdTRABYVals!AI$2:AI$999,RdTRABYVals!$B$2:$B$999,"="&amp;$C96,RdTRABYVals!$C$2:$C$999,"="&amp;INS!$A96),"")</f>
        <v>0.11</v>
      </c>
      <c r="BR96" s="6">
        <f>IFERROR(AVERAGEIFS(RdTRABYVals!AJ$2:AJ$999,RdTRABYVals!$B$2:$B$999,"="&amp;$C96,RdTRABYVals!$C$2:$C$999,"="&amp;INS!$A96),"")</f>
        <v>0.11</v>
      </c>
      <c r="BS96" s="6">
        <f>IFERROR(AVERAGEIFS(RdTRABYVals!AK$2:AK$999,RdTRABYVals!$B$2:$B$999,"="&amp;$C96,RdTRABYVals!$C$2:$C$999,"="&amp;INS!$A96),"")</f>
        <v>0.089999999999999997</v>
      </c>
      <c r="BT96" s="6">
        <f>IFERROR(AVERAGEIFS(RdTRABYVals!AL$2:AL$999,RdTRABYVals!$B$2:$B$999,"="&amp;$C96,RdTRABYVals!$C$2:$C$999,"="&amp;INS!$A96),"")</f>
        <v>0.10000000000000001</v>
      </c>
      <c r="BU96" s="6">
        <f>IFERROR(AVERAGEIFS(RdTRABYVals!AM$2:AM$999,RdTRABYVals!$B$2:$B$999,"="&amp;$C96,RdTRABYVals!$C$2:$C$999,"="&amp;INS!$A96),"")</f>
        <v>0.089999999999999997</v>
      </c>
      <c r="BV96" s="6">
        <f>IFERROR(AVERAGEIFS(RdTRABYVals!AN$2:AN$999,RdTRABYVals!$B$2:$B$999,"="&amp;$C96,RdTRABYVals!$C$2:$C$999,"="&amp;INS!$A96),"")</f>
        <v>0.11</v>
      </c>
      <c r="BW96" s="6">
        <f>IFERROR(AVERAGEIFS(RdTRABYVals!AO$2:AO$999,RdTRABYVals!$B$2:$B$999,"="&amp;$C96,RdTRABYVals!$C$2:$C$999,"="&amp;INS!$A96),"")</f>
        <v>0.089999999999999997</v>
      </c>
      <c r="BX96" s="6">
        <f>IFERROR(AVERAGEIFS(RdTRABYVals!AP$2:AP$999,RdTRABYVals!$B$2:$B$999,"="&amp;$C96,RdTRABYVals!$C$2:$C$999,"="&amp;INS!$A96),"")</f>
        <v>0.10000000000000001</v>
      </c>
      <c r="BY96" s="6">
        <f>IFERROR(AVERAGEIFS(RdTRABYVals!AQ$2:AQ$999,RdTRABYVals!$B$2:$B$999,"="&amp;$C96,RdTRABYVals!$C$2:$C$999,"="&amp;INS!$A96),"")</f>
        <v>0.10000000000000001</v>
      </c>
      <c r="BZ96" s="6">
        <f>IFERROR(AVERAGEIFS(RdTRABYVals!AR$2:AR$999,RdTRABYVals!$B$2:$B$999,"="&amp;$C96,RdTRABYVals!$C$2:$C$999,"="&amp;INS!$A96),"")</f>
        <v>0.089999999999999997</v>
      </c>
      <c r="CA96" s="6">
        <f>IFERROR(AVERAGEIFS(RdTRABYVals!AS$2:AS$999,RdTRABYVals!$B$2:$B$999,"="&amp;$C96,RdTRABYVals!$C$2:$C$999,"="&amp;INS!$A96),"")</f>
        <v>0.10000000000000001</v>
      </c>
      <c r="CB96" s="6">
        <f>IFERROR(AVERAGEIFS(RdTRABYVals!AT$2:AT$999,RdTRABYVals!$B$2:$B$999,"="&amp;$C96,RdTRABYVals!$C$2:$C$999,"="&amp;INS!$A96),"")</f>
        <v>0.089999999999999997</v>
      </c>
      <c r="CC96" s="6">
        <f>IFERROR(AVERAGEIFS(RdTRABYVals!AU$2:AU$999,RdTRABYVals!$B$2:$B$999,"="&amp;$C96,RdTRABYVals!$C$2:$C$999,"="&amp;INS!$A96),"")</f>
        <v>0.11</v>
      </c>
      <c r="CD96" s="6">
        <f>IFERROR(AVERAGEIFS(RdTRABYVals!AV$2:AV$999,RdTRABYVals!$B$2:$B$999,"="&amp;$C96,RdTRABYVals!$C$2:$C$999,"="&amp;INS!$A96),"")</f>
        <v>0.059999999999999998</v>
      </c>
    </row>
    <row r="97" spans="1:82" ht="14.4">
      <c r="A97" s="3" t="s">
        <v>110</v>
      </c>
      <c r="C97" s="1" t="s">
        <v>29</v>
      </c>
      <c r="D97" t="str">
        <f t="shared" si="30"/>
        <v>TRA_Bus_Dis_Urb*</v>
      </c>
      <c r="F97" t="str">
        <f t="shared" si="31"/>
        <v>*0.0847222222222222</v>
      </c>
      <c r="G97" t="str">
        <f t="shared" si="29"/>
        <v>*0.08</v>
      </c>
      <c r="H97" t="str">
        <f t="shared" si="29"/>
        <v>*0.1</v>
      </c>
      <c r="I97" t="str">
        <f t="shared" si="29"/>
        <v>*0.1</v>
      </c>
      <c r="J97" t="str">
        <f t="shared" si="29"/>
        <v>*0.09</v>
      </c>
      <c r="K97" t="str">
        <f t="shared" si="29"/>
        <v>*0.06</v>
      </c>
      <c r="L97" t="str">
        <f t="shared" si="29"/>
        <v>*0.09</v>
      </c>
      <c r="M97" t="str">
        <f t="shared" si="29"/>
        <v>*0.08</v>
      </c>
      <c r="N97" t="str">
        <f t="shared" si="29"/>
        <v>*0.08</v>
      </c>
      <c r="O97" t="str">
        <f t="shared" si="29"/>
        <v>*0.08</v>
      </c>
      <c r="P97" t="str">
        <f t="shared" si="29"/>
        <v>*0.09</v>
      </c>
      <c r="Q97" t="str">
        <f t="shared" si="29"/>
        <v>*0.0847222222222223</v>
      </c>
      <c r="R97" t="str">
        <f t="shared" si="29"/>
        <v>*0.08</v>
      </c>
      <c r="S97" t="str">
        <f t="shared" si="29"/>
        <v>*0.07</v>
      </c>
      <c r="T97" t="str">
        <f t="shared" si="29"/>
        <v>*0.08</v>
      </c>
      <c r="U97" t="str">
        <f t="shared" si="29"/>
        <v>*0.08</v>
      </c>
      <c r="V97" t="str">
        <f t="shared" si="29"/>
        <v>*0.1</v>
      </c>
      <c r="W97" t="str">
        <f t="shared" si="29"/>
        <v>*0.08</v>
      </c>
      <c r="X97" t="str">
        <f t="shared" si="29"/>
        <v>*0.1</v>
      </c>
      <c r="Y97" t="str">
        <f t="shared" si="29"/>
        <v>*0.08</v>
      </c>
      <c r="Z97" t="str">
        <f t="shared" si="29"/>
        <v>*0.07</v>
      </c>
      <c r="AA97" t="str">
        <f t="shared" si="29"/>
        <v>*0.1</v>
      </c>
      <c r="AB97" t="str">
        <f t="shared" si="29"/>
        <v>*0.1</v>
      </c>
      <c r="AC97" t="str">
        <f t="shared" si="29"/>
        <v>*0.09</v>
      </c>
      <c r="AD97" t="str">
        <f t="shared" si="29"/>
        <v>*0.09</v>
      </c>
      <c r="AE97" t="str">
        <f t="shared" si="29"/>
        <v>*0.08</v>
      </c>
      <c r="AF97" t="str">
        <f t="shared" si="29"/>
        <v>*0.1</v>
      </c>
      <c r="AG97" t="str">
        <f t="shared" si="29"/>
        <v>*0.08</v>
      </c>
      <c r="AH97" t="str">
        <f t="shared" si="29"/>
        <v>*0.09</v>
      </c>
      <c r="AI97" t="str">
        <f t="shared" si="29"/>
        <v>*0.08</v>
      </c>
      <c r="AJ97" t="str">
        <f t="shared" si="29"/>
        <v>*0.08</v>
      </c>
      <c r="AK97" t="str">
        <f t="shared" si="29"/>
        <v>*0.07</v>
      </c>
      <c r="AL97" t="str">
        <f t="shared" si="29"/>
        <v>*0.06</v>
      </c>
      <c r="AM97" t="str">
        <f t="shared" si="29"/>
        <v>*0.1</v>
      </c>
      <c r="AN97" t="str">
        <f t="shared" si="29"/>
        <v>*0.08</v>
      </c>
      <c r="AO97" t="str">
        <f t="shared" si="29"/>
        <v>*0.1</v>
      </c>
      <c r="AP97" t="str">
        <f t="shared" si="29"/>
        <v>*0.08</v>
      </c>
      <c r="AQ97" t="str">
        <f t="shared" si="29"/>
        <v>*0.08</v>
      </c>
      <c r="AS97" s="6">
        <f t="shared" si="32"/>
        <v>0.08472222222222224</v>
      </c>
      <c r="AT97" s="6">
        <f>IFERROR(AVERAGEIFS(RdTRABYVals!L$2:L$999,RdTRABYVals!$B$2:$B$999,"="&amp;$C97,RdTRABYVals!$C$2:$C$999,"="&amp;INS!$A97),"")</f>
        <v>0.080000000000000002</v>
      </c>
      <c r="AU97" s="6">
        <f>IFERROR(AVERAGEIFS(RdTRABYVals!M$2:M$999,RdTRABYVals!$B$2:$B$999,"="&amp;$C97,RdTRABYVals!$C$2:$C$999,"="&amp;INS!$A97),"")</f>
        <v>0.10000000000000001</v>
      </c>
      <c r="AV97" s="6">
        <f>IFERROR(AVERAGEIFS(RdTRABYVals!N$2:N$999,RdTRABYVals!$B$2:$B$999,"="&amp;$C97,RdTRABYVals!$C$2:$C$999,"="&amp;INS!$A97),"")</f>
        <v>0.10000000000000001</v>
      </c>
      <c r="AW97" s="6">
        <f>IFERROR(AVERAGEIFS(RdTRABYVals!O$2:O$999,RdTRABYVals!$B$2:$B$999,"="&amp;$C97,RdTRABYVals!$C$2:$C$999,"="&amp;INS!$A97),"")</f>
        <v>0.089999999999999997</v>
      </c>
      <c r="AX97" s="6">
        <f>IFERROR(AVERAGEIFS(RdTRABYVals!P$2:P$999,RdTRABYVals!$B$2:$B$999,"="&amp;$C97,RdTRABYVals!$C$2:$C$999,"="&amp;INS!$A97),"")</f>
        <v>0.059999999999999998</v>
      </c>
      <c r="AY97" s="6">
        <f>IFERROR(AVERAGEIFS(RdTRABYVals!Q$2:Q$999,RdTRABYVals!$B$2:$B$999,"="&amp;$C97,RdTRABYVals!$C$2:$C$999,"="&amp;INS!$A97),"")</f>
        <v>0.089999999999999997</v>
      </c>
      <c r="AZ97" s="6">
        <f>IFERROR(AVERAGEIFS(RdTRABYVals!R$2:R$999,RdTRABYVals!$B$2:$B$999,"="&amp;$C97,RdTRABYVals!$C$2:$C$999,"="&amp;INS!$A97),"")</f>
        <v>0.080000000000000002</v>
      </c>
      <c r="BA97" s="6">
        <f>IFERROR(AVERAGEIFS(RdTRABYVals!S$2:S$999,RdTRABYVals!$B$2:$B$999,"="&amp;$C97,RdTRABYVals!$C$2:$C$999,"="&amp;INS!$A97),"")</f>
        <v>0.080000000000000002</v>
      </c>
      <c r="BB97" s="6">
        <f>IFERROR(AVERAGEIFS(RdTRABYVals!T$2:T$999,RdTRABYVals!$B$2:$B$999,"="&amp;$C97,RdTRABYVals!$C$2:$C$999,"="&amp;INS!$A97),"")</f>
        <v>0.080000000000000002</v>
      </c>
      <c r="BC97" s="6">
        <f>IFERROR(AVERAGEIFS(RdTRABYVals!U$2:U$999,RdTRABYVals!$B$2:$B$999,"="&amp;$C97,RdTRABYVals!$C$2:$C$999,"="&amp;INS!$A97),"")</f>
        <v>0.089999999999999997</v>
      </c>
      <c r="BD97" s="6">
        <f>IFERROR(AVERAGEIFS(RdTRABYVals!V$2:V$999,RdTRABYVals!$B$2:$B$999,"="&amp;$C97,RdTRABYVals!$C$2:$C$999,"="&amp;INS!$A97),"")</f>
        <v>0.084722222222222296</v>
      </c>
      <c r="BE97" s="6">
        <f>IFERROR(AVERAGEIFS(RdTRABYVals!W$2:W$999,RdTRABYVals!$B$2:$B$999,"="&amp;$C97,RdTRABYVals!$C$2:$C$999,"="&amp;INS!$A97),"")</f>
        <v>0.080000000000000002</v>
      </c>
      <c r="BF97" s="6">
        <f>IFERROR(AVERAGEIFS(RdTRABYVals!X$2:X$999,RdTRABYVals!$B$2:$B$999,"="&amp;$C97,RdTRABYVals!$C$2:$C$999,"="&amp;INS!$A97),"")</f>
        <v>0.070000000000000007</v>
      </c>
      <c r="BG97" s="6">
        <f>IFERROR(AVERAGEIFS(RdTRABYVals!Y$2:Y$999,RdTRABYVals!$B$2:$B$999,"="&amp;$C97,RdTRABYVals!$C$2:$C$999,"="&amp;INS!$A97),"")</f>
        <v>0.080000000000000002</v>
      </c>
      <c r="BH97" s="6">
        <f>IFERROR(AVERAGEIFS(RdTRABYVals!Z$2:Z$999,RdTRABYVals!$B$2:$B$999,"="&amp;$C97,RdTRABYVals!$C$2:$C$999,"="&amp;INS!$A97),"")</f>
        <v>0.080000000000000002</v>
      </c>
      <c r="BI97" s="6">
        <f>IFERROR(AVERAGEIFS(RdTRABYVals!AA$2:AA$999,RdTRABYVals!$B$2:$B$999,"="&amp;$C97,RdTRABYVals!$C$2:$C$999,"="&amp;INS!$A97),"")</f>
        <v>0.10000000000000001</v>
      </c>
      <c r="BJ97" s="6">
        <f>IFERROR(AVERAGEIFS(RdTRABYVals!AB$2:AB$999,RdTRABYVals!$B$2:$B$999,"="&amp;$C97,RdTRABYVals!$C$2:$C$999,"="&amp;INS!$A97),"")</f>
        <v>0.080000000000000002</v>
      </c>
      <c r="BK97" s="6">
        <f>IFERROR(AVERAGEIFS(RdTRABYVals!AC$2:AC$999,RdTRABYVals!$B$2:$B$999,"="&amp;$C97,RdTRABYVals!$C$2:$C$999,"="&amp;INS!$A97),"")</f>
        <v>0.10000000000000001</v>
      </c>
      <c r="BL97" s="6">
        <f>IFERROR(AVERAGEIFS(RdTRABYVals!AD$2:AD$999,RdTRABYVals!$B$2:$B$999,"="&amp;$C97,RdTRABYVals!$C$2:$C$999,"="&amp;INS!$A97),"")</f>
        <v>0.080000000000000002</v>
      </c>
      <c r="BM97" s="6">
        <f>IFERROR(AVERAGEIFS(RdTRABYVals!AE$2:AE$999,RdTRABYVals!$B$2:$B$999,"="&amp;$C97,RdTRABYVals!$C$2:$C$999,"="&amp;INS!$A97),"")</f>
        <v>0.070000000000000007</v>
      </c>
      <c r="BN97" s="6">
        <f>IFERROR(AVERAGEIFS(RdTRABYVals!AF$2:AF$999,RdTRABYVals!$B$2:$B$999,"="&amp;$C97,RdTRABYVals!$C$2:$C$999,"="&amp;INS!$A97),"")</f>
        <v>0.10000000000000001</v>
      </c>
      <c r="BO97" s="6">
        <f>IFERROR(AVERAGEIFS(RdTRABYVals!AG$2:AG$999,RdTRABYVals!$B$2:$B$999,"="&amp;$C97,RdTRABYVals!$C$2:$C$999,"="&amp;INS!$A97),"")</f>
        <v>0.10000000000000001</v>
      </c>
      <c r="BP97" s="6">
        <f>IFERROR(AVERAGEIFS(RdTRABYVals!AH$2:AH$999,RdTRABYVals!$B$2:$B$999,"="&amp;$C97,RdTRABYVals!$C$2:$C$999,"="&amp;INS!$A97),"")</f>
        <v>0.089999999999999997</v>
      </c>
      <c r="BQ97" s="6">
        <f>IFERROR(AVERAGEIFS(RdTRABYVals!AI$2:AI$999,RdTRABYVals!$B$2:$B$999,"="&amp;$C97,RdTRABYVals!$C$2:$C$999,"="&amp;INS!$A97),"")</f>
        <v>0.089999999999999997</v>
      </c>
      <c r="BR97" s="6">
        <f>IFERROR(AVERAGEIFS(RdTRABYVals!AJ$2:AJ$999,RdTRABYVals!$B$2:$B$999,"="&amp;$C97,RdTRABYVals!$C$2:$C$999,"="&amp;INS!$A97),"")</f>
        <v>0.080000000000000002</v>
      </c>
      <c r="BS97" s="6">
        <f>IFERROR(AVERAGEIFS(RdTRABYVals!AK$2:AK$999,RdTRABYVals!$B$2:$B$999,"="&amp;$C97,RdTRABYVals!$C$2:$C$999,"="&amp;INS!$A97),"")</f>
        <v>0.10000000000000001</v>
      </c>
      <c r="BT97" s="6">
        <f>IFERROR(AVERAGEIFS(RdTRABYVals!AL$2:AL$999,RdTRABYVals!$B$2:$B$999,"="&amp;$C97,RdTRABYVals!$C$2:$C$999,"="&amp;INS!$A97),"")</f>
        <v>0.080000000000000002</v>
      </c>
      <c r="BU97" s="6">
        <f>IFERROR(AVERAGEIFS(RdTRABYVals!AM$2:AM$999,RdTRABYVals!$B$2:$B$999,"="&amp;$C97,RdTRABYVals!$C$2:$C$999,"="&amp;INS!$A97),"")</f>
        <v>0.089999999999999997</v>
      </c>
      <c r="BV97" s="6">
        <f>IFERROR(AVERAGEIFS(RdTRABYVals!AN$2:AN$999,RdTRABYVals!$B$2:$B$999,"="&amp;$C97,RdTRABYVals!$C$2:$C$999,"="&amp;INS!$A97),"")</f>
        <v>0.080000000000000002</v>
      </c>
      <c r="BW97" s="6">
        <f>IFERROR(AVERAGEIFS(RdTRABYVals!AO$2:AO$999,RdTRABYVals!$B$2:$B$999,"="&amp;$C97,RdTRABYVals!$C$2:$C$999,"="&amp;INS!$A97),"")</f>
        <v>0.080000000000000002</v>
      </c>
      <c r="BX97" s="6">
        <f>IFERROR(AVERAGEIFS(RdTRABYVals!AP$2:AP$999,RdTRABYVals!$B$2:$B$999,"="&amp;$C97,RdTRABYVals!$C$2:$C$999,"="&amp;INS!$A97),"")</f>
        <v>0.070000000000000007</v>
      </c>
      <c r="BY97" s="6">
        <f>IFERROR(AVERAGEIFS(RdTRABYVals!AQ$2:AQ$999,RdTRABYVals!$B$2:$B$999,"="&amp;$C97,RdTRABYVals!$C$2:$C$999,"="&amp;INS!$A97),"")</f>
        <v>0.059999999999999998</v>
      </c>
      <c r="BZ97" s="6">
        <f>IFERROR(AVERAGEIFS(RdTRABYVals!AR$2:AR$999,RdTRABYVals!$B$2:$B$999,"="&amp;$C97,RdTRABYVals!$C$2:$C$999,"="&amp;INS!$A97),"")</f>
        <v>0.10000000000000001</v>
      </c>
      <c r="CA97" s="6">
        <f>IFERROR(AVERAGEIFS(RdTRABYVals!AS$2:AS$999,RdTRABYVals!$B$2:$B$999,"="&amp;$C97,RdTRABYVals!$C$2:$C$999,"="&amp;INS!$A97),"")</f>
        <v>0.080000000000000002</v>
      </c>
      <c r="CB97" s="6">
        <f>IFERROR(AVERAGEIFS(RdTRABYVals!AT$2:AT$999,RdTRABYVals!$B$2:$B$999,"="&amp;$C97,RdTRABYVals!$C$2:$C$999,"="&amp;INS!$A97),"")</f>
        <v>0.10000000000000001</v>
      </c>
      <c r="CC97" s="6">
        <f>IFERROR(AVERAGEIFS(RdTRABYVals!AU$2:AU$999,RdTRABYVals!$B$2:$B$999,"="&amp;$C97,RdTRABYVals!$C$2:$C$999,"="&amp;INS!$A97),"")</f>
        <v>0.080000000000000002</v>
      </c>
      <c r="CD97" s="6">
        <f>IFERROR(AVERAGEIFS(RdTRABYVals!AV$2:AV$999,RdTRABYVals!$B$2:$B$999,"="&amp;$C97,RdTRABYVals!$C$2:$C$999,"="&amp;INS!$A97),"")</f>
        <v>0.080000000000000002</v>
      </c>
    </row>
    <row r="98" spans="1:82" ht="14.4">
      <c r="A98" s="3" t="s">
        <v>111</v>
      </c>
      <c r="C98" s="1" t="s">
        <v>29</v>
      </c>
      <c r="D98" t="str">
        <f t="shared" si="30"/>
        <v>TRA_Bus_Gas_Coa*</v>
      </c>
      <c r="F98" t="str">
        <f t="shared" si="31"/>
        <v>*0.0875</v>
      </c>
      <c r="G98" t="str">
        <f t="shared" si="29"/>
        <v>*0.0875</v>
      </c>
      <c r="H98" t="str">
        <f t="shared" si="29"/>
        <v>*0.0875</v>
      </c>
      <c r="I98" t="str">
        <f t="shared" si="29"/>
        <v>*0.0875</v>
      </c>
      <c r="J98" t="str">
        <f t="shared" si="29"/>
        <v>*0.0875</v>
      </c>
      <c r="K98" t="str">
        <f t="shared" si="29"/>
        <v>*0.0875</v>
      </c>
      <c r="L98" t="str">
        <f t="shared" si="29"/>
        <v>*0.0875</v>
      </c>
      <c r="M98" t="str">
        <f t="shared" si="29"/>
        <v>*0.0875</v>
      </c>
      <c r="N98" t="str">
        <f t="shared" si="29"/>
        <v>*0.1</v>
      </c>
      <c r="O98" t="str">
        <f t="shared" si="29"/>
        <v>*0.0875</v>
      </c>
      <c r="P98" t="str">
        <f t="shared" si="29"/>
        <v>*0.09</v>
      </c>
      <c r="Q98" t="str">
        <f t="shared" si="29"/>
        <v>*0.0875</v>
      </c>
      <c r="R98" t="str">
        <f t="shared" si="29"/>
        <v>*0.0875</v>
      </c>
      <c r="S98" t="str">
        <f t="shared" si="29"/>
        <v>*0.0875</v>
      </c>
      <c r="T98" t="str">
        <f t="shared" si="29"/>
        <v>*0.0875</v>
      </c>
      <c r="U98" t="str">
        <f t="shared" si="29"/>
        <v>*0.0875</v>
      </c>
      <c r="V98" t="str">
        <f t="shared" si="29"/>
        <v>*0.0875</v>
      </c>
      <c r="W98" t="str">
        <f t="shared" si="29"/>
        <v>*0.0875</v>
      </c>
      <c r="X98" t="str">
        <f t="shared" si="29"/>
        <v>*0.0875</v>
      </c>
      <c r="Y98" t="str">
        <f t="shared" si="29"/>
        <v>*0.1</v>
      </c>
      <c r="Z98" t="str">
        <f t="shared" si="29"/>
        <v>*0.0875</v>
      </c>
      <c r="AA98" t="str">
        <f t="shared" si="29"/>
        <v>*0.0875</v>
      </c>
      <c r="AB98" t="str">
        <f t="shared" si="29"/>
        <v>*0.0875</v>
      </c>
      <c r="AC98" t="str">
        <f t="shared" si="29"/>
        <v>*0.0875</v>
      </c>
      <c r="AD98" t="str">
        <f t="shared" si="29"/>
        <v>*0.0875</v>
      </c>
      <c r="AE98" t="str">
        <f t="shared" si="29"/>
        <v>*0.0875</v>
      </c>
      <c r="AF98" t="str">
        <f t="shared" si="29"/>
        <v>*0.0875</v>
      </c>
      <c r="AG98" t="str">
        <f t="shared" si="29"/>
        <v>*0.0875</v>
      </c>
      <c r="AH98" t="str">
        <f t="shared" si="29"/>
        <v>*0.0875</v>
      </c>
      <c r="AI98" t="str">
        <f t="shared" si="29"/>
        <v>*0.0875</v>
      </c>
      <c r="AJ98" t="str">
        <f t="shared" si="29"/>
        <v>*0.0875</v>
      </c>
      <c r="AK98" t="str">
        <f t="shared" si="29"/>
        <v>*0.0875</v>
      </c>
      <c r="AL98" t="str">
        <f t="shared" si="29"/>
        <v>*0.0875</v>
      </c>
      <c r="AM98" t="str">
        <f t="shared" si="29"/>
        <v>*0.0875</v>
      </c>
      <c r="AN98" t="str">
        <f t="shared" si="29"/>
        <v>*0.0875</v>
      </c>
      <c r="AO98" t="str">
        <f t="shared" si="29"/>
        <v>*0.0875</v>
      </c>
      <c r="AP98" t="str">
        <f t="shared" si="29"/>
        <v>*0.0875</v>
      </c>
      <c r="AQ98" t="str">
        <f t="shared" si="29"/>
        <v>*0.06</v>
      </c>
      <c r="AS98" s="6">
        <f t="shared" si="32"/>
        <v>0.087500000000000008</v>
      </c>
      <c r="AT98" s="6">
        <f>IFERROR(AVERAGEIFS(RdTRABYVals!L$2:L$999,RdTRABYVals!$B$2:$B$999,"="&amp;$C98,RdTRABYVals!$C$2:$C$999,"="&amp;INS!$A98),"")</f>
        <v>0.087499999999999994</v>
      </c>
      <c r="AU98" s="6">
        <f>IFERROR(AVERAGEIFS(RdTRABYVals!M$2:M$999,RdTRABYVals!$B$2:$B$999,"="&amp;$C98,RdTRABYVals!$C$2:$C$999,"="&amp;INS!$A98),"")</f>
        <v>0.087499999999999994</v>
      </c>
      <c r="AV98" s="6">
        <f>IFERROR(AVERAGEIFS(RdTRABYVals!N$2:N$999,RdTRABYVals!$B$2:$B$999,"="&amp;$C98,RdTRABYVals!$C$2:$C$999,"="&amp;INS!$A98),"")</f>
        <v>0.087499999999999994</v>
      </c>
      <c r="AW98" s="6">
        <f>IFERROR(AVERAGEIFS(RdTRABYVals!O$2:O$999,RdTRABYVals!$B$2:$B$999,"="&amp;$C98,RdTRABYVals!$C$2:$C$999,"="&amp;INS!$A98),"")</f>
        <v>0.087499999999999994</v>
      </c>
      <c r="AX98" s="6">
        <f>IFERROR(AVERAGEIFS(RdTRABYVals!P$2:P$999,RdTRABYVals!$B$2:$B$999,"="&amp;$C98,RdTRABYVals!$C$2:$C$999,"="&amp;INS!$A98),"")</f>
        <v>0.087499999999999994</v>
      </c>
      <c r="AY98" s="6">
        <f>IFERROR(AVERAGEIFS(RdTRABYVals!Q$2:Q$999,RdTRABYVals!$B$2:$B$999,"="&amp;$C98,RdTRABYVals!$C$2:$C$999,"="&amp;INS!$A98),"")</f>
        <v>0.087499999999999994</v>
      </c>
      <c r="AZ98" s="6">
        <f>IFERROR(AVERAGEIFS(RdTRABYVals!R$2:R$999,RdTRABYVals!$B$2:$B$999,"="&amp;$C98,RdTRABYVals!$C$2:$C$999,"="&amp;INS!$A98),"")</f>
        <v>0.087499999999999994</v>
      </c>
      <c r="BA98" s="6">
        <f>IFERROR(AVERAGEIFS(RdTRABYVals!S$2:S$999,RdTRABYVals!$B$2:$B$999,"="&amp;$C98,RdTRABYVals!$C$2:$C$999,"="&amp;INS!$A98),"")</f>
        <v>0.10000000000000001</v>
      </c>
      <c r="BB98" s="6">
        <f>IFERROR(AVERAGEIFS(RdTRABYVals!T$2:T$999,RdTRABYVals!$B$2:$B$999,"="&amp;$C98,RdTRABYVals!$C$2:$C$999,"="&amp;INS!$A98),"")</f>
        <v>0.087499999999999994</v>
      </c>
      <c r="BC98" s="6">
        <f>IFERROR(AVERAGEIFS(RdTRABYVals!U$2:U$999,RdTRABYVals!$B$2:$B$999,"="&amp;$C98,RdTRABYVals!$C$2:$C$999,"="&amp;INS!$A98),"")</f>
        <v>0.089999999999999997</v>
      </c>
      <c r="BD98" s="6">
        <f>IFERROR(AVERAGEIFS(RdTRABYVals!V$2:V$999,RdTRABYVals!$B$2:$B$999,"="&amp;$C98,RdTRABYVals!$C$2:$C$999,"="&amp;INS!$A98),"")</f>
        <v>0.087499999999999994</v>
      </c>
      <c r="BE98" s="6">
        <f>IFERROR(AVERAGEIFS(RdTRABYVals!W$2:W$999,RdTRABYVals!$B$2:$B$999,"="&amp;$C98,RdTRABYVals!$C$2:$C$999,"="&amp;INS!$A98),"")</f>
        <v>0.087499999999999994</v>
      </c>
      <c r="BF98" s="6">
        <f>IFERROR(AVERAGEIFS(RdTRABYVals!X$2:X$999,RdTRABYVals!$B$2:$B$999,"="&amp;$C98,RdTRABYVals!$C$2:$C$999,"="&amp;INS!$A98),"")</f>
        <v>0.087499999999999994</v>
      </c>
      <c r="BG98" s="6">
        <f>IFERROR(AVERAGEIFS(RdTRABYVals!Y$2:Y$999,RdTRABYVals!$B$2:$B$999,"="&amp;$C98,RdTRABYVals!$C$2:$C$999,"="&amp;INS!$A98),"")</f>
        <v>0.087499999999999994</v>
      </c>
      <c r="BH98" s="6">
        <f>IFERROR(AVERAGEIFS(RdTRABYVals!Z$2:Z$999,RdTRABYVals!$B$2:$B$999,"="&amp;$C98,RdTRABYVals!$C$2:$C$999,"="&amp;INS!$A98),"")</f>
        <v>0.087499999999999994</v>
      </c>
      <c r="BI98" s="6">
        <f>IFERROR(AVERAGEIFS(RdTRABYVals!AA$2:AA$999,RdTRABYVals!$B$2:$B$999,"="&amp;$C98,RdTRABYVals!$C$2:$C$999,"="&amp;INS!$A98),"")</f>
        <v>0.087499999999999994</v>
      </c>
      <c r="BJ98" s="6">
        <f>IFERROR(AVERAGEIFS(RdTRABYVals!AB$2:AB$999,RdTRABYVals!$B$2:$B$999,"="&amp;$C98,RdTRABYVals!$C$2:$C$999,"="&amp;INS!$A98),"")</f>
        <v>0.087499999999999994</v>
      </c>
      <c r="BK98" s="6">
        <f>IFERROR(AVERAGEIFS(RdTRABYVals!AC$2:AC$999,RdTRABYVals!$B$2:$B$999,"="&amp;$C98,RdTRABYVals!$C$2:$C$999,"="&amp;INS!$A98),"")</f>
        <v>0.087499999999999994</v>
      </c>
      <c r="BL98" s="6">
        <f>IFERROR(AVERAGEIFS(RdTRABYVals!AD$2:AD$999,RdTRABYVals!$B$2:$B$999,"="&amp;$C98,RdTRABYVals!$C$2:$C$999,"="&amp;INS!$A98),"")</f>
        <v>0.10000000000000001</v>
      </c>
      <c r="BM98" s="6">
        <f>IFERROR(AVERAGEIFS(RdTRABYVals!AE$2:AE$999,RdTRABYVals!$B$2:$B$999,"="&amp;$C98,RdTRABYVals!$C$2:$C$999,"="&amp;INS!$A98),"")</f>
        <v>0.087499999999999994</v>
      </c>
      <c r="BN98" s="6">
        <f>IFERROR(AVERAGEIFS(RdTRABYVals!AF$2:AF$999,RdTRABYVals!$B$2:$B$999,"="&amp;$C98,RdTRABYVals!$C$2:$C$999,"="&amp;INS!$A98),"")</f>
        <v>0.087499999999999994</v>
      </c>
      <c r="BO98" s="6">
        <f>IFERROR(AVERAGEIFS(RdTRABYVals!AG$2:AG$999,RdTRABYVals!$B$2:$B$999,"="&amp;$C98,RdTRABYVals!$C$2:$C$999,"="&amp;INS!$A98),"")</f>
        <v>0.087499999999999994</v>
      </c>
      <c r="BP98" s="6">
        <f>IFERROR(AVERAGEIFS(RdTRABYVals!AH$2:AH$999,RdTRABYVals!$B$2:$B$999,"="&amp;$C98,RdTRABYVals!$C$2:$C$999,"="&amp;INS!$A98),"")</f>
        <v>0.087499999999999994</v>
      </c>
      <c r="BQ98" s="6">
        <f>IFERROR(AVERAGEIFS(RdTRABYVals!AI$2:AI$999,RdTRABYVals!$B$2:$B$999,"="&amp;$C98,RdTRABYVals!$C$2:$C$999,"="&amp;INS!$A98),"")</f>
        <v>0.087499999999999994</v>
      </c>
      <c r="BR98" s="6">
        <f>IFERROR(AVERAGEIFS(RdTRABYVals!AJ$2:AJ$999,RdTRABYVals!$B$2:$B$999,"="&amp;$C98,RdTRABYVals!$C$2:$C$999,"="&amp;INS!$A98),"")</f>
        <v>0.087499999999999994</v>
      </c>
      <c r="BS98" s="6">
        <f>IFERROR(AVERAGEIFS(RdTRABYVals!AK$2:AK$999,RdTRABYVals!$B$2:$B$999,"="&amp;$C98,RdTRABYVals!$C$2:$C$999,"="&amp;INS!$A98),"")</f>
        <v>0.087499999999999994</v>
      </c>
      <c r="BT98" s="6">
        <f>IFERROR(AVERAGEIFS(RdTRABYVals!AL$2:AL$999,RdTRABYVals!$B$2:$B$999,"="&amp;$C98,RdTRABYVals!$C$2:$C$999,"="&amp;INS!$A98),"")</f>
        <v>0.087499999999999994</v>
      </c>
      <c r="BU98" s="6">
        <f>IFERROR(AVERAGEIFS(RdTRABYVals!AM$2:AM$999,RdTRABYVals!$B$2:$B$999,"="&amp;$C98,RdTRABYVals!$C$2:$C$999,"="&amp;INS!$A98),"")</f>
        <v>0.087499999999999994</v>
      </c>
      <c r="BV98" s="6">
        <f>IFERROR(AVERAGEIFS(RdTRABYVals!AN$2:AN$999,RdTRABYVals!$B$2:$B$999,"="&amp;$C98,RdTRABYVals!$C$2:$C$999,"="&amp;INS!$A98),"")</f>
        <v>0.087499999999999994</v>
      </c>
      <c r="BW98" s="6">
        <f>IFERROR(AVERAGEIFS(RdTRABYVals!AO$2:AO$999,RdTRABYVals!$B$2:$B$999,"="&amp;$C98,RdTRABYVals!$C$2:$C$999,"="&amp;INS!$A98),"")</f>
        <v>0.087499999999999994</v>
      </c>
      <c r="BX98" s="6">
        <f>IFERROR(AVERAGEIFS(RdTRABYVals!AP$2:AP$999,RdTRABYVals!$B$2:$B$999,"="&amp;$C98,RdTRABYVals!$C$2:$C$999,"="&amp;INS!$A98),"")</f>
        <v>0.087499999999999994</v>
      </c>
      <c r="BY98" s="6">
        <f>IFERROR(AVERAGEIFS(RdTRABYVals!AQ$2:AQ$999,RdTRABYVals!$B$2:$B$999,"="&amp;$C98,RdTRABYVals!$C$2:$C$999,"="&amp;INS!$A98),"")</f>
        <v>0.087499999999999994</v>
      </c>
      <c r="BZ98" s="6">
        <f>IFERROR(AVERAGEIFS(RdTRABYVals!AR$2:AR$999,RdTRABYVals!$B$2:$B$999,"="&amp;$C98,RdTRABYVals!$C$2:$C$999,"="&amp;INS!$A98),"")</f>
        <v>0.087499999999999994</v>
      </c>
      <c r="CA98" s="6">
        <f>IFERROR(AVERAGEIFS(RdTRABYVals!AS$2:AS$999,RdTRABYVals!$B$2:$B$999,"="&amp;$C98,RdTRABYVals!$C$2:$C$999,"="&amp;INS!$A98),"")</f>
        <v>0.087499999999999994</v>
      </c>
      <c r="CB98" s="6">
        <f>IFERROR(AVERAGEIFS(RdTRABYVals!AT$2:AT$999,RdTRABYVals!$B$2:$B$999,"="&amp;$C98,RdTRABYVals!$C$2:$C$999,"="&amp;INS!$A98),"")</f>
        <v>0.087499999999999994</v>
      </c>
      <c r="CC98" s="6">
        <f>IFERROR(AVERAGEIFS(RdTRABYVals!AU$2:AU$999,RdTRABYVals!$B$2:$B$999,"="&amp;$C98,RdTRABYVals!$C$2:$C$999,"="&amp;INS!$A98),"")</f>
        <v>0.087499999999999994</v>
      </c>
      <c r="CD98" s="6">
        <f>IFERROR(AVERAGEIFS(RdTRABYVals!AV$2:AV$999,RdTRABYVals!$B$2:$B$999,"="&amp;$C98,RdTRABYVals!$C$2:$C$999,"="&amp;INS!$A98),"")</f>
        <v>0.059999999999999998</v>
      </c>
    </row>
    <row r="99" spans="1:82" ht="14.4">
      <c r="A99" s="3" t="s">
        <v>112</v>
      </c>
      <c r="C99" s="1" t="s">
        <v>29</v>
      </c>
      <c r="D99" t="str">
        <f t="shared" si="30"/>
        <v>TRA_Bus_Gas_Urb*</v>
      </c>
      <c r="F99" t="str">
        <f t="shared" si="31"/>
        <v>*0.08</v>
      </c>
      <c r="G99" t="str">
        <f t="shared" si="29"/>
        <v>*0.08</v>
      </c>
      <c r="H99" t="str">
        <f t="shared" si="29"/>
        <v>*0.08</v>
      </c>
      <c r="I99" t="str">
        <f t="shared" si="29"/>
        <v>*0.08</v>
      </c>
      <c r="J99" t="str">
        <f t="shared" si="29"/>
        <v>*0.08</v>
      </c>
      <c r="K99" t="str">
        <f t="shared" si="29"/>
        <v>*0.08</v>
      </c>
      <c r="L99" t="str">
        <f t="shared" si="29"/>
        <v>*0.08</v>
      </c>
      <c r="M99" t="str">
        <f t="shared" si="29"/>
        <v>*0.08</v>
      </c>
      <c r="N99" t="str">
        <f t="shared" si="29"/>
        <v>*0.08</v>
      </c>
      <c r="O99" t="str">
        <f t="shared" si="29"/>
        <v>*0.08</v>
      </c>
      <c r="P99" t="str">
        <f t="shared" si="29"/>
        <v>*0.09</v>
      </c>
      <c r="Q99" t="str">
        <f t="shared" si="29"/>
        <v>*0.08</v>
      </c>
      <c r="R99" t="str">
        <f t="shared" si="29"/>
        <v>*0.08</v>
      </c>
      <c r="S99" t="str">
        <f t="shared" si="29"/>
        <v>*0.08</v>
      </c>
      <c r="T99" t="str">
        <f t="shared" si="29"/>
        <v>*0.08</v>
      </c>
      <c r="U99" t="str">
        <f t="shared" si="29"/>
        <v>*0.08</v>
      </c>
      <c r="V99" t="str">
        <f t="shared" si="29"/>
        <v>*0.08</v>
      </c>
      <c r="W99" t="str">
        <f t="shared" si="29"/>
        <v>*0.08</v>
      </c>
      <c r="X99" t="str">
        <f t="shared" si="29"/>
        <v>*0.08</v>
      </c>
      <c r="Y99" t="str">
        <f t="shared" si="29"/>
        <v>*0.08</v>
      </c>
      <c r="Z99" t="str">
        <f t="shared" si="29"/>
        <v>*0.08</v>
      </c>
      <c r="AA99" t="str">
        <f t="shared" si="29"/>
        <v>*0.08</v>
      </c>
      <c r="AB99" t="str">
        <f t="shared" si="29"/>
        <v>*0.08</v>
      </c>
      <c r="AC99" t="str">
        <f t="shared" si="29"/>
        <v>*0.08</v>
      </c>
      <c r="AD99" t="str">
        <f t="shared" si="29"/>
        <v>*0.08</v>
      </c>
      <c r="AE99" t="str">
        <f t="shared" si="29"/>
        <v>*0.08</v>
      </c>
      <c r="AF99" t="str">
        <f t="shared" si="29"/>
        <v>*0.09</v>
      </c>
      <c r="AG99" t="str">
        <f t="shared" si="29"/>
        <v>*0.08</v>
      </c>
      <c r="AH99" t="str">
        <f t="shared" si="29"/>
        <v>*0.09</v>
      </c>
      <c r="AI99" t="str">
        <f t="shared" si="29"/>
        <v>*0.08</v>
      </c>
      <c r="AJ99" t="str">
        <f t="shared" si="29"/>
        <v>*0.07</v>
      </c>
      <c r="AK99" t="str">
        <f t="shared" si="29"/>
        <v>*0.07</v>
      </c>
      <c r="AL99" t="str">
        <f t="shared" si="29"/>
        <v>*0.08</v>
      </c>
      <c r="AM99" t="str">
        <f t="shared" si="29"/>
        <v>*0.08</v>
      </c>
      <c r="AN99" t="str">
        <f t="shared" si="29"/>
        <v>*0.08</v>
      </c>
      <c r="AO99" t="str">
        <f t="shared" si="29"/>
        <v>*0.08</v>
      </c>
      <c r="AP99" t="str">
        <f t="shared" si="29"/>
        <v>*0.08</v>
      </c>
      <c r="AQ99" t="str">
        <f t="shared" si="29"/>
        <v>*0.07</v>
      </c>
      <c r="AS99" s="6">
        <f t="shared" si="32"/>
        <v>0.080000000000000002</v>
      </c>
      <c r="AT99" s="6">
        <f>IFERROR(AVERAGEIFS(RdTRABYVals!L$2:L$999,RdTRABYVals!$B$2:$B$999,"="&amp;$C99,RdTRABYVals!$C$2:$C$999,"="&amp;INS!$A99),"")</f>
        <v>0.080000000000000002</v>
      </c>
      <c r="AU99" s="6">
        <f>IFERROR(AVERAGEIFS(RdTRABYVals!M$2:M$999,RdTRABYVals!$B$2:$B$999,"="&amp;$C99,RdTRABYVals!$C$2:$C$999,"="&amp;INS!$A99),"")</f>
        <v>0.080000000000000002</v>
      </c>
      <c r="AV99" s="6">
        <f>IFERROR(AVERAGEIFS(RdTRABYVals!N$2:N$999,RdTRABYVals!$B$2:$B$999,"="&amp;$C99,RdTRABYVals!$C$2:$C$999,"="&amp;INS!$A99),"")</f>
        <v>0.080000000000000002</v>
      </c>
      <c r="AW99" s="6">
        <f>IFERROR(AVERAGEIFS(RdTRABYVals!O$2:O$999,RdTRABYVals!$B$2:$B$999,"="&amp;$C99,RdTRABYVals!$C$2:$C$999,"="&amp;INS!$A99),"")</f>
        <v>0.080000000000000002</v>
      </c>
      <c r="AX99" s="6">
        <f>IFERROR(AVERAGEIFS(RdTRABYVals!P$2:P$999,RdTRABYVals!$B$2:$B$999,"="&amp;$C99,RdTRABYVals!$C$2:$C$999,"="&amp;INS!$A99),"")</f>
        <v>0.080000000000000002</v>
      </c>
      <c r="AY99" s="6">
        <f>IFERROR(AVERAGEIFS(RdTRABYVals!Q$2:Q$999,RdTRABYVals!$B$2:$B$999,"="&amp;$C99,RdTRABYVals!$C$2:$C$999,"="&amp;INS!$A99),"")</f>
        <v>0.080000000000000002</v>
      </c>
      <c r="AZ99" s="6">
        <f>IFERROR(AVERAGEIFS(RdTRABYVals!R$2:R$999,RdTRABYVals!$B$2:$B$999,"="&amp;$C99,RdTRABYVals!$C$2:$C$999,"="&amp;INS!$A99),"")</f>
        <v>0.080000000000000002</v>
      </c>
      <c r="BA99" s="6">
        <f>IFERROR(AVERAGEIFS(RdTRABYVals!S$2:S$999,RdTRABYVals!$B$2:$B$999,"="&amp;$C99,RdTRABYVals!$C$2:$C$999,"="&amp;INS!$A99),"")</f>
        <v>0.080000000000000002</v>
      </c>
      <c r="BB99" s="6">
        <f>IFERROR(AVERAGEIFS(RdTRABYVals!T$2:T$999,RdTRABYVals!$B$2:$B$999,"="&amp;$C99,RdTRABYVals!$C$2:$C$999,"="&amp;INS!$A99),"")</f>
        <v>0.080000000000000002</v>
      </c>
      <c r="BC99" s="6">
        <f>IFERROR(AVERAGEIFS(RdTRABYVals!U$2:U$999,RdTRABYVals!$B$2:$B$999,"="&amp;$C99,RdTRABYVals!$C$2:$C$999,"="&amp;INS!$A99),"")</f>
        <v>0.089999999999999997</v>
      </c>
      <c r="BD99" s="6">
        <f>IFERROR(AVERAGEIFS(RdTRABYVals!V$2:V$999,RdTRABYVals!$B$2:$B$999,"="&amp;$C99,RdTRABYVals!$C$2:$C$999,"="&amp;INS!$A99),"")</f>
        <v>0.080000000000000002</v>
      </c>
      <c r="BE99" s="6">
        <f>IFERROR(AVERAGEIFS(RdTRABYVals!W$2:W$999,RdTRABYVals!$B$2:$B$999,"="&amp;$C99,RdTRABYVals!$C$2:$C$999,"="&amp;INS!$A99),"")</f>
        <v>0.080000000000000002</v>
      </c>
      <c r="BF99" s="6">
        <f>IFERROR(AVERAGEIFS(RdTRABYVals!X$2:X$999,RdTRABYVals!$B$2:$B$999,"="&amp;$C99,RdTRABYVals!$C$2:$C$999,"="&amp;INS!$A99),"")</f>
        <v>0.080000000000000002</v>
      </c>
      <c r="BG99" s="6">
        <f>IFERROR(AVERAGEIFS(RdTRABYVals!Y$2:Y$999,RdTRABYVals!$B$2:$B$999,"="&amp;$C99,RdTRABYVals!$C$2:$C$999,"="&amp;INS!$A99),"")</f>
        <v>0.080000000000000002</v>
      </c>
      <c r="BH99" s="6">
        <f>IFERROR(AVERAGEIFS(RdTRABYVals!Z$2:Z$999,RdTRABYVals!$B$2:$B$999,"="&amp;$C99,RdTRABYVals!$C$2:$C$999,"="&amp;INS!$A99),"")</f>
        <v>0.080000000000000002</v>
      </c>
      <c r="BI99" s="6">
        <f>IFERROR(AVERAGEIFS(RdTRABYVals!AA$2:AA$999,RdTRABYVals!$B$2:$B$999,"="&amp;$C99,RdTRABYVals!$C$2:$C$999,"="&amp;INS!$A99),"")</f>
        <v>0.080000000000000002</v>
      </c>
      <c r="BJ99" s="6">
        <f>IFERROR(AVERAGEIFS(RdTRABYVals!AB$2:AB$999,RdTRABYVals!$B$2:$B$999,"="&amp;$C99,RdTRABYVals!$C$2:$C$999,"="&amp;INS!$A99),"")</f>
        <v>0.080000000000000002</v>
      </c>
      <c r="BK99" s="6">
        <f>IFERROR(AVERAGEIFS(RdTRABYVals!AC$2:AC$999,RdTRABYVals!$B$2:$B$999,"="&amp;$C99,RdTRABYVals!$C$2:$C$999,"="&amp;INS!$A99),"")</f>
        <v>0.080000000000000002</v>
      </c>
      <c r="BL99" s="6">
        <f>IFERROR(AVERAGEIFS(RdTRABYVals!AD$2:AD$999,RdTRABYVals!$B$2:$B$999,"="&amp;$C99,RdTRABYVals!$C$2:$C$999,"="&amp;INS!$A99),"")</f>
        <v>0.080000000000000002</v>
      </c>
      <c r="BM99" s="6">
        <f>IFERROR(AVERAGEIFS(RdTRABYVals!AE$2:AE$999,RdTRABYVals!$B$2:$B$999,"="&amp;$C99,RdTRABYVals!$C$2:$C$999,"="&amp;INS!$A99),"")</f>
        <v>0.080000000000000002</v>
      </c>
      <c r="BN99" s="6">
        <f>IFERROR(AVERAGEIFS(RdTRABYVals!AF$2:AF$999,RdTRABYVals!$B$2:$B$999,"="&amp;$C99,RdTRABYVals!$C$2:$C$999,"="&amp;INS!$A99),"")</f>
        <v>0.080000000000000002</v>
      </c>
      <c r="BO99" s="6">
        <f>IFERROR(AVERAGEIFS(RdTRABYVals!AG$2:AG$999,RdTRABYVals!$B$2:$B$999,"="&amp;$C99,RdTRABYVals!$C$2:$C$999,"="&amp;INS!$A99),"")</f>
        <v>0.080000000000000002</v>
      </c>
      <c r="BP99" s="6">
        <f>IFERROR(AVERAGEIFS(RdTRABYVals!AH$2:AH$999,RdTRABYVals!$B$2:$B$999,"="&amp;$C99,RdTRABYVals!$C$2:$C$999,"="&amp;INS!$A99),"")</f>
        <v>0.080000000000000002</v>
      </c>
      <c r="BQ99" s="6">
        <f>IFERROR(AVERAGEIFS(RdTRABYVals!AI$2:AI$999,RdTRABYVals!$B$2:$B$999,"="&amp;$C99,RdTRABYVals!$C$2:$C$999,"="&amp;INS!$A99),"")</f>
        <v>0.080000000000000002</v>
      </c>
      <c r="BR99" s="6">
        <f>IFERROR(AVERAGEIFS(RdTRABYVals!AJ$2:AJ$999,RdTRABYVals!$B$2:$B$999,"="&amp;$C99,RdTRABYVals!$C$2:$C$999,"="&amp;INS!$A99),"")</f>
        <v>0.080000000000000002</v>
      </c>
      <c r="BS99" s="6">
        <f>IFERROR(AVERAGEIFS(RdTRABYVals!AK$2:AK$999,RdTRABYVals!$B$2:$B$999,"="&amp;$C99,RdTRABYVals!$C$2:$C$999,"="&amp;INS!$A99),"")</f>
        <v>0.089999999999999997</v>
      </c>
      <c r="BT99" s="6">
        <f>IFERROR(AVERAGEIFS(RdTRABYVals!AL$2:AL$999,RdTRABYVals!$B$2:$B$999,"="&amp;$C99,RdTRABYVals!$C$2:$C$999,"="&amp;INS!$A99),"")</f>
        <v>0.080000000000000002</v>
      </c>
      <c r="BU99" s="6">
        <f>IFERROR(AVERAGEIFS(RdTRABYVals!AM$2:AM$999,RdTRABYVals!$B$2:$B$999,"="&amp;$C99,RdTRABYVals!$C$2:$C$999,"="&amp;INS!$A99),"")</f>
        <v>0.089999999999999997</v>
      </c>
      <c r="BV99" s="6">
        <f>IFERROR(AVERAGEIFS(RdTRABYVals!AN$2:AN$999,RdTRABYVals!$B$2:$B$999,"="&amp;$C99,RdTRABYVals!$C$2:$C$999,"="&amp;INS!$A99),"")</f>
        <v>0.080000000000000002</v>
      </c>
      <c r="BW99" s="6">
        <f>IFERROR(AVERAGEIFS(RdTRABYVals!AO$2:AO$999,RdTRABYVals!$B$2:$B$999,"="&amp;$C99,RdTRABYVals!$C$2:$C$999,"="&amp;INS!$A99),"")</f>
        <v>0.070000000000000007</v>
      </c>
      <c r="BX99" s="6">
        <f>IFERROR(AVERAGEIFS(RdTRABYVals!AP$2:AP$999,RdTRABYVals!$B$2:$B$999,"="&amp;$C99,RdTRABYVals!$C$2:$C$999,"="&amp;INS!$A99),"")</f>
        <v>0.070000000000000007</v>
      </c>
      <c r="BY99" s="6">
        <f>IFERROR(AVERAGEIFS(RdTRABYVals!AQ$2:AQ$999,RdTRABYVals!$B$2:$B$999,"="&amp;$C99,RdTRABYVals!$C$2:$C$999,"="&amp;INS!$A99),"")</f>
        <v>0.080000000000000002</v>
      </c>
      <c r="BZ99" s="6">
        <f>IFERROR(AVERAGEIFS(RdTRABYVals!AR$2:AR$999,RdTRABYVals!$B$2:$B$999,"="&amp;$C99,RdTRABYVals!$C$2:$C$999,"="&amp;INS!$A99),"")</f>
        <v>0.080000000000000002</v>
      </c>
      <c r="CA99" s="6">
        <f>IFERROR(AVERAGEIFS(RdTRABYVals!AS$2:AS$999,RdTRABYVals!$B$2:$B$999,"="&amp;$C99,RdTRABYVals!$C$2:$C$999,"="&amp;INS!$A99),"")</f>
        <v>0.080000000000000002</v>
      </c>
      <c r="CB99" s="6">
        <f>IFERROR(AVERAGEIFS(RdTRABYVals!AT$2:AT$999,RdTRABYVals!$B$2:$B$999,"="&amp;$C99,RdTRABYVals!$C$2:$C$999,"="&amp;INS!$A99),"")</f>
        <v>0.080000000000000002</v>
      </c>
      <c r="CC99" s="6">
        <f>IFERROR(AVERAGEIFS(RdTRABYVals!AU$2:AU$999,RdTRABYVals!$B$2:$B$999,"="&amp;$C99,RdTRABYVals!$C$2:$C$999,"="&amp;INS!$A99),"")</f>
        <v>0.080000000000000002</v>
      </c>
      <c r="CD99" s="6">
        <f>IFERROR(AVERAGEIFS(RdTRABYVals!AV$2:AV$999,RdTRABYVals!$B$2:$B$999,"="&amp;$C99,RdTRABYVals!$C$2:$C$999,"="&amp;INS!$A99),"")</f>
        <v>0.070000000000000007</v>
      </c>
    </row>
    <row r="100" spans="1:82" ht="14.4">
      <c r="A100" s="3" t="s">
        <v>113</v>
      </c>
      <c r="C100" s="1" t="s">
        <v>29</v>
      </c>
      <c r="D100" t="str">
        <f t="shared" si="30"/>
        <v>TRA_Bus_Lpg_Coa*</v>
      </c>
      <c r="F100" t="str">
        <f t="shared" si="31"/>
        <v>*0.05</v>
      </c>
      <c r="G100" t="str">
        <f t="shared" si="29"/>
        <v>*0.05</v>
      </c>
      <c r="H100" t="str">
        <f t="shared" si="29"/>
        <v>*0.05</v>
      </c>
      <c r="I100" t="str">
        <f t="shared" si="29"/>
        <v>*0.05</v>
      </c>
      <c r="J100" t="str">
        <f t="shared" si="29"/>
        <v>*0.05</v>
      </c>
      <c r="K100" t="str">
        <f t="shared" si="29"/>
        <v>*0.05</v>
      </c>
      <c r="L100" t="str">
        <f t="shared" si="29"/>
        <v>*0.05</v>
      </c>
      <c r="M100" t="str">
        <f t="shared" si="29"/>
        <v>*0.05</v>
      </c>
      <c r="N100" t="str">
        <f t="shared" si="29"/>
        <v>*0.05</v>
      </c>
      <c r="O100" t="str">
        <f t="shared" si="29"/>
        <v>*0.05</v>
      </c>
      <c r="P100" t="str">
        <f t="shared" si="29"/>
        <v>*0.05</v>
      </c>
      <c r="Q100" t="str">
        <f t="shared" si="29"/>
        <v>*0.05</v>
      </c>
      <c r="R100" t="str">
        <f t="shared" si="29"/>
        <v>*0.05</v>
      </c>
      <c r="S100" t="str">
        <f t="shared" si="29"/>
        <v>*0.05</v>
      </c>
      <c r="T100" t="str">
        <f t="shared" si="29"/>
        <v>*0.05</v>
      </c>
      <c r="U100" t="str">
        <f t="shared" si="29"/>
        <v>*0.05</v>
      </c>
      <c r="V100" t="str">
        <f t="shared" si="29"/>
        <v>*0.05</v>
      </c>
      <c r="W100" t="str">
        <f t="shared" si="29"/>
        <v>*0.05</v>
      </c>
      <c r="X100" t="str">
        <f t="shared" si="29"/>
        <v>*0.05</v>
      </c>
      <c r="Y100" t="str">
        <f t="shared" si="29"/>
        <v>*0.05</v>
      </c>
      <c r="Z100" t="str">
        <f t="shared" si="29"/>
        <v>*0.05</v>
      </c>
      <c r="AA100" t="str">
        <f t="shared" si="29"/>
        <v>*0.05</v>
      </c>
      <c r="AB100" t="str">
        <f t="shared" si="29"/>
        <v>*0.05</v>
      </c>
      <c r="AC100" t="str">
        <f t="shared" si="29"/>
        <v>*0.05</v>
      </c>
      <c r="AD100" t="str">
        <f t="shared" si="29"/>
        <v>*0.05</v>
      </c>
      <c r="AE100" t="str">
        <f t="shared" si="29"/>
        <v>*0.05</v>
      </c>
      <c r="AF100" t="str">
        <f t="shared" si="29"/>
        <v>*0.05</v>
      </c>
      <c r="AG100" t="str">
        <f t="shared" si="29"/>
        <v>*0.05</v>
      </c>
      <c r="AH100" t="str">
        <f t="shared" si="29"/>
        <v>*0.05</v>
      </c>
      <c r="AI100" t="str">
        <f t="shared" si="29"/>
        <v>*0.05</v>
      </c>
      <c r="AJ100" t="str">
        <f t="shared" si="29"/>
        <v>*0.05</v>
      </c>
      <c r="AK100" t="str">
        <f t="shared" si="29"/>
        <v>*0.05</v>
      </c>
      <c r="AL100" t="str">
        <f t="shared" si="29"/>
        <v>*0.05</v>
      </c>
      <c r="AM100" t="str">
        <f t="shared" si="29"/>
        <v>*0.05</v>
      </c>
      <c r="AN100" t="str">
        <f t="shared" si="33" ref="AN100:AN162">IF(CA100&lt;&gt;"","*"&amp;CA100,"")</f>
        <v>*0.05</v>
      </c>
      <c r="AO100" t="str">
        <f t="shared" si="34" ref="AO100:AO162">IF(CB100&lt;&gt;"","*"&amp;CB100,"")</f>
        <v>*0.05</v>
      </c>
      <c r="AP100" t="str">
        <f t="shared" si="35" ref="AP100:AP162">IF(CC100&lt;&gt;"","*"&amp;CC100,"")</f>
        <v>*0.05</v>
      </c>
      <c r="AQ100" t="str">
        <f t="shared" si="36" ref="AQ100:AQ162">IF(CD100&lt;&gt;"","*"&amp;CD100,"")</f>
        <v>*0.05</v>
      </c>
      <c r="AS100" s="6">
        <f t="shared" si="32"/>
        <v>0.050000000000000003</v>
      </c>
      <c r="AT100" s="6">
        <f>IFERROR(AVERAGEIFS(RdTRABYVals!L$2:L$999,RdTRABYVals!$B$2:$B$999,"="&amp;$C100,RdTRABYVals!$C$2:$C$999,"="&amp;INS!$A100),"")</f>
        <v>0.050000000000000003</v>
      </c>
      <c r="AU100" s="6">
        <f>IFERROR(AVERAGEIFS(RdTRABYVals!M$2:M$999,RdTRABYVals!$B$2:$B$999,"="&amp;$C100,RdTRABYVals!$C$2:$C$999,"="&amp;INS!$A100),"")</f>
        <v>0.050000000000000003</v>
      </c>
      <c r="AV100" s="6">
        <f>IFERROR(AVERAGEIFS(RdTRABYVals!N$2:N$999,RdTRABYVals!$B$2:$B$999,"="&amp;$C100,RdTRABYVals!$C$2:$C$999,"="&amp;INS!$A100),"")</f>
        <v>0.050000000000000003</v>
      </c>
      <c r="AW100" s="6">
        <f>IFERROR(AVERAGEIFS(RdTRABYVals!O$2:O$999,RdTRABYVals!$B$2:$B$999,"="&amp;$C100,RdTRABYVals!$C$2:$C$999,"="&amp;INS!$A100),"")</f>
        <v>0.050000000000000003</v>
      </c>
      <c r="AX100" s="6">
        <f>IFERROR(AVERAGEIFS(RdTRABYVals!P$2:P$999,RdTRABYVals!$B$2:$B$999,"="&amp;$C100,RdTRABYVals!$C$2:$C$999,"="&amp;INS!$A100),"")</f>
        <v>0.050000000000000003</v>
      </c>
      <c r="AY100" s="6">
        <f>IFERROR(AVERAGEIFS(RdTRABYVals!Q$2:Q$999,RdTRABYVals!$B$2:$B$999,"="&amp;$C100,RdTRABYVals!$C$2:$C$999,"="&amp;INS!$A100),"")</f>
        <v>0.050000000000000003</v>
      </c>
      <c r="AZ100" s="6">
        <f>IFERROR(AVERAGEIFS(RdTRABYVals!R$2:R$999,RdTRABYVals!$B$2:$B$999,"="&amp;$C100,RdTRABYVals!$C$2:$C$999,"="&amp;INS!$A100),"")</f>
        <v>0.050000000000000003</v>
      </c>
      <c r="BA100" s="6">
        <f>IFERROR(AVERAGEIFS(RdTRABYVals!S$2:S$999,RdTRABYVals!$B$2:$B$999,"="&amp;$C100,RdTRABYVals!$C$2:$C$999,"="&amp;INS!$A100),"")</f>
        <v>0.050000000000000003</v>
      </c>
      <c r="BB100" s="6">
        <f>IFERROR(AVERAGEIFS(RdTRABYVals!T$2:T$999,RdTRABYVals!$B$2:$B$999,"="&amp;$C100,RdTRABYVals!$C$2:$C$999,"="&amp;INS!$A100),"")</f>
        <v>0.050000000000000003</v>
      </c>
      <c r="BC100" s="6">
        <f>IFERROR(AVERAGEIFS(RdTRABYVals!U$2:U$999,RdTRABYVals!$B$2:$B$999,"="&amp;$C100,RdTRABYVals!$C$2:$C$999,"="&amp;INS!$A100),"")</f>
        <v>0.050000000000000003</v>
      </c>
      <c r="BD100" s="6">
        <f>IFERROR(AVERAGEIFS(RdTRABYVals!V$2:V$999,RdTRABYVals!$B$2:$B$999,"="&amp;$C100,RdTRABYVals!$C$2:$C$999,"="&amp;INS!$A100),"")</f>
        <v>0.050000000000000003</v>
      </c>
      <c r="BE100" s="6">
        <f>IFERROR(AVERAGEIFS(RdTRABYVals!W$2:W$999,RdTRABYVals!$B$2:$B$999,"="&amp;$C100,RdTRABYVals!$C$2:$C$999,"="&amp;INS!$A100),"")</f>
        <v>0.050000000000000003</v>
      </c>
      <c r="BF100" s="6">
        <f>IFERROR(AVERAGEIFS(RdTRABYVals!X$2:X$999,RdTRABYVals!$B$2:$B$999,"="&amp;$C100,RdTRABYVals!$C$2:$C$999,"="&amp;INS!$A100),"")</f>
        <v>0.050000000000000003</v>
      </c>
      <c r="BG100" s="6">
        <f>IFERROR(AVERAGEIFS(RdTRABYVals!Y$2:Y$999,RdTRABYVals!$B$2:$B$999,"="&amp;$C100,RdTRABYVals!$C$2:$C$999,"="&amp;INS!$A100),"")</f>
        <v>0.050000000000000003</v>
      </c>
      <c r="BH100" s="6">
        <f>IFERROR(AVERAGEIFS(RdTRABYVals!Z$2:Z$999,RdTRABYVals!$B$2:$B$999,"="&amp;$C100,RdTRABYVals!$C$2:$C$999,"="&amp;INS!$A100),"")</f>
        <v>0.050000000000000003</v>
      </c>
      <c r="BI100" s="6">
        <f>IFERROR(AVERAGEIFS(RdTRABYVals!AA$2:AA$999,RdTRABYVals!$B$2:$B$999,"="&amp;$C100,RdTRABYVals!$C$2:$C$999,"="&amp;INS!$A100),"")</f>
        <v>0.050000000000000003</v>
      </c>
      <c r="BJ100" s="6">
        <f>IFERROR(AVERAGEIFS(RdTRABYVals!AB$2:AB$999,RdTRABYVals!$B$2:$B$999,"="&amp;$C100,RdTRABYVals!$C$2:$C$999,"="&amp;INS!$A100),"")</f>
        <v>0.050000000000000003</v>
      </c>
      <c r="BK100" s="6">
        <f>IFERROR(AVERAGEIFS(RdTRABYVals!AC$2:AC$999,RdTRABYVals!$B$2:$B$999,"="&amp;$C100,RdTRABYVals!$C$2:$C$999,"="&amp;INS!$A100),"")</f>
        <v>0.050000000000000003</v>
      </c>
      <c r="BL100" s="6">
        <f>IFERROR(AVERAGEIFS(RdTRABYVals!AD$2:AD$999,RdTRABYVals!$B$2:$B$999,"="&amp;$C100,RdTRABYVals!$C$2:$C$999,"="&amp;INS!$A100),"")</f>
        <v>0.050000000000000003</v>
      </c>
      <c r="BM100" s="6">
        <f>IFERROR(AVERAGEIFS(RdTRABYVals!AE$2:AE$999,RdTRABYVals!$B$2:$B$999,"="&amp;$C100,RdTRABYVals!$C$2:$C$999,"="&amp;INS!$A100),"")</f>
        <v>0.050000000000000003</v>
      </c>
      <c r="BN100" s="6">
        <f>IFERROR(AVERAGEIFS(RdTRABYVals!AF$2:AF$999,RdTRABYVals!$B$2:$B$999,"="&amp;$C100,RdTRABYVals!$C$2:$C$999,"="&amp;INS!$A100),"")</f>
        <v>0.050000000000000003</v>
      </c>
      <c r="BO100" s="6">
        <f>IFERROR(AVERAGEIFS(RdTRABYVals!AG$2:AG$999,RdTRABYVals!$B$2:$B$999,"="&amp;$C100,RdTRABYVals!$C$2:$C$999,"="&amp;INS!$A100),"")</f>
        <v>0.050000000000000003</v>
      </c>
      <c r="BP100" s="6">
        <f>IFERROR(AVERAGEIFS(RdTRABYVals!AH$2:AH$999,RdTRABYVals!$B$2:$B$999,"="&amp;$C100,RdTRABYVals!$C$2:$C$999,"="&amp;INS!$A100),"")</f>
        <v>0.050000000000000003</v>
      </c>
      <c r="BQ100" s="6">
        <f>IFERROR(AVERAGEIFS(RdTRABYVals!AI$2:AI$999,RdTRABYVals!$B$2:$B$999,"="&amp;$C100,RdTRABYVals!$C$2:$C$999,"="&amp;INS!$A100),"")</f>
        <v>0.050000000000000003</v>
      </c>
      <c r="BR100" s="6">
        <f>IFERROR(AVERAGEIFS(RdTRABYVals!AJ$2:AJ$999,RdTRABYVals!$B$2:$B$999,"="&amp;$C100,RdTRABYVals!$C$2:$C$999,"="&amp;INS!$A100),"")</f>
        <v>0.050000000000000003</v>
      </c>
      <c r="BS100" s="6">
        <f>IFERROR(AVERAGEIFS(RdTRABYVals!AK$2:AK$999,RdTRABYVals!$B$2:$B$999,"="&amp;$C100,RdTRABYVals!$C$2:$C$999,"="&amp;INS!$A100),"")</f>
        <v>0.050000000000000003</v>
      </c>
      <c r="BT100" s="6">
        <f>IFERROR(AVERAGEIFS(RdTRABYVals!AL$2:AL$999,RdTRABYVals!$B$2:$B$999,"="&amp;$C100,RdTRABYVals!$C$2:$C$999,"="&amp;INS!$A100),"")</f>
        <v>0.050000000000000003</v>
      </c>
      <c r="BU100" s="6">
        <f>IFERROR(AVERAGEIFS(RdTRABYVals!AM$2:AM$999,RdTRABYVals!$B$2:$B$999,"="&amp;$C100,RdTRABYVals!$C$2:$C$999,"="&amp;INS!$A100),"")</f>
        <v>0.050000000000000003</v>
      </c>
      <c r="BV100" s="6">
        <f>IFERROR(AVERAGEIFS(RdTRABYVals!AN$2:AN$999,RdTRABYVals!$B$2:$B$999,"="&amp;$C100,RdTRABYVals!$C$2:$C$999,"="&amp;INS!$A100),"")</f>
        <v>0.050000000000000003</v>
      </c>
      <c r="BW100" s="6">
        <f>IFERROR(AVERAGEIFS(RdTRABYVals!AO$2:AO$999,RdTRABYVals!$B$2:$B$999,"="&amp;$C100,RdTRABYVals!$C$2:$C$999,"="&amp;INS!$A100),"")</f>
        <v>0.050000000000000003</v>
      </c>
      <c r="BX100" s="6">
        <f>IFERROR(AVERAGEIFS(RdTRABYVals!AP$2:AP$999,RdTRABYVals!$B$2:$B$999,"="&amp;$C100,RdTRABYVals!$C$2:$C$999,"="&amp;INS!$A100),"")</f>
        <v>0.050000000000000003</v>
      </c>
      <c r="BY100" s="6">
        <f>IFERROR(AVERAGEIFS(RdTRABYVals!AQ$2:AQ$999,RdTRABYVals!$B$2:$B$999,"="&amp;$C100,RdTRABYVals!$C$2:$C$999,"="&amp;INS!$A100),"")</f>
        <v>0.050000000000000003</v>
      </c>
      <c r="BZ100" s="6">
        <f>IFERROR(AVERAGEIFS(RdTRABYVals!AR$2:AR$999,RdTRABYVals!$B$2:$B$999,"="&amp;$C100,RdTRABYVals!$C$2:$C$999,"="&amp;INS!$A100),"")</f>
        <v>0.050000000000000003</v>
      </c>
      <c r="CA100" s="6">
        <f>IFERROR(AVERAGEIFS(RdTRABYVals!AS$2:AS$999,RdTRABYVals!$B$2:$B$999,"="&amp;$C100,RdTRABYVals!$C$2:$C$999,"="&amp;INS!$A100),"")</f>
        <v>0.050000000000000003</v>
      </c>
      <c r="CB100" s="6">
        <f>IFERROR(AVERAGEIFS(RdTRABYVals!AT$2:AT$999,RdTRABYVals!$B$2:$B$999,"="&amp;$C100,RdTRABYVals!$C$2:$C$999,"="&amp;INS!$A100),"")</f>
        <v>0.050000000000000003</v>
      </c>
      <c r="CC100" s="6">
        <f>IFERROR(AVERAGEIFS(RdTRABYVals!AU$2:AU$999,RdTRABYVals!$B$2:$B$999,"="&amp;$C100,RdTRABYVals!$C$2:$C$999,"="&amp;INS!$A100),"")</f>
        <v>0.050000000000000003</v>
      </c>
      <c r="CD100" s="6">
        <f>IFERROR(AVERAGEIFS(RdTRABYVals!AV$2:AV$999,RdTRABYVals!$B$2:$B$999,"="&amp;$C100,RdTRABYVals!$C$2:$C$999,"="&amp;INS!$A100),"")</f>
        <v>0.050000000000000003</v>
      </c>
    </row>
    <row r="101" spans="1:82" ht="14.4">
      <c r="A101" s="3" t="s">
        <v>114</v>
      </c>
      <c r="C101" s="1" t="s">
        <v>29</v>
      </c>
      <c r="D101" t="str">
        <f t="shared" si="30"/>
        <v>TRA_Bus_Lpg_Urb*</v>
      </c>
      <c r="F101" t="str">
        <f t="shared" si="31"/>
        <v>*0.076</v>
      </c>
      <c r="G101" t="str">
        <f t="shared" si="37" ref="G101:G162">IF(AT101&lt;&gt;"","*"&amp;AT101,"")</f>
        <v>*0.076</v>
      </c>
      <c r="H101" t="str">
        <f t="shared" si="38" ref="H101:H162">IF(AU101&lt;&gt;"","*"&amp;AU101,"")</f>
        <v>*0.076</v>
      </c>
      <c r="I101" t="str">
        <f t="shared" si="39" ref="I101:I162">IF(AV101&lt;&gt;"","*"&amp;AV101,"")</f>
        <v>*0.076</v>
      </c>
      <c r="J101" t="str">
        <f t="shared" si="40" ref="J101:J162">IF(AW101&lt;&gt;"","*"&amp;AW101,"")</f>
        <v>*0.076</v>
      </c>
      <c r="K101" t="str">
        <f t="shared" si="41" ref="K101:K162">IF(AX101&lt;&gt;"","*"&amp;AX101,"")</f>
        <v>*0.076</v>
      </c>
      <c r="L101" t="str">
        <f t="shared" si="42" ref="L101:L162">IF(AY101&lt;&gt;"","*"&amp;AY101,"")</f>
        <v>*0.076</v>
      </c>
      <c r="M101" t="str">
        <f t="shared" si="43" ref="M101:M162">IF(AZ101&lt;&gt;"","*"&amp;AZ101,"")</f>
        <v>*0.076</v>
      </c>
      <c r="N101" t="str">
        <f t="shared" si="44" ref="N101:N162">IF(BA101&lt;&gt;"","*"&amp;BA101,"")</f>
        <v>*0.076</v>
      </c>
      <c r="O101" t="str">
        <f t="shared" si="45" ref="O101:O162">IF(BB101&lt;&gt;"","*"&amp;BB101,"")</f>
        <v>*0.076</v>
      </c>
      <c r="P101" t="str">
        <f t="shared" si="46" ref="P101:P162">IF(BC101&lt;&gt;"","*"&amp;BC101,"")</f>
        <v>*0.076</v>
      </c>
      <c r="Q101" t="str">
        <f t="shared" si="47" ref="Q101:Q162">IF(BD101&lt;&gt;"","*"&amp;BD101,"")</f>
        <v>*0.076</v>
      </c>
      <c r="R101" t="str">
        <f t="shared" si="48" ref="R101:R162">IF(BE101&lt;&gt;"","*"&amp;BE101,"")</f>
        <v>*0.076</v>
      </c>
      <c r="S101" t="str">
        <f t="shared" si="49" ref="S101:S162">IF(BF101&lt;&gt;"","*"&amp;BF101,"")</f>
        <v>*0.076</v>
      </c>
      <c r="T101" t="str">
        <f t="shared" si="50" ref="T101:T162">IF(BG101&lt;&gt;"","*"&amp;BG101,"")</f>
        <v>*0.076</v>
      </c>
      <c r="U101" t="str">
        <f t="shared" si="51" ref="U101:U162">IF(BH101&lt;&gt;"","*"&amp;BH101,"")</f>
        <v>*0.076</v>
      </c>
      <c r="V101" t="str">
        <f t="shared" si="52" ref="V101:V162">IF(BI101&lt;&gt;"","*"&amp;BI101,"")</f>
        <v>*0.076</v>
      </c>
      <c r="W101" t="str">
        <f t="shared" si="53" ref="W101:W162">IF(BJ101&lt;&gt;"","*"&amp;BJ101,"")</f>
        <v>*0.076</v>
      </c>
      <c r="X101" t="str">
        <f t="shared" si="54" ref="X101:X162">IF(BK101&lt;&gt;"","*"&amp;BK101,"")</f>
        <v>*0.076</v>
      </c>
      <c r="Y101" t="str">
        <f t="shared" si="55" ref="Y101:Y162">IF(BL101&lt;&gt;"","*"&amp;BL101,"")</f>
        <v>*0.076</v>
      </c>
      <c r="Z101" t="str">
        <f t="shared" si="56" ref="Z101:Z162">IF(BM101&lt;&gt;"","*"&amp;BM101,"")</f>
        <v>*0.076</v>
      </c>
      <c r="AA101" t="str">
        <f t="shared" si="57" ref="AA101:AA162">IF(BN101&lt;&gt;"","*"&amp;BN101,"")</f>
        <v>*0.076</v>
      </c>
      <c r="AB101" t="str">
        <f t="shared" si="58" ref="AB101:AB162">IF(BO101&lt;&gt;"","*"&amp;BO101,"")</f>
        <v>*0.076</v>
      </c>
      <c r="AC101" t="str">
        <f t="shared" si="59" ref="AC101:AC162">IF(BP101&lt;&gt;"","*"&amp;BP101,"")</f>
        <v>*0.076</v>
      </c>
      <c r="AD101" t="str">
        <f t="shared" si="60" ref="AD101:AD162">IF(BQ101&lt;&gt;"","*"&amp;BQ101,"")</f>
        <v>*0.09</v>
      </c>
      <c r="AE101" t="str">
        <f t="shared" si="61" ref="AE101:AE162">IF(BR101&lt;&gt;"","*"&amp;BR101,"")</f>
        <v>*0.076</v>
      </c>
      <c r="AF101" t="str">
        <f t="shared" si="62" ref="AF101:AF162">IF(BS101&lt;&gt;"","*"&amp;BS101,"")</f>
        <v>*0.076</v>
      </c>
      <c r="AG101" t="str">
        <f t="shared" si="63" ref="AG101:AG162">IF(BT101&lt;&gt;"","*"&amp;BT101,"")</f>
        <v>*0.076</v>
      </c>
      <c r="AH101" t="str">
        <f t="shared" si="64" ref="AH101:AH162">IF(BU101&lt;&gt;"","*"&amp;BU101,"")</f>
        <v>*0.08</v>
      </c>
      <c r="AI101" t="str">
        <f t="shared" si="65" ref="AI101:AI162">IF(BV101&lt;&gt;"","*"&amp;BV101,"")</f>
        <v>*0.076</v>
      </c>
      <c r="AJ101" t="str">
        <f t="shared" si="66" ref="AJ101:AJ162">IF(BW101&lt;&gt;"","*"&amp;BW101,"")</f>
        <v>*0.07</v>
      </c>
      <c r="AK101" t="str">
        <f t="shared" si="67" ref="AK101:AK162">IF(BX101&lt;&gt;"","*"&amp;BX101,"")</f>
        <v>*0.07</v>
      </c>
      <c r="AL101" t="str">
        <f t="shared" si="68" ref="AL101:AL162">IF(BY101&lt;&gt;"","*"&amp;BY101,"")</f>
        <v>*0.076</v>
      </c>
      <c r="AM101" t="str">
        <f t="shared" si="69" ref="AM101:AM162">IF(BZ101&lt;&gt;"","*"&amp;BZ101,"")</f>
        <v>*0.076</v>
      </c>
      <c r="AN101" t="str">
        <f t="shared" si="33"/>
        <v>*0.076</v>
      </c>
      <c r="AO101" t="str">
        <f t="shared" si="34"/>
        <v>*0.076</v>
      </c>
      <c r="AP101" t="str">
        <f t="shared" si="35"/>
        <v>*0.076</v>
      </c>
      <c r="AQ101" t="str">
        <f t="shared" si="36"/>
        <v>*0.07</v>
      </c>
      <c r="AS101" s="6">
        <f t="shared" si="32"/>
        <v>0.075999999999999998</v>
      </c>
      <c r="AT101" s="6">
        <f>IFERROR(AVERAGEIFS(RdTRABYVals!L$2:L$999,RdTRABYVals!$B$2:$B$999,"="&amp;$C101,RdTRABYVals!$C$2:$C$999,"="&amp;INS!$A101),"")</f>
        <v>0.075999999999999998</v>
      </c>
      <c r="AU101" s="6">
        <f>IFERROR(AVERAGEIFS(RdTRABYVals!M$2:M$999,RdTRABYVals!$B$2:$B$999,"="&amp;$C101,RdTRABYVals!$C$2:$C$999,"="&amp;INS!$A101),"")</f>
        <v>0.075999999999999998</v>
      </c>
      <c r="AV101" s="6">
        <f>IFERROR(AVERAGEIFS(RdTRABYVals!N$2:N$999,RdTRABYVals!$B$2:$B$999,"="&amp;$C101,RdTRABYVals!$C$2:$C$999,"="&amp;INS!$A101),"")</f>
        <v>0.075999999999999998</v>
      </c>
      <c r="AW101" s="6">
        <f>IFERROR(AVERAGEIFS(RdTRABYVals!O$2:O$999,RdTRABYVals!$B$2:$B$999,"="&amp;$C101,RdTRABYVals!$C$2:$C$999,"="&amp;INS!$A101),"")</f>
        <v>0.075999999999999998</v>
      </c>
      <c r="AX101" s="6">
        <f>IFERROR(AVERAGEIFS(RdTRABYVals!P$2:P$999,RdTRABYVals!$B$2:$B$999,"="&amp;$C101,RdTRABYVals!$C$2:$C$999,"="&amp;INS!$A101),"")</f>
        <v>0.075999999999999998</v>
      </c>
      <c r="AY101" s="6">
        <f>IFERROR(AVERAGEIFS(RdTRABYVals!Q$2:Q$999,RdTRABYVals!$B$2:$B$999,"="&amp;$C101,RdTRABYVals!$C$2:$C$999,"="&amp;INS!$A101),"")</f>
        <v>0.075999999999999998</v>
      </c>
      <c r="AZ101" s="6">
        <f>IFERROR(AVERAGEIFS(RdTRABYVals!R$2:R$999,RdTRABYVals!$B$2:$B$999,"="&amp;$C101,RdTRABYVals!$C$2:$C$999,"="&amp;INS!$A101),"")</f>
        <v>0.075999999999999998</v>
      </c>
      <c r="BA101" s="6">
        <f>IFERROR(AVERAGEIFS(RdTRABYVals!S$2:S$999,RdTRABYVals!$B$2:$B$999,"="&amp;$C101,RdTRABYVals!$C$2:$C$999,"="&amp;INS!$A101),"")</f>
        <v>0.075999999999999998</v>
      </c>
      <c r="BB101" s="6">
        <f>IFERROR(AVERAGEIFS(RdTRABYVals!T$2:T$999,RdTRABYVals!$B$2:$B$999,"="&amp;$C101,RdTRABYVals!$C$2:$C$999,"="&amp;INS!$A101),"")</f>
        <v>0.075999999999999998</v>
      </c>
      <c r="BC101" s="6">
        <f>IFERROR(AVERAGEIFS(RdTRABYVals!U$2:U$999,RdTRABYVals!$B$2:$B$999,"="&amp;$C101,RdTRABYVals!$C$2:$C$999,"="&amp;INS!$A101),"")</f>
        <v>0.075999999999999998</v>
      </c>
      <c r="BD101" s="6">
        <f>IFERROR(AVERAGEIFS(RdTRABYVals!V$2:V$999,RdTRABYVals!$B$2:$B$999,"="&amp;$C101,RdTRABYVals!$C$2:$C$999,"="&amp;INS!$A101),"")</f>
        <v>0.075999999999999998</v>
      </c>
      <c r="BE101" s="6">
        <f>IFERROR(AVERAGEIFS(RdTRABYVals!W$2:W$999,RdTRABYVals!$B$2:$B$999,"="&amp;$C101,RdTRABYVals!$C$2:$C$999,"="&amp;INS!$A101),"")</f>
        <v>0.075999999999999998</v>
      </c>
      <c r="BF101" s="6">
        <f>IFERROR(AVERAGEIFS(RdTRABYVals!X$2:X$999,RdTRABYVals!$B$2:$B$999,"="&amp;$C101,RdTRABYVals!$C$2:$C$999,"="&amp;INS!$A101),"")</f>
        <v>0.075999999999999998</v>
      </c>
      <c r="BG101" s="6">
        <f>IFERROR(AVERAGEIFS(RdTRABYVals!Y$2:Y$999,RdTRABYVals!$B$2:$B$999,"="&amp;$C101,RdTRABYVals!$C$2:$C$999,"="&amp;INS!$A101),"")</f>
        <v>0.075999999999999998</v>
      </c>
      <c r="BH101" s="6">
        <f>IFERROR(AVERAGEIFS(RdTRABYVals!Z$2:Z$999,RdTRABYVals!$B$2:$B$999,"="&amp;$C101,RdTRABYVals!$C$2:$C$999,"="&amp;INS!$A101),"")</f>
        <v>0.075999999999999998</v>
      </c>
      <c r="BI101" s="6">
        <f>IFERROR(AVERAGEIFS(RdTRABYVals!AA$2:AA$999,RdTRABYVals!$B$2:$B$999,"="&amp;$C101,RdTRABYVals!$C$2:$C$999,"="&amp;INS!$A101),"")</f>
        <v>0.075999999999999998</v>
      </c>
      <c r="BJ101" s="6">
        <f>IFERROR(AVERAGEIFS(RdTRABYVals!AB$2:AB$999,RdTRABYVals!$B$2:$B$999,"="&amp;$C101,RdTRABYVals!$C$2:$C$999,"="&amp;INS!$A101),"")</f>
        <v>0.075999999999999998</v>
      </c>
      <c r="BK101" s="6">
        <f>IFERROR(AVERAGEIFS(RdTRABYVals!AC$2:AC$999,RdTRABYVals!$B$2:$B$999,"="&amp;$C101,RdTRABYVals!$C$2:$C$999,"="&amp;INS!$A101),"")</f>
        <v>0.075999999999999998</v>
      </c>
      <c r="BL101" s="6">
        <f>IFERROR(AVERAGEIFS(RdTRABYVals!AD$2:AD$999,RdTRABYVals!$B$2:$B$999,"="&amp;$C101,RdTRABYVals!$C$2:$C$999,"="&amp;INS!$A101),"")</f>
        <v>0.075999999999999998</v>
      </c>
      <c r="BM101" s="6">
        <f>IFERROR(AVERAGEIFS(RdTRABYVals!AE$2:AE$999,RdTRABYVals!$B$2:$B$999,"="&amp;$C101,RdTRABYVals!$C$2:$C$999,"="&amp;INS!$A101),"")</f>
        <v>0.075999999999999998</v>
      </c>
      <c r="BN101" s="6">
        <f>IFERROR(AVERAGEIFS(RdTRABYVals!AF$2:AF$999,RdTRABYVals!$B$2:$B$999,"="&amp;$C101,RdTRABYVals!$C$2:$C$999,"="&amp;INS!$A101),"")</f>
        <v>0.075999999999999998</v>
      </c>
      <c r="BO101" s="6">
        <f>IFERROR(AVERAGEIFS(RdTRABYVals!AG$2:AG$999,RdTRABYVals!$B$2:$B$999,"="&amp;$C101,RdTRABYVals!$C$2:$C$999,"="&amp;INS!$A101),"")</f>
        <v>0.075999999999999998</v>
      </c>
      <c r="BP101" s="6">
        <f>IFERROR(AVERAGEIFS(RdTRABYVals!AH$2:AH$999,RdTRABYVals!$B$2:$B$999,"="&amp;$C101,RdTRABYVals!$C$2:$C$999,"="&amp;INS!$A101),"")</f>
        <v>0.075999999999999998</v>
      </c>
      <c r="BQ101" s="6">
        <f>IFERROR(AVERAGEIFS(RdTRABYVals!AI$2:AI$999,RdTRABYVals!$B$2:$B$999,"="&amp;$C101,RdTRABYVals!$C$2:$C$999,"="&amp;INS!$A101),"")</f>
        <v>0.089999999999999997</v>
      </c>
      <c r="BR101" s="6">
        <f>IFERROR(AVERAGEIFS(RdTRABYVals!AJ$2:AJ$999,RdTRABYVals!$B$2:$B$999,"="&amp;$C101,RdTRABYVals!$C$2:$C$999,"="&amp;INS!$A101),"")</f>
        <v>0.075999999999999998</v>
      </c>
      <c r="BS101" s="6">
        <f>IFERROR(AVERAGEIFS(RdTRABYVals!AK$2:AK$999,RdTRABYVals!$B$2:$B$999,"="&amp;$C101,RdTRABYVals!$C$2:$C$999,"="&amp;INS!$A101),"")</f>
        <v>0.075999999999999998</v>
      </c>
      <c r="BT101" s="6">
        <f>IFERROR(AVERAGEIFS(RdTRABYVals!AL$2:AL$999,RdTRABYVals!$B$2:$B$999,"="&amp;$C101,RdTRABYVals!$C$2:$C$999,"="&amp;INS!$A101),"")</f>
        <v>0.075999999999999998</v>
      </c>
      <c r="BU101" s="6">
        <f>IFERROR(AVERAGEIFS(RdTRABYVals!AM$2:AM$999,RdTRABYVals!$B$2:$B$999,"="&amp;$C101,RdTRABYVals!$C$2:$C$999,"="&amp;INS!$A101),"")</f>
        <v>0.080000000000000002</v>
      </c>
      <c r="BV101" s="6">
        <f>IFERROR(AVERAGEIFS(RdTRABYVals!AN$2:AN$999,RdTRABYVals!$B$2:$B$999,"="&amp;$C101,RdTRABYVals!$C$2:$C$999,"="&amp;INS!$A101),"")</f>
        <v>0.075999999999999998</v>
      </c>
      <c r="BW101" s="6">
        <f>IFERROR(AVERAGEIFS(RdTRABYVals!AO$2:AO$999,RdTRABYVals!$B$2:$B$999,"="&amp;$C101,RdTRABYVals!$C$2:$C$999,"="&amp;INS!$A101),"")</f>
        <v>0.070000000000000007</v>
      </c>
      <c r="BX101" s="6">
        <f>IFERROR(AVERAGEIFS(RdTRABYVals!AP$2:AP$999,RdTRABYVals!$B$2:$B$999,"="&amp;$C101,RdTRABYVals!$C$2:$C$999,"="&amp;INS!$A101),"")</f>
        <v>0.070000000000000007</v>
      </c>
      <c r="BY101" s="6">
        <f>IFERROR(AVERAGEIFS(RdTRABYVals!AQ$2:AQ$999,RdTRABYVals!$B$2:$B$999,"="&amp;$C101,RdTRABYVals!$C$2:$C$999,"="&amp;INS!$A101),"")</f>
        <v>0.075999999999999998</v>
      </c>
      <c r="BZ101" s="6">
        <f>IFERROR(AVERAGEIFS(RdTRABYVals!AR$2:AR$999,RdTRABYVals!$B$2:$B$999,"="&amp;$C101,RdTRABYVals!$C$2:$C$999,"="&amp;INS!$A101),"")</f>
        <v>0.075999999999999998</v>
      </c>
      <c r="CA101" s="6">
        <f>IFERROR(AVERAGEIFS(RdTRABYVals!AS$2:AS$999,RdTRABYVals!$B$2:$B$999,"="&amp;$C101,RdTRABYVals!$C$2:$C$999,"="&amp;INS!$A101),"")</f>
        <v>0.075999999999999998</v>
      </c>
      <c r="CB101" s="6">
        <f>IFERROR(AVERAGEIFS(RdTRABYVals!AT$2:AT$999,RdTRABYVals!$B$2:$B$999,"="&amp;$C101,RdTRABYVals!$C$2:$C$999,"="&amp;INS!$A101),"")</f>
        <v>0.075999999999999998</v>
      </c>
      <c r="CC101" s="6">
        <f>IFERROR(AVERAGEIFS(RdTRABYVals!AU$2:AU$999,RdTRABYVals!$B$2:$B$999,"="&amp;$C101,RdTRABYVals!$C$2:$C$999,"="&amp;INS!$A101),"")</f>
        <v>0.075999999999999998</v>
      </c>
      <c r="CD101" s="6">
        <f>IFERROR(AVERAGEIFS(RdTRABYVals!AV$2:AV$999,RdTRABYVals!$B$2:$B$999,"="&amp;$C101,RdTRABYVals!$C$2:$C$999,"="&amp;INS!$A101),"")</f>
        <v>0.070000000000000007</v>
      </c>
    </row>
    <row r="102" spans="1:82" ht="14.4">
      <c r="A102" s="3" t="s">
        <v>109</v>
      </c>
      <c r="C102" s="1" t="s">
        <v>29</v>
      </c>
      <c r="D102" t="s">
        <v>156</v>
      </c>
      <c r="F102" t="str">
        <f t="shared" si="31"/>
        <v>*0.0956756756756757</v>
      </c>
      <c r="G102" t="str">
        <f t="shared" si="37"/>
        <v>*0.11</v>
      </c>
      <c r="H102" t="str">
        <f t="shared" si="38"/>
        <v>*0.09</v>
      </c>
      <c r="I102" t="str">
        <f t="shared" si="39"/>
        <v>*0.09</v>
      </c>
      <c r="J102" t="str">
        <f t="shared" si="40"/>
        <v>*0.08</v>
      </c>
      <c r="K102" t="str">
        <f t="shared" si="41"/>
        <v>*0.1</v>
      </c>
      <c r="L102" t="str">
        <f t="shared" si="42"/>
        <v>*0.08</v>
      </c>
      <c r="M102" t="str">
        <f t="shared" si="43"/>
        <v>*0.1</v>
      </c>
      <c r="N102" t="str">
        <f t="shared" si="44"/>
        <v>*0.11</v>
      </c>
      <c r="O102" t="str">
        <f t="shared" si="45"/>
        <v>*0.11</v>
      </c>
      <c r="P102" t="str">
        <f t="shared" si="46"/>
        <v>*0.09</v>
      </c>
      <c r="Q102" t="str">
        <f t="shared" si="47"/>
        <v>*0.1</v>
      </c>
      <c r="R102" t="str">
        <f t="shared" si="48"/>
        <v>*0.11</v>
      </c>
      <c r="S102" t="str">
        <f t="shared" si="49"/>
        <v>*0.1</v>
      </c>
      <c r="T102" t="str">
        <f t="shared" si="50"/>
        <v>*0.11</v>
      </c>
      <c r="U102" t="str">
        <f t="shared" si="51"/>
        <v>*0.09</v>
      </c>
      <c r="V102" t="str">
        <f t="shared" si="52"/>
        <v>*0.09</v>
      </c>
      <c r="W102" t="str">
        <f t="shared" si="53"/>
        <v>*0.09</v>
      </c>
      <c r="X102" t="str">
        <f t="shared" si="54"/>
        <v>*0.1</v>
      </c>
      <c r="Y102" t="str">
        <f t="shared" si="55"/>
        <v>*0.1</v>
      </c>
      <c r="Z102" t="str">
        <f t="shared" si="56"/>
        <v>*0.1</v>
      </c>
      <c r="AA102" t="str">
        <f t="shared" si="57"/>
        <v>*0.09</v>
      </c>
      <c r="AB102" t="str">
        <f t="shared" si="58"/>
        <v>*0.07</v>
      </c>
      <c r="AC102" t="str">
        <f t="shared" si="59"/>
        <v>*0.08</v>
      </c>
      <c r="AD102" t="str">
        <f t="shared" si="60"/>
        <v>*0.11</v>
      </c>
      <c r="AE102" t="str">
        <f t="shared" si="61"/>
        <v>*0.11</v>
      </c>
      <c r="AF102" t="str">
        <f t="shared" si="62"/>
        <v>*0.09</v>
      </c>
      <c r="AG102" t="str">
        <f t="shared" si="63"/>
        <v>*0.1</v>
      </c>
      <c r="AH102" t="str">
        <f t="shared" si="64"/>
        <v>*0.09</v>
      </c>
      <c r="AI102" t="str">
        <f t="shared" si="65"/>
        <v>*0.11</v>
      </c>
      <c r="AJ102" t="str">
        <f t="shared" si="66"/>
        <v>*0.09</v>
      </c>
      <c r="AK102" t="str">
        <f t="shared" si="67"/>
        <v>*0.1</v>
      </c>
      <c r="AL102" t="str">
        <f t="shared" si="68"/>
        <v>*0.1</v>
      </c>
      <c r="AM102" t="str">
        <f t="shared" si="69"/>
        <v>*0.09</v>
      </c>
      <c r="AN102" t="str">
        <f t="shared" si="33"/>
        <v>*0.1</v>
      </c>
      <c r="AO102" t="str">
        <f t="shared" si="34"/>
        <v>*0.09</v>
      </c>
      <c r="AP102" t="str">
        <f t="shared" si="35"/>
        <v>*0.11</v>
      </c>
      <c r="AQ102" t="str">
        <f t="shared" si="36"/>
        <v>*0.06</v>
      </c>
      <c r="AS102" s="6">
        <f>AVERAGE(AT102:CD102)</f>
        <v>0.09567567567567567</v>
      </c>
      <c r="AT102" s="6">
        <f>IFERROR(AVERAGEIFS(RdTRABYVals!L$2:L$999,RdTRABYVals!$B$2:$B$999,"="&amp;$C102,RdTRABYVals!$C$2:$C$999,"="&amp;INS!$A102),"")</f>
        <v>0.11</v>
      </c>
      <c r="AU102" s="6">
        <f>IFERROR(AVERAGEIFS(RdTRABYVals!M$2:M$999,RdTRABYVals!$B$2:$B$999,"="&amp;$C102,RdTRABYVals!$C$2:$C$999,"="&amp;INS!$A102),"")</f>
        <v>0.089999999999999997</v>
      </c>
      <c r="AV102" s="6">
        <f>IFERROR(AVERAGEIFS(RdTRABYVals!N$2:N$999,RdTRABYVals!$B$2:$B$999,"="&amp;$C102,RdTRABYVals!$C$2:$C$999,"="&amp;INS!$A102),"")</f>
        <v>0.089999999999999997</v>
      </c>
      <c r="AW102" s="6">
        <f>IFERROR(AVERAGEIFS(RdTRABYVals!O$2:O$999,RdTRABYVals!$B$2:$B$999,"="&amp;$C102,RdTRABYVals!$C$2:$C$999,"="&amp;INS!$A102),"")</f>
        <v>0.080000000000000002</v>
      </c>
      <c r="AX102" s="6">
        <f>IFERROR(AVERAGEIFS(RdTRABYVals!P$2:P$999,RdTRABYVals!$B$2:$B$999,"="&amp;$C102,RdTRABYVals!$C$2:$C$999,"="&amp;INS!$A102),"")</f>
        <v>0.10000000000000001</v>
      </c>
      <c r="AY102" s="6">
        <f>IFERROR(AVERAGEIFS(RdTRABYVals!Q$2:Q$999,RdTRABYVals!$B$2:$B$999,"="&amp;$C102,RdTRABYVals!$C$2:$C$999,"="&amp;INS!$A102),"")</f>
        <v>0.080000000000000002</v>
      </c>
      <c r="AZ102" s="6">
        <f>IFERROR(AVERAGEIFS(RdTRABYVals!R$2:R$999,RdTRABYVals!$B$2:$B$999,"="&amp;$C102,RdTRABYVals!$C$2:$C$999,"="&amp;INS!$A102),"")</f>
        <v>0.10000000000000001</v>
      </c>
      <c r="BA102" s="6">
        <f>IFERROR(AVERAGEIFS(RdTRABYVals!S$2:S$999,RdTRABYVals!$B$2:$B$999,"="&amp;$C102,RdTRABYVals!$C$2:$C$999,"="&amp;INS!$A102),"")</f>
        <v>0.11</v>
      </c>
      <c r="BB102" s="6">
        <f>IFERROR(AVERAGEIFS(RdTRABYVals!T$2:T$999,RdTRABYVals!$B$2:$B$999,"="&amp;$C102,RdTRABYVals!$C$2:$C$999,"="&amp;INS!$A102),"")</f>
        <v>0.11</v>
      </c>
      <c r="BC102" s="6">
        <f>IFERROR(AVERAGEIFS(RdTRABYVals!U$2:U$999,RdTRABYVals!$B$2:$B$999,"="&amp;$C102,RdTRABYVals!$C$2:$C$999,"="&amp;INS!$A102),"")</f>
        <v>0.089999999999999997</v>
      </c>
      <c r="BD102" s="6">
        <f>IFERROR(AVERAGEIFS(RdTRABYVals!V$2:V$999,RdTRABYVals!$B$2:$B$999,"="&amp;$C102,RdTRABYVals!$C$2:$C$999,"="&amp;INS!$A102),"")</f>
        <v>0.10000000000000001</v>
      </c>
      <c r="BE102" s="6">
        <f>IFERROR(AVERAGEIFS(RdTRABYVals!W$2:W$999,RdTRABYVals!$B$2:$B$999,"="&amp;$C102,RdTRABYVals!$C$2:$C$999,"="&amp;INS!$A102),"")</f>
        <v>0.11</v>
      </c>
      <c r="BF102" s="6">
        <f>IFERROR(AVERAGEIFS(RdTRABYVals!X$2:X$999,RdTRABYVals!$B$2:$B$999,"="&amp;$C102,RdTRABYVals!$C$2:$C$999,"="&amp;INS!$A102),"")</f>
        <v>0.10000000000000001</v>
      </c>
      <c r="BG102" s="6">
        <f>IFERROR(AVERAGEIFS(RdTRABYVals!Y$2:Y$999,RdTRABYVals!$B$2:$B$999,"="&amp;$C102,RdTRABYVals!$C$2:$C$999,"="&amp;INS!$A102),"")</f>
        <v>0.11</v>
      </c>
      <c r="BH102" s="6">
        <f>IFERROR(AVERAGEIFS(RdTRABYVals!Z$2:Z$999,RdTRABYVals!$B$2:$B$999,"="&amp;$C102,RdTRABYVals!$C$2:$C$999,"="&amp;INS!$A102),"")</f>
        <v>0.089999999999999997</v>
      </c>
      <c r="BI102" s="6">
        <f>IFERROR(AVERAGEIFS(RdTRABYVals!AA$2:AA$999,RdTRABYVals!$B$2:$B$999,"="&amp;$C102,RdTRABYVals!$C$2:$C$999,"="&amp;INS!$A102),"")</f>
        <v>0.089999999999999997</v>
      </c>
      <c r="BJ102" s="6">
        <f>IFERROR(AVERAGEIFS(RdTRABYVals!AB$2:AB$999,RdTRABYVals!$B$2:$B$999,"="&amp;$C102,RdTRABYVals!$C$2:$C$999,"="&amp;INS!$A102),"")</f>
        <v>0.089999999999999997</v>
      </c>
      <c r="BK102" s="6">
        <f>IFERROR(AVERAGEIFS(RdTRABYVals!AC$2:AC$999,RdTRABYVals!$B$2:$B$999,"="&amp;$C102,RdTRABYVals!$C$2:$C$999,"="&amp;INS!$A102),"")</f>
        <v>0.10000000000000001</v>
      </c>
      <c r="BL102" s="6">
        <f>IFERROR(AVERAGEIFS(RdTRABYVals!AD$2:AD$999,RdTRABYVals!$B$2:$B$999,"="&amp;$C102,RdTRABYVals!$C$2:$C$999,"="&amp;INS!$A102),"")</f>
        <v>0.10000000000000001</v>
      </c>
      <c r="BM102" s="6">
        <f>IFERROR(AVERAGEIFS(RdTRABYVals!AE$2:AE$999,RdTRABYVals!$B$2:$B$999,"="&amp;$C102,RdTRABYVals!$C$2:$C$999,"="&amp;INS!$A102),"")</f>
        <v>0.10000000000000001</v>
      </c>
      <c r="BN102" s="6">
        <f>IFERROR(AVERAGEIFS(RdTRABYVals!AF$2:AF$999,RdTRABYVals!$B$2:$B$999,"="&amp;$C102,RdTRABYVals!$C$2:$C$999,"="&amp;INS!$A102),"")</f>
        <v>0.089999999999999997</v>
      </c>
      <c r="BO102" s="6">
        <f>IFERROR(AVERAGEIFS(RdTRABYVals!AG$2:AG$999,RdTRABYVals!$B$2:$B$999,"="&amp;$C102,RdTRABYVals!$C$2:$C$999,"="&amp;INS!$A102),"")</f>
        <v>0.070000000000000007</v>
      </c>
      <c r="BP102" s="6">
        <f>IFERROR(AVERAGEIFS(RdTRABYVals!AH$2:AH$999,RdTRABYVals!$B$2:$B$999,"="&amp;$C102,RdTRABYVals!$C$2:$C$999,"="&amp;INS!$A102),"")</f>
        <v>0.080000000000000002</v>
      </c>
      <c r="BQ102" s="6">
        <f>IFERROR(AVERAGEIFS(RdTRABYVals!AI$2:AI$999,RdTRABYVals!$B$2:$B$999,"="&amp;$C102,RdTRABYVals!$C$2:$C$999,"="&amp;INS!$A102),"")</f>
        <v>0.11</v>
      </c>
      <c r="BR102" s="6">
        <f>IFERROR(AVERAGEIFS(RdTRABYVals!AJ$2:AJ$999,RdTRABYVals!$B$2:$B$999,"="&amp;$C102,RdTRABYVals!$C$2:$C$999,"="&amp;INS!$A102),"")</f>
        <v>0.11</v>
      </c>
      <c r="BS102" s="6">
        <f>IFERROR(AVERAGEIFS(RdTRABYVals!AK$2:AK$999,RdTRABYVals!$B$2:$B$999,"="&amp;$C102,RdTRABYVals!$C$2:$C$999,"="&amp;INS!$A102),"")</f>
        <v>0.089999999999999997</v>
      </c>
      <c r="BT102" s="6">
        <f>IFERROR(AVERAGEIFS(RdTRABYVals!AL$2:AL$999,RdTRABYVals!$B$2:$B$999,"="&amp;$C102,RdTRABYVals!$C$2:$C$999,"="&amp;INS!$A102),"")</f>
        <v>0.10000000000000001</v>
      </c>
      <c r="BU102" s="6">
        <f>IFERROR(AVERAGEIFS(RdTRABYVals!AM$2:AM$999,RdTRABYVals!$B$2:$B$999,"="&amp;$C102,RdTRABYVals!$C$2:$C$999,"="&amp;INS!$A102),"")</f>
        <v>0.089999999999999997</v>
      </c>
      <c r="BV102" s="6">
        <f>IFERROR(AVERAGEIFS(RdTRABYVals!AN$2:AN$999,RdTRABYVals!$B$2:$B$999,"="&amp;$C102,RdTRABYVals!$C$2:$C$999,"="&amp;INS!$A102),"")</f>
        <v>0.11</v>
      </c>
      <c r="BW102" s="6">
        <f>IFERROR(AVERAGEIFS(RdTRABYVals!AO$2:AO$999,RdTRABYVals!$B$2:$B$999,"="&amp;$C102,RdTRABYVals!$C$2:$C$999,"="&amp;INS!$A102),"")</f>
        <v>0.089999999999999997</v>
      </c>
      <c r="BX102" s="6">
        <f>IFERROR(AVERAGEIFS(RdTRABYVals!AP$2:AP$999,RdTRABYVals!$B$2:$B$999,"="&amp;$C102,RdTRABYVals!$C$2:$C$999,"="&amp;INS!$A102),"")</f>
        <v>0.10000000000000001</v>
      </c>
      <c r="BY102" s="6">
        <f>IFERROR(AVERAGEIFS(RdTRABYVals!AQ$2:AQ$999,RdTRABYVals!$B$2:$B$999,"="&amp;$C102,RdTRABYVals!$C$2:$C$999,"="&amp;INS!$A102),"")</f>
        <v>0.10000000000000001</v>
      </c>
      <c r="BZ102" s="6">
        <f>IFERROR(AVERAGEIFS(RdTRABYVals!AR$2:AR$999,RdTRABYVals!$B$2:$B$999,"="&amp;$C102,RdTRABYVals!$C$2:$C$999,"="&amp;INS!$A102),"")</f>
        <v>0.089999999999999997</v>
      </c>
      <c r="CA102" s="6">
        <f>IFERROR(AVERAGEIFS(RdTRABYVals!AS$2:AS$999,RdTRABYVals!$B$2:$B$999,"="&amp;$C102,RdTRABYVals!$C$2:$C$999,"="&amp;INS!$A102),"")</f>
        <v>0.10000000000000001</v>
      </c>
      <c r="CB102" s="6">
        <f>IFERROR(AVERAGEIFS(RdTRABYVals!AT$2:AT$999,RdTRABYVals!$B$2:$B$999,"="&amp;$C102,RdTRABYVals!$C$2:$C$999,"="&amp;INS!$A102),"")</f>
        <v>0.089999999999999997</v>
      </c>
      <c r="CC102" s="6">
        <f>IFERROR(AVERAGEIFS(RdTRABYVals!AU$2:AU$999,RdTRABYVals!$B$2:$B$999,"="&amp;$C102,RdTRABYVals!$C$2:$C$999,"="&amp;INS!$A102),"")</f>
        <v>0.11</v>
      </c>
      <c r="CD102" s="6">
        <f>IFERROR(AVERAGEIFS(RdTRABYVals!AV$2:AV$999,RdTRABYVals!$B$2:$B$999,"="&amp;$C102,RdTRABYVals!$C$2:$C$999,"="&amp;INS!$A102),"")</f>
        <v>0.059999999999999998</v>
      </c>
    </row>
    <row r="103" spans="1:82" ht="14.4">
      <c r="A103" s="3" t="s">
        <v>111</v>
      </c>
      <c r="C103" s="1" t="s">
        <v>29</v>
      </c>
      <c r="D103" t="s">
        <v>157</v>
      </c>
      <c r="F103" t="str">
        <f t="shared" si="31"/>
        <v>*0.0875</v>
      </c>
      <c r="G103" t="str">
        <f t="shared" si="37"/>
        <v>*0.0875</v>
      </c>
      <c r="H103" t="str">
        <f t="shared" si="38"/>
        <v>*0.0875</v>
      </c>
      <c r="I103" t="str">
        <f t="shared" si="39"/>
        <v>*0.0875</v>
      </c>
      <c r="J103" t="str">
        <f t="shared" si="40"/>
        <v>*0.0875</v>
      </c>
      <c r="K103" t="str">
        <f t="shared" si="41"/>
        <v>*0.0875</v>
      </c>
      <c r="L103" t="str">
        <f t="shared" si="42"/>
        <v>*0.0875</v>
      </c>
      <c r="M103" t="str">
        <f t="shared" si="43"/>
        <v>*0.0875</v>
      </c>
      <c r="N103" t="str">
        <f t="shared" si="44"/>
        <v>*0.1</v>
      </c>
      <c r="O103" t="str">
        <f t="shared" si="45"/>
        <v>*0.0875</v>
      </c>
      <c r="P103" t="str">
        <f t="shared" si="46"/>
        <v>*0.09</v>
      </c>
      <c r="Q103" t="str">
        <f t="shared" si="47"/>
        <v>*0.0875</v>
      </c>
      <c r="R103" t="str">
        <f t="shared" si="48"/>
        <v>*0.0875</v>
      </c>
      <c r="S103" t="str">
        <f t="shared" si="49"/>
        <v>*0.0875</v>
      </c>
      <c r="T103" t="str">
        <f t="shared" si="50"/>
        <v>*0.0875</v>
      </c>
      <c r="U103" t="str">
        <f t="shared" si="51"/>
        <v>*0.0875</v>
      </c>
      <c r="V103" t="str">
        <f t="shared" si="52"/>
        <v>*0.0875</v>
      </c>
      <c r="W103" t="str">
        <f t="shared" si="53"/>
        <v>*0.0875</v>
      </c>
      <c r="X103" t="str">
        <f t="shared" si="54"/>
        <v>*0.0875</v>
      </c>
      <c r="Y103" t="str">
        <f t="shared" si="55"/>
        <v>*0.1</v>
      </c>
      <c r="Z103" t="str">
        <f t="shared" si="56"/>
        <v>*0.0875</v>
      </c>
      <c r="AA103" t="str">
        <f t="shared" si="57"/>
        <v>*0.0875</v>
      </c>
      <c r="AB103" t="str">
        <f t="shared" si="58"/>
        <v>*0.0875</v>
      </c>
      <c r="AC103" t="str">
        <f t="shared" si="59"/>
        <v>*0.0875</v>
      </c>
      <c r="AD103" t="str">
        <f t="shared" si="60"/>
        <v>*0.0875</v>
      </c>
      <c r="AE103" t="str">
        <f t="shared" si="61"/>
        <v>*0.0875</v>
      </c>
      <c r="AF103" t="str">
        <f t="shared" si="62"/>
        <v>*0.0875</v>
      </c>
      <c r="AG103" t="str">
        <f t="shared" si="63"/>
        <v>*0.0875</v>
      </c>
      <c r="AH103" t="str">
        <f t="shared" si="64"/>
        <v>*0.0875</v>
      </c>
      <c r="AI103" t="str">
        <f t="shared" si="65"/>
        <v>*0.0875</v>
      </c>
      <c r="AJ103" t="str">
        <f t="shared" si="66"/>
        <v>*0.0875</v>
      </c>
      <c r="AK103" t="str">
        <f t="shared" si="67"/>
        <v>*0.0875</v>
      </c>
      <c r="AL103" t="str">
        <f t="shared" si="68"/>
        <v>*0.0875</v>
      </c>
      <c r="AM103" t="str">
        <f t="shared" si="69"/>
        <v>*0.0875</v>
      </c>
      <c r="AN103" t="str">
        <f t="shared" si="33"/>
        <v>*0.0875</v>
      </c>
      <c r="AO103" t="str">
        <f t="shared" si="34"/>
        <v>*0.0875</v>
      </c>
      <c r="AP103" t="str">
        <f t="shared" si="35"/>
        <v>*0.0875</v>
      </c>
      <c r="AQ103" t="str">
        <f t="shared" si="36"/>
        <v>*0.06</v>
      </c>
      <c r="AS103" s="6">
        <f>AVERAGE(AT103:CD103)</f>
        <v>0.087500000000000008</v>
      </c>
      <c r="AT103" s="6">
        <f>IFERROR(AVERAGEIFS(RdTRABYVals!L$2:L$999,RdTRABYVals!$B$2:$B$999,"="&amp;$C103,RdTRABYVals!$C$2:$C$999,"="&amp;INS!$A103),"")</f>
        <v>0.087499999999999994</v>
      </c>
      <c r="AU103" s="6">
        <f>IFERROR(AVERAGEIFS(RdTRABYVals!M$2:M$999,RdTRABYVals!$B$2:$B$999,"="&amp;$C103,RdTRABYVals!$C$2:$C$999,"="&amp;INS!$A103),"")</f>
        <v>0.087499999999999994</v>
      </c>
      <c r="AV103" s="6">
        <f>IFERROR(AVERAGEIFS(RdTRABYVals!N$2:N$999,RdTRABYVals!$B$2:$B$999,"="&amp;$C103,RdTRABYVals!$C$2:$C$999,"="&amp;INS!$A103),"")</f>
        <v>0.087499999999999994</v>
      </c>
      <c r="AW103" s="6">
        <f>IFERROR(AVERAGEIFS(RdTRABYVals!O$2:O$999,RdTRABYVals!$B$2:$B$999,"="&amp;$C103,RdTRABYVals!$C$2:$C$999,"="&amp;INS!$A103),"")</f>
        <v>0.087499999999999994</v>
      </c>
      <c r="AX103" s="6">
        <f>IFERROR(AVERAGEIFS(RdTRABYVals!P$2:P$999,RdTRABYVals!$B$2:$B$999,"="&amp;$C103,RdTRABYVals!$C$2:$C$999,"="&amp;INS!$A103),"")</f>
        <v>0.087499999999999994</v>
      </c>
      <c r="AY103" s="6">
        <f>IFERROR(AVERAGEIFS(RdTRABYVals!Q$2:Q$999,RdTRABYVals!$B$2:$B$999,"="&amp;$C103,RdTRABYVals!$C$2:$C$999,"="&amp;INS!$A103),"")</f>
        <v>0.087499999999999994</v>
      </c>
      <c r="AZ103" s="6">
        <f>IFERROR(AVERAGEIFS(RdTRABYVals!R$2:R$999,RdTRABYVals!$B$2:$B$999,"="&amp;$C103,RdTRABYVals!$C$2:$C$999,"="&amp;INS!$A103),"")</f>
        <v>0.087499999999999994</v>
      </c>
      <c r="BA103" s="6">
        <f>IFERROR(AVERAGEIFS(RdTRABYVals!S$2:S$999,RdTRABYVals!$B$2:$B$999,"="&amp;$C103,RdTRABYVals!$C$2:$C$999,"="&amp;INS!$A103),"")</f>
        <v>0.10000000000000001</v>
      </c>
      <c r="BB103" s="6">
        <f>IFERROR(AVERAGEIFS(RdTRABYVals!T$2:T$999,RdTRABYVals!$B$2:$B$999,"="&amp;$C103,RdTRABYVals!$C$2:$C$999,"="&amp;INS!$A103),"")</f>
        <v>0.087499999999999994</v>
      </c>
      <c r="BC103" s="6">
        <f>IFERROR(AVERAGEIFS(RdTRABYVals!U$2:U$999,RdTRABYVals!$B$2:$B$999,"="&amp;$C103,RdTRABYVals!$C$2:$C$999,"="&amp;INS!$A103),"")</f>
        <v>0.089999999999999997</v>
      </c>
      <c r="BD103" s="6">
        <f>IFERROR(AVERAGEIFS(RdTRABYVals!V$2:V$999,RdTRABYVals!$B$2:$B$999,"="&amp;$C103,RdTRABYVals!$C$2:$C$999,"="&amp;INS!$A103),"")</f>
        <v>0.087499999999999994</v>
      </c>
      <c r="BE103" s="6">
        <f>IFERROR(AVERAGEIFS(RdTRABYVals!W$2:W$999,RdTRABYVals!$B$2:$B$999,"="&amp;$C103,RdTRABYVals!$C$2:$C$999,"="&amp;INS!$A103),"")</f>
        <v>0.087499999999999994</v>
      </c>
      <c r="BF103" s="6">
        <f>IFERROR(AVERAGEIFS(RdTRABYVals!X$2:X$999,RdTRABYVals!$B$2:$B$999,"="&amp;$C103,RdTRABYVals!$C$2:$C$999,"="&amp;INS!$A103),"")</f>
        <v>0.087499999999999994</v>
      </c>
      <c r="BG103" s="6">
        <f>IFERROR(AVERAGEIFS(RdTRABYVals!Y$2:Y$999,RdTRABYVals!$B$2:$B$999,"="&amp;$C103,RdTRABYVals!$C$2:$C$999,"="&amp;INS!$A103),"")</f>
        <v>0.087499999999999994</v>
      </c>
      <c r="BH103" s="6">
        <f>IFERROR(AVERAGEIFS(RdTRABYVals!Z$2:Z$999,RdTRABYVals!$B$2:$B$999,"="&amp;$C103,RdTRABYVals!$C$2:$C$999,"="&amp;INS!$A103),"")</f>
        <v>0.087499999999999994</v>
      </c>
      <c r="BI103" s="6">
        <f>IFERROR(AVERAGEIFS(RdTRABYVals!AA$2:AA$999,RdTRABYVals!$B$2:$B$999,"="&amp;$C103,RdTRABYVals!$C$2:$C$999,"="&amp;INS!$A103),"")</f>
        <v>0.087499999999999994</v>
      </c>
      <c r="BJ103" s="6">
        <f>IFERROR(AVERAGEIFS(RdTRABYVals!AB$2:AB$999,RdTRABYVals!$B$2:$B$999,"="&amp;$C103,RdTRABYVals!$C$2:$C$999,"="&amp;INS!$A103),"")</f>
        <v>0.087499999999999994</v>
      </c>
      <c r="BK103" s="6">
        <f>IFERROR(AVERAGEIFS(RdTRABYVals!AC$2:AC$999,RdTRABYVals!$B$2:$B$999,"="&amp;$C103,RdTRABYVals!$C$2:$C$999,"="&amp;INS!$A103),"")</f>
        <v>0.087499999999999994</v>
      </c>
      <c r="BL103" s="6">
        <f>IFERROR(AVERAGEIFS(RdTRABYVals!AD$2:AD$999,RdTRABYVals!$B$2:$B$999,"="&amp;$C103,RdTRABYVals!$C$2:$C$999,"="&amp;INS!$A103),"")</f>
        <v>0.10000000000000001</v>
      </c>
      <c r="BM103" s="6">
        <f>IFERROR(AVERAGEIFS(RdTRABYVals!AE$2:AE$999,RdTRABYVals!$B$2:$B$999,"="&amp;$C103,RdTRABYVals!$C$2:$C$999,"="&amp;INS!$A103),"")</f>
        <v>0.087499999999999994</v>
      </c>
      <c r="BN103" s="6">
        <f>IFERROR(AVERAGEIFS(RdTRABYVals!AF$2:AF$999,RdTRABYVals!$B$2:$B$999,"="&amp;$C103,RdTRABYVals!$C$2:$C$999,"="&amp;INS!$A103),"")</f>
        <v>0.087499999999999994</v>
      </c>
      <c r="BO103" s="6">
        <f>IFERROR(AVERAGEIFS(RdTRABYVals!AG$2:AG$999,RdTRABYVals!$B$2:$B$999,"="&amp;$C103,RdTRABYVals!$C$2:$C$999,"="&amp;INS!$A103),"")</f>
        <v>0.087499999999999994</v>
      </c>
      <c r="BP103" s="6">
        <f>IFERROR(AVERAGEIFS(RdTRABYVals!AH$2:AH$999,RdTRABYVals!$B$2:$B$999,"="&amp;$C103,RdTRABYVals!$C$2:$C$999,"="&amp;INS!$A103),"")</f>
        <v>0.087499999999999994</v>
      </c>
      <c r="BQ103" s="6">
        <f>IFERROR(AVERAGEIFS(RdTRABYVals!AI$2:AI$999,RdTRABYVals!$B$2:$B$999,"="&amp;$C103,RdTRABYVals!$C$2:$C$999,"="&amp;INS!$A103),"")</f>
        <v>0.087499999999999994</v>
      </c>
      <c r="BR103" s="6">
        <f>IFERROR(AVERAGEIFS(RdTRABYVals!AJ$2:AJ$999,RdTRABYVals!$B$2:$B$999,"="&amp;$C103,RdTRABYVals!$C$2:$C$999,"="&amp;INS!$A103),"")</f>
        <v>0.087499999999999994</v>
      </c>
      <c r="BS103" s="6">
        <f>IFERROR(AVERAGEIFS(RdTRABYVals!AK$2:AK$999,RdTRABYVals!$B$2:$B$999,"="&amp;$C103,RdTRABYVals!$C$2:$C$999,"="&amp;INS!$A103),"")</f>
        <v>0.087499999999999994</v>
      </c>
      <c r="BT103" s="6">
        <f>IFERROR(AVERAGEIFS(RdTRABYVals!AL$2:AL$999,RdTRABYVals!$B$2:$B$999,"="&amp;$C103,RdTRABYVals!$C$2:$C$999,"="&amp;INS!$A103),"")</f>
        <v>0.087499999999999994</v>
      </c>
      <c r="BU103" s="6">
        <f>IFERROR(AVERAGEIFS(RdTRABYVals!AM$2:AM$999,RdTRABYVals!$B$2:$B$999,"="&amp;$C103,RdTRABYVals!$C$2:$C$999,"="&amp;INS!$A103),"")</f>
        <v>0.087499999999999994</v>
      </c>
      <c r="BV103" s="6">
        <f>IFERROR(AVERAGEIFS(RdTRABYVals!AN$2:AN$999,RdTRABYVals!$B$2:$B$999,"="&amp;$C103,RdTRABYVals!$C$2:$C$999,"="&amp;INS!$A103),"")</f>
        <v>0.087499999999999994</v>
      </c>
      <c r="BW103" s="6">
        <f>IFERROR(AVERAGEIFS(RdTRABYVals!AO$2:AO$999,RdTRABYVals!$B$2:$B$999,"="&amp;$C103,RdTRABYVals!$C$2:$C$999,"="&amp;INS!$A103),"")</f>
        <v>0.087499999999999994</v>
      </c>
      <c r="BX103" s="6">
        <f>IFERROR(AVERAGEIFS(RdTRABYVals!AP$2:AP$999,RdTRABYVals!$B$2:$B$999,"="&amp;$C103,RdTRABYVals!$C$2:$C$999,"="&amp;INS!$A103),"")</f>
        <v>0.087499999999999994</v>
      </c>
      <c r="BY103" s="6">
        <f>IFERROR(AVERAGEIFS(RdTRABYVals!AQ$2:AQ$999,RdTRABYVals!$B$2:$B$999,"="&amp;$C103,RdTRABYVals!$C$2:$C$999,"="&amp;INS!$A103),"")</f>
        <v>0.087499999999999994</v>
      </c>
      <c r="BZ103" s="6">
        <f>IFERROR(AVERAGEIFS(RdTRABYVals!AR$2:AR$999,RdTRABYVals!$B$2:$B$999,"="&amp;$C103,RdTRABYVals!$C$2:$C$999,"="&amp;INS!$A103),"")</f>
        <v>0.087499999999999994</v>
      </c>
      <c r="CA103" s="6">
        <f>IFERROR(AVERAGEIFS(RdTRABYVals!AS$2:AS$999,RdTRABYVals!$B$2:$B$999,"="&amp;$C103,RdTRABYVals!$C$2:$C$999,"="&amp;INS!$A103),"")</f>
        <v>0.087499999999999994</v>
      </c>
      <c r="CB103" s="6">
        <f>IFERROR(AVERAGEIFS(RdTRABYVals!AT$2:AT$999,RdTRABYVals!$B$2:$B$999,"="&amp;$C103,RdTRABYVals!$C$2:$C$999,"="&amp;INS!$A103),"")</f>
        <v>0.087499999999999994</v>
      </c>
      <c r="CC103" s="6">
        <f>IFERROR(AVERAGEIFS(RdTRABYVals!AU$2:AU$999,RdTRABYVals!$B$2:$B$999,"="&amp;$C103,RdTRABYVals!$C$2:$C$999,"="&amp;INS!$A103),"")</f>
        <v>0.087499999999999994</v>
      </c>
      <c r="CD103" s="6">
        <f>IFERROR(AVERAGEIFS(RdTRABYVals!AV$2:AV$999,RdTRABYVals!$B$2:$B$999,"="&amp;$C103,RdTRABYVals!$C$2:$C$999,"="&amp;INS!$A103),"")</f>
        <v>0.059999999999999998</v>
      </c>
    </row>
    <row r="104" spans="1:82" ht="14.4">
      <c r="A104" s="3" t="s">
        <v>110</v>
      </c>
      <c r="C104" s="1" t="s">
        <v>29</v>
      </c>
      <c r="D104" t="s">
        <v>158</v>
      </c>
      <c r="F104" t="str">
        <f t="shared" si="31"/>
        <v>*0.0847222222222222</v>
      </c>
      <c r="G104" t="str">
        <f t="shared" si="37"/>
        <v>*0.08</v>
      </c>
      <c r="H104" t="str">
        <f t="shared" si="38"/>
        <v>*0.1</v>
      </c>
      <c r="I104" t="str">
        <f t="shared" si="39"/>
        <v>*0.1</v>
      </c>
      <c r="J104" t="str">
        <f t="shared" si="40"/>
        <v>*0.09</v>
      </c>
      <c r="K104" t="str">
        <f t="shared" si="41"/>
        <v>*0.06</v>
      </c>
      <c r="L104" t="str">
        <f t="shared" si="42"/>
        <v>*0.09</v>
      </c>
      <c r="M104" t="str">
        <f t="shared" si="43"/>
        <v>*0.08</v>
      </c>
      <c r="N104" t="str">
        <f t="shared" si="44"/>
        <v>*0.08</v>
      </c>
      <c r="O104" t="str">
        <f t="shared" si="45"/>
        <v>*0.08</v>
      </c>
      <c r="P104" t="str">
        <f t="shared" si="46"/>
        <v>*0.09</v>
      </c>
      <c r="Q104" t="str">
        <f t="shared" si="47"/>
        <v>*0.0847222222222223</v>
      </c>
      <c r="R104" t="str">
        <f t="shared" si="48"/>
        <v>*0.08</v>
      </c>
      <c r="S104" t="str">
        <f t="shared" si="49"/>
        <v>*0.07</v>
      </c>
      <c r="T104" t="str">
        <f t="shared" si="50"/>
        <v>*0.08</v>
      </c>
      <c r="U104" t="str">
        <f t="shared" si="51"/>
        <v>*0.08</v>
      </c>
      <c r="V104" t="str">
        <f t="shared" si="52"/>
        <v>*0.1</v>
      </c>
      <c r="W104" t="str">
        <f t="shared" si="53"/>
        <v>*0.08</v>
      </c>
      <c r="X104" t="str">
        <f t="shared" si="54"/>
        <v>*0.1</v>
      </c>
      <c r="Y104" t="str">
        <f t="shared" si="55"/>
        <v>*0.08</v>
      </c>
      <c r="Z104" t="str">
        <f t="shared" si="56"/>
        <v>*0.07</v>
      </c>
      <c r="AA104" t="str">
        <f t="shared" si="57"/>
        <v>*0.1</v>
      </c>
      <c r="AB104" t="str">
        <f t="shared" si="58"/>
        <v>*0.1</v>
      </c>
      <c r="AC104" t="str">
        <f t="shared" si="59"/>
        <v>*0.09</v>
      </c>
      <c r="AD104" t="str">
        <f t="shared" si="60"/>
        <v>*0.09</v>
      </c>
      <c r="AE104" t="str">
        <f t="shared" si="61"/>
        <v>*0.08</v>
      </c>
      <c r="AF104" t="str">
        <f t="shared" si="62"/>
        <v>*0.1</v>
      </c>
      <c r="AG104" t="str">
        <f t="shared" si="63"/>
        <v>*0.08</v>
      </c>
      <c r="AH104" t="str">
        <f t="shared" si="64"/>
        <v>*0.09</v>
      </c>
      <c r="AI104" t="str">
        <f t="shared" si="65"/>
        <v>*0.08</v>
      </c>
      <c r="AJ104" t="str">
        <f t="shared" si="66"/>
        <v>*0.08</v>
      </c>
      <c r="AK104" t="str">
        <f t="shared" si="67"/>
        <v>*0.07</v>
      </c>
      <c r="AL104" t="str">
        <f t="shared" si="68"/>
        <v>*0.06</v>
      </c>
      <c r="AM104" t="str">
        <f t="shared" si="69"/>
        <v>*0.1</v>
      </c>
      <c r="AN104" t="str">
        <f t="shared" si="33"/>
        <v>*0.08</v>
      </c>
      <c r="AO104" t="str">
        <f t="shared" si="34"/>
        <v>*0.1</v>
      </c>
      <c r="AP104" t="str">
        <f t="shared" si="35"/>
        <v>*0.08</v>
      </c>
      <c r="AQ104" t="str">
        <f t="shared" si="36"/>
        <v>*0.08</v>
      </c>
      <c r="AS104" s="6">
        <f>AVERAGE(AT104:CD104)</f>
        <v>0.08472222222222224</v>
      </c>
      <c r="AT104" s="6">
        <f>IFERROR(AVERAGEIFS(RdTRABYVals!L$2:L$999,RdTRABYVals!$B$2:$B$999,"="&amp;$C104,RdTRABYVals!$C$2:$C$999,"="&amp;INS!$A104),"")</f>
        <v>0.080000000000000002</v>
      </c>
      <c r="AU104" s="6">
        <f>IFERROR(AVERAGEIFS(RdTRABYVals!M$2:M$999,RdTRABYVals!$B$2:$B$999,"="&amp;$C104,RdTRABYVals!$C$2:$C$999,"="&amp;INS!$A104),"")</f>
        <v>0.10000000000000001</v>
      </c>
      <c r="AV104" s="6">
        <f>IFERROR(AVERAGEIFS(RdTRABYVals!N$2:N$999,RdTRABYVals!$B$2:$B$999,"="&amp;$C104,RdTRABYVals!$C$2:$C$999,"="&amp;INS!$A104),"")</f>
        <v>0.10000000000000001</v>
      </c>
      <c r="AW104" s="6">
        <f>IFERROR(AVERAGEIFS(RdTRABYVals!O$2:O$999,RdTRABYVals!$B$2:$B$999,"="&amp;$C104,RdTRABYVals!$C$2:$C$999,"="&amp;INS!$A104),"")</f>
        <v>0.089999999999999997</v>
      </c>
      <c r="AX104" s="6">
        <f>IFERROR(AVERAGEIFS(RdTRABYVals!P$2:P$999,RdTRABYVals!$B$2:$B$999,"="&amp;$C104,RdTRABYVals!$C$2:$C$999,"="&amp;INS!$A104),"")</f>
        <v>0.059999999999999998</v>
      </c>
      <c r="AY104" s="6">
        <f>IFERROR(AVERAGEIFS(RdTRABYVals!Q$2:Q$999,RdTRABYVals!$B$2:$B$999,"="&amp;$C104,RdTRABYVals!$C$2:$C$999,"="&amp;INS!$A104),"")</f>
        <v>0.089999999999999997</v>
      </c>
      <c r="AZ104" s="6">
        <f>IFERROR(AVERAGEIFS(RdTRABYVals!R$2:R$999,RdTRABYVals!$B$2:$B$999,"="&amp;$C104,RdTRABYVals!$C$2:$C$999,"="&amp;INS!$A104),"")</f>
        <v>0.080000000000000002</v>
      </c>
      <c r="BA104" s="6">
        <f>IFERROR(AVERAGEIFS(RdTRABYVals!S$2:S$999,RdTRABYVals!$B$2:$B$999,"="&amp;$C104,RdTRABYVals!$C$2:$C$999,"="&amp;INS!$A104),"")</f>
        <v>0.080000000000000002</v>
      </c>
      <c r="BB104" s="6">
        <f>IFERROR(AVERAGEIFS(RdTRABYVals!T$2:T$999,RdTRABYVals!$B$2:$B$999,"="&amp;$C104,RdTRABYVals!$C$2:$C$999,"="&amp;INS!$A104),"")</f>
        <v>0.080000000000000002</v>
      </c>
      <c r="BC104" s="6">
        <f>IFERROR(AVERAGEIFS(RdTRABYVals!U$2:U$999,RdTRABYVals!$B$2:$B$999,"="&amp;$C104,RdTRABYVals!$C$2:$C$999,"="&amp;INS!$A104),"")</f>
        <v>0.089999999999999997</v>
      </c>
      <c r="BD104" s="6">
        <f>IFERROR(AVERAGEIFS(RdTRABYVals!V$2:V$999,RdTRABYVals!$B$2:$B$999,"="&amp;$C104,RdTRABYVals!$C$2:$C$999,"="&amp;INS!$A104),"")</f>
        <v>0.084722222222222296</v>
      </c>
      <c r="BE104" s="6">
        <f>IFERROR(AVERAGEIFS(RdTRABYVals!W$2:W$999,RdTRABYVals!$B$2:$B$999,"="&amp;$C104,RdTRABYVals!$C$2:$C$999,"="&amp;INS!$A104),"")</f>
        <v>0.080000000000000002</v>
      </c>
      <c r="BF104" s="6">
        <f>IFERROR(AVERAGEIFS(RdTRABYVals!X$2:X$999,RdTRABYVals!$B$2:$B$999,"="&amp;$C104,RdTRABYVals!$C$2:$C$999,"="&amp;INS!$A104),"")</f>
        <v>0.070000000000000007</v>
      </c>
      <c r="BG104" s="6">
        <f>IFERROR(AVERAGEIFS(RdTRABYVals!Y$2:Y$999,RdTRABYVals!$B$2:$B$999,"="&amp;$C104,RdTRABYVals!$C$2:$C$999,"="&amp;INS!$A104),"")</f>
        <v>0.080000000000000002</v>
      </c>
      <c r="BH104" s="6">
        <f>IFERROR(AVERAGEIFS(RdTRABYVals!Z$2:Z$999,RdTRABYVals!$B$2:$B$999,"="&amp;$C104,RdTRABYVals!$C$2:$C$999,"="&amp;INS!$A104),"")</f>
        <v>0.080000000000000002</v>
      </c>
      <c r="BI104" s="6">
        <f>IFERROR(AVERAGEIFS(RdTRABYVals!AA$2:AA$999,RdTRABYVals!$B$2:$B$999,"="&amp;$C104,RdTRABYVals!$C$2:$C$999,"="&amp;INS!$A104),"")</f>
        <v>0.10000000000000001</v>
      </c>
      <c r="BJ104" s="6">
        <f>IFERROR(AVERAGEIFS(RdTRABYVals!AB$2:AB$999,RdTRABYVals!$B$2:$B$999,"="&amp;$C104,RdTRABYVals!$C$2:$C$999,"="&amp;INS!$A104),"")</f>
        <v>0.080000000000000002</v>
      </c>
      <c r="BK104" s="6">
        <f>IFERROR(AVERAGEIFS(RdTRABYVals!AC$2:AC$999,RdTRABYVals!$B$2:$B$999,"="&amp;$C104,RdTRABYVals!$C$2:$C$999,"="&amp;INS!$A104),"")</f>
        <v>0.10000000000000001</v>
      </c>
      <c r="BL104" s="6">
        <f>IFERROR(AVERAGEIFS(RdTRABYVals!AD$2:AD$999,RdTRABYVals!$B$2:$B$999,"="&amp;$C104,RdTRABYVals!$C$2:$C$999,"="&amp;INS!$A104),"")</f>
        <v>0.080000000000000002</v>
      </c>
      <c r="BM104" s="6">
        <f>IFERROR(AVERAGEIFS(RdTRABYVals!AE$2:AE$999,RdTRABYVals!$B$2:$B$999,"="&amp;$C104,RdTRABYVals!$C$2:$C$999,"="&amp;INS!$A104),"")</f>
        <v>0.070000000000000007</v>
      </c>
      <c r="BN104" s="6">
        <f>IFERROR(AVERAGEIFS(RdTRABYVals!AF$2:AF$999,RdTRABYVals!$B$2:$B$999,"="&amp;$C104,RdTRABYVals!$C$2:$C$999,"="&amp;INS!$A104),"")</f>
        <v>0.10000000000000001</v>
      </c>
      <c r="BO104" s="6">
        <f>IFERROR(AVERAGEIFS(RdTRABYVals!AG$2:AG$999,RdTRABYVals!$B$2:$B$999,"="&amp;$C104,RdTRABYVals!$C$2:$C$999,"="&amp;INS!$A104),"")</f>
        <v>0.10000000000000001</v>
      </c>
      <c r="BP104" s="6">
        <f>IFERROR(AVERAGEIFS(RdTRABYVals!AH$2:AH$999,RdTRABYVals!$B$2:$B$999,"="&amp;$C104,RdTRABYVals!$C$2:$C$999,"="&amp;INS!$A104),"")</f>
        <v>0.089999999999999997</v>
      </c>
      <c r="BQ104" s="6">
        <f>IFERROR(AVERAGEIFS(RdTRABYVals!AI$2:AI$999,RdTRABYVals!$B$2:$B$999,"="&amp;$C104,RdTRABYVals!$C$2:$C$999,"="&amp;INS!$A104),"")</f>
        <v>0.089999999999999997</v>
      </c>
      <c r="BR104" s="6">
        <f>IFERROR(AVERAGEIFS(RdTRABYVals!AJ$2:AJ$999,RdTRABYVals!$B$2:$B$999,"="&amp;$C104,RdTRABYVals!$C$2:$C$999,"="&amp;INS!$A104),"")</f>
        <v>0.080000000000000002</v>
      </c>
      <c r="BS104" s="6">
        <f>IFERROR(AVERAGEIFS(RdTRABYVals!AK$2:AK$999,RdTRABYVals!$B$2:$B$999,"="&amp;$C104,RdTRABYVals!$C$2:$C$999,"="&amp;INS!$A104),"")</f>
        <v>0.10000000000000001</v>
      </c>
      <c r="BT104" s="6">
        <f>IFERROR(AVERAGEIFS(RdTRABYVals!AL$2:AL$999,RdTRABYVals!$B$2:$B$999,"="&amp;$C104,RdTRABYVals!$C$2:$C$999,"="&amp;INS!$A104),"")</f>
        <v>0.080000000000000002</v>
      </c>
      <c r="BU104" s="6">
        <f>IFERROR(AVERAGEIFS(RdTRABYVals!AM$2:AM$999,RdTRABYVals!$B$2:$B$999,"="&amp;$C104,RdTRABYVals!$C$2:$C$999,"="&amp;INS!$A104),"")</f>
        <v>0.089999999999999997</v>
      </c>
      <c r="BV104" s="6">
        <f>IFERROR(AVERAGEIFS(RdTRABYVals!AN$2:AN$999,RdTRABYVals!$B$2:$B$999,"="&amp;$C104,RdTRABYVals!$C$2:$C$999,"="&amp;INS!$A104),"")</f>
        <v>0.080000000000000002</v>
      </c>
      <c r="BW104" s="6">
        <f>IFERROR(AVERAGEIFS(RdTRABYVals!AO$2:AO$999,RdTRABYVals!$B$2:$B$999,"="&amp;$C104,RdTRABYVals!$C$2:$C$999,"="&amp;INS!$A104),"")</f>
        <v>0.080000000000000002</v>
      </c>
      <c r="BX104" s="6">
        <f>IFERROR(AVERAGEIFS(RdTRABYVals!AP$2:AP$999,RdTRABYVals!$B$2:$B$999,"="&amp;$C104,RdTRABYVals!$C$2:$C$999,"="&amp;INS!$A104),"")</f>
        <v>0.070000000000000007</v>
      </c>
      <c r="BY104" s="6">
        <f>IFERROR(AVERAGEIFS(RdTRABYVals!AQ$2:AQ$999,RdTRABYVals!$B$2:$B$999,"="&amp;$C104,RdTRABYVals!$C$2:$C$999,"="&amp;INS!$A104),"")</f>
        <v>0.059999999999999998</v>
      </c>
      <c r="BZ104" s="6">
        <f>IFERROR(AVERAGEIFS(RdTRABYVals!AR$2:AR$999,RdTRABYVals!$B$2:$B$999,"="&amp;$C104,RdTRABYVals!$C$2:$C$999,"="&amp;INS!$A104),"")</f>
        <v>0.10000000000000001</v>
      </c>
      <c r="CA104" s="6">
        <f>IFERROR(AVERAGEIFS(RdTRABYVals!AS$2:AS$999,RdTRABYVals!$B$2:$B$999,"="&amp;$C104,RdTRABYVals!$C$2:$C$999,"="&amp;INS!$A104),"")</f>
        <v>0.080000000000000002</v>
      </c>
      <c r="CB104" s="6">
        <f>IFERROR(AVERAGEIFS(RdTRABYVals!AT$2:AT$999,RdTRABYVals!$B$2:$B$999,"="&amp;$C104,RdTRABYVals!$C$2:$C$999,"="&amp;INS!$A104),"")</f>
        <v>0.10000000000000001</v>
      </c>
      <c r="CC104" s="6">
        <f>IFERROR(AVERAGEIFS(RdTRABYVals!AU$2:AU$999,RdTRABYVals!$B$2:$B$999,"="&amp;$C104,RdTRABYVals!$C$2:$C$999,"="&amp;INS!$A104),"")</f>
        <v>0.080000000000000002</v>
      </c>
      <c r="CD104" s="6">
        <f>IFERROR(AVERAGEIFS(RdTRABYVals!AV$2:AV$999,RdTRABYVals!$B$2:$B$999,"="&amp;$C104,RdTRABYVals!$C$2:$C$999,"="&amp;INS!$A104),"")</f>
        <v>0.080000000000000002</v>
      </c>
    </row>
    <row r="105" spans="1:82" ht="14.4">
      <c r="A105" s="3" t="s">
        <v>112</v>
      </c>
      <c r="C105" s="1" t="s">
        <v>29</v>
      </c>
      <c r="D105" t="s">
        <v>159</v>
      </c>
      <c r="F105" t="str">
        <f t="shared" si="31"/>
        <v>*0.08</v>
      </c>
      <c r="G105" t="str">
        <f t="shared" si="37"/>
        <v>*0.08</v>
      </c>
      <c r="H105" t="str">
        <f t="shared" si="38"/>
        <v>*0.08</v>
      </c>
      <c r="I105" t="str">
        <f t="shared" si="39"/>
        <v>*0.08</v>
      </c>
      <c r="J105" t="str">
        <f t="shared" si="40"/>
        <v>*0.08</v>
      </c>
      <c r="K105" t="str">
        <f t="shared" si="41"/>
        <v>*0.08</v>
      </c>
      <c r="L105" t="str">
        <f t="shared" si="42"/>
        <v>*0.08</v>
      </c>
      <c r="M105" t="str">
        <f t="shared" si="43"/>
        <v>*0.08</v>
      </c>
      <c r="N105" t="str">
        <f t="shared" si="44"/>
        <v>*0.08</v>
      </c>
      <c r="O105" t="str">
        <f t="shared" si="45"/>
        <v>*0.08</v>
      </c>
      <c r="P105" t="str">
        <f t="shared" si="46"/>
        <v>*0.09</v>
      </c>
      <c r="Q105" t="str">
        <f t="shared" si="47"/>
        <v>*0.08</v>
      </c>
      <c r="R105" t="str">
        <f t="shared" si="48"/>
        <v>*0.08</v>
      </c>
      <c r="S105" t="str">
        <f t="shared" si="49"/>
        <v>*0.08</v>
      </c>
      <c r="T105" t="str">
        <f t="shared" si="50"/>
        <v>*0.08</v>
      </c>
      <c r="U105" t="str">
        <f t="shared" si="51"/>
        <v>*0.08</v>
      </c>
      <c r="V105" t="str">
        <f t="shared" si="52"/>
        <v>*0.08</v>
      </c>
      <c r="W105" t="str">
        <f t="shared" si="53"/>
        <v>*0.08</v>
      </c>
      <c r="X105" t="str">
        <f t="shared" si="54"/>
        <v>*0.08</v>
      </c>
      <c r="Y105" t="str">
        <f t="shared" si="55"/>
        <v>*0.08</v>
      </c>
      <c r="Z105" t="str">
        <f t="shared" si="56"/>
        <v>*0.08</v>
      </c>
      <c r="AA105" t="str">
        <f t="shared" si="57"/>
        <v>*0.08</v>
      </c>
      <c r="AB105" t="str">
        <f t="shared" si="58"/>
        <v>*0.08</v>
      </c>
      <c r="AC105" t="str">
        <f t="shared" si="59"/>
        <v>*0.08</v>
      </c>
      <c r="AD105" t="str">
        <f t="shared" si="60"/>
        <v>*0.08</v>
      </c>
      <c r="AE105" t="str">
        <f t="shared" si="61"/>
        <v>*0.08</v>
      </c>
      <c r="AF105" t="str">
        <f t="shared" si="62"/>
        <v>*0.09</v>
      </c>
      <c r="AG105" t="str">
        <f t="shared" si="63"/>
        <v>*0.08</v>
      </c>
      <c r="AH105" t="str">
        <f t="shared" si="64"/>
        <v>*0.09</v>
      </c>
      <c r="AI105" t="str">
        <f t="shared" si="65"/>
        <v>*0.08</v>
      </c>
      <c r="AJ105" t="str">
        <f t="shared" si="66"/>
        <v>*0.07</v>
      </c>
      <c r="AK105" t="str">
        <f t="shared" si="67"/>
        <v>*0.07</v>
      </c>
      <c r="AL105" t="str">
        <f t="shared" si="68"/>
        <v>*0.08</v>
      </c>
      <c r="AM105" t="str">
        <f t="shared" si="69"/>
        <v>*0.08</v>
      </c>
      <c r="AN105" t="str">
        <f t="shared" si="33"/>
        <v>*0.08</v>
      </c>
      <c r="AO105" t="str">
        <f t="shared" si="34"/>
        <v>*0.08</v>
      </c>
      <c r="AP105" t="str">
        <f t="shared" si="35"/>
        <v>*0.08</v>
      </c>
      <c r="AQ105" t="str">
        <f t="shared" si="36"/>
        <v>*0.07</v>
      </c>
      <c r="AS105" s="6">
        <f>AVERAGE(AT105:CD105)</f>
        <v>0.080000000000000002</v>
      </c>
      <c r="AT105" s="6">
        <f>IFERROR(AVERAGEIFS(RdTRABYVals!L$2:L$999,RdTRABYVals!$B$2:$B$999,"="&amp;$C105,RdTRABYVals!$C$2:$C$999,"="&amp;INS!$A105),"")</f>
        <v>0.080000000000000002</v>
      </c>
      <c r="AU105" s="6">
        <f>IFERROR(AVERAGEIFS(RdTRABYVals!M$2:M$999,RdTRABYVals!$B$2:$B$999,"="&amp;$C105,RdTRABYVals!$C$2:$C$999,"="&amp;INS!$A105),"")</f>
        <v>0.080000000000000002</v>
      </c>
      <c r="AV105" s="6">
        <f>IFERROR(AVERAGEIFS(RdTRABYVals!N$2:N$999,RdTRABYVals!$B$2:$B$999,"="&amp;$C105,RdTRABYVals!$C$2:$C$999,"="&amp;INS!$A105),"")</f>
        <v>0.080000000000000002</v>
      </c>
      <c r="AW105" s="6">
        <f>IFERROR(AVERAGEIFS(RdTRABYVals!O$2:O$999,RdTRABYVals!$B$2:$B$999,"="&amp;$C105,RdTRABYVals!$C$2:$C$999,"="&amp;INS!$A105),"")</f>
        <v>0.080000000000000002</v>
      </c>
      <c r="AX105" s="6">
        <f>IFERROR(AVERAGEIFS(RdTRABYVals!P$2:P$999,RdTRABYVals!$B$2:$B$999,"="&amp;$C105,RdTRABYVals!$C$2:$C$999,"="&amp;INS!$A105),"")</f>
        <v>0.080000000000000002</v>
      </c>
      <c r="AY105" s="6">
        <f>IFERROR(AVERAGEIFS(RdTRABYVals!Q$2:Q$999,RdTRABYVals!$B$2:$B$999,"="&amp;$C105,RdTRABYVals!$C$2:$C$999,"="&amp;INS!$A105),"")</f>
        <v>0.080000000000000002</v>
      </c>
      <c r="AZ105" s="6">
        <f>IFERROR(AVERAGEIFS(RdTRABYVals!R$2:R$999,RdTRABYVals!$B$2:$B$999,"="&amp;$C105,RdTRABYVals!$C$2:$C$999,"="&amp;INS!$A105),"")</f>
        <v>0.080000000000000002</v>
      </c>
      <c r="BA105" s="6">
        <f>IFERROR(AVERAGEIFS(RdTRABYVals!S$2:S$999,RdTRABYVals!$B$2:$B$999,"="&amp;$C105,RdTRABYVals!$C$2:$C$999,"="&amp;INS!$A105),"")</f>
        <v>0.080000000000000002</v>
      </c>
      <c r="BB105" s="6">
        <f>IFERROR(AVERAGEIFS(RdTRABYVals!T$2:T$999,RdTRABYVals!$B$2:$B$999,"="&amp;$C105,RdTRABYVals!$C$2:$C$999,"="&amp;INS!$A105),"")</f>
        <v>0.080000000000000002</v>
      </c>
      <c r="BC105" s="6">
        <f>IFERROR(AVERAGEIFS(RdTRABYVals!U$2:U$999,RdTRABYVals!$B$2:$B$999,"="&amp;$C105,RdTRABYVals!$C$2:$C$999,"="&amp;INS!$A105),"")</f>
        <v>0.089999999999999997</v>
      </c>
      <c r="BD105" s="6">
        <f>IFERROR(AVERAGEIFS(RdTRABYVals!V$2:V$999,RdTRABYVals!$B$2:$B$999,"="&amp;$C105,RdTRABYVals!$C$2:$C$999,"="&amp;INS!$A105),"")</f>
        <v>0.080000000000000002</v>
      </c>
      <c r="BE105" s="6">
        <f>IFERROR(AVERAGEIFS(RdTRABYVals!W$2:W$999,RdTRABYVals!$B$2:$B$999,"="&amp;$C105,RdTRABYVals!$C$2:$C$999,"="&amp;INS!$A105),"")</f>
        <v>0.080000000000000002</v>
      </c>
      <c r="BF105" s="6">
        <f>IFERROR(AVERAGEIFS(RdTRABYVals!X$2:X$999,RdTRABYVals!$B$2:$B$999,"="&amp;$C105,RdTRABYVals!$C$2:$C$999,"="&amp;INS!$A105),"")</f>
        <v>0.080000000000000002</v>
      </c>
      <c r="BG105" s="6">
        <f>IFERROR(AVERAGEIFS(RdTRABYVals!Y$2:Y$999,RdTRABYVals!$B$2:$B$999,"="&amp;$C105,RdTRABYVals!$C$2:$C$999,"="&amp;INS!$A105),"")</f>
        <v>0.080000000000000002</v>
      </c>
      <c r="BH105" s="6">
        <f>IFERROR(AVERAGEIFS(RdTRABYVals!Z$2:Z$999,RdTRABYVals!$B$2:$B$999,"="&amp;$C105,RdTRABYVals!$C$2:$C$999,"="&amp;INS!$A105),"")</f>
        <v>0.080000000000000002</v>
      </c>
      <c r="BI105" s="6">
        <f>IFERROR(AVERAGEIFS(RdTRABYVals!AA$2:AA$999,RdTRABYVals!$B$2:$B$999,"="&amp;$C105,RdTRABYVals!$C$2:$C$999,"="&amp;INS!$A105),"")</f>
        <v>0.080000000000000002</v>
      </c>
      <c r="BJ105" s="6">
        <f>IFERROR(AVERAGEIFS(RdTRABYVals!AB$2:AB$999,RdTRABYVals!$B$2:$B$999,"="&amp;$C105,RdTRABYVals!$C$2:$C$999,"="&amp;INS!$A105),"")</f>
        <v>0.080000000000000002</v>
      </c>
      <c r="BK105" s="6">
        <f>IFERROR(AVERAGEIFS(RdTRABYVals!AC$2:AC$999,RdTRABYVals!$B$2:$B$999,"="&amp;$C105,RdTRABYVals!$C$2:$C$999,"="&amp;INS!$A105),"")</f>
        <v>0.080000000000000002</v>
      </c>
      <c r="BL105" s="6">
        <f>IFERROR(AVERAGEIFS(RdTRABYVals!AD$2:AD$999,RdTRABYVals!$B$2:$B$999,"="&amp;$C105,RdTRABYVals!$C$2:$C$999,"="&amp;INS!$A105),"")</f>
        <v>0.080000000000000002</v>
      </c>
      <c r="BM105" s="6">
        <f>IFERROR(AVERAGEIFS(RdTRABYVals!AE$2:AE$999,RdTRABYVals!$B$2:$B$999,"="&amp;$C105,RdTRABYVals!$C$2:$C$999,"="&amp;INS!$A105),"")</f>
        <v>0.080000000000000002</v>
      </c>
      <c r="BN105" s="6">
        <f>IFERROR(AVERAGEIFS(RdTRABYVals!AF$2:AF$999,RdTRABYVals!$B$2:$B$999,"="&amp;$C105,RdTRABYVals!$C$2:$C$999,"="&amp;INS!$A105),"")</f>
        <v>0.080000000000000002</v>
      </c>
      <c r="BO105" s="6">
        <f>IFERROR(AVERAGEIFS(RdTRABYVals!AG$2:AG$999,RdTRABYVals!$B$2:$B$999,"="&amp;$C105,RdTRABYVals!$C$2:$C$999,"="&amp;INS!$A105),"")</f>
        <v>0.080000000000000002</v>
      </c>
      <c r="BP105" s="6">
        <f>IFERROR(AVERAGEIFS(RdTRABYVals!AH$2:AH$999,RdTRABYVals!$B$2:$B$999,"="&amp;$C105,RdTRABYVals!$C$2:$C$999,"="&amp;INS!$A105),"")</f>
        <v>0.080000000000000002</v>
      </c>
      <c r="BQ105" s="6">
        <f>IFERROR(AVERAGEIFS(RdTRABYVals!AI$2:AI$999,RdTRABYVals!$B$2:$B$999,"="&amp;$C105,RdTRABYVals!$C$2:$C$999,"="&amp;INS!$A105),"")</f>
        <v>0.080000000000000002</v>
      </c>
      <c r="BR105" s="6">
        <f>IFERROR(AVERAGEIFS(RdTRABYVals!AJ$2:AJ$999,RdTRABYVals!$B$2:$B$999,"="&amp;$C105,RdTRABYVals!$C$2:$C$999,"="&amp;INS!$A105),"")</f>
        <v>0.080000000000000002</v>
      </c>
      <c r="BS105" s="6">
        <f>IFERROR(AVERAGEIFS(RdTRABYVals!AK$2:AK$999,RdTRABYVals!$B$2:$B$999,"="&amp;$C105,RdTRABYVals!$C$2:$C$999,"="&amp;INS!$A105),"")</f>
        <v>0.089999999999999997</v>
      </c>
      <c r="BT105" s="6">
        <f>IFERROR(AVERAGEIFS(RdTRABYVals!AL$2:AL$999,RdTRABYVals!$B$2:$B$999,"="&amp;$C105,RdTRABYVals!$C$2:$C$999,"="&amp;INS!$A105),"")</f>
        <v>0.080000000000000002</v>
      </c>
      <c r="BU105" s="6">
        <f>IFERROR(AVERAGEIFS(RdTRABYVals!AM$2:AM$999,RdTRABYVals!$B$2:$B$999,"="&amp;$C105,RdTRABYVals!$C$2:$C$999,"="&amp;INS!$A105),"")</f>
        <v>0.089999999999999997</v>
      </c>
      <c r="BV105" s="6">
        <f>IFERROR(AVERAGEIFS(RdTRABYVals!AN$2:AN$999,RdTRABYVals!$B$2:$B$999,"="&amp;$C105,RdTRABYVals!$C$2:$C$999,"="&amp;INS!$A105),"")</f>
        <v>0.080000000000000002</v>
      </c>
      <c r="BW105" s="6">
        <f>IFERROR(AVERAGEIFS(RdTRABYVals!AO$2:AO$999,RdTRABYVals!$B$2:$B$999,"="&amp;$C105,RdTRABYVals!$C$2:$C$999,"="&amp;INS!$A105),"")</f>
        <v>0.070000000000000007</v>
      </c>
      <c r="BX105" s="6">
        <f>IFERROR(AVERAGEIFS(RdTRABYVals!AP$2:AP$999,RdTRABYVals!$B$2:$B$999,"="&amp;$C105,RdTRABYVals!$C$2:$C$999,"="&amp;INS!$A105),"")</f>
        <v>0.070000000000000007</v>
      </c>
      <c r="BY105" s="6">
        <f>IFERROR(AVERAGEIFS(RdTRABYVals!AQ$2:AQ$999,RdTRABYVals!$B$2:$B$999,"="&amp;$C105,RdTRABYVals!$C$2:$C$999,"="&amp;INS!$A105),"")</f>
        <v>0.080000000000000002</v>
      </c>
      <c r="BZ105" s="6">
        <f>IFERROR(AVERAGEIFS(RdTRABYVals!AR$2:AR$999,RdTRABYVals!$B$2:$B$999,"="&amp;$C105,RdTRABYVals!$C$2:$C$999,"="&amp;INS!$A105),"")</f>
        <v>0.080000000000000002</v>
      </c>
      <c r="CA105" s="6">
        <f>IFERROR(AVERAGEIFS(RdTRABYVals!AS$2:AS$999,RdTRABYVals!$B$2:$B$999,"="&amp;$C105,RdTRABYVals!$C$2:$C$999,"="&amp;INS!$A105),"")</f>
        <v>0.080000000000000002</v>
      </c>
      <c r="CB105" s="6">
        <f>IFERROR(AVERAGEIFS(RdTRABYVals!AT$2:AT$999,RdTRABYVals!$B$2:$B$999,"="&amp;$C105,RdTRABYVals!$C$2:$C$999,"="&amp;INS!$A105),"")</f>
        <v>0.080000000000000002</v>
      </c>
      <c r="CC105" s="6">
        <f>IFERROR(AVERAGEIFS(RdTRABYVals!AU$2:AU$999,RdTRABYVals!$B$2:$B$999,"="&amp;$C105,RdTRABYVals!$C$2:$C$999,"="&amp;INS!$A105),"")</f>
        <v>0.080000000000000002</v>
      </c>
      <c r="CD105" s="6">
        <f>IFERROR(AVERAGEIFS(RdTRABYVals!AV$2:AV$999,RdTRABYVals!$B$2:$B$999,"="&amp;$C105,RdTRABYVals!$C$2:$C$999,"="&amp;INS!$A105),"")</f>
        <v>0.070000000000000007</v>
      </c>
    </row>
    <row r="106" spans="1:82" ht="14.4">
      <c r="A106" s="3" t="s">
        <v>115</v>
      </c>
      <c r="C106" s="1" t="s">
        <v>29</v>
      </c>
      <c r="D106" t="str">
        <f t="shared" si="30"/>
        <v>TRA_Car_Cng_Exe*</v>
      </c>
      <c r="F106" t="str">
        <f t="shared" si="31"/>
        <v>*0.35</v>
      </c>
      <c r="G106" t="str">
        <f t="shared" si="37"/>
        <v>*0.35</v>
      </c>
      <c r="H106" t="str">
        <f t="shared" si="38"/>
        <v>*0.35</v>
      </c>
      <c r="I106" t="str">
        <f t="shared" si="39"/>
        <v>*0.35</v>
      </c>
      <c r="J106" t="str">
        <f t="shared" si="40"/>
        <v>*0.35</v>
      </c>
      <c r="K106" t="str">
        <f t="shared" si="41"/>
        <v>*0.35</v>
      </c>
      <c r="L106" t="str">
        <f t="shared" si="42"/>
        <v>*0.35</v>
      </c>
      <c r="M106" t="str">
        <f t="shared" si="43"/>
        <v>*0.35</v>
      </c>
      <c r="N106" t="str">
        <f t="shared" si="44"/>
        <v>*0.35</v>
      </c>
      <c r="O106" t="str">
        <f t="shared" si="45"/>
        <v>*0.35</v>
      </c>
      <c r="P106" t="str">
        <f t="shared" si="46"/>
        <v>*0.35</v>
      </c>
      <c r="Q106" t="str">
        <f t="shared" si="47"/>
        <v>*0.35</v>
      </c>
      <c r="R106" t="str">
        <f t="shared" si="48"/>
        <v>*0.35</v>
      </c>
      <c r="S106" t="str">
        <f t="shared" si="49"/>
        <v>*0.35</v>
      </c>
      <c r="T106" t="str">
        <f t="shared" si="50"/>
        <v>*0.35</v>
      </c>
      <c r="U106" t="str">
        <f t="shared" si="51"/>
        <v>*0.35</v>
      </c>
      <c r="V106" t="str">
        <f t="shared" si="52"/>
        <v>*0.35</v>
      </c>
      <c r="W106" t="str">
        <f t="shared" si="53"/>
        <v>*0.35</v>
      </c>
      <c r="X106" t="str">
        <f t="shared" si="54"/>
        <v>*0.35</v>
      </c>
      <c r="Y106" t="str">
        <f t="shared" si="55"/>
        <v>*0.35</v>
      </c>
      <c r="Z106" t="str">
        <f t="shared" si="56"/>
        <v>*0.35</v>
      </c>
      <c r="AA106" t="str">
        <f t="shared" si="57"/>
        <v>*0.35</v>
      </c>
      <c r="AB106" t="str">
        <f t="shared" si="58"/>
        <v>*0.35</v>
      </c>
      <c r="AC106" t="str">
        <f t="shared" si="59"/>
        <v>*0.35</v>
      </c>
      <c r="AD106" t="str">
        <f t="shared" si="60"/>
        <v>*0.35</v>
      </c>
      <c r="AE106" t="str">
        <f t="shared" si="61"/>
        <v>*0.35</v>
      </c>
      <c r="AF106" t="str">
        <f t="shared" si="62"/>
        <v>*0.35</v>
      </c>
      <c r="AG106" t="str">
        <f t="shared" si="63"/>
        <v>*0.35</v>
      </c>
      <c r="AH106" t="str">
        <f t="shared" si="64"/>
        <v>*0.35</v>
      </c>
      <c r="AI106" t="str">
        <f t="shared" si="65"/>
        <v>*0.35</v>
      </c>
      <c r="AJ106" t="str">
        <f t="shared" si="66"/>
        <v>*0.35</v>
      </c>
      <c r="AK106" t="str">
        <f t="shared" si="67"/>
        <v>*0.35</v>
      </c>
      <c r="AL106" t="str">
        <f t="shared" si="68"/>
        <v>*0.35</v>
      </c>
      <c r="AM106" t="str">
        <f t="shared" si="69"/>
        <v>*0.35</v>
      </c>
      <c r="AN106" t="str">
        <f t="shared" si="33"/>
        <v>*0.35</v>
      </c>
      <c r="AO106" t="str">
        <f t="shared" si="34"/>
        <v>*0.35</v>
      </c>
      <c r="AP106" t="str">
        <f t="shared" si="35"/>
        <v>*0.35</v>
      </c>
      <c r="AQ106" t="str">
        <f t="shared" si="36"/>
        <v>*0.35</v>
      </c>
      <c r="AS106" s="6">
        <f t="shared" si="32"/>
        <v>0.34999999999999998</v>
      </c>
      <c r="AT106" s="6">
        <f>IFERROR(AVERAGEIFS(RdTRABYVals!L$2:L$999,RdTRABYVals!$B$2:$B$999,"="&amp;$C106,RdTRABYVals!$C$2:$C$999,"="&amp;INS!$A106),"")</f>
        <v>0.34999999999999998</v>
      </c>
      <c r="AU106" s="6">
        <f>IFERROR(AVERAGEIFS(RdTRABYVals!M$2:M$999,RdTRABYVals!$B$2:$B$999,"="&amp;$C106,RdTRABYVals!$C$2:$C$999,"="&amp;INS!$A106),"")</f>
        <v>0.34999999999999998</v>
      </c>
      <c r="AV106" s="6">
        <f>IFERROR(AVERAGEIFS(RdTRABYVals!N$2:N$999,RdTRABYVals!$B$2:$B$999,"="&amp;$C106,RdTRABYVals!$C$2:$C$999,"="&amp;INS!$A106),"")</f>
        <v>0.34999999999999998</v>
      </c>
      <c r="AW106" s="6">
        <f>IFERROR(AVERAGEIFS(RdTRABYVals!O$2:O$999,RdTRABYVals!$B$2:$B$999,"="&amp;$C106,RdTRABYVals!$C$2:$C$999,"="&amp;INS!$A106),"")</f>
        <v>0.34999999999999998</v>
      </c>
      <c r="AX106" s="6">
        <f>IFERROR(AVERAGEIFS(RdTRABYVals!P$2:P$999,RdTRABYVals!$B$2:$B$999,"="&amp;$C106,RdTRABYVals!$C$2:$C$999,"="&amp;INS!$A106),"")</f>
        <v>0.34999999999999998</v>
      </c>
      <c r="AY106" s="6">
        <f>IFERROR(AVERAGEIFS(RdTRABYVals!Q$2:Q$999,RdTRABYVals!$B$2:$B$999,"="&amp;$C106,RdTRABYVals!$C$2:$C$999,"="&amp;INS!$A106),"")</f>
        <v>0.34999999999999998</v>
      </c>
      <c r="AZ106" s="6">
        <f>IFERROR(AVERAGEIFS(RdTRABYVals!R$2:R$999,RdTRABYVals!$B$2:$B$999,"="&amp;$C106,RdTRABYVals!$C$2:$C$999,"="&amp;INS!$A106),"")</f>
        <v>0.34999999999999998</v>
      </c>
      <c r="BA106" s="6">
        <f>IFERROR(AVERAGEIFS(RdTRABYVals!S$2:S$999,RdTRABYVals!$B$2:$B$999,"="&amp;$C106,RdTRABYVals!$C$2:$C$999,"="&amp;INS!$A106),"")</f>
        <v>0.34999999999999998</v>
      </c>
      <c r="BB106" s="6">
        <f>IFERROR(AVERAGEIFS(RdTRABYVals!T$2:T$999,RdTRABYVals!$B$2:$B$999,"="&amp;$C106,RdTRABYVals!$C$2:$C$999,"="&amp;INS!$A106),"")</f>
        <v>0.34999999999999998</v>
      </c>
      <c r="BC106" s="6">
        <f>IFERROR(AVERAGEIFS(RdTRABYVals!U$2:U$999,RdTRABYVals!$B$2:$B$999,"="&amp;$C106,RdTRABYVals!$C$2:$C$999,"="&amp;INS!$A106),"")</f>
        <v>0.34999999999999998</v>
      </c>
      <c r="BD106" s="6">
        <f>IFERROR(AVERAGEIFS(RdTRABYVals!V$2:V$999,RdTRABYVals!$B$2:$B$999,"="&amp;$C106,RdTRABYVals!$C$2:$C$999,"="&amp;INS!$A106),"")</f>
        <v>0.34999999999999998</v>
      </c>
      <c r="BE106" s="6">
        <f>IFERROR(AVERAGEIFS(RdTRABYVals!W$2:W$999,RdTRABYVals!$B$2:$B$999,"="&amp;$C106,RdTRABYVals!$C$2:$C$999,"="&amp;INS!$A106),"")</f>
        <v>0.34999999999999998</v>
      </c>
      <c r="BF106" s="6">
        <f>IFERROR(AVERAGEIFS(RdTRABYVals!X$2:X$999,RdTRABYVals!$B$2:$B$999,"="&amp;$C106,RdTRABYVals!$C$2:$C$999,"="&amp;INS!$A106),"")</f>
        <v>0.34999999999999998</v>
      </c>
      <c r="BG106" s="6">
        <f>IFERROR(AVERAGEIFS(RdTRABYVals!Y$2:Y$999,RdTRABYVals!$B$2:$B$999,"="&amp;$C106,RdTRABYVals!$C$2:$C$999,"="&amp;INS!$A106),"")</f>
        <v>0.34999999999999998</v>
      </c>
      <c r="BH106" s="6">
        <f>IFERROR(AVERAGEIFS(RdTRABYVals!Z$2:Z$999,RdTRABYVals!$B$2:$B$999,"="&amp;$C106,RdTRABYVals!$C$2:$C$999,"="&amp;INS!$A106),"")</f>
        <v>0.34999999999999998</v>
      </c>
      <c r="BI106" s="6">
        <f>IFERROR(AVERAGEIFS(RdTRABYVals!AA$2:AA$999,RdTRABYVals!$B$2:$B$999,"="&amp;$C106,RdTRABYVals!$C$2:$C$999,"="&amp;INS!$A106),"")</f>
        <v>0.34999999999999998</v>
      </c>
      <c r="BJ106" s="6">
        <f>IFERROR(AVERAGEIFS(RdTRABYVals!AB$2:AB$999,RdTRABYVals!$B$2:$B$999,"="&amp;$C106,RdTRABYVals!$C$2:$C$999,"="&amp;INS!$A106),"")</f>
        <v>0.34999999999999998</v>
      </c>
      <c r="BK106" s="6">
        <f>IFERROR(AVERAGEIFS(RdTRABYVals!AC$2:AC$999,RdTRABYVals!$B$2:$B$999,"="&amp;$C106,RdTRABYVals!$C$2:$C$999,"="&amp;INS!$A106),"")</f>
        <v>0.34999999999999998</v>
      </c>
      <c r="BL106" s="6">
        <f>IFERROR(AVERAGEIFS(RdTRABYVals!AD$2:AD$999,RdTRABYVals!$B$2:$B$999,"="&amp;$C106,RdTRABYVals!$C$2:$C$999,"="&amp;INS!$A106),"")</f>
        <v>0.34999999999999998</v>
      </c>
      <c r="BM106" s="6">
        <f>IFERROR(AVERAGEIFS(RdTRABYVals!AE$2:AE$999,RdTRABYVals!$B$2:$B$999,"="&amp;$C106,RdTRABYVals!$C$2:$C$999,"="&amp;INS!$A106),"")</f>
        <v>0.34999999999999998</v>
      </c>
      <c r="BN106" s="6">
        <f>IFERROR(AVERAGEIFS(RdTRABYVals!AF$2:AF$999,RdTRABYVals!$B$2:$B$999,"="&amp;$C106,RdTRABYVals!$C$2:$C$999,"="&amp;INS!$A106),"")</f>
        <v>0.34999999999999998</v>
      </c>
      <c r="BO106" s="6">
        <f>IFERROR(AVERAGEIFS(RdTRABYVals!AG$2:AG$999,RdTRABYVals!$B$2:$B$999,"="&amp;$C106,RdTRABYVals!$C$2:$C$999,"="&amp;INS!$A106),"")</f>
        <v>0.34999999999999998</v>
      </c>
      <c r="BP106" s="6">
        <f>IFERROR(AVERAGEIFS(RdTRABYVals!AH$2:AH$999,RdTRABYVals!$B$2:$B$999,"="&amp;$C106,RdTRABYVals!$C$2:$C$999,"="&amp;INS!$A106),"")</f>
        <v>0.34999999999999998</v>
      </c>
      <c r="BQ106" s="6">
        <f>IFERROR(AVERAGEIFS(RdTRABYVals!AI$2:AI$999,RdTRABYVals!$B$2:$B$999,"="&amp;$C106,RdTRABYVals!$C$2:$C$999,"="&amp;INS!$A106),"")</f>
        <v>0.34999999999999998</v>
      </c>
      <c r="BR106" s="6">
        <f>IFERROR(AVERAGEIFS(RdTRABYVals!AJ$2:AJ$999,RdTRABYVals!$B$2:$B$999,"="&amp;$C106,RdTRABYVals!$C$2:$C$999,"="&amp;INS!$A106),"")</f>
        <v>0.34999999999999998</v>
      </c>
      <c r="BS106" s="6">
        <f>IFERROR(AVERAGEIFS(RdTRABYVals!AK$2:AK$999,RdTRABYVals!$B$2:$B$999,"="&amp;$C106,RdTRABYVals!$C$2:$C$999,"="&amp;INS!$A106),"")</f>
        <v>0.34999999999999998</v>
      </c>
      <c r="BT106" s="6">
        <f>IFERROR(AVERAGEIFS(RdTRABYVals!AL$2:AL$999,RdTRABYVals!$B$2:$B$999,"="&amp;$C106,RdTRABYVals!$C$2:$C$999,"="&amp;INS!$A106),"")</f>
        <v>0.34999999999999998</v>
      </c>
      <c r="BU106" s="6">
        <f>IFERROR(AVERAGEIFS(RdTRABYVals!AM$2:AM$999,RdTRABYVals!$B$2:$B$999,"="&amp;$C106,RdTRABYVals!$C$2:$C$999,"="&amp;INS!$A106),"")</f>
        <v>0.34999999999999998</v>
      </c>
      <c r="BV106" s="6">
        <f>IFERROR(AVERAGEIFS(RdTRABYVals!AN$2:AN$999,RdTRABYVals!$B$2:$B$999,"="&amp;$C106,RdTRABYVals!$C$2:$C$999,"="&amp;INS!$A106),"")</f>
        <v>0.34999999999999998</v>
      </c>
      <c r="BW106" s="6">
        <f>IFERROR(AVERAGEIFS(RdTRABYVals!AO$2:AO$999,RdTRABYVals!$B$2:$B$999,"="&amp;$C106,RdTRABYVals!$C$2:$C$999,"="&amp;INS!$A106),"")</f>
        <v>0.34999999999999998</v>
      </c>
      <c r="BX106" s="6">
        <f>IFERROR(AVERAGEIFS(RdTRABYVals!AP$2:AP$999,RdTRABYVals!$B$2:$B$999,"="&amp;$C106,RdTRABYVals!$C$2:$C$999,"="&amp;INS!$A106),"")</f>
        <v>0.34999999999999998</v>
      </c>
      <c r="BY106" s="6">
        <f>IFERROR(AVERAGEIFS(RdTRABYVals!AQ$2:AQ$999,RdTRABYVals!$B$2:$B$999,"="&amp;$C106,RdTRABYVals!$C$2:$C$999,"="&amp;INS!$A106),"")</f>
        <v>0.34999999999999998</v>
      </c>
      <c r="BZ106" s="6">
        <f>IFERROR(AVERAGEIFS(RdTRABYVals!AR$2:AR$999,RdTRABYVals!$B$2:$B$999,"="&amp;$C106,RdTRABYVals!$C$2:$C$999,"="&amp;INS!$A106),"")</f>
        <v>0.34999999999999998</v>
      </c>
      <c r="CA106" s="6">
        <f>IFERROR(AVERAGEIFS(RdTRABYVals!AS$2:AS$999,RdTRABYVals!$B$2:$B$999,"="&amp;$C106,RdTRABYVals!$C$2:$C$999,"="&amp;INS!$A106),"")</f>
        <v>0.34999999999999998</v>
      </c>
      <c r="CB106" s="6">
        <f>IFERROR(AVERAGEIFS(RdTRABYVals!AT$2:AT$999,RdTRABYVals!$B$2:$B$999,"="&amp;$C106,RdTRABYVals!$C$2:$C$999,"="&amp;INS!$A106),"")</f>
        <v>0.34999999999999998</v>
      </c>
      <c r="CC106" s="6">
        <f>IFERROR(AVERAGEIFS(RdTRABYVals!AU$2:AU$999,RdTRABYVals!$B$2:$B$999,"="&amp;$C106,RdTRABYVals!$C$2:$C$999,"="&amp;INS!$A106),"")</f>
        <v>0.34999999999999998</v>
      </c>
      <c r="CD106" s="6">
        <f>IFERROR(AVERAGEIFS(RdTRABYVals!AV$2:AV$999,RdTRABYVals!$B$2:$B$999,"="&amp;$C106,RdTRABYVals!$C$2:$C$999,"="&amp;INS!$A106),"")</f>
        <v>0.34999999999999998</v>
      </c>
    </row>
    <row r="107" spans="1:82" ht="14.4">
      <c r="A107" s="3" t="s">
        <v>116</v>
      </c>
      <c r="C107" s="1" t="s">
        <v>29</v>
      </c>
      <c r="D107" t="str">
        <f t="shared" si="30"/>
        <v>TRA_Car_Cng_Lom*</v>
      </c>
      <c r="F107" t="str">
        <f t="shared" si="31"/>
        <v>*0.35</v>
      </c>
      <c r="G107" t="str">
        <f t="shared" si="37"/>
        <v>*0.35</v>
      </c>
      <c r="H107" t="str">
        <f t="shared" si="38"/>
        <v>*0.35</v>
      </c>
      <c r="I107" t="str">
        <f t="shared" si="39"/>
        <v>*0.35</v>
      </c>
      <c r="J107" t="str">
        <f t="shared" si="40"/>
        <v>*0.35</v>
      </c>
      <c r="K107" t="str">
        <f t="shared" si="41"/>
        <v>*0.35</v>
      </c>
      <c r="L107" t="str">
        <f t="shared" si="42"/>
        <v>*0.35</v>
      </c>
      <c r="M107" t="str">
        <f t="shared" si="43"/>
        <v>*0.35</v>
      </c>
      <c r="N107" t="str">
        <f t="shared" si="44"/>
        <v>*0.35</v>
      </c>
      <c r="O107" t="str">
        <f t="shared" si="45"/>
        <v>*0.35</v>
      </c>
      <c r="P107" t="str">
        <f t="shared" si="46"/>
        <v>*0.35</v>
      </c>
      <c r="Q107" t="str">
        <f t="shared" si="47"/>
        <v>*0.35</v>
      </c>
      <c r="R107" t="str">
        <f t="shared" si="48"/>
        <v>*0.35</v>
      </c>
      <c r="S107" t="str">
        <f t="shared" si="49"/>
        <v>*0.35</v>
      </c>
      <c r="T107" t="str">
        <f t="shared" si="50"/>
        <v>*0.35</v>
      </c>
      <c r="U107" t="str">
        <f t="shared" si="51"/>
        <v>*0.35</v>
      </c>
      <c r="V107" t="str">
        <f t="shared" si="52"/>
        <v>*0.35</v>
      </c>
      <c r="W107" t="str">
        <f t="shared" si="53"/>
        <v>*0.35</v>
      </c>
      <c r="X107" t="str">
        <f t="shared" si="54"/>
        <v>*0.35</v>
      </c>
      <c r="Y107" t="str">
        <f t="shared" si="55"/>
        <v>*0.35</v>
      </c>
      <c r="Z107" t="str">
        <f t="shared" si="56"/>
        <v>*0.35</v>
      </c>
      <c r="AA107" t="str">
        <f t="shared" si="57"/>
        <v>*0.35</v>
      </c>
      <c r="AB107" t="str">
        <f t="shared" si="58"/>
        <v>*0.35</v>
      </c>
      <c r="AC107" t="str">
        <f t="shared" si="59"/>
        <v>*0.35</v>
      </c>
      <c r="AD107" t="str">
        <f t="shared" si="60"/>
        <v>*0.35</v>
      </c>
      <c r="AE107" t="str">
        <f t="shared" si="61"/>
        <v>*0.35</v>
      </c>
      <c r="AF107" t="str">
        <f t="shared" si="62"/>
        <v>*0.35</v>
      </c>
      <c r="AG107" t="str">
        <f t="shared" si="63"/>
        <v>*0.35</v>
      </c>
      <c r="AH107" t="str">
        <f t="shared" si="64"/>
        <v>*0.35</v>
      </c>
      <c r="AI107" t="str">
        <f t="shared" si="65"/>
        <v>*0.35</v>
      </c>
      <c r="AJ107" t="str">
        <f t="shared" si="66"/>
        <v>*0.35</v>
      </c>
      <c r="AK107" t="str">
        <f t="shared" si="67"/>
        <v>*0.35</v>
      </c>
      <c r="AL107" t="str">
        <f t="shared" si="68"/>
        <v>*0.35</v>
      </c>
      <c r="AM107" t="str">
        <f t="shared" si="69"/>
        <v>*0.35</v>
      </c>
      <c r="AN107" t="str">
        <f t="shared" si="33"/>
        <v>*0.35</v>
      </c>
      <c r="AO107" t="str">
        <f t="shared" si="34"/>
        <v>*0.35</v>
      </c>
      <c r="AP107" t="str">
        <f t="shared" si="35"/>
        <v>*0.35</v>
      </c>
      <c r="AQ107" t="str">
        <f t="shared" si="36"/>
        <v>*0.35</v>
      </c>
      <c r="AS107" s="6">
        <f t="shared" si="32"/>
        <v>0.34999999999999998</v>
      </c>
      <c r="AT107" s="6">
        <f>IFERROR(AVERAGEIFS(RdTRABYVals!L$2:L$999,RdTRABYVals!$B$2:$B$999,"="&amp;$C107,RdTRABYVals!$C$2:$C$999,"="&amp;INS!$A107),"")</f>
        <v>0.34999999999999998</v>
      </c>
      <c r="AU107" s="6">
        <f>IFERROR(AVERAGEIFS(RdTRABYVals!M$2:M$999,RdTRABYVals!$B$2:$B$999,"="&amp;$C107,RdTRABYVals!$C$2:$C$999,"="&amp;INS!$A107),"")</f>
        <v>0.34999999999999998</v>
      </c>
      <c r="AV107" s="6">
        <f>IFERROR(AVERAGEIFS(RdTRABYVals!N$2:N$999,RdTRABYVals!$B$2:$B$999,"="&amp;$C107,RdTRABYVals!$C$2:$C$999,"="&amp;INS!$A107),"")</f>
        <v>0.34999999999999998</v>
      </c>
      <c r="AW107" s="6">
        <f>IFERROR(AVERAGEIFS(RdTRABYVals!O$2:O$999,RdTRABYVals!$B$2:$B$999,"="&amp;$C107,RdTRABYVals!$C$2:$C$999,"="&amp;INS!$A107),"")</f>
        <v>0.34999999999999998</v>
      </c>
      <c r="AX107" s="6">
        <f>IFERROR(AVERAGEIFS(RdTRABYVals!P$2:P$999,RdTRABYVals!$B$2:$B$999,"="&amp;$C107,RdTRABYVals!$C$2:$C$999,"="&amp;INS!$A107),"")</f>
        <v>0.34999999999999998</v>
      </c>
      <c r="AY107" s="6">
        <f>IFERROR(AVERAGEIFS(RdTRABYVals!Q$2:Q$999,RdTRABYVals!$B$2:$B$999,"="&amp;$C107,RdTRABYVals!$C$2:$C$999,"="&amp;INS!$A107),"")</f>
        <v>0.34999999999999998</v>
      </c>
      <c r="AZ107" s="6">
        <f>IFERROR(AVERAGEIFS(RdTRABYVals!R$2:R$999,RdTRABYVals!$B$2:$B$999,"="&amp;$C107,RdTRABYVals!$C$2:$C$999,"="&amp;INS!$A107),"")</f>
        <v>0.34999999999999998</v>
      </c>
      <c r="BA107" s="6">
        <f>IFERROR(AVERAGEIFS(RdTRABYVals!S$2:S$999,RdTRABYVals!$B$2:$B$999,"="&amp;$C107,RdTRABYVals!$C$2:$C$999,"="&amp;INS!$A107),"")</f>
        <v>0.34999999999999998</v>
      </c>
      <c r="BB107" s="6">
        <f>IFERROR(AVERAGEIFS(RdTRABYVals!T$2:T$999,RdTRABYVals!$B$2:$B$999,"="&amp;$C107,RdTRABYVals!$C$2:$C$999,"="&amp;INS!$A107),"")</f>
        <v>0.34999999999999998</v>
      </c>
      <c r="BC107" s="6">
        <f>IFERROR(AVERAGEIFS(RdTRABYVals!U$2:U$999,RdTRABYVals!$B$2:$B$999,"="&amp;$C107,RdTRABYVals!$C$2:$C$999,"="&amp;INS!$A107),"")</f>
        <v>0.34999999999999998</v>
      </c>
      <c r="BD107" s="6">
        <f>IFERROR(AVERAGEIFS(RdTRABYVals!V$2:V$999,RdTRABYVals!$B$2:$B$999,"="&amp;$C107,RdTRABYVals!$C$2:$C$999,"="&amp;INS!$A107),"")</f>
        <v>0.34999999999999998</v>
      </c>
      <c r="BE107" s="6">
        <f>IFERROR(AVERAGEIFS(RdTRABYVals!W$2:W$999,RdTRABYVals!$B$2:$B$999,"="&amp;$C107,RdTRABYVals!$C$2:$C$999,"="&amp;INS!$A107),"")</f>
        <v>0.34999999999999998</v>
      </c>
      <c r="BF107" s="6">
        <f>IFERROR(AVERAGEIFS(RdTRABYVals!X$2:X$999,RdTRABYVals!$B$2:$B$999,"="&amp;$C107,RdTRABYVals!$C$2:$C$999,"="&amp;INS!$A107),"")</f>
        <v>0.34999999999999998</v>
      </c>
      <c r="BG107" s="6">
        <f>IFERROR(AVERAGEIFS(RdTRABYVals!Y$2:Y$999,RdTRABYVals!$B$2:$B$999,"="&amp;$C107,RdTRABYVals!$C$2:$C$999,"="&amp;INS!$A107),"")</f>
        <v>0.34999999999999998</v>
      </c>
      <c r="BH107" s="6">
        <f>IFERROR(AVERAGEIFS(RdTRABYVals!Z$2:Z$999,RdTRABYVals!$B$2:$B$999,"="&amp;$C107,RdTRABYVals!$C$2:$C$999,"="&amp;INS!$A107),"")</f>
        <v>0.34999999999999998</v>
      </c>
      <c r="BI107" s="6">
        <f>IFERROR(AVERAGEIFS(RdTRABYVals!AA$2:AA$999,RdTRABYVals!$B$2:$B$999,"="&amp;$C107,RdTRABYVals!$C$2:$C$999,"="&amp;INS!$A107),"")</f>
        <v>0.34999999999999998</v>
      </c>
      <c r="BJ107" s="6">
        <f>IFERROR(AVERAGEIFS(RdTRABYVals!AB$2:AB$999,RdTRABYVals!$B$2:$B$999,"="&amp;$C107,RdTRABYVals!$C$2:$C$999,"="&amp;INS!$A107),"")</f>
        <v>0.34999999999999998</v>
      </c>
      <c r="BK107" s="6">
        <f>IFERROR(AVERAGEIFS(RdTRABYVals!AC$2:AC$999,RdTRABYVals!$B$2:$B$999,"="&amp;$C107,RdTRABYVals!$C$2:$C$999,"="&amp;INS!$A107),"")</f>
        <v>0.34999999999999998</v>
      </c>
      <c r="BL107" s="6">
        <f>IFERROR(AVERAGEIFS(RdTRABYVals!AD$2:AD$999,RdTRABYVals!$B$2:$B$999,"="&amp;$C107,RdTRABYVals!$C$2:$C$999,"="&amp;INS!$A107),"")</f>
        <v>0.34999999999999998</v>
      </c>
      <c r="BM107" s="6">
        <f>IFERROR(AVERAGEIFS(RdTRABYVals!AE$2:AE$999,RdTRABYVals!$B$2:$B$999,"="&amp;$C107,RdTRABYVals!$C$2:$C$999,"="&amp;INS!$A107),"")</f>
        <v>0.34999999999999998</v>
      </c>
      <c r="BN107" s="6">
        <f>IFERROR(AVERAGEIFS(RdTRABYVals!AF$2:AF$999,RdTRABYVals!$B$2:$B$999,"="&amp;$C107,RdTRABYVals!$C$2:$C$999,"="&amp;INS!$A107),"")</f>
        <v>0.34999999999999998</v>
      </c>
      <c r="BO107" s="6">
        <f>IFERROR(AVERAGEIFS(RdTRABYVals!AG$2:AG$999,RdTRABYVals!$B$2:$B$999,"="&amp;$C107,RdTRABYVals!$C$2:$C$999,"="&amp;INS!$A107),"")</f>
        <v>0.34999999999999998</v>
      </c>
      <c r="BP107" s="6">
        <f>IFERROR(AVERAGEIFS(RdTRABYVals!AH$2:AH$999,RdTRABYVals!$B$2:$B$999,"="&amp;$C107,RdTRABYVals!$C$2:$C$999,"="&amp;INS!$A107),"")</f>
        <v>0.34999999999999998</v>
      </c>
      <c r="BQ107" s="6">
        <f>IFERROR(AVERAGEIFS(RdTRABYVals!AI$2:AI$999,RdTRABYVals!$B$2:$B$999,"="&amp;$C107,RdTRABYVals!$C$2:$C$999,"="&amp;INS!$A107),"")</f>
        <v>0.34999999999999998</v>
      </c>
      <c r="BR107" s="6">
        <f>IFERROR(AVERAGEIFS(RdTRABYVals!AJ$2:AJ$999,RdTRABYVals!$B$2:$B$999,"="&amp;$C107,RdTRABYVals!$C$2:$C$999,"="&amp;INS!$A107),"")</f>
        <v>0.34999999999999998</v>
      </c>
      <c r="BS107" s="6">
        <f>IFERROR(AVERAGEIFS(RdTRABYVals!AK$2:AK$999,RdTRABYVals!$B$2:$B$999,"="&amp;$C107,RdTRABYVals!$C$2:$C$999,"="&amp;INS!$A107),"")</f>
        <v>0.34999999999999998</v>
      </c>
      <c r="BT107" s="6">
        <f>IFERROR(AVERAGEIFS(RdTRABYVals!AL$2:AL$999,RdTRABYVals!$B$2:$B$999,"="&amp;$C107,RdTRABYVals!$C$2:$C$999,"="&amp;INS!$A107),"")</f>
        <v>0.34999999999999998</v>
      </c>
      <c r="BU107" s="6">
        <f>IFERROR(AVERAGEIFS(RdTRABYVals!AM$2:AM$999,RdTRABYVals!$B$2:$B$999,"="&amp;$C107,RdTRABYVals!$C$2:$C$999,"="&amp;INS!$A107),"")</f>
        <v>0.34999999999999998</v>
      </c>
      <c r="BV107" s="6">
        <f>IFERROR(AVERAGEIFS(RdTRABYVals!AN$2:AN$999,RdTRABYVals!$B$2:$B$999,"="&amp;$C107,RdTRABYVals!$C$2:$C$999,"="&amp;INS!$A107),"")</f>
        <v>0.34999999999999998</v>
      </c>
      <c r="BW107" s="6">
        <f>IFERROR(AVERAGEIFS(RdTRABYVals!AO$2:AO$999,RdTRABYVals!$B$2:$B$999,"="&amp;$C107,RdTRABYVals!$C$2:$C$999,"="&amp;INS!$A107),"")</f>
        <v>0.34999999999999998</v>
      </c>
      <c r="BX107" s="6">
        <f>IFERROR(AVERAGEIFS(RdTRABYVals!AP$2:AP$999,RdTRABYVals!$B$2:$B$999,"="&amp;$C107,RdTRABYVals!$C$2:$C$999,"="&amp;INS!$A107),"")</f>
        <v>0.34999999999999998</v>
      </c>
      <c r="BY107" s="6">
        <f>IFERROR(AVERAGEIFS(RdTRABYVals!AQ$2:AQ$999,RdTRABYVals!$B$2:$B$999,"="&amp;$C107,RdTRABYVals!$C$2:$C$999,"="&amp;INS!$A107),"")</f>
        <v>0.34999999999999998</v>
      </c>
      <c r="BZ107" s="6">
        <f>IFERROR(AVERAGEIFS(RdTRABYVals!AR$2:AR$999,RdTRABYVals!$B$2:$B$999,"="&amp;$C107,RdTRABYVals!$C$2:$C$999,"="&amp;INS!$A107),"")</f>
        <v>0.34999999999999998</v>
      </c>
      <c r="CA107" s="6">
        <f>IFERROR(AVERAGEIFS(RdTRABYVals!AS$2:AS$999,RdTRABYVals!$B$2:$B$999,"="&amp;$C107,RdTRABYVals!$C$2:$C$999,"="&amp;INS!$A107),"")</f>
        <v>0.34999999999999998</v>
      </c>
      <c r="CB107" s="6">
        <f>IFERROR(AVERAGEIFS(RdTRABYVals!AT$2:AT$999,RdTRABYVals!$B$2:$B$999,"="&amp;$C107,RdTRABYVals!$C$2:$C$999,"="&amp;INS!$A107),"")</f>
        <v>0.34999999999999998</v>
      </c>
      <c r="CC107" s="6">
        <f>IFERROR(AVERAGEIFS(RdTRABYVals!AU$2:AU$999,RdTRABYVals!$B$2:$B$999,"="&amp;$C107,RdTRABYVals!$C$2:$C$999,"="&amp;INS!$A107),"")</f>
        <v>0.34999999999999998</v>
      </c>
      <c r="CD107" s="6">
        <f>IFERROR(AVERAGEIFS(RdTRABYVals!AV$2:AV$999,RdTRABYVals!$B$2:$B$999,"="&amp;$C107,RdTRABYVals!$C$2:$C$999,"="&amp;INS!$A107),"")</f>
        <v>0.34999999999999998</v>
      </c>
    </row>
    <row r="108" spans="1:82" ht="14.4">
      <c r="A108" s="3" t="s">
        <v>117</v>
      </c>
      <c r="C108" s="1" t="s">
        <v>29</v>
      </c>
      <c r="D108" t="str">
        <f t="shared" si="30"/>
        <v>TRA_Car_Cng_Sma*</v>
      </c>
      <c r="F108" t="str">
        <f t="shared" si="31"/>
        <v>*0.35</v>
      </c>
      <c r="G108" t="str">
        <f t="shared" si="37"/>
        <v>*0.35</v>
      </c>
      <c r="H108" t="str">
        <f t="shared" si="38"/>
        <v>*0.35</v>
      </c>
      <c r="I108" t="str">
        <f t="shared" si="39"/>
        <v>*0.35</v>
      </c>
      <c r="J108" t="str">
        <f t="shared" si="40"/>
        <v>*0.35</v>
      </c>
      <c r="K108" t="str">
        <f t="shared" si="41"/>
        <v>*0.35</v>
      </c>
      <c r="L108" t="str">
        <f t="shared" si="42"/>
        <v>*0.35</v>
      </c>
      <c r="M108" t="str">
        <f t="shared" si="43"/>
        <v>*0.35</v>
      </c>
      <c r="N108" t="str">
        <f t="shared" si="44"/>
        <v>*0.35</v>
      </c>
      <c r="O108" t="str">
        <f t="shared" si="45"/>
        <v>*0.35</v>
      </c>
      <c r="P108" t="str">
        <f t="shared" si="46"/>
        <v>*0.35</v>
      </c>
      <c r="Q108" t="str">
        <f t="shared" si="47"/>
        <v>*0.35</v>
      </c>
      <c r="R108" t="str">
        <f t="shared" si="48"/>
        <v>*0.35</v>
      </c>
      <c r="S108" t="str">
        <f t="shared" si="49"/>
        <v>*0.35</v>
      </c>
      <c r="T108" t="str">
        <f t="shared" si="50"/>
        <v>*0.35</v>
      </c>
      <c r="U108" t="str">
        <f t="shared" si="51"/>
        <v>*0.35</v>
      </c>
      <c r="V108" t="str">
        <f t="shared" si="52"/>
        <v>*0.35</v>
      </c>
      <c r="W108" t="str">
        <f t="shared" si="53"/>
        <v>*0.35</v>
      </c>
      <c r="X108" t="str">
        <f t="shared" si="54"/>
        <v>*0.35</v>
      </c>
      <c r="Y108" t="str">
        <f t="shared" si="55"/>
        <v>*0.35</v>
      </c>
      <c r="Z108" t="str">
        <f t="shared" si="56"/>
        <v>*0.35</v>
      </c>
      <c r="AA108" t="str">
        <f t="shared" si="57"/>
        <v>*0.35</v>
      </c>
      <c r="AB108" t="str">
        <f t="shared" si="58"/>
        <v>*0.35</v>
      </c>
      <c r="AC108" t="str">
        <f t="shared" si="59"/>
        <v>*0.35</v>
      </c>
      <c r="AD108" t="str">
        <f t="shared" si="60"/>
        <v>*0.35</v>
      </c>
      <c r="AE108" t="str">
        <f t="shared" si="61"/>
        <v>*0.35</v>
      </c>
      <c r="AF108" t="str">
        <f t="shared" si="62"/>
        <v>*0.35</v>
      </c>
      <c r="AG108" t="str">
        <f t="shared" si="63"/>
        <v>*0.35</v>
      </c>
      <c r="AH108" t="str">
        <f t="shared" si="64"/>
        <v>*0.35</v>
      </c>
      <c r="AI108" t="str">
        <f t="shared" si="65"/>
        <v>*0.35</v>
      </c>
      <c r="AJ108" t="str">
        <f t="shared" si="66"/>
        <v>*0.35</v>
      </c>
      <c r="AK108" t="str">
        <f t="shared" si="67"/>
        <v>*0.35</v>
      </c>
      <c r="AL108" t="str">
        <f t="shared" si="68"/>
        <v>*0.35</v>
      </c>
      <c r="AM108" t="str">
        <f t="shared" si="69"/>
        <v>*0.35</v>
      </c>
      <c r="AN108" t="str">
        <f t="shared" si="33"/>
        <v>*0.35</v>
      </c>
      <c r="AO108" t="str">
        <f t="shared" si="34"/>
        <v>*0.35</v>
      </c>
      <c r="AP108" t="str">
        <f t="shared" si="35"/>
        <v>*0.35</v>
      </c>
      <c r="AQ108" t="str">
        <f t="shared" si="36"/>
        <v>*0.35</v>
      </c>
      <c r="AS108" s="6">
        <f t="shared" si="32"/>
        <v>0.34999999999999998</v>
      </c>
      <c r="AT108" s="6">
        <f>IFERROR(AVERAGEIFS(RdTRABYVals!L$2:L$999,RdTRABYVals!$B$2:$B$999,"="&amp;$C108,RdTRABYVals!$C$2:$C$999,"="&amp;INS!$A108),"")</f>
        <v>0.34999999999999998</v>
      </c>
      <c r="AU108" s="6">
        <f>IFERROR(AVERAGEIFS(RdTRABYVals!M$2:M$999,RdTRABYVals!$B$2:$B$999,"="&amp;$C108,RdTRABYVals!$C$2:$C$999,"="&amp;INS!$A108),"")</f>
        <v>0.34999999999999998</v>
      </c>
      <c r="AV108" s="6">
        <f>IFERROR(AVERAGEIFS(RdTRABYVals!N$2:N$999,RdTRABYVals!$B$2:$B$999,"="&amp;$C108,RdTRABYVals!$C$2:$C$999,"="&amp;INS!$A108),"")</f>
        <v>0.34999999999999998</v>
      </c>
      <c r="AW108" s="6">
        <f>IFERROR(AVERAGEIFS(RdTRABYVals!O$2:O$999,RdTRABYVals!$B$2:$B$999,"="&amp;$C108,RdTRABYVals!$C$2:$C$999,"="&amp;INS!$A108),"")</f>
        <v>0.34999999999999998</v>
      </c>
      <c r="AX108" s="6">
        <f>IFERROR(AVERAGEIFS(RdTRABYVals!P$2:P$999,RdTRABYVals!$B$2:$B$999,"="&amp;$C108,RdTRABYVals!$C$2:$C$999,"="&amp;INS!$A108),"")</f>
        <v>0.34999999999999998</v>
      </c>
      <c r="AY108" s="6">
        <f>IFERROR(AVERAGEIFS(RdTRABYVals!Q$2:Q$999,RdTRABYVals!$B$2:$B$999,"="&amp;$C108,RdTRABYVals!$C$2:$C$999,"="&amp;INS!$A108),"")</f>
        <v>0.34999999999999998</v>
      </c>
      <c r="AZ108" s="6">
        <f>IFERROR(AVERAGEIFS(RdTRABYVals!R$2:R$999,RdTRABYVals!$B$2:$B$999,"="&amp;$C108,RdTRABYVals!$C$2:$C$999,"="&amp;INS!$A108),"")</f>
        <v>0.34999999999999998</v>
      </c>
      <c r="BA108" s="6">
        <f>IFERROR(AVERAGEIFS(RdTRABYVals!S$2:S$999,RdTRABYVals!$B$2:$B$999,"="&amp;$C108,RdTRABYVals!$C$2:$C$999,"="&amp;INS!$A108),"")</f>
        <v>0.34999999999999998</v>
      </c>
      <c r="BB108" s="6">
        <f>IFERROR(AVERAGEIFS(RdTRABYVals!T$2:T$999,RdTRABYVals!$B$2:$B$999,"="&amp;$C108,RdTRABYVals!$C$2:$C$999,"="&amp;INS!$A108),"")</f>
        <v>0.34999999999999998</v>
      </c>
      <c r="BC108" s="6">
        <f>IFERROR(AVERAGEIFS(RdTRABYVals!U$2:U$999,RdTRABYVals!$B$2:$B$999,"="&amp;$C108,RdTRABYVals!$C$2:$C$999,"="&amp;INS!$A108),"")</f>
        <v>0.34999999999999998</v>
      </c>
      <c r="BD108" s="6">
        <f>IFERROR(AVERAGEIFS(RdTRABYVals!V$2:V$999,RdTRABYVals!$B$2:$B$999,"="&amp;$C108,RdTRABYVals!$C$2:$C$999,"="&amp;INS!$A108),"")</f>
        <v>0.34999999999999998</v>
      </c>
      <c r="BE108" s="6">
        <f>IFERROR(AVERAGEIFS(RdTRABYVals!W$2:W$999,RdTRABYVals!$B$2:$B$999,"="&amp;$C108,RdTRABYVals!$C$2:$C$999,"="&amp;INS!$A108),"")</f>
        <v>0.34999999999999998</v>
      </c>
      <c r="BF108" s="6">
        <f>IFERROR(AVERAGEIFS(RdTRABYVals!X$2:X$999,RdTRABYVals!$B$2:$B$999,"="&amp;$C108,RdTRABYVals!$C$2:$C$999,"="&amp;INS!$A108),"")</f>
        <v>0.34999999999999998</v>
      </c>
      <c r="BG108" s="6">
        <f>IFERROR(AVERAGEIFS(RdTRABYVals!Y$2:Y$999,RdTRABYVals!$B$2:$B$999,"="&amp;$C108,RdTRABYVals!$C$2:$C$999,"="&amp;INS!$A108),"")</f>
        <v>0.34999999999999998</v>
      </c>
      <c r="BH108" s="6">
        <f>IFERROR(AVERAGEIFS(RdTRABYVals!Z$2:Z$999,RdTRABYVals!$B$2:$B$999,"="&amp;$C108,RdTRABYVals!$C$2:$C$999,"="&amp;INS!$A108),"")</f>
        <v>0.34999999999999998</v>
      </c>
      <c r="BI108" s="6">
        <f>IFERROR(AVERAGEIFS(RdTRABYVals!AA$2:AA$999,RdTRABYVals!$B$2:$B$999,"="&amp;$C108,RdTRABYVals!$C$2:$C$999,"="&amp;INS!$A108),"")</f>
        <v>0.34999999999999998</v>
      </c>
      <c r="BJ108" s="6">
        <f>IFERROR(AVERAGEIFS(RdTRABYVals!AB$2:AB$999,RdTRABYVals!$B$2:$B$999,"="&amp;$C108,RdTRABYVals!$C$2:$C$999,"="&amp;INS!$A108),"")</f>
        <v>0.34999999999999998</v>
      </c>
      <c r="BK108" s="6">
        <f>IFERROR(AVERAGEIFS(RdTRABYVals!AC$2:AC$999,RdTRABYVals!$B$2:$B$999,"="&amp;$C108,RdTRABYVals!$C$2:$C$999,"="&amp;INS!$A108),"")</f>
        <v>0.34999999999999998</v>
      </c>
      <c r="BL108" s="6">
        <f>IFERROR(AVERAGEIFS(RdTRABYVals!AD$2:AD$999,RdTRABYVals!$B$2:$B$999,"="&amp;$C108,RdTRABYVals!$C$2:$C$999,"="&amp;INS!$A108),"")</f>
        <v>0.34999999999999998</v>
      </c>
      <c r="BM108" s="6">
        <f>IFERROR(AVERAGEIFS(RdTRABYVals!AE$2:AE$999,RdTRABYVals!$B$2:$B$999,"="&amp;$C108,RdTRABYVals!$C$2:$C$999,"="&amp;INS!$A108),"")</f>
        <v>0.34999999999999998</v>
      </c>
      <c r="BN108" s="6">
        <f>IFERROR(AVERAGEIFS(RdTRABYVals!AF$2:AF$999,RdTRABYVals!$B$2:$B$999,"="&amp;$C108,RdTRABYVals!$C$2:$C$999,"="&amp;INS!$A108),"")</f>
        <v>0.34999999999999998</v>
      </c>
      <c r="BO108" s="6">
        <f>IFERROR(AVERAGEIFS(RdTRABYVals!AG$2:AG$999,RdTRABYVals!$B$2:$B$999,"="&amp;$C108,RdTRABYVals!$C$2:$C$999,"="&amp;INS!$A108),"")</f>
        <v>0.34999999999999998</v>
      </c>
      <c r="BP108" s="6">
        <f>IFERROR(AVERAGEIFS(RdTRABYVals!AH$2:AH$999,RdTRABYVals!$B$2:$B$999,"="&amp;$C108,RdTRABYVals!$C$2:$C$999,"="&amp;INS!$A108),"")</f>
        <v>0.34999999999999998</v>
      </c>
      <c r="BQ108" s="6">
        <f>IFERROR(AVERAGEIFS(RdTRABYVals!AI$2:AI$999,RdTRABYVals!$B$2:$B$999,"="&amp;$C108,RdTRABYVals!$C$2:$C$999,"="&amp;INS!$A108),"")</f>
        <v>0.34999999999999998</v>
      </c>
      <c r="BR108" s="6">
        <f>IFERROR(AVERAGEIFS(RdTRABYVals!AJ$2:AJ$999,RdTRABYVals!$B$2:$B$999,"="&amp;$C108,RdTRABYVals!$C$2:$C$999,"="&amp;INS!$A108),"")</f>
        <v>0.34999999999999998</v>
      </c>
      <c r="BS108" s="6">
        <f>IFERROR(AVERAGEIFS(RdTRABYVals!AK$2:AK$999,RdTRABYVals!$B$2:$B$999,"="&amp;$C108,RdTRABYVals!$C$2:$C$999,"="&amp;INS!$A108),"")</f>
        <v>0.34999999999999998</v>
      </c>
      <c r="BT108" s="6">
        <f>IFERROR(AVERAGEIFS(RdTRABYVals!AL$2:AL$999,RdTRABYVals!$B$2:$B$999,"="&amp;$C108,RdTRABYVals!$C$2:$C$999,"="&amp;INS!$A108),"")</f>
        <v>0.34999999999999998</v>
      </c>
      <c r="BU108" s="6">
        <f>IFERROR(AVERAGEIFS(RdTRABYVals!AM$2:AM$999,RdTRABYVals!$B$2:$B$999,"="&amp;$C108,RdTRABYVals!$C$2:$C$999,"="&amp;INS!$A108),"")</f>
        <v>0.34999999999999998</v>
      </c>
      <c r="BV108" s="6">
        <f>IFERROR(AVERAGEIFS(RdTRABYVals!AN$2:AN$999,RdTRABYVals!$B$2:$B$999,"="&amp;$C108,RdTRABYVals!$C$2:$C$999,"="&amp;INS!$A108),"")</f>
        <v>0.34999999999999998</v>
      </c>
      <c r="BW108" s="6">
        <f>IFERROR(AVERAGEIFS(RdTRABYVals!AO$2:AO$999,RdTRABYVals!$B$2:$B$999,"="&amp;$C108,RdTRABYVals!$C$2:$C$999,"="&amp;INS!$A108),"")</f>
        <v>0.34999999999999998</v>
      </c>
      <c r="BX108" s="6">
        <f>IFERROR(AVERAGEIFS(RdTRABYVals!AP$2:AP$999,RdTRABYVals!$B$2:$B$999,"="&amp;$C108,RdTRABYVals!$C$2:$C$999,"="&amp;INS!$A108),"")</f>
        <v>0.34999999999999998</v>
      </c>
      <c r="BY108" s="6">
        <f>IFERROR(AVERAGEIFS(RdTRABYVals!AQ$2:AQ$999,RdTRABYVals!$B$2:$B$999,"="&amp;$C108,RdTRABYVals!$C$2:$C$999,"="&amp;INS!$A108),"")</f>
        <v>0.34999999999999998</v>
      </c>
      <c r="BZ108" s="6">
        <f>IFERROR(AVERAGEIFS(RdTRABYVals!AR$2:AR$999,RdTRABYVals!$B$2:$B$999,"="&amp;$C108,RdTRABYVals!$C$2:$C$999,"="&amp;INS!$A108),"")</f>
        <v>0.34999999999999998</v>
      </c>
      <c r="CA108" s="6">
        <f>IFERROR(AVERAGEIFS(RdTRABYVals!AS$2:AS$999,RdTRABYVals!$B$2:$B$999,"="&amp;$C108,RdTRABYVals!$C$2:$C$999,"="&amp;INS!$A108),"")</f>
        <v>0.34999999999999998</v>
      </c>
      <c r="CB108" s="6">
        <f>IFERROR(AVERAGEIFS(RdTRABYVals!AT$2:AT$999,RdTRABYVals!$B$2:$B$999,"="&amp;$C108,RdTRABYVals!$C$2:$C$999,"="&amp;INS!$A108),"")</f>
        <v>0.34999999999999998</v>
      </c>
      <c r="CC108" s="6">
        <f>IFERROR(AVERAGEIFS(RdTRABYVals!AU$2:AU$999,RdTRABYVals!$B$2:$B$999,"="&amp;$C108,RdTRABYVals!$C$2:$C$999,"="&amp;INS!$A108),"")</f>
        <v>0.34999999999999998</v>
      </c>
      <c r="CD108" s="6">
        <f>IFERROR(AVERAGEIFS(RdTRABYVals!AV$2:AV$999,RdTRABYVals!$B$2:$B$999,"="&amp;$C108,RdTRABYVals!$C$2:$C$999,"="&amp;INS!$A108),"")</f>
        <v>0.34999999999999998</v>
      </c>
    </row>
    <row r="109" spans="1:82" ht="14.4">
      <c r="A109" s="3" t="s">
        <v>118</v>
      </c>
      <c r="C109" s="1" t="s">
        <v>29</v>
      </c>
      <c r="D109" t="str">
        <f t="shared" si="30"/>
        <v>TRA_Car_Cng_Upm*</v>
      </c>
      <c r="F109" t="str">
        <f t="shared" si="31"/>
        <v>*0.35</v>
      </c>
      <c r="G109" t="str">
        <f t="shared" si="37"/>
        <v>*0.35</v>
      </c>
      <c r="H109" t="str">
        <f t="shared" si="38"/>
        <v>*0.35</v>
      </c>
      <c r="I109" t="str">
        <f t="shared" si="39"/>
        <v>*0.35</v>
      </c>
      <c r="J109" t="str">
        <f t="shared" si="40"/>
        <v>*0.35</v>
      </c>
      <c r="K109" t="str">
        <f t="shared" si="41"/>
        <v>*0.35</v>
      </c>
      <c r="L109" t="str">
        <f t="shared" si="42"/>
        <v>*0.35</v>
      </c>
      <c r="M109" t="str">
        <f t="shared" si="43"/>
        <v>*0.35</v>
      </c>
      <c r="N109" t="str">
        <f t="shared" si="44"/>
        <v>*0.35</v>
      </c>
      <c r="O109" t="str">
        <f t="shared" si="45"/>
        <v>*0.35</v>
      </c>
      <c r="P109" t="str">
        <f t="shared" si="46"/>
        <v>*0.35</v>
      </c>
      <c r="Q109" t="str">
        <f t="shared" si="47"/>
        <v>*0.35</v>
      </c>
      <c r="R109" t="str">
        <f t="shared" si="48"/>
        <v>*0.35</v>
      </c>
      <c r="S109" t="str">
        <f t="shared" si="49"/>
        <v>*0.35</v>
      </c>
      <c r="T109" t="str">
        <f t="shared" si="50"/>
        <v>*0.35</v>
      </c>
      <c r="U109" t="str">
        <f t="shared" si="51"/>
        <v>*0.35</v>
      </c>
      <c r="V109" t="str">
        <f t="shared" si="52"/>
        <v>*0.35</v>
      </c>
      <c r="W109" t="str">
        <f t="shared" si="53"/>
        <v>*0.35</v>
      </c>
      <c r="X109" t="str">
        <f t="shared" si="54"/>
        <v>*0.35</v>
      </c>
      <c r="Y109" t="str">
        <f t="shared" si="55"/>
        <v>*0.35</v>
      </c>
      <c r="Z109" t="str">
        <f t="shared" si="56"/>
        <v>*0.35</v>
      </c>
      <c r="AA109" t="str">
        <f t="shared" si="57"/>
        <v>*0.35</v>
      </c>
      <c r="AB109" t="str">
        <f t="shared" si="58"/>
        <v>*0.35</v>
      </c>
      <c r="AC109" t="str">
        <f t="shared" si="59"/>
        <v>*0.35</v>
      </c>
      <c r="AD109" t="str">
        <f t="shared" si="60"/>
        <v>*0.35</v>
      </c>
      <c r="AE109" t="str">
        <f t="shared" si="61"/>
        <v>*0.35</v>
      </c>
      <c r="AF109" t="str">
        <f t="shared" si="62"/>
        <v>*0.35</v>
      </c>
      <c r="AG109" t="str">
        <f t="shared" si="63"/>
        <v>*0.35</v>
      </c>
      <c r="AH109" t="str">
        <f t="shared" si="64"/>
        <v>*0.35</v>
      </c>
      <c r="AI109" t="str">
        <f t="shared" si="65"/>
        <v>*0.35</v>
      </c>
      <c r="AJ109" t="str">
        <f t="shared" si="66"/>
        <v>*0.35</v>
      </c>
      <c r="AK109" t="str">
        <f t="shared" si="67"/>
        <v>*0.35</v>
      </c>
      <c r="AL109" t="str">
        <f t="shared" si="68"/>
        <v>*0.35</v>
      </c>
      <c r="AM109" t="str">
        <f t="shared" si="69"/>
        <v>*0.35</v>
      </c>
      <c r="AN109" t="str">
        <f t="shared" si="33"/>
        <v>*0.35</v>
      </c>
      <c r="AO109" t="str">
        <f t="shared" si="34"/>
        <v>*0.35</v>
      </c>
      <c r="AP109" t="str">
        <f t="shared" si="35"/>
        <v>*0.35</v>
      </c>
      <c r="AQ109" t="str">
        <f t="shared" si="36"/>
        <v>*0.35</v>
      </c>
      <c r="AS109" s="6">
        <f t="shared" si="32"/>
        <v>0.34999999999999998</v>
      </c>
      <c r="AT109" s="6">
        <f>IFERROR(AVERAGEIFS(RdTRABYVals!L$2:L$999,RdTRABYVals!$B$2:$B$999,"="&amp;$C109,RdTRABYVals!$C$2:$C$999,"="&amp;INS!$A109),"")</f>
        <v>0.34999999999999998</v>
      </c>
      <c r="AU109" s="6">
        <f>IFERROR(AVERAGEIFS(RdTRABYVals!M$2:M$999,RdTRABYVals!$B$2:$B$999,"="&amp;$C109,RdTRABYVals!$C$2:$C$999,"="&amp;INS!$A109),"")</f>
        <v>0.34999999999999998</v>
      </c>
      <c r="AV109" s="6">
        <f>IFERROR(AVERAGEIFS(RdTRABYVals!N$2:N$999,RdTRABYVals!$B$2:$B$999,"="&amp;$C109,RdTRABYVals!$C$2:$C$999,"="&amp;INS!$A109),"")</f>
        <v>0.34999999999999998</v>
      </c>
      <c r="AW109" s="6">
        <f>IFERROR(AVERAGEIFS(RdTRABYVals!O$2:O$999,RdTRABYVals!$B$2:$B$999,"="&amp;$C109,RdTRABYVals!$C$2:$C$999,"="&amp;INS!$A109),"")</f>
        <v>0.34999999999999998</v>
      </c>
      <c r="AX109" s="6">
        <f>IFERROR(AVERAGEIFS(RdTRABYVals!P$2:P$999,RdTRABYVals!$B$2:$B$999,"="&amp;$C109,RdTRABYVals!$C$2:$C$999,"="&amp;INS!$A109),"")</f>
        <v>0.34999999999999998</v>
      </c>
      <c r="AY109" s="6">
        <f>IFERROR(AVERAGEIFS(RdTRABYVals!Q$2:Q$999,RdTRABYVals!$B$2:$B$999,"="&amp;$C109,RdTRABYVals!$C$2:$C$999,"="&amp;INS!$A109),"")</f>
        <v>0.34999999999999998</v>
      </c>
      <c r="AZ109" s="6">
        <f>IFERROR(AVERAGEIFS(RdTRABYVals!R$2:R$999,RdTRABYVals!$B$2:$B$999,"="&amp;$C109,RdTRABYVals!$C$2:$C$999,"="&amp;INS!$A109),"")</f>
        <v>0.34999999999999998</v>
      </c>
      <c r="BA109" s="6">
        <f>IFERROR(AVERAGEIFS(RdTRABYVals!S$2:S$999,RdTRABYVals!$B$2:$B$999,"="&amp;$C109,RdTRABYVals!$C$2:$C$999,"="&amp;INS!$A109),"")</f>
        <v>0.34999999999999998</v>
      </c>
      <c r="BB109" s="6">
        <f>IFERROR(AVERAGEIFS(RdTRABYVals!T$2:T$999,RdTRABYVals!$B$2:$B$999,"="&amp;$C109,RdTRABYVals!$C$2:$C$999,"="&amp;INS!$A109),"")</f>
        <v>0.34999999999999998</v>
      </c>
      <c r="BC109" s="6">
        <f>IFERROR(AVERAGEIFS(RdTRABYVals!U$2:U$999,RdTRABYVals!$B$2:$B$999,"="&amp;$C109,RdTRABYVals!$C$2:$C$999,"="&amp;INS!$A109),"")</f>
        <v>0.34999999999999998</v>
      </c>
      <c r="BD109" s="6">
        <f>IFERROR(AVERAGEIFS(RdTRABYVals!V$2:V$999,RdTRABYVals!$B$2:$B$999,"="&amp;$C109,RdTRABYVals!$C$2:$C$999,"="&amp;INS!$A109),"")</f>
        <v>0.34999999999999998</v>
      </c>
      <c r="BE109" s="6">
        <f>IFERROR(AVERAGEIFS(RdTRABYVals!W$2:W$999,RdTRABYVals!$B$2:$B$999,"="&amp;$C109,RdTRABYVals!$C$2:$C$999,"="&amp;INS!$A109),"")</f>
        <v>0.34999999999999998</v>
      </c>
      <c r="BF109" s="6">
        <f>IFERROR(AVERAGEIFS(RdTRABYVals!X$2:X$999,RdTRABYVals!$B$2:$B$999,"="&amp;$C109,RdTRABYVals!$C$2:$C$999,"="&amp;INS!$A109),"")</f>
        <v>0.34999999999999998</v>
      </c>
      <c r="BG109" s="6">
        <f>IFERROR(AVERAGEIFS(RdTRABYVals!Y$2:Y$999,RdTRABYVals!$B$2:$B$999,"="&amp;$C109,RdTRABYVals!$C$2:$C$999,"="&amp;INS!$A109),"")</f>
        <v>0.34999999999999998</v>
      </c>
      <c r="BH109" s="6">
        <f>IFERROR(AVERAGEIFS(RdTRABYVals!Z$2:Z$999,RdTRABYVals!$B$2:$B$999,"="&amp;$C109,RdTRABYVals!$C$2:$C$999,"="&amp;INS!$A109),"")</f>
        <v>0.34999999999999998</v>
      </c>
      <c r="BI109" s="6">
        <f>IFERROR(AVERAGEIFS(RdTRABYVals!AA$2:AA$999,RdTRABYVals!$B$2:$B$999,"="&amp;$C109,RdTRABYVals!$C$2:$C$999,"="&amp;INS!$A109),"")</f>
        <v>0.34999999999999998</v>
      </c>
      <c r="BJ109" s="6">
        <f>IFERROR(AVERAGEIFS(RdTRABYVals!AB$2:AB$999,RdTRABYVals!$B$2:$B$999,"="&amp;$C109,RdTRABYVals!$C$2:$C$999,"="&amp;INS!$A109),"")</f>
        <v>0.34999999999999998</v>
      </c>
      <c r="BK109" s="6">
        <f>IFERROR(AVERAGEIFS(RdTRABYVals!AC$2:AC$999,RdTRABYVals!$B$2:$B$999,"="&amp;$C109,RdTRABYVals!$C$2:$C$999,"="&amp;INS!$A109),"")</f>
        <v>0.34999999999999998</v>
      </c>
      <c r="BL109" s="6">
        <f>IFERROR(AVERAGEIFS(RdTRABYVals!AD$2:AD$999,RdTRABYVals!$B$2:$B$999,"="&amp;$C109,RdTRABYVals!$C$2:$C$999,"="&amp;INS!$A109),"")</f>
        <v>0.34999999999999998</v>
      </c>
      <c r="BM109" s="6">
        <f>IFERROR(AVERAGEIFS(RdTRABYVals!AE$2:AE$999,RdTRABYVals!$B$2:$B$999,"="&amp;$C109,RdTRABYVals!$C$2:$C$999,"="&amp;INS!$A109),"")</f>
        <v>0.34999999999999998</v>
      </c>
      <c r="BN109" s="6">
        <f>IFERROR(AVERAGEIFS(RdTRABYVals!AF$2:AF$999,RdTRABYVals!$B$2:$B$999,"="&amp;$C109,RdTRABYVals!$C$2:$C$999,"="&amp;INS!$A109),"")</f>
        <v>0.34999999999999998</v>
      </c>
      <c r="BO109" s="6">
        <f>IFERROR(AVERAGEIFS(RdTRABYVals!AG$2:AG$999,RdTRABYVals!$B$2:$B$999,"="&amp;$C109,RdTRABYVals!$C$2:$C$999,"="&amp;INS!$A109),"")</f>
        <v>0.34999999999999998</v>
      </c>
      <c r="BP109" s="6">
        <f>IFERROR(AVERAGEIFS(RdTRABYVals!AH$2:AH$999,RdTRABYVals!$B$2:$B$999,"="&amp;$C109,RdTRABYVals!$C$2:$C$999,"="&amp;INS!$A109),"")</f>
        <v>0.34999999999999998</v>
      </c>
      <c r="BQ109" s="6">
        <f>IFERROR(AVERAGEIFS(RdTRABYVals!AI$2:AI$999,RdTRABYVals!$B$2:$B$999,"="&amp;$C109,RdTRABYVals!$C$2:$C$999,"="&amp;INS!$A109),"")</f>
        <v>0.34999999999999998</v>
      </c>
      <c r="BR109" s="6">
        <f>IFERROR(AVERAGEIFS(RdTRABYVals!AJ$2:AJ$999,RdTRABYVals!$B$2:$B$999,"="&amp;$C109,RdTRABYVals!$C$2:$C$999,"="&amp;INS!$A109),"")</f>
        <v>0.34999999999999998</v>
      </c>
      <c r="BS109" s="6">
        <f>IFERROR(AVERAGEIFS(RdTRABYVals!AK$2:AK$999,RdTRABYVals!$B$2:$B$999,"="&amp;$C109,RdTRABYVals!$C$2:$C$999,"="&amp;INS!$A109),"")</f>
        <v>0.34999999999999998</v>
      </c>
      <c r="BT109" s="6">
        <f>IFERROR(AVERAGEIFS(RdTRABYVals!AL$2:AL$999,RdTRABYVals!$B$2:$B$999,"="&amp;$C109,RdTRABYVals!$C$2:$C$999,"="&amp;INS!$A109),"")</f>
        <v>0.34999999999999998</v>
      </c>
      <c r="BU109" s="6">
        <f>IFERROR(AVERAGEIFS(RdTRABYVals!AM$2:AM$999,RdTRABYVals!$B$2:$B$999,"="&amp;$C109,RdTRABYVals!$C$2:$C$999,"="&amp;INS!$A109),"")</f>
        <v>0.34999999999999998</v>
      </c>
      <c r="BV109" s="6">
        <f>IFERROR(AVERAGEIFS(RdTRABYVals!AN$2:AN$999,RdTRABYVals!$B$2:$B$999,"="&amp;$C109,RdTRABYVals!$C$2:$C$999,"="&amp;INS!$A109),"")</f>
        <v>0.34999999999999998</v>
      </c>
      <c r="BW109" s="6">
        <f>IFERROR(AVERAGEIFS(RdTRABYVals!AO$2:AO$999,RdTRABYVals!$B$2:$B$999,"="&amp;$C109,RdTRABYVals!$C$2:$C$999,"="&amp;INS!$A109),"")</f>
        <v>0.34999999999999998</v>
      </c>
      <c r="BX109" s="6">
        <f>IFERROR(AVERAGEIFS(RdTRABYVals!AP$2:AP$999,RdTRABYVals!$B$2:$B$999,"="&amp;$C109,RdTRABYVals!$C$2:$C$999,"="&amp;INS!$A109),"")</f>
        <v>0.34999999999999998</v>
      </c>
      <c r="BY109" s="6">
        <f>IFERROR(AVERAGEIFS(RdTRABYVals!AQ$2:AQ$999,RdTRABYVals!$B$2:$B$999,"="&amp;$C109,RdTRABYVals!$C$2:$C$999,"="&amp;INS!$A109),"")</f>
        <v>0.34999999999999998</v>
      </c>
      <c r="BZ109" s="6">
        <f>IFERROR(AVERAGEIFS(RdTRABYVals!AR$2:AR$999,RdTRABYVals!$B$2:$B$999,"="&amp;$C109,RdTRABYVals!$C$2:$C$999,"="&amp;INS!$A109),"")</f>
        <v>0.34999999999999998</v>
      </c>
      <c r="CA109" s="6">
        <f>IFERROR(AVERAGEIFS(RdTRABYVals!AS$2:AS$999,RdTRABYVals!$B$2:$B$999,"="&amp;$C109,RdTRABYVals!$C$2:$C$999,"="&amp;INS!$A109),"")</f>
        <v>0.34999999999999998</v>
      </c>
      <c r="CB109" s="6">
        <f>IFERROR(AVERAGEIFS(RdTRABYVals!AT$2:AT$999,RdTRABYVals!$B$2:$B$999,"="&amp;$C109,RdTRABYVals!$C$2:$C$999,"="&amp;INS!$A109),"")</f>
        <v>0.34999999999999998</v>
      </c>
      <c r="CC109" s="6">
        <f>IFERROR(AVERAGEIFS(RdTRABYVals!AU$2:AU$999,RdTRABYVals!$B$2:$B$999,"="&amp;$C109,RdTRABYVals!$C$2:$C$999,"="&amp;INS!$A109),"")</f>
        <v>0.34999999999999998</v>
      </c>
      <c r="CD109" s="6">
        <f>IFERROR(AVERAGEIFS(RdTRABYVals!AV$2:AV$999,RdTRABYVals!$B$2:$B$999,"="&amp;$C109,RdTRABYVals!$C$2:$C$999,"="&amp;INS!$A109),"")</f>
        <v>0.34999999999999998</v>
      </c>
    </row>
    <row r="110" spans="1:82" ht="14.4">
      <c r="A110" s="3" t="s">
        <v>119</v>
      </c>
      <c r="C110" s="1" t="s">
        <v>29</v>
      </c>
      <c r="D110" t="str">
        <f t="shared" si="30"/>
        <v>TRA_Car_Dis_Exe*</v>
      </c>
      <c r="F110" t="str">
        <f t="shared" si="31"/>
        <v>*0.322162162162162</v>
      </c>
      <c r="G110" t="str">
        <f t="shared" si="37"/>
        <v>*0.3</v>
      </c>
      <c r="H110" t="str">
        <f t="shared" si="38"/>
        <v>*0.32</v>
      </c>
      <c r="I110" t="str">
        <f t="shared" si="39"/>
        <v>*0.32</v>
      </c>
      <c r="J110" t="str">
        <f t="shared" si="40"/>
        <v>*0.3</v>
      </c>
      <c r="K110" t="str">
        <f t="shared" si="41"/>
        <v>*0.29</v>
      </c>
      <c r="L110" t="str">
        <f t="shared" si="42"/>
        <v>*0.3</v>
      </c>
      <c r="M110" t="str">
        <f t="shared" si="43"/>
        <v>*0.31</v>
      </c>
      <c r="N110" t="str">
        <f t="shared" si="44"/>
        <v>*0.32</v>
      </c>
      <c r="O110" t="str">
        <f t="shared" si="45"/>
        <v>*0.32</v>
      </c>
      <c r="P110" t="str">
        <f t="shared" si="46"/>
        <v>*0.34</v>
      </c>
      <c r="Q110" t="str">
        <f t="shared" si="47"/>
        <v>*0.33</v>
      </c>
      <c r="R110" t="str">
        <f t="shared" si="48"/>
        <v>*0.3</v>
      </c>
      <c r="S110" t="str">
        <f t="shared" si="49"/>
        <v>*0.38</v>
      </c>
      <c r="T110" t="str">
        <f t="shared" si="50"/>
        <v>*0.32</v>
      </c>
      <c r="U110" t="str">
        <f t="shared" si="51"/>
        <v>*0.32</v>
      </c>
      <c r="V110" t="str">
        <f t="shared" si="52"/>
        <v>*0.32</v>
      </c>
      <c r="W110" t="str">
        <f t="shared" si="53"/>
        <v>*0.35</v>
      </c>
      <c r="X110" t="str">
        <f t="shared" si="54"/>
        <v>*0.32</v>
      </c>
      <c r="Y110" t="str">
        <f t="shared" si="55"/>
        <v>*0.34</v>
      </c>
      <c r="Z110" t="str">
        <f t="shared" si="56"/>
        <v>*0.32</v>
      </c>
      <c r="AA110" t="str">
        <f t="shared" si="57"/>
        <v>*0.32</v>
      </c>
      <c r="AB110" t="str">
        <f t="shared" si="58"/>
        <v>*0.33</v>
      </c>
      <c r="AC110" t="str">
        <f t="shared" si="59"/>
        <v>*0.3</v>
      </c>
      <c r="AD110" t="str">
        <f t="shared" si="60"/>
        <v>*0.32</v>
      </c>
      <c r="AE110" t="str">
        <f t="shared" si="61"/>
        <v>*0.3</v>
      </c>
      <c r="AF110" t="str">
        <f t="shared" si="62"/>
        <v>*0.31</v>
      </c>
      <c r="AG110" t="str">
        <f t="shared" si="63"/>
        <v>*0.34</v>
      </c>
      <c r="AH110" t="str">
        <f t="shared" si="64"/>
        <v>*0.28</v>
      </c>
      <c r="AI110" t="str">
        <f t="shared" si="65"/>
        <v>*0.33</v>
      </c>
      <c r="AJ110" t="str">
        <f t="shared" si="66"/>
        <v>*0.35</v>
      </c>
      <c r="AK110" t="str">
        <f t="shared" si="67"/>
        <v>*0.38</v>
      </c>
      <c r="AL110" t="str">
        <f t="shared" si="68"/>
        <v>*0.29</v>
      </c>
      <c r="AM110" t="str">
        <f t="shared" si="69"/>
        <v>*0.32</v>
      </c>
      <c r="AN110" t="str">
        <f t="shared" si="33"/>
        <v>*0.34</v>
      </c>
      <c r="AO110" t="str">
        <f t="shared" si="34"/>
        <v>*0.32</v>
      </c>
      <c r="AP110" t="str">
        <f t="shared" si="35"/>
        <v>*0.34</v>
      </c>
      <c r="AQ110" t="str">
        <f t="shared" si="36"/>
        <v>*0.33</v>
      </c>
      <c r="AS110" s="6">
        <f t="shared" si="32"/>
        <v>0.32216216216216215</v>
      </c>
      <c r="AT110" s="6">
        <f>IFERROR(AVERAGEIFS(RdTRABYVals!L$2:L$999,RdTRABYVals!$B$2:$B$999,"="&amp;$C110,RdTRABYVals!$C$2:$C$999,"="&amp;INS!$A110),"")</f>
        <v>0.29999999999999999</v>
      </c>
      <c r="AU110" s="6">
        <f>IFERROR(AVERAGEIFS(RdTRABYVals!M$2:M$999,RdTRABYVals!$B$2:$B$999,"="&amp;$C110,RdTRABYVals!$C$2:$C$999,"="&amp;INS!$A110),"")</f>
        <v>0.32000000000000001</v>
      </c>
      <c r="AV110" s="6">
        <f>IFERROR(AVERAGEIFS(RdTRABYVals!N$2:N$999,RdTRABYVals!$B$2:$B$999,"="&amp;$C110,RdTRABYVals!$C$2:$C$999,"="&amp;INS!$A110),"")</f>
        <v>0.32000000000000001</v>
      </c>
      <c r="AW110" s="6">
        <f>IFERROR(AVERAGEIFS(RdTRABYVals!O$2:O$999,RdTRABYVals!$B$2:$B$999,"="&amp;$C110,RdTRABYVals!$C$2:$C$999,"="&amp;INS!$A110),"")</f>
        <v>0.29999999999999999</v>
      </c>
      <c r="AX110" s="6">
        <f>IFERROR(AVERAGEIFS(RdTRABYVals!P$2:P$999,RdTRABYVals!$B$2:$B$999,"="&amp;$C110,RdTRABYVals!$C$2:$C$999,"="&amp;INS!$A110),"")</f>
        <v>0.28999999999999998</v>
      </c>
      <c r="AY110" s="6">
        <f>IFERROR(AVERAGEIFS(RdTRABYVals!Q$2:Q$999,RdTRABYVals!$B$2:$B$999,"="&amp;$C110,RdTRABYVals!$C$2:$C$999,"="&amp;INS!$A110),"")</f>
        <v>0.29999999999999999</v>
      </c>
      <c r="AZ110" s="6">
        <f>IFERROR(AVERAGEIFS(RdTRABYVals!R$2:R$999,RdTRABYVals!$B$2:$B$999,"="&amp;$C110,RdTRABYVals!$C$2:$C$999,"="&amp;INS!$A110),"")</f>
        <v>0.31</v>
      </c>
      <c r="BA110" s="6">
        <f>IFERROR(AVERAGEIFS(RdTRABYVals!S$2:S$999,RdTRABYVals!$B$2:$B$999,"="&amp;$C110,RdTRABYVals!$C$2:$C$999,"="&amp;INS!$A110),"")</f>
        <v>0.32000000000000001</v>
      </c>
      <c r="BB110" s="6">
        <f>IFERROR(AVERAGEIFS(RdTRABYVals!T$2:T$999,RdTRABYVals!$B$2:$B$999,"="&amp;$C110,RdTRABYVals!$C$2:$C$999,"="&amp;INS!$A110),"")</f>
        <v>0.32000000000000001</v>
      </c>
      <c r="BC110" s="6">
        <f>IFERROR(AVERAGEIFS(RdTRABYVals!U$2:U$999,RdTRABYVals!$B$2:$B$999,"="&amp;$C110,RdTRABYVals!$C$2:$C$999,"="&amp;INS!$A110),"")</f>
        <v>0.34000000000000002</v>
      </c>
      <c r="BD110" s="6">
        <f>IFERROR(AVERAGEIFS(RdTRABYVals!V$2:V$999,RdTRABYVals!$B$2:$B$999,"="&amp;$C110,RdTRABYVals!$C$2:$C$999,"="&amp;INS!$A110),"")</f>
        <v>0.33000000000000002</v>
      </c>
      <c r="BE110" s="6">
        <f>IFERROR(AVERAGEIFS(RdTRABYVals!W$2:W$999,RdTRABYVals!$B$2:$B$999,"="&amp;$C110,RdTRABYVals!$C$2:$C$999,"="&amp;INS!$A110),"")</f>
        <v>0.29999999999999999</v>
      </c>
      <c r="BF110" s="6">
        <f>IFERROR(AVERAGEIFS(RdTRABYVals!X$2:X$999,RdTRABYVals!$B$2:$B$999,"="&amp;$C110,RdTRABYVals!$C$2:$C$999,"="&amp;INS!$A110),"")</f>
        <v>0.38</v>
      </c>
      <c r="BG110" s="6">
        <f>IFERROR(AVERAGEIFS(RdTRABYVals!Y$2:Y$999,RdTRABYVals!$B$2:$B$999,"="&amp;$C110,RdTRABYVals!$C$2:$C$999,"="&amp;INS!$A110),"")</f>
        <v>0.32000000000000001</v>
      </c>
      <c r="BH110" s="6">
        <f>IFERROR(AVERAGEIFS(RdTRABYVals!Z$2:Z$999,RdTRABYVals!$B$2:$B$999,"="&amp;$C110,RdTRABYVals!$C$2:$C$999,"="&amp;INS!$A110),"")</f>
        <v>0.32000000000000001</v>
      </c>
      <c r="BI110" s="6">
        <f>IFERROR(AVERAGEIFS(RdTRABYVals!AA$2:AA$999,RdTRABYVals!$B$2:$B$999,"="&amp;$C110,RdTRABYVals!$C$2:$C$999,"="&amp;INS!$A110),"")</f>
        <v>0.32000000000000001</v>
      </c>
      <c r="BJ110" s="6">
        <f>IFERROR(AVERAGEIFS(RdTRABYVals!AB$2:AB$999,RdTRABYVals!$B$2:$B$999,"="&amp;$C110,RdTRABYVals!$C$2:$C$999,"="&amp;INS!$A110),"")</f>
        <v>0.34999999999999998</v>
      </c>
      <c r="BK110" s="6">
        <f>IFERROR(AVERAGEIFS(RdTRABYVals!AC$2:AC$999,RdTRABYVals!$B$2:$B$999,"="&amp;$C110,RdTRABYVals!$C$2:$C$999,"="&amp;INS!$A110),"")</f>
        <v>0.32000000000000001</v>
      </c>
      <c r="BL110" s="6">
        <f>IFERROR(AVERAGEIFS(RdTRABYVals!AD$2:AD$999,RdTRABYVals!$B$2:$B$999,"="&amp;$C110,RdTRABYVals!$C$2:$C$999,"="&amp;INS!$A110),"")</f>
        <v>0.34000000000000002</v>
      </c>
      <c r="BM110" s="6">
        <f>IFERROR(AVERAGEIFS(RdTRABYVals!AE$2:AE$999,RdTRABYVals!$B$2:$B$999,"="&amp;$C110,RdTRABYVals!$C$2:$C$999,"="&amp;INS!$A110),"")</f>
        <v>0.32000000000000001</v>
      </c>
      <c r="BN110" s="6">
        <f>IFERROR(AVERAGEIFS(RdTRABYVals!AF$2:AF$999,RdTRABYVals!$B$2:$B$999,"="&amp;$C110,RdTRABYVals!$C$2:$C$999,"="&amp;INS!$A110),"")</f>
        <v>0.32000000000000001</v>
      </c>
      <c r="BO110" s="6">
        <f>IFERROR(AVERAGEIFS(RdTRABYVals!AG$2:AG$999,RdTRABYVals!$B$2:$B$999,"="&amp;$C110,RdTRABYVals!$C$2:$C$999,"="&amp;INS!$A110),"")</f>
        <v>0.33000000000000002</v>
      </c>
      <c r="BP110" s="6">
        <f>IFERROR(AVERAGEIFS(RdTRABYVals!AH$2:AH$999,RdTRABYVals!$B$2:$B$999,"="&amp;$C110,RdTRABYVals!$C$2:$C$999,"="&amp;INS!$A110),"")</f>
        <v>0.29999999999999999</v>
      </c>
      <c r="BQ110" s="6">
        <f>IFERROR(AVERAGEIFS(RdTRABYVals!AI$2:AI$999,RdTRABYVals!$B$2:$B$999,"="&amp;$C110,RdTRABYVals!$C$2:$C$999,"="&amp;INS!$A110),"")</f>
        <v>0.32000000000000001</v>
      </c>
      <c r="BR110" s="6">
        <f>IFERROR(AVERAGEIFS(RdTRABYVals!AJ$2:AJ$999,RdTRABYVals!$B$2:$B$999,"="&amp;$C110,RdTRABYVals!$C$2:$C$999,"="&amp;INS!$A110),"")</f>
        <v>0.29999999999999999</v>
      </c>
      <c r="BS110" s="6">
        <f>IFERROR(AVERAGEIFS(RdTRABYVals!AK$2:AK$999,RdTRABYVals!$B$2:$B$999,"="&amp;$C110,RdTRABYVals!$C$2:$C$999,"="&amp;INS!$A110),"")</f>
        <v>0.31</v>
      </c>
      <c r="BT110" s="6">
        <f>IFERROR(AVERAGEIFS(RdTRABYVals!AL$2:AL$999,RdTRABYVals!$B$2:$B$999,"="&amp;$C110,RdTRABYVals!$C$2:$C$999,"="&amp;INS!$A110),"")</f>
        <v>0.34000000000000002</v>
      </c>
      <c r="BU110" s="6">
        <f>IFERROR(AVERAGEIFS(RdTRABYVals!AM$2:AM$999,RdTRABYVals!$B$2:$B$999,"="&amp;$C110,RdTRABYVals!$C$2:$C$999,"="&amp;INS!$A110),"")</f>
        <v>0.28000000000000003</v>
      </c>
      <c r="BV110" s="6">
        <f>IFERROR(AVERAGEIFS(RdTRABYVals!AN$2:AN$999,RdTRABYVals!$B$2:$B$999,"="&amp;$C110,RdTRABYVals!$C$2:$C$999,"="&amp;INS!$A110),"")</f>
        <v>0.33000000000000002</v>
      </c>
      <c r="BW110" s="6">
        <f>IFERROR(AVERAGEIFS(RdTRABYVals!AO$2:AO$999,RdTRABYVals!$B$2:$B$999,"="&amp;$C110,RdTRABYVals!$C$2:$C$999,"="&amp;INS!$A110),"")</f>
        <v>0.34999999999999998</v>
      </c>
      <c r="BX110" s="6">
        <f>IFERROR(AVERAGEIFS(RdTRABYVals!AP$2:AP$999,RdTRABYVals!$B$2:$B$999,"="&amp;$C110,RdTRABYVals!$C$2:$C$999,"="&amp;INS!$A110),"")</f>
        <v>0.38</v>
      </c>
      <c r="BY110" s="6">
        <f>IFERROR(AVERAGEIFS(RdTRABYVals!AQ$2:AQ$999,RdTRABYVals!$B$2:$B$999,"="&amp;$C110,RdTRABYVals!$C$2:$C$999,"="&amp;INS!$A110),"")</f>
        <v>0.28999999999999998</v>
      </c>
      <c r="BZ110" s="6">
        <f>IFERROR(AVERAGEIFS(RdTRABYVals!AR$2:AR$999,RdTRABYVals!$B$2:$B$999,"="&amp;$C110,RdTRABYVals!$C$2:$C$999,"="&amp;INS!$A110),"")</f>
        <v>0.32000000000000001</v>
      </c>
      <c r="CA110" s="6">
        <f>IFERROR(AVERAGEIFS(RdTRABYVals!AS$2:AS$999,RdTRABYVals!$B$2:$B$999,"="&amp;$C110,RdTRABYVals!$C$2:$C$999,"="&amp;INS!$A110),"")</f>
        <v>0.34000000000000002</v>
      </c>
      <c r="CB110" s="6">
        <f>IFERROR(AVERAGEIFS(RdTRABYVals!AT$2:AT$999,RdTRABYVals!$B$2:$B$999,"="&amp;$C110,RdTRABYVals!$C$2:$C$999,"="&amp;INS!$A110),"")</f>
        <v>0.32000000000000001</v>
      </c>
      <c r="CC110" s="6">
        <f>IFERROR(AVERAGEIFS(RdTRABYVals!AU$2:AU$999,RdTRABYVals!$B$2:$B$999,"="&amp;$C110,RdTRABYVals!$C$2:$C$999,"="&amp;INS!$A110),"")</f>
        <v>0.34000000000000002</v>
      </c>
      <c r="CD110" s="6">
        <f>IFERROR(AVERAGEIFS(RdTRABYVals!AV$2:AV$999,RdTRABYVals!$B$2:$B$999,"="&amp;$C110,RdTRABYVals!$C$2:$C$999,"="&amp;INS!$A110),"")</f>
        <v>0.33000000000000002</v>
      </c>
    </row>
    <row r="111" spans="1:82" ht="14.4">
      <c r="A111" s="3" t="s">
        <v>120</v>
      </c>
      <c r="C111" s="1" t="s">
        <v>29</v>
      </c>
      <c r="D111" t="str">
        <f t="shared" si="30"/>
        <v>TRA_Car_Dis_Lom*</v>
      </c>
      <c r="F111" t="str">
        <f t="shared" si="31"/>
        <v>*0.527027027027027</v>
      </c>
      <c r="G111" t="str">
        <f t="shared" si="37"/>
        <v>*0.48</v>
      </c>
      <c r="H111" t="str">
        <f t="shared" si="38"/>
        <v>*0.52</v>
      </c>
      <c r="I111" t="str">
        <f t="shared" si="39"/>
        <v>*0.53</v>
      </c>
      <c r="J111" t="str">
        <f t="shared" si="40"/>
        <v>*0.52</v>
      </c>
      <c r="K111" t="str">
        <f t="shared" si="41"/>
        <v>*0.51</v>
      </c>
      <c r="L111" t="str">
        <f t="shared" si="42"/>
        <v>*0.51</v>
      </c>
      <c r="M111" t="str">
        <f t="shared" si="43"/>
        <v>*0.49</v>
      </c>
      <c r="N111" t="str">
        <f t="shared" si="44"/>
        <v>*0.53</v>
      </c>
      <c r="O111" t="str">
        <f t="shared" si="45"/>
        <v>*0.52</v>
      </c>
      <c r="P111" t="str">
        <f t="shared" si="46"/>
        <v>*0.58</v>
      </c>
      <c r="Q111" t="str">
        <f t="shared" si="47"/>
        <v>*0.54</v>
      </c>
      <c r="R111" t="str">
        <f t="shared" si="48"/>
        <v>*0.48</v>
      </c>
      <c r="S111" t="str">
        <f t="shared" si="49"/>
        <v>*0.52</v>
      </c>
      <c r="T111" t="str">
        <f t="shared" si="50"/>
        <v>*0.52</v>
      </c>
      <c r="U111" t="str">
        <f t="shared" si="51"/>
        <v>*0.53</v>
      </c>
      <c r="V111" t="str">
        <f t="shared" si="52"/>
        <v>*0.53</v>
      </c>
      <c r="W111" t="str">
        <f t="shared" si="53"/>
        <v>*0.56</v>
      </c>
      <c r="X111" t="str">
        <f t="shared" si="54"/>
        <v>*0.56</v>
      </c>
      <c r="Y111" t="str">
        <f t="shared" si="55"/>
        <v>*0.55</v>
      </c>
      <c r="Z111" t="str">
        <f t="shared" si="56"/>
        <v>*0.55</v>
      </c>
      <c r="AA111" t="str">
        <f t="shared" si="57"/>
        <v>*0.53</v>
      </c>
      <c r="AB111" t="str">
        <f t="shared" si="58"/>
        <v>*0.51</v>
      </c>
      <c r="AC111" t="str">
        <f t="shared" si="59"/>
        <v>*0.52</v>
      </c>
      <c r="AD111" t="str">
        <f t="shared" si="60"/>
        <v>*0.54</v>
      </c>
      <c r="AE111" t="str">
        <f t="shared" si="61"/>
        <v>*0.48</v>
      </c>
      <c r="AF111" t="str">
        <f t="shared" si="62"/>
        <v>*0.52</v>
      </c>
      <c r="AG111" t="str">
        <f t="shared" si="63"/>
        <v>*0.54</v>
      </c>
      <c r="AH111" t="str">
        <f t="shared" si="64"/>
        <v>*0.51</v>
      </c>
      <c r="AI111" t="str">
        <f t="shared" si="65"/>
        <v>*0.52</v>
      </c>
      <c r="AJ111" t="str">
        <f t="shared" si="66"/>
        <v>*0.53</v>
      </c>
      <c r="AK111" t="str">
        <f t="shared" si="67"/>
        <v>*0.52</v>
      </c>
      <c r="AL111" t="str">
        <f t="shared" si="68"/>
        <v>*0.49</v>
      </c>
      <c r="AM111" t="str">
        <f t="shared" si="69"/>
        <v>*0.53</v>
      </c>
      <c r="AN111" t="str">
        <f t="shared" si="33"/>
        <v>*0.54</v>
      </c>
      <c r="AO111" t="str">
        <f t="shared" si="34"/>
        <v>*0.53</v>
      </c>
      <c r="AP111" t="str">
        <f t="shared" si="35"/>
        <v>*0.57</v>
      </c>
      <c r="AQ111" t="str">
        <f t="shared" si="36"/>
        <v>*0.59</v>
      </c>
      <c r="AS111" s="6">
        <f t="shared" si="32"/>
        <v>0.52702702702702708</v>
      </c>
      <c r="AT111" s="6">
        <f>IFERROR(AVERAGEIFS(RdTRABYVals!L$2:L$999,RdTRABYVals!$B$2:$B$999,"="&amp;$C111,RdTRABYVals!$C$2:$C$999,"="&amp;INS!$A111),"")</f>
        <v>0.47999999999999998</v>
      </c>
      <c r="AU111" s="6">
        <f>IFERROR(AVERAGEIFS(RdTRABYVals!M$2:M$999,RdTRABYVals!$B$2:$B$999,"="&amp;$C111,RdTRABYVals!$C$2:$C$999,"="&amp;INS!$A111),"")</f>
        <v>0.52000000000000002</v>
      </c>
      <c r="AV111" s="6">
        <f>IFERROR(AVERAGEIFS(RdTRABYVals!N$2:N$999,RdTRABYVals!$B$2:$B$999,"="&amp;$C111,RdTRABYVals!$C$2:$C$999,"="&amp;INS!$A111),"")</f>
        <v>0.53000000000000003</v>
      </c>
      <c r="AW111" s="6">
        <f>IFERROR(AVERAGEIFS(RdTRABYVals!O$2:O$999,RdTRABYVals!$B$2:$B$999,"="&amp;$C111,RdTRABYVals!$C$2:$C$999,"="&amp;INS!$A111),"")</f>
        <v>0.52000000000000002</v>
      </c>
      <c r="AX111" s="6">
        <f>IFERROR(AVERAGEIFS(RdTRABYVals!P$2:P$999,RdTRABYVals!$B$2:$B$999,"="&amp;$C111,RdTRABYVals!$C$2:$C$999,"="&amp;INS!$A111),"")</f>
        <v>0.51000000000000001</v>
      </c>
      <c r="AY111" s="6">
        <f>IFERROR(AVERAGEIFS(RdTRABYVals!Q$2:Q$999,RdTRABYVals!$B$2:$B$999,"="&amp;$C111,RdTRABYVals!$C$2:$C$999,"="&amp;INS!$A111),"")</f>
        <v>0.51000000000000001</v>
      </c>
      <c r="AZ111" s="6">
        <f>IFERROR(AVERAGEIFS(RdTRABYVals!R$2:R$999,RdTRABYVals!$B$2:$B$999,"="&amp;$C111,RdTRABYVals!$C$2:$C$999,"="&amp;INS!$A111),"")</f>
        <v>0.48999999999999999</v>
      </c>
      <c r="BA111" s="6">
        <f>IFERROR(AVERAGEIFS(RdTRABYVals!S$2:S$999,RdTRABYVals!$B$2:$B$999,"="&amp;$C111,RdTRABYVals!$C$2:$C$999,"="&amp;INS!$A111),"")</f>
        <v>0.53000000000000003</v>
      </c>
      <c r="BB111" s="6">
        <f>IFERROR(AVERAGEIFS(RdTRABYVals!T$2:T$999,RdTRABYVals!$B$2:$B$999,"="&amp;$C111,RdTRABYVals!$C$2:$C$999,"="&amp;INS!$A111),"")</f>
        <v>0.52000000000000002</v>
      </c>
      <c r="BC111" s="6">
        <f>IFERROR(AVERAGEIFS(RdTRABYVals!U$2:U$999,RdTRABYVals!$B$2:$B$999,"="&amp;$C111,RdTRABYVals!$C$2:$C$999,"="&amp;INS!$A111),"")</f>
        <v>0.57999999999999996</v>
      </c>
      <c r="BD111" s="6">
        <f>IFERROR(AVERAGEIFS(RdTRABYVals!V$2:V$999,RdTRABYVals!$B$2:$B$999,"="&amp;$C111,RdTRABYVals!$C$2:$C$999,"="&amp;INS!$A111),"")</f>
        <v>0.54000000000000004</v>
      </c>
      <c r="BE111" s="6">
        <f>IFERROR(AVERAGEIFS(RdTRABYVals!W$2:W$999,RdTRABYVals!$B$2:$B$999,"="&amp;$C111,RdTRABYVals!$C$2:$C$999,"="&amp;INS!$A111),"")</f>
        <v>0.47999999999999998</v>
      </c>
      <c r="BF111" s="6">
        <f>IFERROR(AVERAGEIFS(RdTRABYVals!X$2:X$999,RdTRABYVals!$B$2:$B$999,"="&amp;$C111,RdTRABYVals!$C$2:$C$999,"="&amp;INS!$A111),"")</f>
        <v>0.52000000000000002</v>
      </c>
      <c r="BG111" s="6">
        <f>IFERROR(AVERAGEIFS(RdTRABYVals!Y$2:Y$999,RdTRABYVals!$B$2:$B$999,"="&amp;$C111,RdTRABYVals!$C$2:$C$999,"="&amp;INS!$A111),"")</f>
        <v>0.52000000000000002</v>
      </c>
      <c r="BH111" s="6">
        <f>IFERROR(AVERAGEIFS(RdTRABYVals!Z$2:Z$999,RdTRABYVals!$B$2:$B$999,"="&amp;$C111,RdTRABYVals!$C$2:$C$999,"="&amp;INS!$A111),"")</f>
        <v>0.53000000000000003</v>
      </c>
      <c r="BI111" s="6">
        <f>IFERROR(AVERAGEIFS(RdTRABYVals!AA$2:AA$999,RdTRABYVals!$B$2:$B$999,"="&amp;$C111,RdTRABYVals!$C$2:$C$999,"="&amp;INS!$A111),"")</f>
        <v>0.53000000000000003</v>
      </c>
      <c r="BJ111" s="6">
        <f>IFERROR(AVERAGEIFS(RdTRABYVals!AB$2:AB$999,RdTRABYVals!$B$2:$B$999,"="&amp;$C111,RdTRABYVals!$C$2:$C$999,"="&amp;INS!$A111),"")</f>
        <v>0.56000000000000005</v>
      </c>
      <c r="BK111" s="6">
        <f>IFERROR(AVERAGEIFS(RdTRABYVals!AC$2:AC$999,RdTRABYVals!$B$2:$B$999,"="&amp;$C111,RdTRABYVals!$C$2:$C$999,"="&amp;INS!$A111),"")</f>
        <v>0.56000000000000005</v>
      </c>
      <c r="BL111" s="6">
        <f>IFERROR(AVERAGEIFS(RdTRABYVals!AD$2:AD$999,RdTRABYVals!$B$2:$B$999,"="&amp;$C111,RdTRABYVals!$C$2:$C$999,"="&amp;INS!$A111),"")</f>
        <v>0.55000000000000004</v>
      </c>
      <c r="BM111" s="6">
        <f>IFERROR(AVERAGEIFS(RdTRABYVals!AE$2:AE$999,RdTRABYVals!$B$2:$B$999,"="&amp;$C111,RdTRABYVals!$C$2:$C$999,"="&amp;INS!$A111),"")</f>
        <v>0.55000000000000004</v>
      </c>
      <c r="BN111" s="6">
        <f>IFERROR(AVERAGEIFS(RdTRABYVals!AF$2:AF$999,RdTRABYVals!$B$2:$B$999,"="&amp;$C111,RdTRABYVals!$C$2:$C$999,"="&amp;INS!$A111),"")</f>
        <v>0.53000000000000003</v>
      </c>
      <c r="BO111" s="6">
        <f>IFERROR(AVERAGEIFS(RdTRABYVals!AG$2:AG$999,RdTRABYVals!$B$2:$B$999,"="&amp;$C111,RdTRABYVals!$C$2:$C$999,"="&amp;INS!$A111),"")</f>
        <v>0.51000000000000001</v>
      </c>
      <c r="BP111" s="6">
        <f>IFERROR(AVERAGEIFS(RdTRABYVals!AH$2:AH$999,RdTRABYVals!$B$2:$B$999,"="&amp;$C111,RdTRABYVals!$C$2:$C$999,"="&amp;INS!$A111),"")</f>
        <v>0.52000000000000002</v>
      </c>
      <c r="BQ111" s="6">
        <f>IFERROR(AVERAGEIFS(RdTRABYVals!AI$2:AI$999,RdTRABYVals!$B$2:$B$999,"="&amp;$C111,RdTRABYVals!$C$2:$C$999,"="&amp;INS!$A111),"")</f>
        <v>0.54000000000000004</v>
      </c>
      <c r="BR111" s="6">
        <f>IFERROR(AVERAGEIFS(RdTRABYVals!AJ$2:AJ$999,RdTRABYVals!$B$2:$B$999,"="&amp;$C111,RdTRABYVals!$C$2:$C$999,"="&amp;INS!$A111),"")</f>
        <v>0.47999999999999998</v>
      </c>
      <c r="BS111" s="6">
        <f>IFERROR(AVERAGEIFS(RdTRABYVals!AK$2:AK$999,RdTRABYVals!$B$2:$B$999,"="&amp;$C111,RdTRABYVals!$C$2:$C$999,"="&amp;INS!$A111),"")</f>
        <v>0.52000000000000002</v>
      </c>
      <c r="BT111" s="6">
        <f>IFERROR(AVERAGEIFS(RdTRABYVals!AL$2:AL$999,RdTRABYVals!$B$2:$B$999,"="&amp;$C111,RdTRABYVals!$C$2:$C$999,"="&amp;INS!$A111),"")</f>
        <v>0.54000000000000004</v>
      </c>
      <c r="BU111" s="6">
        <f>IFERROR(AVERAGEIFS(RdTRABYVals!AM$2:AM$999,RdTRABYVals!$B$2:$B$999,"="&amp;$C111,RdTRABYVals!$C$2:$C$999,"="&amp;INS!$A111),"")</f>
        <v>0.51000000000000001</v>
      </c>
      <c r="BV111" s="6">
        <f>IFERROR(AVERAGEIFS(RdTRABYVals!AN$2:AN$999,RdTRABYVals!$B$2:$B$999,"="&amp;$C111,RdTRABYVals!$C$2:$C$999,"="&amp;INS!$A111),"")</f>
        <v>0.52000000000000002</v>
      </c>
      <c r="BW111" s="6">
        <f>IFERROR(AVERAGEIFS(RdTRABYVals!AO$2:AO$999,RdTRABYVals!$B$2:$B$999,"="&amp;$C111,RdTRABYVals!$C$2:$C$999,"="&amp;INS!$A111),"")</f>
        <v>0.53000000000000003</v>
      </c>
      <c r="BX111" s="6">
        <f>IFERROR(AVERAGEIFS(RdTRABYVals!AP$2:AP$999,RdTRABYVals!$B$2:$B$999,"="&amp;$C111,RdTRABYVals!$C$2:$C$999,"="&amp;INS!$A111),"")</f>
        <v>0.52000000000000002</v>
      </c>
      <c r="BY111" s="6">
        <f>IFERROR(AVERAGEIFS(RdTRABYVals!AQ$2:AQ$999,RdTRABYVals!$B$2:$B$999,"="&amp;$C111,RdTRABYVals!$C$2:$C$999,"="&amp;INS!$A111),"")</f>
        <v>0.48999999999999999</v>
      </c>
      <c r="BZ111" s="6">
        <f>IFERROR(AVERAGEIFS(RdTRABYVals!AR$2:AR$999,RdTRABYVals!$B$2:$B$999,"="&amp;$C111,RdTRABYVals!$C$2:$C$999,"="&amp;INS!$A111),"")</f>
        <v>0.53000000000000003</v>
      </c>
      <c r="CA111" s="6">
        <f>IFERROR(AVERAGEIFS(RdTRABYVals!AS$2:AS$999,RdTRABYVals!$B$2:$B$999,"="&amp;$C111,RdTRABYVals!$C$2:$C$999,"="&amp;INS!$A111),"")</f>
        <v>0.54000000000000004</v>
      </c>
      <c r="CB111" s="6">
        <f>IFERROR(AVERAGEIFS(RdTRABYVals!AT$2:AT$999,RdTRABYVals!$B$2:$B$999,"="&amp;$C111,RdTRABYVals!$C$2:$C$999,"="&amp;INS!$A111),"")</f>
        <v>0.53000000000000003</v>
      </c>
      <c r="CC111" s="6">
        <f>IFERROR(AVERAGEIFS(RdTRABYVals!AU$2:AU$999,RdTRABYVals!$B$2:$B$999,"="&amp;$C111,RdTRABYVals!$C$2:$C$999,"="&amp;INS!$A111),"")</f>
        <v>0.56999999999999995</v>
      </c>
      <c r="CD111" s="6">
        <f>IFERROR(AVERAGEIFS(RdTRABYVals!AV$2:AV$999,RdTRABYVals!$B$2:$B$999,"="&amp;$C111,RdTRABYVals!$C$2:$C$999,"="&amp;INS!$A111),"")</f>
        <v>0.58999999999999997</v>
      </c>
    </row>
    <row r="112" spans="1:82" ht="14.4">
      <c r="A112" s="3" t="s">
        <v>121</v>
      </c>
      <c r="C112" s="1" t="s">
        <v>29</v>
      </c>
      <c r="D112" t="str">
        <f t="shared" si="30"/>
        <v>TRA_Car_Dis_Sma*</v>
      </c>
      <c r="F112" t="str">
        <f t="shared" si="31"/>
        <v>*0.646486486486487</v>
      </c>
      <c r="G112" t="str">
        <f t="shared" si="37"/>
        <v>*0.57</v>
      </c>
      <c r="H112" t="str">
        <f t="shared" si="38"/>
        <v>*0.64</v>
      </c>
      <c r="I112" t="str">
        <f t="shared" si="39"/>
        <v>*0.66</v>
      </c>
      <c r="J112" t="str">
        <f t="shared" si="40"/>
        <v>*0.63</v>
      </c>
      <c r="K112" t="str">
        <f t="shared" si="41"/>
        <v>*0.58</v>
      </c>
      <c r="L112" t="str">
        <f t="shared" si="42"/>
        <v>*0.64</v>
      </c>
      <c r="M112" t="str">
        <f t="shared" si="43"/>
        <v>*0.56</v>
      </c>
      <c r="N112" t="str">
        <f t="shared" si="44"/>
        <v>*0.65</v>
      </c>
      <c r="O112" t="str">
        <f t="shared" si="45"/>
        <v>*0.64</v>
      </c>
      <c r="P112" t="str">
        <f t="shared" si="46"/>
        <v>*0.72</v>
      </c>
      <c r="Q112" t="str">
        <f t="shared" si="47"/>
        <v>*0.68</v>
      </c>
      <c r="R112" t="str">
        <f t="shared" si="48"/>
        <v>*0.57</v>
      </c>
      <c r="S112" t="str">
        <f t="shared" si="49"/>
        <v>*0.65</v>
      </c>
      <c r="T112" t="str">
        <f t="shared" si="50"/>
        <v>*0.62</v>
      </c>
      <c r="U112" t="str">
        <f t="shared" si="51"/>
        <v>*0.64</v>
      </c>
      <c r="V112" t="str">
        <f t="shared" si="52"/>
        <v>*0.66</v>
      </c>
      <c r="W112" t="str">
        <f t="shared" si="53"/>
        <v>*0.7</v>
      </c>
      <c r="X112" t="str">
        <f t="shared" si="54"/>
        <v>*0.68</v>
      </c>
      <c r="Y112" t="str">
        <f t="shared" si="55"/>
        <v>*0.71</v>
      </c>
      <c r="Z112" t="str">
        <f t="shared" si="56"/>
        <v>*0.67</v>
      </c>
      <c r="AA112" t="str">
        <f t="shared" si="57"/>
        <v>*0.66</v>
      </c>
      <c r="AB112" t="str">
        <f t="shared" si="58"/>
        <v>*0.64</v>
      </c>
      <c r="AC112" t="str">
        <f t="shared" si="59"/>
        <v>*0.63</v>
      </c>
      <c r="AD112" t="str">
        <f t="shared" si="60"/>
        <v>*0.67</v>
      </c>
      <c r="AE112" t="str">
        <f t="shared" si="61"/>
        <v>*0.57</v>
      </c>
      <c r="AF112" t="str">
        <f t="shared" si="62"/>
        <v>*0.67</v>
      </c>
      <c r="AG112" t="str">
        <f t="shared" si="63"/>
        <v>*0.67</v>
      </c>
      <c r="AH112" t="str">
        <f t="shared" si="64"/>
        <v>*0.62</v>
      </c>
      <c r="AI112" t="str">
        <f t="shared" si="65"/>
        <v>*0.63</v>
      </c>
      <c r="AJ112" t="str">
        <f t="shared" si="66"/>
        <v>*0.66</v>
      </c>
      <c r="AK112" t="str">
        <f t="shared" si="67"/>
        <v>*0.64</v>
      </c>
      <c r="AL112" t="str">
        <f t="shared" si="68"/>
        <v>*0.57</v>
      </c>
      <c r="AM112" t="str">
        <f t="shared" si="69"/>
        <v>*0.66</v>
      </c>
      <c r="AN112" t="str">
        <f t="shared" si="33"/>
        <v>*0.66</v>
      </c>
      <c r="AO112" t="str">
        <f t="shared" si="34"/>
        <v>*0.66</v>
      </c>
      <c r="AP112" t="str">
        <f t="shared" si="35"/>
        <v>*0.7</v>
      </c>
      <c r="AQ112" t="str">
        <f t="shared" si="36"/>
        <v>*0.74</v>
      </c>
      <c r="AS112" s="6">
        <f t="shared" si="32"/>
        <v>0.64648648648648654</v>
      </c>
      <c r="AT112" s="6">
        <f>IFERROR(AVERAGEIFS(RdTRABYVals!L$2:L$999,RdTRABYVals!$B$2:$B$999,"="&amp;$C112,RdTRABYVals!$C$2:$C$999,"="&amp;INS!$A112),"")</f>
        <v>0.56999999999999995</v>
      </c>
      <c r="AU112" s="6">
        <f>IFERROR(AVERAGEIFS(RdTRABYVals!M$2:M$999,RdTRABYVals!$B$2:$B$999,"="&amp;$C112,RdTRABYVals!$C$2:$C$999,"="&amp;INS!$A112),"")</f>
        <v>0.64000000000000001</v>
      </c>
      <c r="AV112" s="6">
        <f>IFERROR(AVERAGEIFS(RdTRABYVals!N$2:N$999,RdTRABYVals!$B$2:$B$999,"="&amp;$C112,RdTRABYVals!$C$2:$C$999,"="&amp;INS!$A112),"")</f>
        <v>0.66000000000000003</v>
      </c>
      <c r="AW112" s="6">
        <f>IFERROR(AVERAGEIFS(RdTRABYVals!O$2:O$999,RdTRABYVals!$B$2:$B$999,"="&amp;$C112,RdTRABYVals!$C$2:$C$999,"="&amp;INS!$A112),"")</f>
        <v>0.63</v>
      </c>
      <c r="AX112" s="6">
        <f>IFERROR(AVERAGEIFS(RdTRABYVals!P$2:P$999,RdTRABYVals!$B$2:$B$999,"="&amp;$C112,RdTRABYVals!$C$2:$C$999,"="&amp;INS!$A112),"")</f>
        <v>0.57999999999999996</v>
      </c>
      <c r="AY112" s="6">
        <f>IFERROR(AVERAGEIFS(RdTRABYVals!Q$2:Q$999,RdTRABYVals!$B$2:$B$999,"="&amp;$C112,RdTRABYVals!$C$2:$C$999,"="&amp;INS!$A112),"")</f>
        <v>0.64000000000000001</v>
      </c>
      <c r="AZ112" s="6">
        <f>IFERROR(AVERAGEIFS(RdTRABYVals!R$2:R$999,RdTRABYVals!$B$2:$B$999,"="&amp;$C112,RdTRABYVals!$C$2:$C$999,"="&amp;INS!$A112),"")</f>
        <v>0.56000000000000005</v>
      </c>
      <c r="BA112" s="6">
        <f>IFERROR(AVERAGEIFS(RdTRABYVals!S$2:S$999,RdTRABYVals!$B$2:$B$999,"="&amp;$C112,RdTRABYVals!$C$2:$C$999,"="&amp;INS!$A112),"")</f>
        <v>0.65000000000000002</v>
      </c>
      <c r="BB112" s="6">
        <f>IFERROR(AVERAGEIFS(RdTRABYVals!T$2:T$999,RdTRABYVals!$B$2:$B$999,"="&amp;$C112,RdTRABYVals!$C$2:$C$999,"="&amp;INS!$A112),"")</f>
        <v>0.64000000000000001</v>
      </c>
      <c r="BC112" s="6">
        <f>IFERROR(AVERAGEIFS(RdTRABYVals!U$2:U$999,RdTRABYVals!$B$2:$B$999,"="&amp;$C112,RdTRABYVals!$C$2:$C$999,"="&amp;INS!$A112),"")</f>
        <v>0.71999999999999997</v>
      </c>
      <c r="BD112" s="6">
        <f>IFERROR(AVERAGEIFS(RdTRABYVals!V$2:V$999,RdTRABYVals!$B$2:$B$999,"="&amp;$C112,RdTRABYVals!$C$2:$C$999,"="&amp;INS!$A112),"")</f>
        <v>0.68000000000000005</v>
      </c>
      <c r="BE112" s="6">
        <f>IFERROR(AVERAGEIFS(RdTRABYVals!W$2:W$999,RdTRABYVals!$B$2:$B$999,"="&amp;$C112,RdTRABYVals!$C$2:$C$999,"="&amp;INS!$A112),"")</f>
        <v>0.56999999999999995</v>
      </c>
      <c r="BF112" s="6">
        <f>IFERROR(AVERAGEIFS(RdTRABYVals!X$2:X$999,RdTRABYVals!$B$2:$B$999,"="&amp;$C112,RdTRABYVals!$C$2:$C$999,"="&amp;INS!$A112),"")</f>
        <v>0.65000000000000002</v>
      </c>
      <c r="BG112" s="6">
        <f>IFERROR(AVERAGEIFS(RdTRABYVals!Y$2:Y$999,RdTRABYVals!$B$2:$B$999,"="&amp;$C112,RdTRABYVals!$C$2:$C$999,"="&amp;INS!$A112),"")</f>
        <v>0.62</v>
      </c>
      <c r="BH112" s="6">
        <f>IFERROR(AVERAGEIFS(RdTRABYVals!Z$2:Z$999,RdTRABYVals!$B$2:$B$999,"="&amp;$C112,RdTRABYVals!$C$2:$C$999,"="&amp;INS!$A112),"")</f>
        <v>0.64000000000000001</v>
      </c>
      <c r="BI112" s="6">
        <f>IFERROR(AVERAGEIFS(RdTRABYVals!AA$2:AA$999,RdTRABYVals!$B$2:$B$999,"="&amp;$C112,RdTRABYVals!$C$2:$C$999,"="&amp;INS!$A112),"")</f>
        <v>0.66000000000000003</v>
      </c>
      <c r="BJ112" s="6">
        <f>IFERROR(AVERAGEIFS(RdTRABYVals!AB$2:AB$999,RdTRABYVals!$B$2:$B$999,"="&amp;$C112,RdTRABYVals!$C$2:$C$999,"="&amp;INS!$A112),"")</f>
        <v>0.69999999999999996</v>
      </c>
      <c r="BK112" s="6">
        <f>IFERROR(AVERAGEIFS(RdTRABYVals!AC$2:AC$999,RdTRABYVals!$B$2:$B$999,"="&amp;$C112,RdTRABYVals!$C$2:$C$999,"="&amp;INS!$A112),"")</f>
        <v>0.68000000000000005</v>
      </c>
      <c r="BL112" s="6">
        <f>IFERROR(AVERAGEIFS(RdTRABYVals!AD$2:AD$999,RdTRABYVals!$B$2:$B$999,"="&amp;$C112,RdTRABYVals!$C$2:$C$999,"="&amp;INS!$A112),"")</f>
        <v>0.70999999999999996</v>
      </c>
      <c r="BM112" s="6">
        <f>IFERROR(AVERAGEIFS(RdTRABYVals!AE$2:AE$999,RdTRABYVals!$B$2:$B$999,"="&amp;$C112,RdTRABYVals!$C$2:$C$999,"="&amp;INS!$A112),"")</f>
        <v>0.67000000000000004</v>
      </c>
      <c r="BN112" s="6">
        <f>IFERROR(AVERAGEIFS(RdTRABYVals!AF$2:AF$999,RdTRABYVals!$B$2:$B$999,"="&amp;$C112,RdTRABYVals!$C$2:$C$999,"="&amp;INS!$A112),"")</f>
        <v>0.66000000000000003</v>
      </c>
      <c r="BO112" s="6">
        <f>IFERROR(AVERAGEIFS(RdTRABYVals!AG$2:AG$999,RdTRABYVals!$B$2:$B$999,"="&amp;$C112,RdTRABYVals!$C$2:$C$999,"="&amp;INS!$A112),"")</f>
        <v>0.64000000000000001</v>
      </c>
      <c r="BP112" s="6">
        <f>IFERROR(AVERAGEIFS(RdTRABYVals!AH$2:AH$999,RdTRABYVals!$B$2:$B$999,"="&amp;$C112,RdTRABYVals!$C$2:$C$999,"="&amp;INS!$A112),"")</f>
        <v>0.63</v>
      </c>
      <c r="BQ112" s="6">
        <f>IFERROR(AVERAGEIFS(RdTRABYVals!AI$2:AI$999,RdTRABYVals!$B$2:$B$999,"="&amp;$C112,RdTRABYVals!$C$2:$C$999,"="&amp;INS!$A112),"")</f>
        <v>0.67000000000000004</v>
      </c>
      <c r="BR112" s="6">
        <f>IFERROR(AVERAGEIFS(RdTRABYVals!AJ$2:AJ$999,RdTRABYVals!$B$2:$B$999,"="&amp;$C112,RdTRABYVals!$C$2:$C$999,"="&amp;INS!$A112),"")</f>
        <v>0.56999999999999995</v>
      </c>
      <c r="BS112" s="6">
        <f>IFERROR(AVERAGEIFS(RdTRABYVals!AK$2:AK$999,RdTRABYVals!$B$2:$B$999,"="&amp;$C112,RdTRABYVals!$C$2:$C$999,"="&amp;INS!$A112),"")</f>
        <v>0.67000000000000004</v>
      </c>
      <c r="BT112" s="6">
        <f>IFERROR(AVERAGEIFS(RdTRABYVals!AL$2:AL$999,RdTRABYVals!$B$2:$B$999,"="&amp;$C112,RdTRABYVals!$C$2:$C$999,"="&amp;INS!$A112),"")</f>
        <v>0.67000000000000004</v>
      </c>
      <c r="BU112" s="6">
        <f>IFERROR(AVERAGEIFS(RdTRABYVals!AM$2:AM$999,RdTRABYVals!$B$2:$B$999,"="&amp;$C112,RdTRABYVals!$C$2:$C$999,"="&amp;INS!$A112),"")</f>
        <v>0.62</v>
      </c>
      <c r="BV112" s="6">
        <f>IFERROR(AVERAGEIFS(RdTRABYVals!AN$2:AN$999,RdTRABYVals!$B$2:$B$999,"="&amp;$C112,RdTRABYVals!$C$2:$C$999,"="&amp;INS!$A112),"")</f>
        <v>0.63</v>
      </c>
      <c r="BW112" s="6">
        <f>IFERROR(AVERAGEIFS(RdTRABYVals!AO$2:AO$999,RdTRABYVals!$B$2:$B$999,"="&amp;$C112,RdTRABYVals!$C$2:$C$999,"="&amp;INS!$A112),"")</f>
        <v>0.66000000000000003</v>
      </c>
      <c r="BX112" s="6">
        <f>IFERROR(AVERAGEIFS(RdTRABYVals!AP$2:AP$999,RdTRABYVals!$B$2:$B$999,"="&amp;$C112,RdTRABYVals!$C$2:$C$999,"="&amp;INS!$A112),"")</f>
        <v>0.64000000000000001</v>
      </c>
      <c r="BY112" s="6">
        <f>IFERROR(AVERAGEIFS(RdTRABYVals!AQ$2:AQ$999,RdTRABYVals!$B$2:$B$999,"="&amp;$C112,RdTRABYVals!$C$2:$C$999,"="&amp;INS!$A112),"")</f>
        <v>0.56999999999999995</v>
      </c>
      <c r="BZ112" s="6">
        <f>IFERROR(AVERAGEIFS(RdTRABYVals!AR$2:AR$999,RdTRABYVals!$B$2:$B$999,"="&amp;$C112,RdTRABYVals!$C$2:$C$999,"="&amp;INS!$A112),"")</f>
        <v>0.66000000000000003</v>
      </c>
      <c r="CA112" s="6">
        <f>IFERROR(AVERAGEIFS(RdTRABYVals!AS$2:AS$999,RdTRABYVals!$B$2:$B$999,"="&amp;$C112,RdTRABYVals!$C$2:$C$999,"="&amp;INS!$A112),"")</f>
        <v>0.66000000000000003</v>
      </c>
      <c r="CB112" s="6">
        <f>IFERROR(AVERAGEIFS(RdTRABYVals!AT$2:AT$999,RdTRABYVals!$B$2:$B$999,"="&amp;$C112,RdTRABYVals!$C$2:$C$999,"="&amp;INS!$A112),"")</f>
        <v>0.66000000000000003</v>
      </c>
      <c r="CC112" s="6">
        <f>IFERROR(AVERAGEIFS(RdTRABYVals!AU$2:AU$999,RdTRABYVals!$B$2:$B$999,"="&amp;$C112,RdTRABYVals!$C$2:$C$999,"="&amp;INS!$A112),"")</f>
        <v>0.69999999999999996</v>
      </c>
      <c r="CD112" s="6">
        <f>IFERROR(AVERAGEIFS(RdTRABYVals!AV$2:AV$999,RdTRABYVals!$B$2:$B$999,"="&amp;$C112,RdTRABYVals!$C$2:$C$999,"="&amp;INS!$A112),"")</f>
        <v>0.73999999999999999</v>
      </c>
    </row>
    <row r="113" spans="1:82" ht="14.4">
      <c r="A113" s="3" t="s">
        <v>122</v>
      </c>
      <c r="C113" s="1" t="s">
        <v>29</v>
      </c>
      <c r="D113" t="str">
        <f t="shared" si="30"/>
        <v>TRA_Car_Dis_Upm*</v>
      </c>
      <c r="F113" t="str">
        <f t="shared" si="31"/>
        <v>*0.412162162162162</v>
      </c>
      <c r="G113" t="str">
        <f t="shared" si="37"/>
        <v>*0.38</v>
      </c>
      <c r="H113" t="str">
        <f t="shared" si="38"/>
        <v>*0.4</v>
      </c>
      <c r="I113" t="str">
        <f t="shared" si="39"/>
        <v>*0.41</v>
      </c>
      <c r="J113" t="str">
        <f t="shared" si="40"/>
        <v>*0.4</v>
      </c>
      <c r="K113" t="str">
        <f t="shared" si="41"/>
        <v>*0.39</v>
      </c>
      <c r="L113" t="str">
        <f t="shared" si="42"/>
        <v>*0.39</v>
      </c>
      <c r="M113" t="str">
        <f t="shared" si="43"/>
        <v>*0.4</v>
      </c>
      <c r="N113" t="str">
        <f t="shared" si="44"/>
        <v>*0.41</v>
      </c>
      <c r="O113" t="str">
        <f t="shared" si="45"/>
        <v>*0.4</v>
      </c>
      <c r="P113" t="str">
        <f t="shared" si="46"/>
        <v>*0.45</v>
      </c>
      <c r="Q113" t="str">
        <f t="shared" si="47"/>
        <v>*0.42</v>
      </c>
      <c r="R113" t="str">
        <f t="shared" si="48"/>
        <v>*0.38</v>
      </c>
      <c r="S113" t="str">
        <f t="shared" si="49"/>
        <v>*0.46</v>
      </c>
      <c r="T113" t="str">
        <f t="shared" si="50"/>
        <v>*0.4</v>
      </c>
      <c r="U113" t="str">
        <f t="shared" si="51"/>
        <v>*0.41</v>
      </c>
      <c r="V113" t="str">
        <f t="shared" si="52"/>
        <v>*0.41</v>
      </c>
      <c r="W113" t="str">
        <f t="shared" si="53"/>
        <v>*0.44</v>
      </c>
      <c r="X113" t="str">
        <f t="shared" si="54"/>
        <v>*0.43</v>
      </c>
      <c r="Y113" t="str">
        <f t="shared" si="55"/>
        <v>*0.43</v>
      </c>
      <c r="Z113" t="str">
        <f t="shared" si="56"/>
        <v>*0.43</v>
      </c>
      <c r="AA113" t="str">
        <f t="shared" si="57"/>
        <v>*0.41</v>
      </c>
      <c r="AB113" t="str">
        <f t="shared" si="58"/>
        <v>*0.4</v>
      </c>
      <c r="AC113" t="str">
        <f t="shared" si="59"/>
        <v>*0.4</v>
      </c>
      <c r="AD113" t="str">
        <f t="shared" si="60"/>
        <v>*0.41</v>
      </c>
      <c r="AE113" t="str">
        <f t="shared" si="61"/>
        <v>*0.38</v>
      </c>
      <c r="AF113" t="str">
        <f t="shared" si="62"/>
        <v>*0.4</v>
      </c>
      <c r="AG113" t="str">
        <f t="shared" si="63"/>
        <v>*0.43</v>
      </c>
      <c r="AH113" t="str">
        <f t="shared" si="64"/>
        <v>*0.4</v>
      </c>
      <c r="AI113" t="str">
        <f t="shared" si="65"/>
        <v>*0.4</v>
      </c>
      <c r="AJ113" t="str">
        <f t="shared" si="66"/>
        <v>*0.42</v>
      </c>
      <c r="AK113" t="str">
        <f t="shared" si="67"/>
        <v>*0.44</v>
      </c>
      <c r="AL113" t="str">
        <f t="shared" si="68"/>
        <v>*0.39</v>
      </c>
      <c r="AM113" t="str">
        <f t="shared" si="69"/>
        <v>*0.41</v>
      </c>
      <c r="AN113" t="str">
        <f t="shared" si="33"/>
        <v>*0.42</v>
      </c>
      <c r="AO113" t="str">
        <f t="shared" si="34"/>
        <v>*0.41</v>
      </c>
      <c r="AP113" t="str">
        <f t="shared" si="35"/>
        <v>*0.44</v>
      </c>
      <c r="AQ113" t="str">
        <f t="shared" si="36"/>
        <v>*0.45</v>
      </c>
      <c r="AS113" s="6">
        <f t="shared" si="32"/>
        <v>0.41216216216216212</v>
      </c>
      <c r="AT113" s="6">
        <f>IFERROR(AVERAGEIFS(RdTRABYVals!L$2:L$999,RdTRABYVals!$B$2:$B$999,"="&amp;$C113,RdTRABYVals!$C$2:$C$999,"="&amp;INS!$A113),"")</f>
        <v>0.38</v>
      </c>
      <c r="AU113" s="6">
        <f>IFERROR(AVERAGEIFS(RdTRABYVals!M$2:M$999,RdTRABYVals!$B$2:$B$999,"="&amp;$C113,RdTRABYVals!$C$2:$C$999,"="&amp;INS!$A113),"")</f>
        <v>0.40000000000000002</v>
      </c>
      <c r="AV113" s="6">
        <f>IFERROR(AVERAGEIFS(RdTRABYVals!N$2:N$999,RdTRABYVals!$B$2:$B$999,"="&amp;$C113,RdTRABYVals!$C$2:$C$999,"="&amp;INS!$A113),"")</f>
        <v>0.40999999999999998</v>
      </c>
      <c r="AW113" s="6">
        <f>IFERROR(AVERAGEIFS(RdTRABYVals!O$2:O$999,RdTRABYVals!$B$2:$B$999,"="&amp;$C113,RdTRABYVals!$C$2:$C$999,"="&amp;INS!$A113),"")</f>
        <v>0.40000000000000002</v>
      </c>
      <c r="AX113" s="6">
        <f>IFERROR(AVERAGEIFS(RdTRABYVals!P$2:P$999,RdTRABYVals!$B$2:$B$999,"="&amp;$C113,RdTRABYVals!$C$2:$C$999,"="&amp;INS!$A113),"")</f>
        <v>0.39000000000000001</v>
      </c>
      <c r="AY113" s="6">
        <f>IFERROR(AVERAGEIFS(RdTRABYVals!Q$2:Q$999,RdTRABYVals!$B$2:$B$999,"="&amp;$C113,RdTRABYVals!$C$2:$C$999,"="&amp;INS!$A113),"")</f>
        <v>0.39000000000000001</v>
      </c>
      <c r="AZ113" s="6">
        <f>IFERROR(AVERAGEIFS(RdTRABYVals!R$2:R$999,RdTRABYVals!$B$2:$B$999,"="&amp;$C113,RdTRABYVals!$C$2:$C$999,"="&amp;INS!$A113),"")</f>
        <v>0.40000000000000002</v>
      </c>
      <c r="BA113" s="6">
        <f>IFERROR(AVERAGEIFS(RdTRABYVals!S$2:S$999,RdTRABYVals!$B$2:$B$999,"="&amp;$C113,RdTRABYVals!$C$2:$C$999,"="&amp;INS!$A113),"")</f>
        <v>0.40999999999999998</v>
      </c>
      <c r="BB113" s="6">
        <f>IFERROR(AVERAGEIFS(RdTRABYVals!T$2:T$999,RdTRABYVals!$B$2:$B$999,"="&amp;$C113,RdTRABYVals!$C$2:$C$999,"="&amp;INS!$A113),"")</f>
        <v>0.40000000000000002</v>
      </c>
      <c r="BC113" s="6">
        <f>IFERROR(AVERAGEIFS(RdTRABYVals!U$2:U$999,RdTRABYVals!$B$2:$B$999,"="&amp;$C113,RdTRABYVals!$C$2:$C$999,"="&amp;INS!$A113),"")</f>
        <v>0.45000000000000001</v>
      </c>
      <c r="BD113" s="6">
        <f>IFERROR(AVERAGEIFS(RdTRABYVals!V$2:V$999,RdTRABYVals!$B$2:$B$999,"="&amp;$C113,RdTRABYVals!$C$2:$C$999,"="&amp;INS!$A113),"")</f>
        <v>0.41999999999999998</v>
      </c>
      <c r="BE113" s="6">
        <f>IFERROR(AVERAGEIFS(RdTRABYVals!W$2:W$999,RdTRABYVals!$B$2:$B$999,"="&amp;$C113,RdTRABYVals!$C$2:$C$999,"="&amp;INS!$A113),"")</f>
        <v>0.38</v>
      </c>
      <c r="BF113" s="6">
        <f>IFERROR(AVERAGEIFS(RdTRABYVals!X$2:X$999,RdTRABYVals!$B$2:$B$999,"="&amp;$C113,RdTRABYVals!$C$2:$C$999,"="&amp;INS!$A113),"")</f>
        <v>0.46000000000000002</v>
      </c>
      <c r="BG113" s="6">
        <f>IFERROR(AVERAGEIFS(RdTRABYVals!Y$2:Y$999,RdTRABYVals!$B$2:$B$999,"="&amp;$C113,RdTRABYVals!$C$2:$C$999,"="&amp;INS!$A113),"")</f>
        <v>0.40000000000000002</v>
      </c>
      <c r="BH113" s="6">
        <f>IFERROR(AVERAGEIFS(RdTRABYVals!Z$2:Z$999,RdTRABYVals!$B$2:$B$999,"="&amp;$C113,RdTRABYVals!$C$2:$C$999,"="&amp;INS!$A113),"")</f>
        <v>0.40999999999999998</v>
      </c>
      <c r="BI113" s="6">
        <f>IFERROR(AVERAGEIFS(RdTRABYVals!AA$2:AA$999,RdTRABYVals!$B$2:$B$999,"="&amp;$C113,RdTRABYVals!$C$2:$C$999,"="&amp;INS!$A113),"")</f>
        <v>0.40999999999999998</v>
      </c>
      <c r="BJ113" s="6">
        <f>IFERROR(AVERAGEIFS(RdTRABYVals!AB$2:AB$999,RdTRABYVals!$B$2:$B$999,"="&amp;$C113,RdTRABYVals!$C$2:$C$999,"="&amp;INS!$A113),"")</f>
        <v>0.44</v>
      </c>
      <c r="BK113" s="6">
        <f>IFERROR(AVERAGEIFS(RdTRABYVals!AC$2:AC$999,RdTRABYVals!$B$2:$B$999,"="&amp;$C113,RdTRABYVals!$C$2:$C$999,"="&amp;INS!$A113),"")</f>
        <v>0.42999999999999999</v>
      </c>
      <c r="BL113" s="6">
        <f>IFERROR(AVERAGEIFS(RdTRABYVals!AD$2:AD$999,RdTRABYVals!$B$2:$B$999,"="&amp;$C113,RdTRABYVals!$C$2:$C$999,"="&amp;INS!$A113),"")</f>
        <v>0.42999999999999999</v>
      </c>
      <c r="BM113" s="6">
        <f>IFERROR(AVERAGEIFS(RdTRABYVals!AE$2:AE$999,RdTRABYVals!$B$2:$B$999,"="&amp;$C113,RdTRABYVals!$C$2:$C$999,"="&amp;INS!$A113),"")</f>
        <v>0.42999999999999999</v>
      </c>
      <c r="BN113" s="6">
        <f>IFERROR(AVERAGEIFS(RdTRABYVals!AF$2:AF$999,RdTRABYVals!$B$2:$B$999,"="&amp;$C113,RdTRABYVals!$C$2:$C$999,"="&amp;INS!$A113),"")</f>
        <v>0.40999999999999998</v>
      </c>
      <c r="BO113" s="6">
        <f>IFERROR(AVERAGEIFS(RdTRABYVals!AG$2:AG$999,RdTRABYVals!$B$2:$B$999,"="&amp;$C113,RdTRABYVals!$C$2:$C$999,"="&amp;INS!$A113),"")</f>
        <v>0.40000000000000002</v>
      </c>
      <c r="BP113" s="6">
        <f>IFERROR(AVERAGEIFS(RdTRABYVals!AH$2:AH$999,RdTRABYVals!$B$2:$B$999,"="&amp;$C113,RdTRABYVals!$C$2:$C$999,"="&amp;INS!$A113),"")</f>
        <v>0.40000000000000002</v>
      </c>
      <c r="BQ113" s="6">
        <f>IFERROR(AVERAGEIFS(RdTRABYVals!AI$2:AI$999,RdTRABYVals!$B$2:$B$999,"="&amp;$C113,RdTRABYVals!$C$2:$C$999,"="&amp;INS!$A113),"")</f>
        <v>0.40999999999999998</v>
      </c>
      <c r="BR113" s="6">
        <f>IFERROR(AVERAGEIFS(RdTRABYVals!AJ$2:AJ$999,RdTRABYVals!$B$2:$B$999,"="&amp;$C113,RdTRABYVals!$C$2:$C$999,"="&amp;INS!$A113),"")</f>
        <v>0.38</v>
      </c>
      <c r="BS113" s="6">
        <f>IFERROR(AVERAGEIFS(RdTRABYVals!AK$2:AK$999,RdTRABYVals!$B$2:$B$999,"="&amp;$C113,RdTRABYVals!$C$2:$C$999,"="&amp;INS!$A113),"")</f>
        <v>0.40000000000000002</v>
      </c>
      <c r="BT113" s="6">
        <f>IFERROR(AVERAGEIFS(RdTRABYVals!AL$2:AL$999,RdTRABYVals!$B$2:$B$999,"="&amp;$C113,RdTRABYVals!$C$2:$C$999,"="&amp;INS!$A113),"")</f>
        <v>0.42999999999999999</v>
      </c>
      <c r="BU113" s="6">
        <f>IFERROR(AVERAGEIFS(RdTRABYVals!AM$2:AM$999,RdTRABYVals!$B$2:$B$999,"="&amp;$C113,RdTRABYVals!$C$2:$C$999,"="&amp;INS!$A113),"")</f>
        <v>0.40000000000000002</v>
      </c>
      <c r="BV113" s="6">
        <f>IFERROR(AVERAGEIFS(RdTRABYVals!AN$2:AN$999,RdTRABYVals!$B$2:$B$999,"="&amp;$C113,RdTRABYVals!$C$2:$C$999,"="&amp;INS!$A113),"")</f>
        <v>0.40000000000000002</v>
      </c>
      <c r="BW113" s="6">
        <f>IFERROR(AVERAGEIFS(RdTRABYVals!AO$2:AO$999,RdTRABYVals!$B$2:$B$999,"="&amp;$C113,RdTRABYVals!$C$2:$C$999,"="&amp;INS!$A113),"")</f>
        <v>0.41999999999999998</v>
      </c>
      <c r="BX113" s="6">
        <f>IFERROR(AVERAGEIFS(RdTRABYVals!AP$2:AP$999,RdTRABYVals!$B$2:$B$999,"="&amp;$C113,RdTRABYVals!$C$2:$C$999,"="&amp;INS!$A113),"")</f>
        <v>0.44</v>
      </c>
      <c r="BY113" s="6">
        <f>IFERROR(AVERAGEIFS(RdTRABYVals!AQ$2:AQ$999,RdTRABYVals!$B$2:$B$999,"="&amp;$C113,RdTRABYVals!$C$2:$C$999,"="&amp;INS!$A113),"")</f>
        <v>0.39000000000000001</v>
      </c>
      <c r="BZ113" s="6">
        <f>IFERROR(AVERAGEIFS(RdTRABYVals!AR$2:AR$999,RdTRABYVals!$B$2:$B$999,"="&amp;$C113,RdTRABYVals!$C$2:$C$999,"="&amp;INS!$A113),"")</f>
        <v>0.40999999999999998</v>
      </c>
      <c r="CA113" s="6">
        <f>IFERROR(AVERAGEIFS(RdTRABYVals!AS$2:AS$999,RdTRABYVals!$B$2:$B$999,"="&amp;$C113,RdTRABYVals!$C$2:$C$999,"="&amp;INS!$A113),"")</f>
        <v>0.41999999999999998</v>
      </c>
      <c r="CB113" s="6">
        <f>IFERROR(AVERAGEIFS(RdTRABYVals!AT$2:AT$999,RdTRABYVals!$B$2:$B$999,"="&amp;$C113,RdTRABYVals!$C$2:$C$999,"="&amp;INS!$A113),"")</f>
        <v>0.40999999999999998</v>
      </c>
      <c r="CC113" s="6">
        <f>IFERROR(AVERAGEIFS(RdTRABYVals!AU$2:AU$999,RdTRABYVals!$B$2:$B$999,"="&amp;$C113,RdTRABYVals!$C$2:$C$999,"="&amp;INS!$A113),"")</f>
        <v>0.44</v>
      </c>
      <c r="CD113" s="6">
        <f>IFERROR(AVERAGEIFS(RdTRABYVals!AV$2:AV$999,RdTRABYVals!$B$2:$B$999,"="&amp;$C113,RdTRABYVals!$C$2:$C$999,"="&amp;INS!$A113),"")</f>
        <v>0.45000000000000001</v>
      </c>
    </row>
    <row r="114" spans="1:82" ht="14.4">
      <c r="A114" s="3" t="s">
        <v>123</v>
      </c>
      <c r="C114" s="1" t="s">
        <v>29</v>
      </c>
      <c r="D114" t="str">
        <f t="shared" si="30"/>
        <v>TRA_Car_Fle_Fue_Exe*</v>
      </c>
      <c r="F114" t="str">
        <f t="shared" si="31"/>
        <v>*0.185</v>
      </c>
      <c r="G114" t="str">
        <f t="shared" si="37"/>
        <v>*0.185</v>
      </c>
      <c r="H114" t="str">
        <f t="shared" si="38"/>
        <v>*0.185</v>
      </c>
      <c r="I114" t="str">
        <f t="shared" si="39"/>
        <v>*0.185</v>
      </c>
      <c r="J114" t="str">
        <f t="shared" si="40"/>
        <v>*0.185</v>
      </c>
      <c r="K114" t="str">
        <f t="shared" si="41"/>
        <v>*0.185</v>
      </c>
      <c r="L114" t="str">
        <f t="shared" si="42"/>
        <v>*0.19</v>
      </c>
      <c r="M114" t="str">
        <f t="shared" si="43"/>
        <v>*0.185</v>
      </c>
      <c r="N114" t="str">
        <f t="shared" si="44"/>
        <v>*0.185</v>
      </c>
      <c r="O114" t="str">
        <f t="shared" si="45"/>
        <v>*0.185</v>
      </c>
      <c r="P114" t="str">
        <f t="shared" si="46"/>
        <v>*0.185</v>
      </c>
      <c r="Q114" t="str">
        <f t="shared" si="47"/>
        <v>*0.185</v>
      </c>
      <c r="R114" t="str">
        <f t="shared" si="48"/>
        <v>*0.185</v>
      </c>
      <c r="S114" t="str">
        <f t="shared" si="49"/>
        <v>*0.185</v>
      </c>
      <c r="T114" t="str">
        <f t="shared" si="50"/>
        <v>*0.185</v>
      </c>
      <c r="U114" t="str">
        <f t="shared" si="51"/>
        <v>*0.185</v>
      </c>
      <c r="V114" t="str">
        <f t="shared" si="52"/>
        <v>*0.185</v>
      </c>
      <c r="W114" t="str">
        <f t="shared" si="53"/>
        <v>*0.185</v>
      </c>
      <c r="X114" t="str">
        <f t="shared" si="54"/>
        <v>*0.185</v>
      </c>
      <c r="Y114" t="str">
        <f t="shared" si="55"/>
        <v>*0.185</v>
      </c>
      <c r="Z114" t="str">
        <f t="shared" si="56"/>
        <v>*0.185</v>
      </c>
      <c r="AA114" t="str">
        <f t="shared" si="57"/>
        <v>*0.185</v>
      </c>
      <c r="AB114" t="str">
        <f t="shared" si="58"/>
        <v>*0.185</v>
      </c>
      <c r="AC114" t="str">
        <f t="shared" si="59"/>
        <v>*0.185</v>
      </c>
      <c r="AD114" t="str">
        <f t="shared" si="60"/>
        <v>*0.185</v>
      </c>
      <c r="AE114" t="str">
        <f t="shared" si="61"/>
        <v>*0.185</v>
      </c>
      <c r="AF114" t="str">
        <f t="shared" si="62"/>
        <v>*0.185</v>
      </c>
      <c r="AG114" t="str">
        <f t="shared" si="63"/>
        <v>*0.185</v>
      </c>
      <c r="AH114" t="str">
        <f t="shared" si="64"/>
        <v>*0.185</v>
      </c>
      <c r="AI114" t="str">
        <f t="shared" si="65"/>
        <v>*0.185</v>
      </c>
      <c r="AJ114" t="str">
        <f t="shared" si="66"/>
        <v>*0.185</v>
      </c>
      <c r="AK114" t="str">
        <f t="shared" si="67"/>
        <v>*0.185</v>
      </c>
      <c r="AL114" t="str">
        <f t="shared" si="68"/>
        <v>*0.185</v>
      </c>
      <c r="AM114" t="str">
        <f t="shared" si="69"/>
        <v>*0.185</v>
      </c>
      <c r="AN114" t="str">
        <f t="shared" si="33"/>
        <v>*0.18</v>
      </c>
      <c r="AO114" t="str">
        <f t="shared" si="34"/>
        <v>*0.185</v>
      </c>
      <c r="AP114" t="str">
        <f t="shared" si="35"/>
        <v>*0.185</v>
      </c>
      <c r="AQ114" t="str">
        <f t="shared" si="36"/>
        <v>*0.185</v>
      </c>
      <c r="AS114" s="6">
        <f t="shared" si="32"/>
        <v>0.18499999999999997</v>
      </c>
      <c r="AT114" s="6">
        <f>IFERROR(AVERAGEIFS(RdTRABYVals!L$2:L$999,RdTRABYVals!$B$2:$B$999,"="&amp;$C114,RdTRABYVals!$C$2:$C$999,"="&amp;INS!$A114),"")</f>
        <v>0.185</v>
      </c>
      <c r="AU114" s="6">
        <f>IFERROR(AVERAGEIFS(RdTRABYVals!M$2:M$999,RdTRABYVals!$B$2:$B$999,"="&amp;$C114,RdTRABYVals!$C$2:$C$999,"="&amp;INS!$A114),"")</f>
        <v>0.185</v>
      </c>
      <c r="AV114" s="6">
        <f>IFERROR(AVERAGEIFS(RdTRABYVals!N$2:N$999,RdTRABYVals!$B$2:$B$999,"="&amp;$C114,RdTRABYVals!$C$2:$C$999,"="&amp;INS!$A114),"")</f>
        <v>0.185</v>
      </c>
      <c r="AW114" s="6">
        <f>IFERROR(AVERAGEIFS(RdTRABYVals!O$2:O$999,RdTRABYVals!$B$2:$B$999,"="&amp;$C114,RdTRABYVals!$C$2:$C$999,"="&amp;INS!$A114),"")</f>
        <v>0.185</v>
      </c>
      <c r="AX114" s="6">
        <f>IFERROR(AVERAGEIFS(RdTRABYVals!P$2:P$999,RdTRABYVals!$B$2:$B$999,"="&amp;$C114,RdTRABYVals!$C$2:$C$999,"="&amp;INS!$A114),"")</f>
        <v>0.185</v>
      </c>
      <c r="AY114" s="6">
        <f>IFERROR(AVERAGEIFS(RdTRABYVals!Q$2:Q$999,RdTRABYVals!$B$2:$B$999,"="&amp;$C114,RdTRABYVals!$C$2:$C$999,"="&amp;INS!$A114),"")</f>
        <v>0.19</v>
      </c>
      <c r="AZ114" s="6">
        <f>IFERROR(AVERAGEIFS(RdTRABYVals!R$2:R$999,RdTRABYVals!$B$2:$B$999,"="&amp;$C114,RdTRABYVals!$C$2:$C$999,"="&amp;INS!$A114),"")</f>
        <v>0.185</v>
      </c>
      <c r="BA114" s="6">
        <f>IFERROR(AVERAGEIFS(RdTRABYVals!S$2:S$999,RdTRABYVals!$B$2:$B$999,"="&amp;$C114,RdTRABYVals!$C$2:$C$999,"="&amp;INS!$A114),"")</f>
        <v>0.185</v>
      </c>
      <c r="BB114" s="6">
        <f>IFERROR(AVERAGEIFS(RdTRABYVals!T$2:T$999,RdTRABYVals!$B$2:$B$999,"="&amp;$C114,RdTRABYVals!$C$2:$C$999,"="&amp;INS!$A114),"")</f>
        <v>0.185</v>
      </c>
      <c r="BC114" s="6">
        <f>IFERROR(AVERAGEIFS(RdTRABYVals!U$2:U$999,RdTRABYVals!$B$2:$B$999,"="&amp;$C114,RdTRABYVals!$C$2:$C$999,"="&amp;INS!$A114),"")</f>
        <v>0.185</v>
      </c>
      <c r="BD114" s="6">
        <f>IFERROR(AVERAGEIFS(RdTRABYVals!V$2:V$999,RdTRABYVals!$B$2:$B$999,"="&amp;$C114,RdTRABYVals!$C$2:$C$999,"="&amp;INS!$A114),"")</f>
        <v>0.185</v>
      </c>
      <c r="BE114" s="6">
        <f>IFERROR(AVERAGEIFS(RdTRABYVals!W$2:W$999,RdTRABYVals!$B$2:$B$999,"="&amp;$C114,RdTRABYVals!$C$2:$C$999,"="&amp;INS!$A114),"")</f>
        <v>0.185</v>
      </c>
      <c r="BF114" s="6">
        <f>IFERROR(AVERAGEIFS(RdTRABYVals!X$2:X$999,RdTRABYVals!$B$2:$B$999,"="&amp;$C114,RdTRABYVals!$C$2:$C$999,"="&amp;INS!$A114),"")</f>
        <v>0.185</v>
      </c>
      <c r="BG114" s="6">
        <f>IFERROR(AVERAGEIFS(RdTRABYVals!Y$2:Y$999,RdTRABYVals!$B$2:$B$999,"="&amp;$C114,RdTRABYVals!$C$2:$C$999,"="&amp;INS!$A114),"")</f>
        <v>0.185</v>
      </c>
      <c r="BH114" s="6">
        <f>IFERROR(AVERAGEIFS(RdTRABYVals!Z$2:Z$999,RdTRABYVals!$B$2:$B$999,"="&amp;$C114,RdTRABYVals!$C$2:$C$999,"="&amp;INS!$A114),"")</f>
        <v>0.185</v>
      </c>
      <c r="BI114" s="6">
        <f>IFERROR(AVERAGEIFS(RdTRABYVals!AA$2:AA$999,RdTRABYVals!$B$2:$B$999,"="&amp;$C114,RdTRABYVals!$C$2:$C$999,"="&amp;INS!$A114),"")</f>
        <v>0.185</v>
      </c>
      <c r="BJ114" s="6">
        <f>IFERROR(AVERAGEIFS(RdTRABYVals!AB$2:AB$999,RdTRABYVals!$B$2:$B$999,"="&amp;$C114,RdTRABYVals!$C$2:$C$999,"="&amp;INS!$A114),"")</f>
        <v>0.185</v>
      </c>
      <c r="BK114" s="6">
        <f>IFERROR(AVERAGEIFS(RdTRABYVals!AC$2:AC$999,RdTRABYVals!$B$2:$B$999,"="&amp;$C114,RdTRABYVals!$C$2:$C$999,"="&amp;INS!$A114),"")</f>
        <v>0.185</v>
      </c>
      <c r="BL114" s="6">
        <f>IFERROR(AVERAGEIFS(RdTRABYVals!AD$2:AD$999,RdTRABYVals!$B$2:$B$999,"="&amp;$C114,RdTRABYVals!$C$2:$C$999,"="&amp;INS!$A114),"")</f>
        <v>0.185</v>
      </c>
      <c r="BM114" s="6">
        <f>IFERROR(AVERAGEIFS(RdTRABYVals!AE$2:AE$999,RdTRABYVals!$B$2:$B$999,"="&amp;$C114,RdTRABYVals!$C$2:$C$999,"="&amp;INS!$A114),"")</f>
        <v>0.185</v>
      </c>
      <c r="BN114" s="6">
        <f>IFERROR(AVERAGEIFS(RdTRABYVals!AF$2:AF$999,RdTRABYVals!$B$2:$B$999,"="&amp;$C114,RdTRABYVals!$C$2:$C$999,"="&amp;INS!$A114),"")</f>
        <v>0.185</v>
      </c>
      <c r="BO114" s="6">
        <f>IFERROR(AVERAGEIFS(RdTRABYVals!AG$2:AG$999,RdTRABYVals!$B$2:$B$999,"="&amp;$C114,RdTRABYVals!$C$2:$C$999,"="&amp;INS!$A114),"")</f>
        <v>0.185</v>
      </c>
      <c r="BP114" s="6">
        <f>IFERROR(AVERAGEIFS(RdTRABYVals!AH$2:AH$999,RdTRABYVals!$B$2:$B$999,"="&amp;$C114,RdTRABYVals!$C$2:$C$999,"="&amp;INS!$A114),"")</f>
        <v>0.185</v>
      </c>
      <c r="BQ114" s="6">
        <f>IFERROR(AVERAGEIFS(RdTRABYVals!AI$2:AI$999,RdTRABYVals!$B$2:$B$999,"="&amp;$C114,RdTRABYVals!$C$2:$C$999,"="&amp;INS!$A114),"")</f>
        <v>0.185</v>
      </c>
      <c r="BR114" s="6">
        <f>IFERROR(AVERAGEIFS(RdTRABYVals!AJ$2:AJ$999,RdTRABYVals!$B$2:$B$999,"="&amp;$C114,RdTRABYVals!$C$2:$C$999,"="&amp;INS!$A114),"")</f>
        <v>0.185</v>
      </c>
      <c r="BS114" s="6">
        <f>IFERROR(AVERAGEIFS(RdTRABYVals!AK$2:AK$999,RdTRABYVals!$B$2:$B$999,"="&amp;$C114,RdTRABYVals!$C$2:$C$999,"="&amp;INS!$A114),"")</f>
        <v>0.185</v>
      </c>
      <c r="BT114" s="6">
        <f>IFERROR(AVERAGEIFS(RdTRABYVals!AL$2:AL$999,RdTRABYVals!$B$2:$B$999,"="&amp;$C114,RdTRABYVals!$C$2:$C$999,"="&amp;INS!$A114),"")</f>
        <v>0.185</v>
      </c>
      <c r="BU114" s="6">
        <f>IFERROR(AVERAGEIFS(RdTRABYVals!AM$2:AM$999,RdTRABYVals!$B$2:$B$999,"="&amp;$C114,RdTRABYVals!$C$2:$C$999,"="&amp;INS!$A114),"")</f>
        <v>0.185</v>
      </c>
      <c r="BV114" s="6">
        <f>IFERROR(AVERAGEIFS(RdTRABYVals!AN$2:AN$999,RdTRABYVals!$B$2:$B$999,"="&amp;$C114,RdTRABYVals!$C$2:$C$999,"="&amp;INS!$A114),"")</f>
        <v>0.185</v>
      </c>
      <c r="BW114" s="6">
        <f>IFERROR(AVERAGEIFS(RdTRABYVals!AO$2:AO$999,RdTRABYVals!$B$2:$B$999,"="&amp;$C114,RdTRABYVals!$C$2:$C$999,"="&amp;INS!$A114),"")</f>
        <v>0.185</v>
      </c>
      <c r="BX114" s="6">
        <f>IFERROR(AVERAGEIFS(RdTRABYVals!AP$2:AP$999,RdTRABYVals!$B$2:$B$999,"="&amp;$C114,RdTRABYVals!$C$2:$C$999,"="&amp;INS!$A114),"")</f>
        <v>0.185</v>
      </c>
      <c r="BY114" s="6">
        <f>IFERROR(AVERAGEIFS(RdTRABYVals!AQ$2:AQ$999,RdTRABYVals!$B$2:$B$999,"="&amp;$C114,RdTRABYVals!$C$2:$C$999,"="&amp;INS!$A114),"")</f>
        <v>0.185</v>
      </c>
      <c r="BZ114" s="6">
        <f>IFERROR(AVERAGEIFS(RdTRABYVals!AR$2:AR$999,RdTRABYVals!$B$2:$B$999,"="&amp;$C114,RdTRABYVals!$C$2:$C$999,"="&amp;INS!$A114),"")</f>
        <v>0.185</v>
      </c>
      <c r="CA114" s="6">
        <f>IFERROR(AVERAGEIFS(RdTRABYVals!AS$2:AS$999,RdTRABYVals!$B$2:$B$999,"="&amp;$C114,RdTRABYVals!$C$2:$C$999,"="&amp;INS!$A114),"")</f>
        <v>0.17999999999999999</v>
      </c>
      <c r="CB114" s="6">
        <f>IFERROR(AVERAGEIFS(RdTRABYVals!AT$2:AT$999,RdTRABYVals!$B$2:$B$999,"="&amp;$C114,RdTRABYVals!$C$2:$C$999,"="&amp;INS!$A114),"")</f>
        <v>0.185</v>
      </c>
      <c r="CC114" s="6">
        <f>IFERROR(AVERAGEIFS(RdTRABYVals!AU$2:AU$999,RdTRABYVals!$B$2:$B$999,"="&amp;$C114,RdTRABYVals!$C$2:$C$999,"="&amp;INS!$A114),"")</f>
        <v>0.185</v>
      </c>
      <c r="CD114" s="6">
        <f>IFERROR(AVERAGEIFS(RdTRABYVals!AV$2:AV$999,RdTRABYVals!$B$2:$B$999,"="&amp;$C114,RdTRABYVals!$C$2:$C$999,"="&amp;INS!$A114),"")</f>
        <v>0.185</v>
      </c>
    </row>
    <row r="115" spans="1:82" ht="14.4">
      <c r="A115" s="3" t="s">
        <v>124</v>
      </c>
      <c r="C115" s="1" t="s">
        <v>29</v>
      </c>
      <c r="D115" t="str">
        <f t="shared" si="30"/>
        <v>TRA_Car_Fle_Fue_Lom*</v>
      </c>
      <c r="F115" t="str">
        <f t="shared" si="31"/>
        <v>*0.35</v>
      </c>
      <c r="G115" t="str">
        <f t="shared" si="37"/>
        <v>*0.35</v>
      </c>
      <c r="H115" t="str">
        <f t="shared" si="38"/>
        <v>*0.35</v>
      </c>
      <c r="I115" t="str">
        <f t="shared" si="39"/>
        <v>*0.35</v>
      </c>
      <c r="J115" t="str">
        <f t="shared" si="40"/>
        <v>*0.35</v>
      </c>
      <c r="K115" t="str">
        <f t="shared" si="41"/>
        <v>*0.35</v>
      </c>
      <c r="L115" t="str">
        <f t="shared" si="42"/>
        <v>*0.37</v>
      </c>
      <c r="M115" t="str">
        <f t="shared" si="43"/>
        <v>*0.35</v>
      </c>
      <c r="N115" t="str">
        <f t="shared" si="44"/>
        <v>*0.35</v>
      </c>
      <c r="O115" t="str">
        <f t="shared" si="45"/>
        <v>*0.35</v>
      </c>
      <c r="P115" t="str">
        <f t="shared" si="46"/>
        <v>*0.35</v>
      </c>
      <c r="Q115" t="str">
        <f t="shared" si="47"/>
        <v>*0.35</v>
      </c>
      <c r="R115" t="str">
        <f t="shared" si="48"/>
        <v>*0.35</v>
      </c>
      <c r="S115" t="str">
        <f t="shared" si="49"/>
        <v>*0.35</v>
      </c>
      <c r="T115" t="str">
        <f t="shared" si="50"/>
        <v>*0.35</v>
      </c>
      <c r="U115" t="str">
        <f t="shared" si="51"/>
        <v>*0.35</v>
      </c>
      <c r="V115" t="str">
        <f t="shared" si="52"/>
        <v>*0.35</v>
      </c>
      <c r="W115" t="str">
        <f t="shared" si="53"/>
        <v>*0.35</v>
      </c>
      <c r="X115" t="str">
        <f t="shared" si="54"/>
        <v>*0.35</v>
      </c>
      <c r="Y115" t="str">
        <f t="shared" si="55"/>
        <v>*0.35</v>
      </c>
      <c r="Z115" t="str">
        <f t="shared" si="56"/>
        <v>*0.35</v>
      </c>
      <c r="AA115" t="str">
        <f t="shared" si="57"/>
        <v>*0.35</v>
      </c>
      <c r="AB115" t="str">
        <f t="shared" si="58"/>
        <v>*0.35</v>
      </c>
      <c r="AC115" t="str">
        <f t="shared" si="59"/>
        <v>*0.35</v>
      </c>
      <c r="AD115" t="str">
        <f t="shared" si="60"/>
        <v>*0.35</v>
      </c>
      <c r="AE115" t="str">
        <f t="shared" si="61"/>
        <v>*0.35</v>
      </c>
      <c r="AF115" t="str">
        <f t="shared" si="62"/>
        <v>*0.35</v>
      </c>
      <c r="AG115" t="str">
        <f t="shared" si="63"/>
        <v>*0.35</v>
      </c>
      <c r="AH115" t="str">
        <f t="shared" si="64"/>
        <v>*0.35</v>
      </c>
      <c r="AI115" t="str">
        <f t="shared" si="65"/>
        <v>*0.35</v>
      </c>
      <c r="AJ115" t="str">
        <f t="shared" si="66"/>
        <v>*0.35</v>
      </c>
      <c r="AK115" t="str">
        <f t="shared" si="67"/>
        <v>*0.35</v>
      </c>
      <c r="AL115" t="str">
        <f t="shared" si="68"/>
        <v>*0.35</v>
      </c>
      <c r="AM115" t="str">
        <f t="shared" si="69"/>
        <v>*0.35</v>
      </c>
      <c r="AN115" t="str">
        <f t="shared" si="33"/>
        <v>*0.33</v>
      </c>
      <c r="AO115" t="str">
        <f t="shared" si="34"/>
        <v>*0.35</v>
      </c>
      <c r="AP115" t="str">
        <f t="shared" si="35"/>
        <v>*0.35</v>
      </c>
      <c r="AQ115" t="str">
        <f t="shared" si="36"/>
        <v>*0.35</v>
      </c>
      <c r="AS115" s="6">
        <f t="shared" si="32"/>
        <v>0.34999999999999998</v>
      </c>
      <c r="AT115" s="6">
        <f>IFERROR(AVERAGEIFS(RdTRABYVals!L$2:L$999,RdTRABYVals!$B$2:$B$999,"="&amp;$C115,RdTRABYVals!$C$2:$C$999,"="&amp;INS!$A115),"")</f>
        <v>0.34999999999999998</v>
      </c>
      <c r="AU115" s="6">
        <f>IFERROR(AVERAGEIFS(RdTRABYVals!M$2:M$999,RdTRABYVals!$B$2:$B$999,"="&amp;$C115,RdTRABYVals!$C$2:$C$999,"="&amp;INS!$A115),"")</f>
        <v>0.34999999999999998</v>
      </c>
      <c r="AV115" s="6">
        <f>IFERROR(AVERAGEIFS(RdTRABYVals!N$2:N$999,RdTRABYVals!$B$2:$B$999,"="&amp;$C115,RdTRABYVals!$C$2:$C$999,"="&amp;INS!$A115),"")</f>
        <v>0.34999999999999998</v>
      </c>
      <c r="AW115" s="6">
        <f>IFERROR(AVERAGEIFS(RdTRABYVals!O$2:O$999,RdTRABYVals!$B$2:$B$999,"="&amp;$C115,RdTRABYVals!$C$2:$C$999,"="&amp;INS!$A115),"")</f>
        <v>0.34999999999999998</v>
      </c>
      <c r="AX115" s="6">
        <f>IFERROR(AVERAGEIFS(RdTRABYVals!P$2:P$999,RdTRABYVals!$B$2:$B$999,"="&amp;$C115,RdTRABYVals!$C$2:$C$999,"="&amp;INS!$A115),"")</f>
        <v>0.34999999999999998</v>
      </c>
      <c r="AY115" s="6">
        <f>IFERROR(AVERAGEIFS(RdTRABYVals!Q$2:Q$999,RdTRABYVals!$B$2:$B$999,"="&amp;$C115,RdTRABYVals!$C$2:$C$999,"="&amp;INS!$A115),"")</f>
        <v>0.37</v>
      </c>
      <c r="AZ115" s="6">
        <f>IFERROR(AVERAGEIFS(RdTRABYVals!R$2:R$999,RdTRABYVals!$B$2:$B$999,"="&amp;$C115,RdTRABYVals!$C$2:$C$999,"="&amp;INS!$A115),"")</f>
        <v>0.34999999999999998</v>
      </c>
      <c r="BA115" s="6">
        <f>IFERROR(AVERAGEIFS(RdTRABYVals!S$2:S$999,RdTRABYVals!$B$2:$B$999,"="&amp;$C115,RdTRABYVals!$C$2:$C$999,"="&amp;INS!$A115),"")</f>
        <v>0.34999999999999998</v>
      </c>
      <c r="BB115" s="6">
        <f>IFERROR(AVERAGEIFS(RdTRABYVals!T$2:T$999,RdTRABYVals!$B$2:$B$999,"="&amp;$C115,RdTRABYVals!$C$2:$C$999,"="&amp;INS!$A115),"")</f>
        <v>0.34999999999999998</v>
      </c>
      <c r="BC115" s="6">
        <f>IFERROR(AVERAGEIFS(RdTRABYVals!U$2:U$999,RdTRABYVals!$B$2:$B$999,"="&amp;$C115,RdTRABYVals!$C$2:$C$999,"="&amp;INS!$A115),"")</f>
        <v>0.34999999999999998</v>
      </c>
      <c r="BD115" s="6">
        <f>IFERROR(AVERAGEIFS(RdTRABYVals!V$2:V$999,RdTRABYVals!$B$2:$B$999,"="&amp;$C115,RdTRABYVals!$C$2:$C$999,"="&amp;INS!$A115),"")</f>
        <v>0.34999999999999998</v>
      </c>
      <c r="BE115" s="6">
        <f>IFERROR(AVERAGEIFS(RdTRABYVals!W$2:W$999,RdTRABYVals!$B$2:$B$999,"="&amp;$C115,RdTRABYVals!$C$2:$C$999,"="&amp;INS!$A115),"")</f>
        <v>0.34999999999999998</v>
      </c>
      <c r="BF115" s="6">
        <f>IFERROR(AVERAGEIFS(RdTRABYVals!X$2:X$999,RdTRABYVals!$B$2:$B$999,"="&amp;$C115,RdTRABYVals!$C$2:$C$999,"="&amp;INS!$A115),"")</f>
        <v>0.34999999999999998</v>
      </c>
      <c r="BG115" s="6">
        <f>IFERROR(AVERAGEIFS(RdTRABYVals!Y$2:Y$999,RdTRABYVals!$B$2:$B$999,"="&amp;$C115,RdTRABYVals!$C$2:$C$999,"="&amp;INS!$A115),"")</f>
        <v>0.34999999999999998</v>
      </c>
      <c r="BH115" s="6">
        <f>IFERROR(AVERAGEIFS(RdTRABYVals!Z$2:Z$999,RdTRABYVals!$B$2:$B$999,"="&amp;$C115,RdTRABYVals!$C$2:$C$999,"="&amp;INS!$A115),"")</f>
        <v>0.34999999999999998</v>
      </c>
      <c r="BI115" s="6">
        <f>IFERROR(AVERAGEIFS(RdTRABYVals!AA$2:AA$999,RdTRABYVals!$B$2:$B$999,"="&amp;$C115,RdTRABYVals!$C$2:$C$999,"="&amp;INS!$A115),"")</f>
        <v>0.34999999999999998</v>
      </c>
      <c r="BJ115" s="6">
        <f>IFERROR(AVERAGEIFS(RdTRABYVals!AB$2:AB$999,RdTRABYVals!$B$2:$B$999,"="&amp;$C115,RdTRABYVals!$C$2:$C$999,"="&amp;INS!$A115),"")</f>
        <v>0.34999999999999998</v>
      </c>
      <c r="BK115" s="6">
        <f>IFERROR(AVERAGEIFS(RdTRABYVals!AC$2:AC$999,RdTRABYVals!$B$2:$B$999,"="&amp;$C115,RdTRABYVals!$C$2:$C$999,"="&amp;INS!$A115),"")</f>
        <v>0.34999999999999998</v>
      </c>
      <c r="BL115" s="6">
        <f>IFERROR(AVERAGEIFS(RdTRABYVals!AD$2:AD$999,RdTRABYVals!$B$2:$B$999,"="&amp;$C115,RdTRABYVals!$C$2:$C$999,"="&amp;INS!$A115),"")</f>
        <v>0.34999999999999998</v>
      </c>
      <c r="BM115" s="6">
        <f>IFERROR(AVERAGEIFS(RdTRABYVals!AE$2:AE$999,RdTRABYVals!$B$2:$B$999,"="&amp;$C115,RdTRABYVals!$C$2:$C$999,"="&amp;INS!$A115),"")</f>
        <v>0.34999999999999998</v>
      </c>
      <c r="BN115" s="6">
        <f>IFERROR(AVERAGEIFS(RdTRABYVals!AF$2:AF$999,RdTRABYVals!$B$2:$B$999,"="&amp;$C115,RdTRABYVals!$C$2:$C$999,"="&amp;INS!$A115),"")</f>
        <v>0.34999999999999998</v>
      </c>
      <c r="BO115" s="6">
        <f>IFERROR(AVERAGEIFS(RdTRABYVals!AG$2:AG$999,RdTRABYVals!$B$2:$B$999,"="&amp;$C115,RdTRABYVals!$C$2:$C$999,"="&amp;INS!$A115),"")</f>
        <v>0.34999999999999998</v>
      </c>
      <c r="BP115" s="6">
        <f>IFERROR(AVERAGEIFS(RdTRABYVals!AH$2:AH$999,RdTRABYVals!$B$2:$B$999,"="&amp;$C115,RdTRABYVals!$C$2:$C$999,"="&amp;INS!$A115),"")</f>
        <v>0.34999999999999998</v>
      </c>
      <c r="BQ115" s="6">
        <f>IFERROR(AVERAGEIFS(RdTRABYVals!AI$2:AI$999,RdTRABYVals!$B$2:$B$999,"="&amp;$C115,RdTRABYVals!$C$2:$C$999,"="&amp;INS!$A115),"")</f>
        <v>0.34999999999999998</v>
      </c>
      <c r="BR115" s="6">
        <f>IFERROR(AVERAGEIFS(RdTRABYVals!AJ$2:AJ$999,RdTRABYVals!$B$2:$B$999,"="&amp;$C115,RdTRABYVals!$C$2:$C$999,"="&amp;INS!$A115),"")</f>
        <v>0.34999999999999998</v>
      </c>
      <c r="BS115" s="6">
        <f>IFERROR(AVERAGEIFS(RdTRABYVals!AK$2:AK$999,RdTRABYVals!$B$2:$B$999,"="&amp;$C115,RdTRABYVals!$C$2:$C$999,"="&amp;INS!$A115),"")</f>
        <v>0.34999999999999998</v>
      </c>
      <c r="BT115" s="6">
        <f>IFERROR(AVERAGEIFS(RdTRABYVals!AL$2:AL$999,RdTRABYVals!$B$2:$B$999,"="&amp;$C115,RdTRABYVals!$C$2:$C$999,"="&amp;INS!$A115),"")</f>
        <v>0.34999999999999998</v>
      </c>
      <c r="BU115" s="6">
        <f>IFERROR(AVERAGEIFS(RdTRABYVals!AM$2:AM$999,RdTRABYVals!$B$2:$B$999,"="&amp;$C115,RdTRABYVals!$C$2:$C$999,"="&amp;INS!$A115),"")</f>
        <v>0.34999999999999998</v>
      </c>
      <c r="BV115" s="6">
        <f>IFERROR(AVERAGEIFS(RdTRABYVals!AN$2:AN$999,RdTRABYVals!$B$2:$B$999,"="&amp;$C115,RdTRABYVals!$C$2:$C$999,"="&amp;INS!$A115),"")</f>
        <v>0.34999999999999998</v>
      </c>
      <c r="BW115" s="6">
        <f>IFERROR(AVERAGEIFS(RdTRABYVals!AO$2:AO$999,RdTRABYVals!$B$2:$B$999,"="&amp;$C115,RdTRABYVals!$C$2:$C$999,"="&amp;INS!$A115),"")</f>
        <v>0.34999999999999998</v>
      </c>
      <c r="BX115" s="6">
        <f>IFERROR(AVERAGEIFS(RdTRABYVals!AP$2:AP$999,RdTRABYVals!$B$2:$B$999,"="&amp;$C115,RdTRABYVals!$C$2:$C$999,"="&amp;INS!$A115),"")</f>
        <v>0.34999999999999998</v>
      </c>
      <c r="BY115" s="6">
        <f>IFERROR(AVERAGEIFS(RdTRABYVals!AQ$2:AQ$999,RdTRABYVals!$B$2:$B$999,"="&amp;$C115,RdTRABYVals!$C$2:$C$999,"="&amp;INS!$A115),"")</f>
        <v>0.34999999999999998</v>
      </c>
      <c r="BZ115" s="6">
        <f>IFERROR(AVERAGEIFS(RdTRABYVals!AR$2:AR$999,RdTRABYVals!$B$2:$B$999,"="&amp;$C115,RdTRABYVals!$C$2:$C$999,"="&amp;INS!$A115),"")</f>
        <v>0.34999999999999998</v>
      </c>
      <c r="CA115" s="6">
        <f>IFERROR(AVERAGEIFS(RdTRABYVals!AS$2:AS$999,RdTRABYVals!$B$2:$B$999,"="&amp;$C115,RdTRABYVals!$C$2:$C$999,"="&amp;INS!$A115),"")</f>
        <v>0.33000000000000002</v>
      </c>
      <c r="CB115" s="6">
        <f>IFERROR(AVERAGEIFS(RdTRABYVals!AT$2:AT$999,RdTRABYVals!$B$2:$B$999,"="&amp;$C115,RdTRABYVals!$C$2:$C$999,"="&amp;INS!$A115),"")</f>
        <v>0.34999999999999998</v>
      </c>
      <c r="CC115" s="6">
        <f>IFERROR(AVERAGEIFS(RdTRABYVals!AU$2:AU$999,RdTRABYVals!$B$2:$B$999,"="&amp;$C115,RdTRABYVals!$C$2:$C$999,"="&amp;INS!$A115),"")</f>
        <v>0.34999999999999998</v>
      </c>
      <c r="CD115" s="6">
        <f>IFERROR(AVERAGEIFS(RdTRABYVals!AV$2:AV$999,RdTRABYVals!$B$2:$B$999,"="&amp;$C115,RdTRABYVals!$C$2:$C$999,"="&amp;INS!$A115),"")</f>
        <v>0.34999999999999998</v>
      </c>
    </row>
    <row r="116" spans="1:82" ht="14.4">
      <c r="A116" s="3" t="s">
        <v>125</v>
      </c>
      <c r="C116" s="1" t="s">
        <v>29</v>
      </c>
      <c r="D116" t="str">
        <f t="shared" si="30"/>
        <v>TRA_Car_Fle_Fue_Sma*</v>
      </c>
      <c r="F116" t="str">
        <f t="shared" si="31"/>
        <v>*0.38</v>
      </c>
      <c r="G116" t="str">
        <f t="shared" si="37"/>
        <v>*0.38</v>
      </c>
      <c r="H116" t="str">
        <f t="shared" si="38"/>
        <v>*0.38</v>
      </c>
      <c r="I116" t="str">
        <f t="shared" si="39"/>
        <v>*0.38</v>
      </c>
      <c r="J116" t="str">
        <f t="shared" si="40"/>
        <v>*0.38</v>
      </c>
      <c r="K116" t="str">
        <f t="shared" si="41"/>
        <v>*0.38</v>
      </c>
      <c r="L116" t="str">
        <f t="shared" si="42"/>
        <v>*0.39</v>
      </c>
      <c r="M116" t="str">
        <f t="shared" si="43"/>
        <v>*0.38</v>
      </c>
      <c r="N116" t="str">
        <f t="shared" si="44"/>
        <v>*0.38</v>
      </c>
      <c r="O116" t="str">
        <f t="shared" si="45"/>
        <v>*0.38</v>
      </c>
      <c r="P116" t="str">
        <f t="shared" si="46"/>
        <v>*0.38</v>
      </c>
      <c r="Q116" t="str">
        <f t="shared" si="47"/>
        <v>*0.38</v>
      </c>
      <c r="R116" t="str">
        <f t="shared" si="48"/>
        <v>*0.38</v>
      </c>
      <c r="S116" t="str">
        <f t="shared" si="49"/>
        <v>*0.38</v>
      </c>
      <c r="T116" t="str">
        <f t="shared" si="50"/>
        <v>*0.38</v>
      </c>
      <c r="U116" t="str">
        <f t="shared" si="51"/>
        <v>*0.38</v>
      </c>
      <c r="V116" t="str">
        <f t="shared" si="52"/>
        <v>*0.38</v>
      </c>
      <c r="W116" t="str">
        <f t="shared" si="53"/>
        <v>*0.38</v>
      </c>
      <c r="X116" t="str">
        <f t="shared" si="54"/>
        <v>*0.38</v>
      </c>
      <c r="Y116" t="str">
        <f t="shared" si="55"/>
        <v>*0.38</v>
      </c>
      <c r="Z116" t="str">
        <f t="shared" si="56"/>
        <v>*0.38</v>
      </c>
      <c r="AA116" t="str">
        <f t="shared" si="57"/>
        <v>*0.38</v>
      </c>
      <c r="AB116" t="str">
        <f t="shared" si="58"/>
        <v>*0.38</v>
      </c>
      <c r="AC116" t="str">
        <f t="shared" si="59"/>
        <v>*0.38</v>
      </c>
      <c r="AD116" t="str">
        <f t="shared" si="60"/>
        <v>*0.38</v>
      </c>
      <c r="AE116" t="str">
        <f t="shared" si="61"/>
        <v>*0.38</v>
      </c>
      <c r="AF116" t="str">
        <f t="shared" si="62"/>
        <v>*0.38</v>
      </c>
      <c r="AG116" t="str">
        <f t="shared" si="63"/>
        <v>*0.38</v>
      </c>
      <c r="AH116" t="str">
        <f t="shared" si="64"/>
        <v>*0.38</v>
      </c>
      <c r="AI116" t="str">
        <f t="shared" si="65"/>
        <v>*0.38</v>
      </c>
      <c r="AJ116" t="str">
        <f t="shared" si="66"/>
        <v>*0.38</v>
      </c>
      <c r="AK116" t="str">
        <f t="shared" si="67"/>
        <v>*0.38</v>
      </c>
      <c r="AL116" t="str">
        <f t="shared" si="68"/>
        <v>*0.38</v>
      </c>
      <c r="AM116" t="str">
        <f t="shared" si="69"/>
        <v>*0.38</v>
      </c>
      <c r="AN116" t="str">
        <f t="shared" si="33"/>
        <v>*0.37</v>
      </c>
      <c r="AO116" t="str">
        <f t="shared" si="34"/>
        <v>*0.38</v>
      </c>
      <c r="AP116" t="str">
        <f t="shared" si="35"/>
        <v>*0.38</v>
      </c>
      <c r="AQ116" t="str">
        <f t="shared" si="36"/>
        <v>*0.38</v>
      </c>
      <c r="AS116" s="6">
        <f t="shared" si="32"/>
        <v>0.37999999999999995</v>
      </c>
      <c r="AT116" s="6">
        <f>IFERROR(AVERAGEIFS(RdTRABYVals!L$2:L$999,RdTRABYVals!$B$2:$B$999,"="&amp;$C116,RdTRABYVals!$C$2:$C$999,"="&amp;INS!$A116),"")</f>
        <v>0.38</v>
      </c>
      <c r="AU116" s="6">
        <f>IFERROR(AVERAGEIFS(RdTRABYVals!M$2:M$999,RdTRABYVals!$B$2:$B$999,"="&amp;$C116,RdTRABYVals!$C$2:$C$999,"="&amp;INS!$A116),"")</f>
        <v>0.38</v>
      </c>
      <c r="AV116" s="6">
        <f>IFERROR(AVERAGEIFS(RdTRABYVals!N$2:N$999,RdTRABYVals!$B$2:$B$999,"="&amp;$C116,RdTRABYVals!$C$2:$C$999,"="&amp;INS!$A116),"")</f>
        <v>0.38</v>
      </c>
      <c r="AW116" s="6">
        <f>IFERROR(AVERAGEIFS(RdTRABYVals!O$2:O$999,RdTRABYVals!$B$2:$B$999,"="&amp;$C116,RdTRABYVals!$C$2:$C$999,"="&amp;INS!$A116),"")</f>
        <v>0.38</v>
      </c>
      <c r="AX116" s="6">
        <f>IFERROR(AVERAGEIFS(RdTRABYVals!P$2:P$999,RdTRABYVals!$B$2:$B$999,"="&amp;$C116,RdTRABYVals!$C$2:$C$999,"="&amp;INS!$A116),"")</f>
        <v>0.38</v>
      </c>
      <c r="AY116" s="6">
        <f>IFERROR(AVERAGEIFS(RdTRABYVals!Q$2:Q$999,RdTRABYVals!$B$2:$B$999,"="&amp;$C116,RdTRABYVals!$C$2:$C$999,"="&amp;INS!$A116),"")</f>
        <v>0.39000000000000001</v>
      </c>
      <c r="AZ116" s="6">
        <f>IFERROR(AVERAGEIFS(RdTRABYVals!R$2:R$999,RdTRABYVals!$B$2:$B$999,"="&amp;$C116,RdTRABYVals!$C$2:$C$999,"="&amp;INS!$A116),"")</f>
        <v>0.38</v>
      </c>
      <c r="BA116" s="6">
        <f>IFERROR(AVERAGEIFS(RdTRABYVals!S$2:S$999,RdTRABYVals!$B$2:$B$999,"="&amp;$C116,RdTRABYVals!$C$2:$C$999,"="&amp;INS!$A116),"")</f>
        <v>0.38</v>
      </c>
      <c r="BB116" s="6">
        <f>IFERROR(AVERAGEIFS(RdTRABYVals!T$2:T$999,RdTRABYVals!$B$2:$B$999,"="&amp;$C116,RdTRABYVals!$C$2:$C$999,"="&amp;INS!$A116),"")</f>
        <v>0.38</v>
      </c>
      <c r="BC116" s="6">
        <f>IFERROR(AVERAGEIFS(RdTRABYVals!U$2:U$999,RdTRABYVals!$B$2:$B$999,"="&amp;$C116,RdTRABYVals!$C$2:$C$999,"="&amp;INS!$A116),"")</f>
        <v>0.38</v>
      </c>
      <c r="BD116" s="6">
        <f>IFERROR(AVERAGEIFS(RdTRABYVals!V$2:V$999,RdTRABYVals!$B$2:$B$999,"="&amp;$C116,RdTRABYVals!$C$2:$C$999,"="&amp;INS!$A116),"")</f>
        <v>0.38</v>
      </c>
      <c r="BE116" s="6">
        <f>IFERROR(AVERAGEIFS(RdTRABYVals!W$2:W$999,RdTRABYVals!$B$2:$B$999,"="&amp;$C116,RdTRABYVals!$C$2:$C$999,"="&amp;INS!$A116),"")</f>
        <v>0.38</v>
      </c>
      <c r="BF116" s="6">
        <f>IFERROR(AVERAGEIFS(RdTRABYVals!X$2:X$999,RdTRABYVals!$B$2:$B$999,"="&amp;$C116,RdTRABYVals!$C$2:$C$999,"="&amp;INS!$A116),"")</f>
        <v>0.38</v>
      </c>
      <c r="BG116" s="6">
        <f>IFERROR(AVERAGEIFS(RdTRABYVals!Y$2:Y$999,RdTRABYVals!$B$2:$B$999,"="&amp;$C116,RdTRABYVals!$C$2:$C$999,"="&amp;INS!$A116),"")</f>
        <v>0.38</v>
      </c>
      <c r="BH116" s="6">
        <f>IFERROR(AVERAGEIFS(RdTRABYVals!Z$2:Z$999,RdTRABYVals!$B$2:$B$999,"="&amp;$C116,RdTRABYVals!$C$2:$C$999,"="&amp;INS!$A116),"")</f>
        <v>0.38</v>
      </c>
      <c r="BI116" s="6">
        <f>IFERROR(AVERAGEIFS(RdTRABYVals!AA$2:AA$999,RdTRABYVals!$B$2:$B$999,"="&amp;$C116,RdTRABYVals!$C$2:$C$999,"="&amp;INS!$A116),"")</f>
        <v>0.38</v>
      </c>
      <c r="BJ116" s="6">
        <f>IFERROR(AVERAGEIFS(RdTRABYVals!AB$2:AB$999,RdTRABYVals!$B$2:$B$999,"="&amp;$C116,RdTRABYVals!$C$2:$C$999,"="&amp;INS!$A116),"")</f>
        <v>0.38</v>
      </c>
      <c r="BK116" s="6">
        <f>IFERROR(AVERAGEIFS(RdTRABYVals!AC$2:AC$999,RdTRABYVals!$B$2:$B$999,"="&amp;$C116,RdTRABYVals!$C$2:$C$999,"="&amp;INS!$A116),"")</f>
        <v>0.38</v>
      </c>
      <c r="BL116" s="6">
        <f>IFERROR(AVERAGEIFS(RdTRABYVals!AD$2:AD$999,RdTRABYVals!$B$2:$B$999,"="&amp;$C116,RdTRABYVals!$C$2:$C$999,"="&amp;INS!$A116),"")</f>
        <v>0.38</v>
      </c>
      <c r="BM116" s="6">
        <f>IFERROR(AVERAGEIFS(RdTRABYVals!AE$2:AE$999,RdTRABYVals!$B$2:$B$999,"="&amp;$C116,RdTRABYVals!$C$2:$C$999,"="&amp;INS!$A116),"")</f>
        <v>0.38</v>
      </c>
      <c r="BN116" s="6">
        <f>IFERROR(AVERAGEIFS(RdTRABYVals!AF$2:AF$999,RdTRABYVals!$B$2:$B$999,"="&amp;$C116,RdTRABYVals!$C$2:$C$999,"="&amp;INS!$A116),"")</f>
        <v>0.38</v>
      </c>
      <c r="BO116" s="6">
        <f>IFERROR(AVERAGEIFS(RdTRABYVals!AG$2:AG$999,RdTRABYVals!$B$2:$B$999,"="&amp;$C116,RdTRABYVals!$C$2:$C$999,"="&amp;INS!$A116),"")</f>
        <v>0.38</v>
      </c>
      <c r="BP116" s="6">
        <f>IFERROR(AVERAGEIFS(RdTRABYVals!AH$2:AH$999,RdTRABYVals!$B$2:$B$999,"="&amp;$C116,RdTRABYVals!$C$2:$C$999,"="&amp;INS!$A116),"")</f>
        <v>0.38</v>
      </c>
      <c r="BQ116" s="6">
        <f>IFERROR(AVERAGEIFS(RdTRABYVals!AI$2:AI$999,RdTRABYVals!$B$2:$B$999,"="&amp;$C116,RdTRABYVals!$C$2:$C$999,"="&amp;INS!$A116),"")</f>
        <v>0.38</v>
      </c>
      <c r="BR116" s="6">
        <f>IFERROR(AVERAGEIFS(RdTRABYVals!AJ$2:AJ$999,RdTRABYVals!$B$2:$B$999,"="&amp;$C116,RdTRABYVals!$C$2:$C$999,"="&amp;INS!$A116),"")</f>
        <v>0.38</v>
      </c>
      <c r="BS116" s="6">
        <f>IFERROR(AVERAGEIFS(RdTRABYVals!AK$2:AK$999,RdTRABYVals!$B$2:$B$999,"="&amp;$C116,RdTRABYVals!$C$2:$C$999,"="&amp;INS!$A116),"")</f>
        <v>0.38</v>
      </c>
      <c r="BT116" s="6">
        <f>IFERROR(AVERAGEIFS(RdTRABYVals!AL$2:AL$999,RdTRABYVals!$B$2:$B$999,"="&amp;$C116,RdTRABYVals!$C$2:$C$999,"="&amp;INS!$A116),"")</f>
        <v>0.38</v>
      </c>
      <c r="BU116" s="6">
        <f>IFERROR(AVERAGEIFS(RdTRABYVals!AM$2:AM$999,RdTRABYVals!$B$2:$B$999,"="&amp;$C116,RdTRABYVals!$C$2:$C$999,"="&amp;INS!$A116),"")</f>
        <v>0.38</v>
      </c>
      <c r="BV116" s="6">
        <f>IFERROR(AVERAGEIFS(RdTRABYVals!AN$2:AN$999,RdTRABYVals!$B$2:$B$999,"="&amp;$C116,RdTRABYVals!$C$2:$C$999,"="&amp;INS!$A116),"")</f>
        <v>0.38</v>
      </c>
      <c r="BW116" s="6">
        <f>IFERROR(AVERAGEIFS(RdTRABYVals!AO$2:AO$999,RdTRABYVals!$B$2:$B$999,"="&amp;$C116,RdTRABYVals!$C$2:$C$999,"="&amp;INS!$A116),"")</f>
        <v>0.38</v>
      </c>
      <c r="BX116" s="6">
        <f>IFERROR(AVERAGEIFS(RdTRABYVals!AP$2:AP$999,RdTRABYVals!$B$2:$B$999,"="&amp;$C116,RdTRABYVals!$C$2:$C$999,"="&amp;INS!$A116),"")</f>
        <v>0.38</v>
      </c>
      <c r="BY116" s="6">
        <f>IFERROR(AVERAGEIFS(RdTRABYVals!AQ$2:AQ$999,RdTRABYVals!$B$2:$B$999,"="&amp;$C116,RdTRABYVals!$C$2:$C$999,"="&amp;INS!$A116),"")</f>
        <v>0.38</v>
      </c>
      <c r="BZ116" s="6">
        <f>IFERROR(AVERAGEIFS(RdTRABYVals!AR$2:AR$999,RdTRABYVals!$B$2:$B$999,"="&amp;$C116,RdTRABYVals!$C$2:$C$999,"="&amp;INS!$A116),"")</f>
        <v>0.38</v>
      </c>
      <c r="CA116" s="6">
        <f>IFERROR(AVERAGEIFS(RdTRABYVals!AS$2:AS$999,RdTRABYVals!$B$2:$B$999,"="&amp;$C116,RdTRABYVals!$C$2:$C$999,"="&amp;INS!$A116),"")</f>
        <v>0.37</v>
      </c>
      <c r="CB116" s="6">
        <f>IFERROR(AVERAGEIFS(RdTRABYVals!AT$2:AT$999,RdTRABYVals!$B$2:$B$999,"="&amp;$C116,RdTRABYVals!$C$2:$C$999,"="&amp;INS!$A116),"")</f>
        <v>0.38</v>
      </c>
      <c r="CC116" s="6">
        <f>IFERROR(AVERAGEIFS(RdTRABYVals!AU$2:AU$999,RdTRABYVals!$B$2:$B$999,"="&amp;$C116,RdTRABYVals!$C$2:$C$999,"="&amp;INS!$A116),"")</f>
        <v>0.38</v>
      </c>
      <c r="CD116" s="6">
        <f>IFERROR(AVERAGEIFS(RdTRABYVals!AV$2:AV$999,RdTRABYVals!$B$2:$B$999,"="&amp;$C116,RdTRABYVals!$C$2:$C$999,"="&amp;INS!$A116),"")</f>
        <v>0.38</v>
      </c>
    </row>
    <row r="117" spans="1:82" ht="14.4">
      <c r="A117" s="3" t="s">
        <v>126</v>
      </c>
      <c r="C117" s="1" t="s">
        <v>29</v>
      </c>
      <c r="D117" t="str">
        <f t="shared" si="30"/>
        <v>TRA_Car_Fle_Fue_Upm*</v>
      </c>
      <c r="F117" t="str">
        <f t="shared" si="31"/>
        <v>*0.29</v>
      </c>
      <c r="G117" t="str">
        <f t="shared" si="37"/>
        <v>*0.29</v>
      </c>
      <c r="H117" t="str">
        <f t="shared" si="38"/>
        <v>*0.29</v>
      </c>
      <c r="I117" t="str">
        <f t="shared" si="39"/>
        <v>*0.29</v>
      </c>
      <c r="J117" t="str">
        <f t="shared" si="40"/>
        <v>*0.29</v>
      </c>
      <c r="K117" t="str">
        <f t="shared" si="41"/>
        <v>*0.29</v>
      </c>
      <c r="L117" t="str">
        <f t="shared" si="42"/>
        <v>*0.31</v>
      </c>
      <c r="M117" t="str">
        <f t="shared" si="43"/>
        <v>*0.29</v>
      </c>
      <c r="N117" t="str">
        <f t="shared" si="44"/>
        <v>*0.29</v>
      </c>
      <c r="O117" t="str">
        <f t="shared" si="45"/>
        <v>*0.29</v>
      </c>
      <c r="P117" t="str">
        <f t="shared" si="46"/>
        <v>*0.29</v>
      </c>
      <c r="Q117" t="str">
        <f t="shared" si="47"/>
        <v>*0.29</v>
      </c>
      <c r="R117" t="str">
        <f t="shared" si="48"/>
        <v>*0.29</v>
      </c>
      <c r="S117" t="str">
        <f t="shared" si="49"/>
        <v>*0.29</v>
      </c>
      <c r="T117" t="str">
        <f t="shared" si="50"/>
        <v>*0.29</v>
      </c>
      <c r="U117" t="str">
        <f t="shared" si="51"/>
        <v>*0.29</v>
      </c>
      <c r="V117" t="str">
        <f t="shared" si="52"/>
        <v>*0.29</v>
      </c>
      <c r="W117" t="str">
        <f t="shared" si="53"/>
        <v>*0.29</v>
      </c>
      <c r="X117" t="str">
        <f t="shared" si="54"/>
        <v>*0.29</v>
      </c>
      <c r="Y117" t="str">
        <f t="shared" si="55"/>
        <v>*0.29</v>
      </c>
      <c r="Z117" t="str">
        <f t="shared" si="56"/>
        <v>*0.29</v>
      </c>
      <c r="AA117" t="str">
        <f t="shared" si="57"/>
        <v>*0.29</v>
      </c>
      <c r="AB117" t="str">
        <f t="shared" si="58"/>
        <v>*0.29</v>
      </c>
      <c r="AC117" t="str">
        <f t="shared" si="59"/>
        <v>*0.29</v>
      </c>
      <c r="AD117" t="str">
        <f t="shared" si="60"/>
        <v>*0.29</v>
      </c>
      <c r="AE117" t="str">
        <f t="shared" si="61"/>
        <v>*0.29</v>
      </c>
      <c r="AF117" t="str">
        <f t="shared" si="62"/>
        <v>*0.29</v>
      </c>
      <c r="AG117" t="str">
        <f t="shared" si="63"/>
        <v>*0.29</v>
      </c>
      <c r="AH117" t="str">
        <f t="shared" si="64"/>
        <v>*0.29</v>
      </c>
      <c r="AI117" t="str">
        <f t="shared" si="65"/>
        <v>*0.29</v>
      </c>
      <c r="AJ117" t="str">
        <f t="shared" si="66"/>
        <v>*0.29</v>
      </c>
      <c r="AK117" t="str">
        <f t="shared" si="67"/>
        <v>*0.29</v>
      </c>
      <c r="AL117" t="str">
        <f t="shared" si="68"/>
        <v>*0.29</v>
      </c>
      <c r="AM117" t="str">
        <f t="shared" si="69"/>
        <v>*0.29</v>
      </c>
      <c r="AN117" t="str">
        <f t="shared" si="33"/>
        <v>*0.27</v>
      </c>
      <c r="AO117" t="str">
        <f t="shared" si="34"/>
        <v>*0.29</v>
      </c>
      <c r="AP117" t="str">
        <f t="shared" si="35"/>
        <v>*0.29</v>
      </c>
      <c r="AQ117" t="str">
        <f t="shared" si="36"/>
        <v>*0.29</v>
      </c>
      <c r="AS117" s="6">
        <f t="shared" si="32"/>
        <v>0.28999999999999998</v>
      </c>
      <c r="AT117" s="6">
        <f>IFERROR(AVERAGEIFS(RdTRABYVals!L$2:L$999,RdTRABYVals!$B$2:$B$999,"="&amp;$C117,RdTRABYVals!$C$2:$C$999,"="&amp;INS!$A117),"")</f>
        <v>0.28999999999999998</v>
      </c>
      <c r="AU117" s="6">
        <f>IFERROR(AVERAGEIFS(RdTRABYVals!M$2:M$999,RdTRABYVals!$B$2:$B$999,"="&amp;$C117,RdTRABYVals!$C$2:$C$999,"="&amp;INS!$A117),"")</f>
        <v>0.28999999999999998</v>
      </c>
      <c r="AV117" s="6">
        <f>IFERROR(AVERAGEIFS(RdTRABYVals!N$2:N$999,RdTRABYVals!$B$2:$B$999,"="&amp;$C117,RdTRABYVals!$C$2:$C$999,"="&amp;INS!$A117),"")</f>
        <v>0.28999999999999998</v>
      </c>
      <c r="AW117" s="6">
        <f>IFERROR(AVERAGEIFS(RdTRABYVals!O$2:O$999,RdTRABYVals!$B$2:$B$999,"="&amp;$C117,RdTRABYVals!$C$2:$C$999,"="&amp;INS!$A117),"")</f>
        <v>0.28999999999999998</v>
      </c>
      <c r="AX117" s="6">
        <f>IFERROR(AVERAGEIFS(RdTRABYVals!P$2:P$999,RdTRABYVals!$B$2:$B$999,"="&amp;$C117,RdTRABYVals!$C$2:$C$999,"="&amp;INS!$A117),"")</f>
        <v>0.28999999999999998</v>
      </c>
      <c r="AY117" s="6">
        <f>IFERROR(AVERAGEIFS(RdTRABYVals!Q$2:Q$999,RdTRABYVals!$B$2:$B$999,"="&amp;$C117,RdTRABYVals!$C$2:$C$999,"="&amp;INS!$A117),"")</f>
        <v>0.31</v>
      </c>
      <c r="AZ117" s="6">
        <f>IFERROR(AVERAGEIFS(RdTRABYVals!R$2:R$999,RdTRABYVals!$B$2:$B$999,"="&amp;$C117,RdTRABYVals!$C$2:$C$999,"="&amp;INS!$A117),"")</f>
        <v>0.28999999999999998</v>
      </c>
      <c r="BA117" s="6">
        <f>IFERROR(AVERAGEIFS(RdTRABYVals!S$2:S$999,RdTRABYVals!$B$2:$B$999,"="&amp;$C117,RdTRABYVals!$C$2:$C$999,"="&amp;INS!$A117),"")</f>
        <v>0.28999999999999998</v>
      </c>
      <c r="BB117" s="6">
        <f>IFERROR(AVERAGEIFS(RdTRABYVals!T$2:T$999,RdTRABYVals!$B$2:$B$999,"="&amp;$C117,RdTRABYVals!$C$2:$C$999,"="&amp;INS!$A117),"")</f>
        <v>0.28999999999999998</v>
      </c>
      <c r="BC117" s="6">
        <f>IFERROR(AVERAGEIFS(RdTRABYVals!U$2:U$999,RdTRABYVals!$B$2:$B$999,"="&amp;$C117,RdTRABYVals!$C$2:$C$999,"="&amp;INS!$A117),"")</f>
        <v>0.28999999999999998</v>
      </c>
      <c r="BD117" s="6">
        <f>IFERROR(AVERAGEIFS(RdTRABYVals!V$2:V$999,RdTRABYVals!$B$2:$B$999,"="&amp;$C117,RdTRABYVals!$C$2:$C$999,"="&amp;INS!$A117),"")</f>
        <v>0.28999999999999998</v>
      </c>
      <c r="BE117" s="6">
        <f>IFERROR(AVERAGEIFS(RdTRABYVals!W$2:W$999,RdTRABYVals!$B$2:$B$999,"="&amp;$C117,RdTRABYVals!$C$2:$C$999,"="&amp;INS!$A117),"")</f>
        <v>0.28999999999999998</v>
      </c>
      <c r="BF117" s="6">
        <f>IFERROR(AVERAGEIFS(RdTRABYVals!X$2:X$999,RdTRABYVals!$B$2:$B$999,"="&amp;$C117,RdTRABYVals!$C$2:$C$999,"="&amp;INS!$A117),"")</f>
        <v>0.28999999999999998</v>
      </c>
      <c r="BG117" s="6">
        <f>IFERROR(AVERAGEIFS(RdTRABYVals!Y$2:Y$999,RdTRABYVals!$B$2:$B$999,"="&amp;$C117,RdTRABYVals!$C$2:$C$999,"="&amp;INS!$A117),"")</f>
        <v>0.28999999999999998</v>
      </c>
      <c r="BH117" s="6">
        <f>IFERROR(AVERAGEIFS(RdTRABYVals!Z$2:Z$999,RdTRABYVals!$B$2:$B$999,"="&amp;$C117,RdTRABYVals!$C$2:$C$999,"="&amp;INS!$A117),"")</f>
        <v>0.28999999999999998</v>
      </c>
      <c r="BI117" s="6">
        <f>IFERROR(AVERAGEIFS(RdTRABYVals!AA$2:AA$999,RdTRABYVals!$B$2:$B$999,"="&amp;$C117,RdTRABYVals!$C$2:$C$999,"="&amp;INS!$A117),"")</f>
        <v>0.28999999999999998</v>
      </c>
      <c r="BJ117" s="6">
        <f>IFERROR(AVERAGEIFS(RdTRABYVals!AB$2:AB$999,RdTRABYVals!$B$2:$B$999,"="&amp;$C117,RdTRABYVals!$C$2:$C$999,"="&amp;INS!$A117),"")</f>
        <v>0.28999999999999998</v>
      </c>
      <c r="BK117" s="6">
        <f>IFERROR(AVERAGEIFS(RdTRABYVals!AC$2:AC$999,RdTRABYVals!$B$2:$B$999,"="&amp;$C117,RdTRABYVals!$C$2:$C$999,"="&amp;INS!$A117),"")</f>
        <v>0.28999999999999998</v>
      </c>
      <c r="BL117" s="6">
        <f>IFERROR(AVERAGEIFS(RdTRABYVals!AD$2:AD$999,RdTRABYVals!$B$2:$B$999,"="&amp;$C117,RdTRABYVals!$C$2:$C$999,"="&amp;INS!$A117),"")</f>
        <v>0.28999999999999998</v>
      </c>
      <c r="BM117" s="6">
        <f>IFERROR(AVERAGEIFS(RdTRABYVals!AE$2:AE$999,RdTRABYVals!$B$2:$B$999,"="&amp;$C117,RdTRABYVals!$C$2:$C$999,"="&amp;INS!$A117),"")</f>
        <v>0.28999999999999998</v>
      </c>
      <c r="BN117" s="6">
        <f>IFERROR(AVERAGEIFS(RdTRABYVals!AF$2:AF$999,RdTRABYVals!$B$2:$B$999,"="&amp;$C117,RdTRABYVals!$C$2:$C$999,"="&amp;INS!$A117),"")</f>
        <v>0.28999999999999998</v>
      </c>
      <c r="BO117" s="6">
        <f>IFERROR(AVERAGEIFS(RdTRABYVals!AG$2:AG$999,RdTRABYVals!$B$2:$B$999,"="&amp;$C117,RdTRABYVals!$C$2:$C$999,"="&amp;INS!$A117),"")</f>
        <v>0.28999999999999998</v>
      </c>
      <c r="BP117" s="6">
        <f>IFERROR(AVERAGEIFS(RdTRABYVals!AH$2:AH$999,RdTRABYVals!$B$2:$B$999,"="&amp;$C117,RdTRABYVals!$C$2:$C$999,"="&amp;INS!$A117),"")</f>
        <v>0.28999999999999998</v>
      </c>
      <c r="BQ117" s="6">
        <f>IFERROR(AVERAGEIFS(RdTRABYVals!AI$2:AI$999,RdTRABYVals!$B$2:$B$999,"="&amp;$C117,RdTRABYVals!$C$2:$C$999,"="&amp;INS!$A117),"")</f>
        <v>0.28999999999999998</v>
      </c>
      <c r="BR117" s="6">
        <f>IFERROR(AVERAGEIFS(RdTRABYVals!AJ$2:AJ$999,RdTRABYVals!$B$2:$B$999,"="&amp;$C117,RdTRABYVals!$C$2:$C$999,"="&amp;INS!$A117),"")</f>
        <v>0.28999999999999998</v>
      </c>
      <c r="BS117" s="6">
        <f>IFERROR(AVERAGEIFS(RdTRABYVals!AK$2:AK$999,RdTRABYVals!$B$2:$B$999,"="&amp;$C117,RdTRABYVals!$C$2:$C$999,"="&amp;INS!$A117),"")</f>
        <v>0.28999999999999998</v>
      </c>
      <c r="BT117" s="6">
        <f>IFERROR(AVERAGEIFS(RdTRABYVals!AL$2:AL$999,RdTRABYVals!$B$2:$B$999,"="&amp;$C117,RdTRABYVals!$C$2:$C$999,"="&amp;INS!$A117),"")</f>
        <v>0.28999999999999998</v>
      </c>
      <c r="BU117" s="6">
        <f>IFERROR(AVERAGEIFS(RdTRABYVals!AM$2:AM$999,RdTRABYVals!$B$2:$B$999,"="&amp;$C117,RdTRABYVals!$C$2:$C$999,"="&amp;INS!$A117),"")</f>
        <v>0.28999999999999998</v>
      </c>
      <c r="BV117" s="6">
        <f>IFERROR(AVERAGEIFS(RdTRABYVals!AN$2:AN$999,RdTRABYVals!$B$2:$B$999,"="&amp;$C117,RdTRABYVals!$C$2:$C$999,"="&amp;INS!$A117),"")</f>
        <v>0.28999999999999998</v>
      </c>
      <c r="BW117" s="6">
        <f>IFERROR(AVERAGEIFS(RdTRABYVals!AO$2:AO$999,RdTRABYVals!$B$2:$B$999,"="&amp;$C117,RdTRABYVals!$C$2:$C$999,"="&amp;INS!$A117),"")</f>
        <v>0.28999999999999998</v>
      </c>
      <c r="BX117" s="6">
        <f>IFERROR(AVERAGEIFS(RdTRABYVals!AP$2:AP$999,RdTRABYVals!$B$2:$B$999,"="&amp;$C117,RdTRABYVals!$C$2:$C$999,"="&amp;INS!$A117),"")</f>
        <v>0.28999999999999998</v>
      </c>
      <c r="BY117" s="6">
        <f>IFERROR(AVERAGEIFS(RdTRABYVals!AQ$2:AQ$999,RdTRABYVals!$B$2:$B$999,"="&amp;$C117,RdTRABYVals!$C$2:$C$999,"="&amp;INS!$A117),"")</f>
        <v>0.28999999999999998</v>
      </c>
      <c r="BZ117" s="6">
        <f>IFERROR(AVERAGEIFS(RdTRABYVals!AR$2:AR$999,RdTRABYVals!$B$2:$B$999,"="&amp;$C117,RdTRABYVals!$C$2:$C$999,"="&amp;INS!$A117),"")</f>
        <v>0.28999999999999998</v>
      </c>
      <c r="CA117" s="6">
        <f>IFERROR(AVERAGEIFS(RdTRABYVals!AS$2:AS$999,RdTRABYVals!$B$2:$B$999,"="&amp;$C117,RdTRABYVals!$C$2:$C$999,"="&amp;INS!$A117),"")</f>
        <v>0.27000000000000002</v>
      </c>
      <c r="CB117" s="6">
        <f>IFERROR(AVERAGEIFS(RdTRABYVals!AT$2:AT$999,RdTRABYVals!$B$2:$B$999,"="&amp;$C117,RdTRABYVals!$C$2:$C$999,"="&amp;INS!$A117),"")</f>
        <v>0.28999999999999998</v>
      </c>
      <c r="CC117" s="6">
        <f>IFERROR(AVERAGEIFS(RdTRABYVals!AU$2:AU$999,RdTRABYVals!$B$2:$B$999,"="&amp;$C117,RdTRABYVals!$C$2:$C$999,"="&amp;INS!$A117),"")</f>
        <v>0.28999999999999998</v>
      </c>
      <c r="CD117" s="6">
        <f>IFERROR(AVERAGEIFS(RdTRABYVals!AV$2:AV$999,RdTRABYVals!$B$2:$B$999,"="&amp;$C117,RdTRABYVals!$C$2:$C$999,"="&amp;INS!$A117),"")</f>
        <v>0.28999999999999998</v>
      </c>
    </row>
    <row r="118" spans="1:82" ht="14.4">
      <c r="A118" s="3" t="s">
        <v>127</v>
      </c>
      <c r="C118" s="1" t="s">
        <v>29</v>
      </c>
      <c r="D118" t="str">
        <f t="shared" si="30"/>
        <v>TRA_Car_Gas_Exe*</v>
      </c>
      <c r="F118" t="str">
        <f t="shared" si="31"/>
        <v>*0.261891891891892</v>
      </c>
      <c r="G118" t="str">
        <f t="shared" si="37"/>
        <v>*0.23</v>
      </c>
      <c r="H118" t="str">
        <f t="shared" si="38"/>
        <v>*0.24</v>
      </c>
      <c r="I118" t="str">
        <f t="shared" si="39"/>
        <v>*0.28</v>
      </c>
      <c r="J118" t="str">
        <f t="shared" si="40"/>
        <v>*0.25</v>
      </c>
      <c r="K118" t="str">
        <f t="shared" si="41"/>
        <v>*0.22</v>
      </c>
      <c r="L118" t="str">
        <f t="shared" si="42"/>
        <v>*0.25</v>
      </c>
      <c r="M118" t="str">
        <f t="shared" si="43"/>
        <v>*0.24</v>
      </c>
      <c r="N118" t="str">
        <f t="shared" si="44"/>
        <v>*0.27</v>
      </c>
      <c r="O118" t="str">
        <f t="shared" si="45"/>
        <v>*0.25</v>
      </c>
      <c r="P118" t="str">
        <f t="shared" si="46"/>
        <v>*0.29</v>
      </c>
      <c r="Q118" t="str">
        <f t="shared" si="47"/>
        <v>*0.31</v>
      </c>
      <c r="R118" t="str">
        <f t="shared" si="48"/>
        <v>*0.23</v>
      </c>
      <c r="S118" t="str">
        <f t="shared" si="49"/>
        <v>*0.29</v>
      </c>
      <c r="T118" t="str">
        <f t="shared" si="50"/>
        <v>*0.26</v>
      </c>
      <c r="U118" t="str">
        <f t="shared" si="51"/>
        <v>*0.26</v>
      </c>
      <c r="V118" t="str">
        <f t="shared" si="52"/>
        <v>*0.28</v>
      </c>
      <c r="W118" t="str">
        <f t="shared" si="53"/>
        <v>*0.29</v>
      </c>
      <c r="X118" t="str">
        <f t="shared" si="54"/>
        <v>*0.24</v>
      </c>
      <c r="Y118" t="str">
        <f t="shared" si="55"/>
        <v>*0.25</v>
      </c>
      <c r="Z118" t="str">
        <f t="shared" si="56"/>
        <v>*0.23</v>
      </c>
      <c r="AA118" t="str">
        <f t="shared" si="57"/>
        <v>*0.28</v>
      </c>
      <c r="AB118" t="str">
        <f t="shared" si="58"/>
        <v>*0.28</v>
      </c>
      <c r="AC118" t="str">
        <f t="shared" si="59"/>
        <v>*0.26</v>
      </c>
      <c r="AD118" t="str">
        <f t="shared" si="60"/>
        <v>*0.28</v>
      </c>
      <c r="AE118" t="str">
        <f t="shared" si="61"/>
        <v>*0.23</v>
      </c>
      <c r="AF118" t="str">
        <f t="shared" si="62"/>
        <v>*0.26</v>
      </c>
      <c r="AG118" t="str">
        <f t="shared" si="63"/>
        <v>*0.28</v>
      </c>
      <c r="AH118" t="str">
        <f t="shared" si="64"/>
        <v>*0.25</v>
      </c>
      <c r="AI118" t="str">
        <f t="shared" si="65"/>
        <v>*0.27</v>
      </c>
      <c r="AJ118" t="str">
        <f t="shared" si="66"/>
        <v>*0.28</v>
      </c>
      <c r="AK118" t="str">
        <f t="shared" si="67"/>
        <v>*0.27</v>
      </c>
      <c r="AL118" t="str">
        <f t="shared" si="68"/>
        <v>*0.21</v>
      </c>
      <c r="AM118" t="str">
        <f t="shared" si="69"/>
        <v>*0.28</v>
      </c>
      <c r="AN118" t="str">
        <f t="shared" si="33"/>
        <v>*0.28</v>
      </c>
      <c r="AO118" t="str">
        <f t="shared" si="34"/>
        <v>*0.28</v>
      </c>
      <c r="AP118" t="str">
        <f t="shared" si="35"/>
        <v>*0.28</v>
      </c>
      <c r="AQ118" t="str">
        <f t="shared" si="36"/>
        <v>*0.26</v>
      </c>
      <c r="AS118" s="6">
        <f t="shared" si="32"/>
        <v>0.26189189189189194</v>
      </c>
      <c r="AT118" s="6">
        <f>IFERROR(AVERAGEIFS(RdTRABYVals!L$2:L$999,RdTRABYVals!$B$2:$B$999,"="&amp;$C118,RdTRABYVals!$C$2:$C$999,"="&amp;INS!$A118),"")</f>
        <v>0.23000000000000001</v>
      </c>
      <c r="AU118" s="6">
        <f>IFERROR(AVERAGEIFS(RdTRABYVals!M$2:M$999,RdTRABYVals!$B$2:$B$999,"="&amp;$C118,RdTRABYVals!$C$2:$C$999,"="&amp;INS!$A118),"")</f>
        <v>0.23999999999999999</v>
      </c>
      <c r="AV118" s="6">
        <f>IFERROR(AVERAGEIFS(RdTRABYVals!N$2:N$999,RdTRABYVals!$B$2:$B$999,"="&amp;$C118,RdTRABYVals!$C$2:$C$999,"="&amp;INS!$A118),"")</f>
        <v>0.28000000000000003</v>
      </c>
      <c r="AW118" s="6">
        <f>IFERROR(AVERAGEIFS(RdTRABYVals!O$2:O$999,RdTRABYVals!$B$2:$B$999,"="&amp;$C118,RdTRABYVals!$C$2:$C$999,"="&amp;INS!$A118),"")</f>
        <v>0.25</v>
      </c>
      <c r="AX118" s="6">
        <f>IFERROR(AVERAGEIFS(RdTRABYVals!P$2:P$999,RdTRABYVals!$B$2:$B$999,"="&amp;$C118,RdTRABYVals!$C$2:$C$999,"="&amp;INS!$A118),"")</f>
        <v>0.22</v>
      </c>
      <c r="AY118" s="6">
        <f>IFERROR(AVERAGEIFS(RdTRABYVals!Q$2:Q$999,RdTRABYVals!$B$2:$B$999,"="&amp;$C118,RdTRABYVals!$C$2:$C$999,"="&amp;INS!$A118),"")</f>
        <v>0.25</v>
      </c>
      <c r="AZ118" s="6">
        <f>IFERROR(AVERAGEIFS(RdTRABYVals!R$2:R$999,RdTRABYVals!$B$2:$B$999,"="&amp;$C118,RdTRABYVals!$C$2:$C$999,"="&amp;INS!$A118),"")</f>
        <v>0.23999999999999999</v>
      </c>
      <c r="BA118" s="6">
        <f>IFERROR(AVERAGEIFS(RdTRABYVals!S$2:S$999,RdTRABYVals!$B$2:$B$999,"="&amp;$C118,RdTRABYVals!$C$2:$C$999,"="&amp;INS!$A118),"")</f>
        <v>0.27000000000000002</v>
      </c>
      <c r="BB118" s="6">
        <f>IFERROR(AVERAGEIFS(RdTRABYVals!T$2:T$999,RdTRABYVals!$B$2:$B$999,"="&amp;$C118,RdTRABYVals!$C$2:$C$999,"="&amp;INS!$A118),"")</f>
        <v>0.25</v>
      </c>
      <c r="BC118" s="6">
        <f>IFERROR(AVERAGEIFS(RdTRABYVals!U$2:U$999,RdTRABYVals!$B$2:$B$999,"="&amp;$C118,RdTRABYVals!$C$2:$C$999,"="&amp;INS!$A118),"")</f>
        <v>0.28999999999999998</v>
      </c>
      <c r="BD118" s="6">
        <f>IFERROR(AVERAGEIFS(RdTRABYVals!V$2:V$999,RdTRABYVals!$B$2:$B$999,"="&amp;$C118,RdTRABYVals!$C$2:$C$999,"="&amp;INS!$A118),"")</f>
        <v>0.31</v>
      </c>
      <c r="BE118" s="6">
        <f>IFERROR(AVERAGEIFS(RdTRABYVals!W$2:W$999,RdTRABYVals!$B$2:$B$999,"="&amp;$C118,RdTRABYVals!$C$2:$C$999,"="&amp;INS!$A118),"")</f>
        <v>0.23000000000000001</v>
      </c>
      <c r="BF118" s="6">
        <f>IFERROR(AVERAGEIFS(RdTRABYVals!X$2:X$999,RdTRABYVals!$B$2:$B$999,"="&amp;$C118,RdTRABYVals!$C$2:$C$999,"="&amp;INS!$A118),"")</f>
        <v>0.28999999999999998</v>
      </c>
      <c r="BG118" s="6">
        <f>IFERROR(AVERAGEIFS(RdTRABYVals!Y$2:Y$999,RdTRABYVals!$B$2:$B$999,"="&amp;$C118,RdTRABYVals!$C$2:$C$999,"="&amp;INS!$A118),"")</f>
        <v>0.26000000000000001</v>
      </c>
      <c r="BH118" s="6">
        <f>IFERROR(AVERAGEIFS(RdTRABYVals!Z$2:Z$999,RdTRABYVals!$B$2:$B$999,"="&amp;$C118,RdTRABYVals!$C$2:$C$999,"="&amp;INS!$A118),"")</f>
        <v>0.26000000000000001</v>
      </c>
      <c r="BI118" s="6">
        <f>IFERROR(AVERAGEIFS(RdTRABYVals!AA$2:AA$999,RdTRABYVals!$B$2:$B$999,"="&amp;$C118,RdTRABYVals!$C$2:$C$999,"="&amp;INS!$A118),"")</f>
        <v>0.28000000000000003</v>
      </c>
      <c r="BJ118" s="6">
        <f>IFERROR(AVERAGEIFS(RdTRABYVals!AB$2:AB$999,RdTRABYVals!$B$2:$B$999,"="&amp;$C118,RdTRABYVals!$C$2:$C$999,"="&amp;INS!$A118),"")</f>
        <v>0.28999999999999998</v>
      </c>
      <c r="BK118" s="6">
        <f>IFERROR(AVERAGEIFS(RdTRABYVals!AC$2:AC$999,RdTRABYVals!$B$2:$B$999,"="&amp;$C118,RdTRABYVals!$C$2:$C$999,"="&amp;INS!$A118),"")</f>
        <v>0.23999999999999999</v>
      </c>
      <c r="BL118" s="6">
        <f>IFERROR(AVERAGEIFS(RdTRABYVals!AD$2:AD$999,RdTRABYVals!$B$2:$B$999,"="&amp;$C118,RdTRABYVals!$C$2:$C$999,"="&amp;INS!$A118),"")</f>
        <v>0.25</v>
      </c>
      <c r="BM118" s="6">
        <f>IFERROR(AVERAGEIFS(RdTRABYVals!AE$2:AE$999,RdTRABYVals!$B$2:$B$999,"="&amp;$C118,RdTRABYVals!$C$2:$C$999,"="&amp;INS!$A118),"")</f>
        <v>0.23000000000000001</v>
      </c>
      <c r="BN118" s="6">
        <f>IFERROR(AVERAGEIFS(RdTRABYVals!AF$2:AF$999,RdTRABYVals!$B$2:$B$999,"="&amp;$C118,RdTRABYVals!$C$2:$C$999,"="&amp;INS!$A118),"")</f>
        <v>0.28000000000000003</v>
      </c>
      <c r="BO118" s="6">
        <f>IFERROR(AVERAGEIFS(RdTRABYVals!AG$2:AG$999,RdTRABYVals!$B$2:$B$999,"="&amp;$C118,RdTRABYVals!$C$2:$C$999,"="&amp;INS!$A118),"")</f>
        <v>0.28000000000000003</v>
      </c>
      <c r="BP118" s="6">
        <f>IFERROR(AVERAGEIFS(RdTRABYVals!AH$2:AH$999,RdTRABYVals!$B$2:$B$999,"="&amp;$C118,RdTRABYVals!$C$2:$C$999,"="&amp;INS!$A118),"")</f>
        <v>0.26000000000000001</v>
      </c>
      <c r="BQ118" s="6">
        <f>IFERROR(AVERAGEIFS(RdTRABYVals!AI$2:AI$999,RdTRABYVals!$B$2:$B$999,"="&amp;$C118,RdTRABYVals!$C$2:$C$999,"="&amp;INS!$A118),"")</f>
        <v>0.28000000000000003</v>
      </c>
      <c r="BR118" s="6">
        <f>IFERROR(AVERAGEIFS(RdTRABYVals!AJ$2:AJ$999,RdTRABYVals!$B$2:$B$999,"="&amp;$C118,RdTRABYVals!$C$2:$C$999,"="&amp;INS!$A118),"")</f>
        <v>0.23000000000000001</v>
      </c>
      <c r="BS118" s="6">
        <f>IFERROR(AVERAGEIFS(RdTRABYVals!AK$2:AK$999,RdTRABYVals!$B$2:$B$999,"="&amp;$C118,RdTRABYVals!$C$2:$C$999,"="&amp;INS!$A118),"")</f>
        <v>0.26000000000000001</v>
      </c>
      <c r="BT118" s="6">
        <f>IFERROR(AVERAGEIFS(RdTRABYVals!AL$2:AL$999,RdTRABYVals!$B$2:$B$999,"="&amp;$C118,RdTRABYVals!$C$2:$C$999,"="&amp;INS!$A118),"")</f>
        <v>0.28000000000000003</v>
      </c>
      <c r="BU118" s="6">
        <f>IFERROR(AVERAGEIFS(RdTRABYVals!AM$2:AM$999,RdTRABYVals!$B$2:$B$999,"="&amp;$C118,RdTRABYVals!$C$2:$C$999,"="&amp;INS!$A118),"")</f>
        <v>0.25</v>
      </c>
      <c r="BV118" s="6">
        <f>IFERROR(AVERAGEIFS(RdTRABYVals!AN$2:AN$999,RdTRABYVals!$B$2:$B$999,"="&amp;$C118,RdTRABYVals!$C$2:$C$999,"="&amp;INS!$A118),"")</f>
        <v>0.27000000000000002</v>
      </c>
      <c r="BW118" s="6">
        <f>IFERROR(AVERAGEIFS(RdTRABYVals!AO$2:AO$999,RdTRABYVals!$B$2:$B$999,"="&amp;$C118,RdTRABYVals!$C$2:$C$999,"="&amp;INS!$A118),"")</f>
        <v>0.28000000000000003</v>
      </c>
      <c r="BX118" s="6">
        <f>IFERROR(AVERAGEIFS(RdTRABYVals!AP$2:AP$999,RdTRABYVals!$B$2:$B$999,"="&amp;$C118,RdTRABYVals!$C$2:$C$999,"="&amp;INS!$A118),"")</f>
        <v>0.27000000000000002</v>
      </c>
      <c r="BY118" s="6">
        <f>IFERROR(AVERAGEIFS(RdTRABYVals!AQ$2:AQ$999,RdTRABYVals!$B$2:$B$999,"="&amp;$C118,RdTRABYVals!$C$2:$C$999,"="&amp;INS!$A118),"")</f>
        <v>0.20999999999999999</v>
      </c>
      <c r="BZ118" s="6">
        <f>IFERROR(AVERAGEIFS(RdTRABYVals!AR$2:AR$999,RdTRABYVals!$B$2:$B$999,"="&amp;$C118,RdTRABYVals!$C$2:$C$999,"="&amp;INS!$A118),"")</f>
        <v>0.28000000000000003</v>
      </c>
      <c r="CA118" s="6">
        <f>IFERROR(AVERAGEIFS(RdTRABYVals!AS$2:AS$999,RdTRABYVals!$B$2:$B$999,"="&amp;$C118,RdTRABYVals!$C$2:$C$999,"="&amp;INS!$A118),"")</f>
        <v>0.28000000000000003</v>
      </c>
      <c r="CB118" s="6">
        <f>IFERROR(AVERAGEIFS(RdTRABYVals!AT$2:AT$999,RdTRABYVals!$B$2:$B$999,"="&amp;$C118,RdTRABYVals!$C$2:$C$999,"="&amp;INS!$A118),"")</f>
        <v>0.28000000000000003</v>
      </c>
      <c r="CC118" s="6">
        <f>IFERROR(AVERAGEIFS(RdTRABYVals!AU$2:AU$999,RdTRABYVals!$B$2:$B$999,"="&amp;$C118,RdTRABYVals!$C$2:$C$999,"="&amp;INS!$A118),"")</f>
        <v>0.28000000000000003</v>
      </c>
      <c r="CD118" s="6">
        <f>IFERROR(AVERAGEIFS(RdTRABYVals!AV$2:AV$999,RdTRABYVals!$B$2:$B$999,"="&amp;$C118,RdTRABYVals!$C$2:$C$999,"="&amp;INS!$A118),"")</f>
        <v>0.26000000000000001</v>
      </c>
    </row>
    <row r="119" spans="1:82" ht="14.4">
      <c r="A119" s="3" t="s">
        <v>128</v>
      </c>
      <c r="C119" s="1" t="s">
        <v>29</v>
      </c>
      <c r="D119" t="str">
        <f t="shared" si="30"/>
        <v>TRA_Car_Gas_Lom*</v>
      </c>
      <c r="F119" t="str">
        <f>IF(AS119&lt;&gt;"","*"&amp;AS119,"")</f>
        <v>*0.43027027027027</v>
      </c>
      <c r="G119" t="str">
        <f t="shared" si="37"/>
        <v>*0.4</v>
      </c>
      <c r="H119" t="str">
        <f t="shared" si="38"/>
        <v>*0.44</v>
      </c>
      <c r="I119" t="str">
        <f t="shared" si="39"/>
        <v>*0.43</v>
      </c>
      <c r="J119" t="str">
        <f t="shared" si="40"/>
        <v>*0.42</v>
      </c>
      <c r="K119" t="str">
        <f t="shared" si="41"/>
        <v>*0.38</v>
      </c>
      <c r="L119" t="str">
        <f t="shared" si="42"/>
        <v>*0.42</v>
      </c>
      <c r="M119" t="str">
        <f t="shared" si="43"/>
        <v>*0.4</v>
      </c>
      <c r="N119" t="str">
        <f t="shared" si="44"/>
        <v>*0.43</v>
      </c>
      <c r="O119" t="str">
        <f t="shared" si="45"/>
        <v>*0.43</v>
      </c>
      <c r="P119" t="str">
        <f t="shared" si="46"/>
        <v>*0.45</v>
      </c>
      <c r="Q119" t="str">
        <f t="shared" si="47"/>
        <v>*0.46</v>
      </c>
      <c r="R119" t="str">
        <f t="shared" si="48"/>
        <v>*0.4</v>
      </c>
      <c r="S119" t="str">
        <f t="shared" si="49"/>
        <v>*0.44</v>
      </c>
      <c r="T119" t="str">
        <f t="shared" si="50"/>
        <v>*0.42</v>
      </c>
      <c r="U119" t="str">
        <f t="shared" si="51"/>
        <v>*0.46</v>
      </c>
      <c r="V119" t="str">
        <f t="shared" si="52"/>
        <v>*0.43</v>
      </c>
      <c r="W119" t="str">
        <f t="shared" si="53"/>
        <v>*0.46</v>
      </c>
      <c r="X119" t="str">
        <f t="shared" si="54"/>
        <v>*0.44</v>
      </c>
      <c r="Y119" t="str">
        <f t="shared" si="55"/>
        <v>*0.42</v>
      </c>
      <c r="Z119" t="str">
        <f t="shared" si="56"/>
        <v>*0.44</v>
      </c>
      <c r="AA119" t="str">
        <f t="shared" si="57"/>
        <v>*0.43</v>
      </c>
      <c r="AB119" t="str">
        <f t="shared" si="58"/>
        <v>*0.44</v>
      </c>
      <c r="AC119" t="str">
        <f t="shared" si="59"/>
        <v>*0.43</v>
      </c>
      <c r="AD119" t="str">
        <f t="shared" si="60"/>
        <v>*0.45</v>
      </c>
      <c r="AE119" t="str">
        <f t="shared" si="61"/>
        <v>*0.4</v>
      </c>
      <c r="AF119" t="str">
        <f t="shared" si="62"/>
        <v>*0.43</v>
      </c>
      <c r="AG119" t="str">
        <f t="shared" si="63"/>
        <v>*0.44</v>
      </c>
      <c r="AH119" t="str">
        <f t="shared" si="64"/>
        <v>*0.4</v>
      </c>
      <c r="AI119" t="str">
        <f t="shared" si="65"/>
        <v>*0.42</v>
      </c>
      <c r="AJ119" t="str">
        <f t="shared" si="66"/>
        <v>*0.43</v>
      </c>
      <c r="AK119" t="str">
        <f t="shared" si="67"/>
        <v>*0.45</v>
      </c>
      <c r="AL119" t="str">
        <f t="shared" si="68"/>
        <v>*0.39</v>
      </c>
      <c r="AM119" t="str">
        <f t="shared" si="69"/>
        <v>*0.43</v>
      </c>
      <c r="AN119" t="str">
        <f t="shared" si="33"/>
        <v>*0.46</v>
      </c>
      <c r="AO119" t="str">
        <f t="shared" si="34"/>
        <v>*0.44</v>
      </c>
      <c r="AP119" t="str">
        <f t="shared" si="35"/>
        <v>*0.45</v>
      </c>
      <c r="AQ119" t="str">
        <f t="shared" si="36"/>
        <v>*0.46</v>
      </c>
      <c r="AS119" s="6">
        <f t="shared" si="32"/>
        <v>0.43027027027027026</v>
      </c>
      <c r="AT119" s="6">
        <f>IFERROR(AVERAGEIFS(RdTRABYVals!L$2:L$999,RdTRABYVals!$B$2:$B$999,"="&amp;$C119,RdTRABYVals!$C$2:$C$999,"="&amp;INS!$A119),"")</f>
        <v>0.40000000000000002</v>
      </c>
      <c r="AU119" s="6">
        <f>IFERROR(AVERAGEIFS(RdTRABYVals!M$2:M$999,RdTRABYVals!$B$2:$B$999,"="&amp;$C119,RdTRABYVals!$C$2:$C$999,"="&amp;INS!$A119),"")</f>
        <v>0.44</v>
      </c>
      <c r="AV119" s="6">
        <f>IFERROR(AVERAGEIFS(RdTRABYVals!N$2:N$999,RdTRABYVals!$B$2:$B$999,"="&amp;$C119,RdTRABYVals!$C$2:$C$999,"="&amp;INS!$A119),"")</f>
        <v>0.42999999999999999</v>
      </c>
      <c r="AW119" s="6">
        <f>IFERROR(AVERAGEIFS(RdTRABYVals!O$2:O$999,RdTRABYVals!$B$2:$B$999,"="&amp;$C119,RdTRABYVals!$C$2:$C$999,"="&amp;INS!$A119),"")</f>
        <v>0.41999999999999998</v>
      </c>
      <c r="AX119" s="6">
        <f>IFERROR(AVERAGEIFS(RdTRABYVals!P$2:P$999,RdTRABYVals!$B$2:$B$999,"="&amp;$C119,RdTRABYVals!$C$2:$C$999,"="&amp;INS!$A119),"")</f>
        <v>0.38</v>
      </c>
      <c r="AY119" s="6">
        <f>IFERROR(AVERAGEIFS(RdTRABYVals!Q$2:Q$999,RdTRABYVals!$B$2:$B$999,"="&amp;$C119,RdTRABYVals!$C$2:$C$999,"="&amp;INS!$A119),"")</f>
        <v>0.41999999999999998</v>
      </c>
      <c r="AZ119" s="6">
        <f>IFERROR(AVERAGEIFS(RdTRABYVals!R$2:R$999,RdTRABYVals!$B$2:$B$999,"="&amp;$C119,RdTRABYVals!$C$2:$C$999,"="&amp;INS!$A119),"")</f>
        <v>0.40000000000000002</v>
      </c>
      <c r="BA119" s="6">
        <f>IFERROR(AVERAGEIFS(RdTRABYVals!S$2:S$999,RdTRABYVals!$B$2:$B$999,"="&amp;$C119,RdTRABYVals!$C$2:$C$999,"="&amp;INS!$A119),"")</f>
        <v>0.42999999999999999</v>
      </c>
      <c r="BB119" s="6">
        <f>IFERROR(AVERAGEIFS(RdTRABYVals!T$2:T$999,RdTRABYVals!$B$2:$B$999,"="&amp;$C119,RdTRABYVals!$C$2:$C$999,"="&amp;INS!$A119),"")</f>
        <v>0.42999999999999999</v>
      </c>
      <c r="BC119" s="6">
        <f>IFERROR(AVERAGEIFS(RdTRABYVals!U$2:U$999,RdTRABYVals!$B$2:$B$999,"="&amp;$C119,RdTRABYVals!$C$2:$C$999,"="&amp;INS!$A119),"")</f>
        <v>0.45000000000000001</v>
      </c>
      <c r="BD119" s="6">
        <f>IFERROR(AVERAGEIFS(RdTRABYVals!V$2:V$999,RdTRABYVals!$B$2:$B$999,"="&amp;$C119,RdTRABYVals!$C$2:$C$999,"="&amp;INS!$A119),"")</f>
        <v>0.46000000000000002</v>
      </c>
      <c r="BE119" s="6">
        <f>IFERROR(AVERAGEIFS(RdTRABYVals!W$2:W$999,RdTRABYVals!$B$2:$B$999,"="&amp;$C119,RdTRABYVals!$C$2:$C$999,"="&amp;INS!$A119),"")</f>
        <v>0.40000000000000002</v>
      </c>
      <c r="BF119" s="6">
        <f>IFERROR(AVERAGEIFS(RdTRABYVals!X$2:X$999,RdTRABYVals!$B$2:$B$999,"="&amp;$C119,RdTRABYVals!$C$2:$C$999,"="&amp;INS!$A119),"")</f>
        <v>0.44</v>
      </c>
      <c r="BG119" s="6">
        <f>IFERROR(AVERAGEIFS(RdTRABYVals!Y$2:Y$999,RdTRABYVals!$B$2:$B$999,"="&amp;$C119,RdTRABYVals!$C$2:$C$999,"="&amp;INS!$A119),"")</f>
        <v>0.41999999999999998</v>
      </c>
      <c r="BH119" s="6">
        <f>IFERROR(AVERAGEIFS(RdTRABYVals!Z$2:Z$999,RdTRABYVals!$B$2:$B$999,"="&amp;$C119,RdTRABYVals!$C$2:$C$999,"="&amp;INS!$A119),"")</f>
        <v>0.46000000000000002</v>
      </c>
      <c r="BI119" s="6">
        <f>IFERROR(AVERAGEIFS(RdTRABYVals!AA$2:AA$999,RdTRABYVals!$B$2:$B$999,"="&amp;$C119,RdTRABYVals!$C$2:$C$999,"="&amp;INS!$A119),"")</f>
        <v>0.42999999999999999</v>
      </c>
      <c r="BJ119" s="6">
        <f>IFERROR(AVERAGEIFS(RdTRABYVals!AB$2:AB$999,RdTRABYVals!$B$2:$B$999,"="&amp;$C119,RdTRABYVals!$C$2:$C$999,"="&amp;INS!$A119),"")</f>
        <v>0.46000000000000002</v>
      </c>
      <c r="BK119" s="6">
        <f>IFERROR(AVERAGEIFS(RdTRABYVals!AC$2:AC$999,RdTRABYVals!$B$2:$B$999,"="&amp;$C119,RdTRABYVals!$C$2:$C$999,"="&amp;INS!$A119),"")</f>
        <v>0.44</v>
      </c>
      <c r="BL119" s="6">
        <f>IFERROR(AVERAGEIFS(RdTRABYVals!AD$2:AD$999,RdTRABYVals!$B$2:$B$999,"="&amp;$C119,RdTRABYVals!$C$2:$C$999,"="&amp;INS!$A119),"")</f>
        <v>0.41999999999999998</v>
      </c>
      <c r="BM119" s="6">
        <f>IFERROR(AVERAGEIFS(RdTRABYVals!AE$2:AE$999,RdTRABYVals!$B$2:$B$999,"="&amp;$C119,RdTRABYVals!$C$2:$C$999,"="&amp;INS!$A119),"")</f>
        <v>0.44</v>
      </c>
      <c r="BN119" s="6">
        <f>IFERROR(AVERAGEIFS(RdTRABYVals!AF$2:AF$999,RdTRABYVals!$B$2:$B$999,"="&amp;$C119,RdTRABYVals!$C$2:$C$999,"="&amp;INS!$A119),"")</f>
        <v>0.42999999999999999</v>
      </c>
      <c r="BO119" s="6">
        <f>IFERROR(AVERAGEIFS(RdTRABYVals!AG$2:AG$999,RdTRABYVals!$B$2:$B$999,"="&amp;$C119,RdTRABYVals!$C$2:$C$999,"="&amp;INS!$A119),"")</f>
        <v>0.44</v>
      </c>
      <c r="BP119" s="6">
        <f>IFERROR(AVERAGEIFS(RdTRABYVals!AH$2:AH$999,RdTRABYVals!$B$2:$B$999,"="&amp;$C119,RdTRABYVals!$C$2:$C$999,"="&amp;INS!$A119),"")</f>
        <v>0.42999999999999999</v>
      </c>
      <c r="BQ119" s="6">
        <f>IFERROR(AVERAGEIFS(RdTRABYVals!AI$2:AI$999,RdTRABYVals!$B$2:$B$999,"="&amp;$C119,RdTRABYVals!$C$2:$C$999,"="&amp;INS!$A119),"")</f>
        <v>0.45000000000000001</v>
      </c>
      <c r="BR119" s="6">
        <f>IFERROR(AVERAGEIFS(RdTRABYVals!AJ$2:AJ$999,RdTRABYVals!$B$2:$B$999,"="&amp;$C119,RdTRABYVals!$C$2:$C$999,"="&amp;INS!$A119),"")</f>
        <v>0.40000000000000002</v>
      </c>
      <c r="BS119" s="6">
        <f>IFERROR(AVERAGEIFS(RdTRABYVals!AK$2:AK$999,RdTRABYVals!$B$2:$B$999,"="&amp;$C119,RdTRABYVals!$C$2:$C$999,"="&amp;INS!$A119),"")</f>
        <v>0.42999999999999999</v>
      </c>
      <c r="BT119" s="6">
        <f>IFERROR(AVERAGEIFS(RdTRABYVals!AL$2:AL$999,RdTRABYVals!$B$2:$B$999,"="&amp;$C119,RdTRABYVals!$C$2:$C$999,"="&amp;INS!$A119),"")</f>
        <v>0.44</v>
      </c>
      <c r="BU119" s="6">
        <f>IFERROR(AVERAGEIFS(RdTRABYVals!AM$2:AM$999,RdTRABYVals!$B$2:$B$999,"="&amp;$C119,RdTRABYVals!$C$2:$C$999,"="&amp;INS!$A119),"")</f>
        <v>0.40000000000000002</v>
      </c>
      <c r="BV119" s="6">
        <f>IFERROR(AVERAGEIFS(RdTRABYVals!AN$2:AN$999,RdTRABYVals!$B$2:$B$999,"="&amp;$C119,RdTRABYVals!$C$2:$C$999,"="&amp;INS!$A119),"")</f>
        <v>0.41999999999999998</v>
      </c>
      <c r="BW119" s="6">
        <f>IFERROR(AVERAGEIFS(RdTRABYVals!AO$2:AO$999,RdTRABYVals!$B$2:$B$999,"="&amp;$C119,RdTRABYVals!$C$2:$C$999,"="&amp;INS!$A119),"")</f>
        <v>0.42999999999999999</v>
      </c>
      <c r="BX119" s="6">
        <f>IFERROR(AVERAGEIFS(RdTRABYVals!AP$2:AP$999,RdTRABYVals!$B$2:$B$999,"="&amp;$C119,RdTRABYVals!$C$2:$C$999,"="&amp;INS!$A119),"")</f>
        <v>0.45000000000000001</v>
      </c>
      <c r="BY119" s="6">
        <f>IFERROR(AVERAGEIFS(RdTRABYVals!AQ$2:AQ$999,RdTRABYVals!$B$2:$B$999,"="&amp;$C119,RdTRABYVals!$C$2:$C$999,"="&amp;INS!$A119),"")</f>
        <v>0.39000000000000001</v>
      </c>
      <c r="BZ119" s="6">
        <f>IFERROR(AVERAGEIFS(RdTRABYVals!AR$2:AR$999,RdTRABYVals!$B$2:$B$999,"="&amp;$C119,RdTRABYVals!$C$2:$C$999,"="&amp;INS!$A119),"")</f>
        <v>0.42999999999999999</v>
      </c>
      <c r="CA119" s="6">
        <f>IFERROR(AVERAGEIFS(RdTRABYVals!AS$2:AS$999,RdTRABYVals!$B$2:$B$999,"="&amp;$C119,RdTRABYVals!$C$2:$C$999,"="&amp;INS!$A119),"")</f>
        <v>0.46000000000000002</v>
      </c>
      <c r="CB119" s="6">
        <f>IFERROR(AVERAGEIFS(RdTRABYVals!AT$2:AT$999,RdTRABYVals!$B$2:$B$999,"="&amp;$C119,RdTRABYVals!$C$2:$C$999,"="&amp;INS!$A119),"")</f>
        <v>0.44</v>
      </c>
      <c r="CC119" s="6">
        <f>IFERROR(AVERAGEIFS(RdTRABYVals!AU$2:AU$999,RdTRABYVals!$B$2:$B$999,"="&amp;$C119,RdTRABYVals!$C$2:$C$999,"="&amp;INS!$A119),"")</f>
        <v>0.45000000000000001</v>
      </c>
      <c r="CD119" s="6">
        <f>IFERROR(AVERAGEIFS(RdTRABYVals!AV$2:AV$999,RdTRABYVals!$B$2:$B$999,"="&amp;$C119,RdTRABYVals!$C$2:$C$999,"="&amp;INS!$A119),"")</f>
        <v>0.46000000000000002</v>
      </c>
    </row>
    <row r="120" spans="1:82" ht="14.4">
      <c r="A120" s="3" t="s">
        <v>129</v>
      </c>
      <c r="C120" s="1" t="s">
        <v>29</v>
      </c>
      <c r="D120" t="str">
        <f t="shared" si="30"/>
        <v>TRA_Car_Gas_Sma*</v>
      </c>
      <c r="F120" t="str">
        <f t="shared" si="31"/>
        <v>*0.442702702702703</v>
      </c>
      <c r="G120" t="str">
        <f t="shared" si="37"/>
        <v>*0.41</v>
      </c>
      <c r="H120" t="str">
        <f t="shared" si="38"/>
        <v>*0.45</v>
      </c>
      <c r="I120" t="str">
        <f t="shared" si="39"/>
        <v>*0.44</v>
      </c>
      <c r="J120" t="str">
        <f t="shared" si="40"/>
        <v>*0.43</v>
      </c>
      <c r="K120" t="str">
        <f t="shared" si="41"/>
        <v>*0.38</v>
      </c>
      <c r="L120" t="str">
        <f t="shared" si="42"/>
        <v>*0.44</v>
      </c>
      <c r="M120" t="str">
        <f t="shared" si="43"/>
        <v>*0.41</v>
      </c>
      <c r="N120" t="str">
        <f t="shared" si="44"/>
        <v>*0.44</v>
      </c>
      <c r="O120" t="str">
        <f t="shared" si="45"/>
        <v>*0.44</v>
      </c>
      <c r="P120" t="str">
        <f t="shared" si="46"/>
        <v>*0.49</v>
      </c>
      <c r="Q120" t="str">
        <f t="shared" si="47"/>
        <v>*0.47</v>
      </c>
      <c r="R120" t="str">
        <f t="shared" si="48"/>
        <v>*0.41</v>
      </c>
      <c r="S120" t="str">
        <f t="shared" si="49"/>
        <v>*0.45</v>
      </c>
      <c r="T120" t="str">
        <f t="shared" si="50"/>
        <v>*0.43</v>
      </c>
      <c r="U120" t="str">
        <f t="shared" si="51"/>
        <v>*0.47</v>
      </c>
      <c r="V120" t="str">
        <f t="shared" si="52"/>
        <v>*0.44</v>
      </c>
      <c r="W120" t="str">
        <f t="shared" si="53"/>
        <v>*0.46</v>
      </c>
      <c r="X120" t="str">
        <f t="shared" si="54"/>
        <v>*0.46</v>
      </c>
      <c r="Y120" t="str">
        <f t="shared" si="55"/>
        <v>*0.45</v>
      </c>
      <c r="Z120" t="str">
        <f t="shared" si="56"/>
        <v>*0.45</v>
      </c>
      <c r="AA120" t="str">
        <f t="shared" si="57"/>
        <v>*0.44</v>
      </c>
      <c r="AB120" t="str">
        <f t="shared" si="58"/>
        <v>*0.44</v>
      </c>
      <c r="AC120" t="str">
        <f t="shared" si="59"/>
        <v>*0.48</v>
      </c>
      <c r="AD120" t="str">
        <f t="shared" si="60"/>
        <v>*0.45</v>
      </c>
      <c r="AE120" t="str">
        <f t="shared" si="61"/>
        <v>*0.41</v>
      </c>
      <c r="AF120" t="str">
        <f t="shared" si="62"/>
        <v>*0.44</v>
      </c>
      <c r="AG120" t="str">
        <f t="shared" si="63"/>
        <v>*0.46</v>
      </c>
      <c r="AH120" t="str">
        <f t="shared" si="64"/>
        <v>*0.43</v>
      </c>
      <c r="AI120" t="str">
        <f t="shared" si="65"/>
        <v>*0.42</v>
      </c>
      <c r="AJ120" t="str">
        <f t="shared" si="66"/>
        <v>*0.43</v>
      </c>
      <c r="AK120" t="str">
        <f t="shared" si="67"/>
        <v>*0.47</v>
      </c>
      <c r="AL120" t="str">
        <f t="shared" si="68"/>
        <v>*0.39</v>
      </c>
      <c r="AM120" t="str">
        <f t="shared" si="69"/>
        <v>*0.44</v>
      </c>
      <c r="AN120" t="str">
        <f t="shared" si="33"/>
        <v>*0.48</v>
      </c>
      <c r="AO120" t="str">
        <f t="shared" si="34"/>
        <v>*0.44</v>
      </c>
      <c r="AP120" t="str">
        <f t="shared" si="35"/>
        <v>*0.46</v>
      </c>
      <c r="AQ120" t="str">
        <f t="shared" si="36"/>
        <v>*0.48</v>
      </c>
      <c r="AS120" s="6">
        <f t="shared" si="32"/>
        <v>0.44270270270270262</v>
      </c>
      <c r="AT120" s="6">
        <f>IFERROR(AVERAGEIFS(RdTRABYVals!L$2:L$999,RdTRABYVals!$B$2:$B$999,"="&amp;$C120,RdTRABYVals!$C$2:$C$999,"="&amp;INS!$A120),"")</f>
        <v>0.40999999999999998</v>
      </c>
      <c r="AU120" s="6">
        <f>IFERROR(AVERAGEIFS(RdTRABYVals!M$2:M$999,RdTRABYVals!$B$2:$B$999,"="&amp;$C120,RdTRABYVals!$C$2:$C$999,"="&amp;INS!$A120),"")</f>
        <v>0.45000000000000001</v>
      </c>
      <c r="AV120" s="6">
        <f>IFERROR(AVERAGEIFS(RdTRABYVals!N$2:N$999,RdTRABYVals!$B$2:$B$999,"="&amp;$C120,RdTRABYVals!$C$2:$C$999,"="&amp;INS!$A120),"")</f>
        <v>0.44</v>
      </c>
      <c r="AW120" s="6">
        <f>IFERROR(AVERAGEIFS(RdTRABYVals!O$2:O$999,RdTRABYVals!$B$2:$B$999,"="&amp;$C120,RdTRABYVals!$C$2:$C$999,"="&amp;INS!$A120),"")</f>
        <v>0.42999999999999999</v>
      </c>
      <c r="AX120" s="6">
        <f>IFERROR(AVERAGEIFS(RdTRABYVals!P$2:P$999,RdTRABYVals!$B$2:$B$999,"="&amp;$C120,RdTRABYVals!$C$2:$C$999,"="&amp;INS!$A120),"")</f>
        <v>0.38</v>
      </c>
      <c r="AY120" s="6">
        <f>IFERROR(AVERAGEIFS(RdTRABYVals!Q$2:Q$999,RdTRABYVals!$B$2:$B$999,"="&amp;$C120,RdTRABYVals!$C$2:$C$999,"="&amp;INS!$A120),"")</f>
        <v>0.44</v>
      </c>
      <c r="AZ120" s="6">
        <f>IFERROR(AVERAGEIFS(RdTRABYVals!R$2:R$999,RdTRABYVals!$B$2:$B$999,"="&amp;$C120,RdTRABYVals!$C$2:$C$999,"="&amp;INS!$A120),"")</f>
        <v>0.40999999999999998</v>
      </c>
      <c r="BA120" s="6">
        <f>IFERROR(AVERAGEIFS(RdTRABYVals!S$2:S$999,RdTRABYVals!$B$2:$B$999,"="&amp;$C120,RdTRABYVals!$C$2:$C$999,"="&amp;INS!$A120),"")</f>
        <v>0.44</v>
      </c>
      <c r="BB120" s="6">
        <f>IFERROR(AVERAGEIFS(RdTRABYVals!T$2:T$999,RdTRABYVals!$B$2:$B$999,"="&amp;$C120,RdTRABYVals!$C$2:$C$999,"="&amp;INS!$A120),"")</f>
        <v>0.44</v>
      </c>
      <c r="BC120" s="6">
        <f>IFERROR(AVERAGEIFS(RdTRABYVals!U$2:U$999,RdTRABYVals!$B$2:$B$999,"="&amp;$C120,RdTRABYVals!$C$2:$C$999,"="&amp;INS!$A120),"")</f>
        <v>0.48999999999999999</v>
      </c>
      <c r="BD120" s="6">
        <f>IFERROR(AVERAGEIFS(RdTRABYVals!V$2:V$999,RdTRABYVals!$B$2:$B$999,"="&amp;$C120,RdTRABYVals!$C$2:$C$999,"="&amp;INS!$A120),"")</f>
        <v>0.46999999999999997</v>
      </c>
      <c r="BE120" s="6">
        <f>IFERROR(AVERAGEIFS(RdTRABYVals!W$2:W$999,RdTRABYVals!$B$2:$B$999,"="&amp;$C120,RdTRABYVals!$C$2:$C$999,"="&amp;INS!$A120),"")</f>
        <v>0.40999999999999998</v>
      </c>
      <c r="BF120" s="6">
        <f>IFERROR(AVERAGEIFS(RdTRABYVals!X$2:X$999,RdTRABYVals!$B$2:$B$999,"="&amp;$C120,RdTRABYVals!$C$2:$C$999,"="&amp;INS!$A120),"")</f>
        <v>0.45000000000000001</v>
      </c>
      <c r="BG120" s="6">
        <f>IFERROR(AVERAGEIFS(RdTRABYVals!Y$2:Y$999,RdTRABYVals!$B$2:$B$999,"="&amp;$C120,RdTRABYVals!$C$2:$C$999,"="&amp;INS!$A120),"")</f>
        <v>0.42999999999999999</v>
      </c>
      <c r="BH120" s="6">
        <f>IFERROR(AVERAGEIFS(RdTRABYVals!Z$2:Z$999,RdTRABYVals!$B$2:$B$999,"="&amp;$C120,RdTRABYVals!$C$2:$C$999,"="&amp;INS!$A120),"")</f>
        <v>0.46999999999999997</v>
      </c>
      <c r="BI120" s="6">
        <f>IFERROR(AVERAGEIFS(RdTRABYVals!AA$2:AA$999,RdTRABYVals!$B$2:$B$999,"="&amp;$C120,RdTRABYVals!$C$2:$C$999,"="&amp;INS!$A120),"")</f>
        <v>0.44</v>
      </c>
      <c r="BJ120" s="6">
        <f>IFERROR(AVERAGEIFS(RdTRABYVals!AB$2:AB$999,RdTRABYVals!$B$2:$B$999,"="&amp;$C120,RdTRABYVals!$C$2:$C$999,"="&amp;INS!$A120),"")</f>
        <v>0.46000000000000002</v>
      </c>
      <c r="BK120" s="6">
        <f>IFERROR(AVERAGEIFS(RdTRABYVals!AC$2:AC$999,RdTRABYVals!$B$2:$B$999,"="&amp;$C120,RdTRABYVals!$C$2:$C$999,"="&amp;INS!$A120),"")</f>
        <v>0.46000000000000002</v>
      </c>
      <c r="BL120" s="6">
        <f>IFERROR(AVERAGEIFS(RdTRABYVals!AD$2:AD$999,RdTRABYVals!$B$2:$B$999,"="&amp;$C120,RdTRABYVals!$C$2:$C$999,"="&amp;INS!$A120),"")</f>
        <v>0.45000000000000001</v>
      </c>
      <c r="BM120" s="6">
        <f>IFERROR(AVERAGEIFS(RdTRABYVals!AE$2:AE$999,RdTRABYVals!$B$2:$B$999,"="&amp;$C120,RdTRABYVals!$C$2:$C$999,"="&amp;INS!$A120),"")</f>
        <v>0.45000000000000001</v>
      </c>
      <c r="BN120" s="6">
        <f>IFERROR(AVERAGEIFS(RdTRABYVals!AF$2:AF$999,RdTRABYVals!$B$2:$B$999,"="&amp;$C120,RdTRABYVals!$C$2:$C$999,"="&amp;INS!$A120),"")</f>
        <v>0.44</v>
      </c>
      <c r="BO120" s="6">
        <f>IFERROR(AVERAGEIFS(RdTRABYVals!AG$2:AG$999,RdTRABYVals!$B$2:$B$999,"="&amp;$C120,RdTRABYVals!$C$2:$C$999,"="&amp;INS!$A120),"")</f>
        <v>0.44</v>
      </c>
      <c r="BP120" s="6">
        <f>IFERROR(AVERAGEIFS(RdTRABYVals!AH$2:AH$999,RdTRABYVals!$B$2:$B$999,"="&amp;$C120,RdTRABYVals!$C$2:$C$999,"="&amp;INS!$A120),"")</f>
        <v>0.47999999999999998</v>
      </c>
      <c r="BQ120" s="6">
        <f>IFERROR(AVERAGEIFS(RdTRABYVals!AI$2:AI$999,RdTRABYVals!$B$2:$B$999,"="&amp;$C120,RdTRABYVals!$C$2:$C$999,"="&amp;INS!$A120),"")</f>
        <v>0.45000000000000001</v>
      </c>
      <c r="BR120" s="6">
        <f>IFERROR(AVERAGEIFS(RdTRABYVals!AJ$2:AJ$999,RdTRABYVals!$B$2:$B$999,"="&amp;$C120,RdTRABYVals!$C$2:$C$999,"="&amp;INS!$A120),"")</f>
        <v>0.40999999999999998</v>
      </c>
      <c r="BS120" s="6">
        <f>IFERROR(AVERAGEIFS(RdTRABYVals!AK$2:AK$999,RdTRABYVals!$B$2:$B$999,"="&amp;$C120,RdTRABYVals!$C$2:$C$999,"="&amp;INS!$A120),"")</f>
        <v>0.44</v>
      </c>
      <c r="BT120" s="6">
        <f>IFERROR(AVERAGEIFS(RdTRABYVals!AL$2:AL$999,RdTRABYVals!$B$2:$B$999,"="&amp;$C120,RdTRABYVals!$C$2:$C$999,"="&amp;INS!$A120),"")</f>
        <v>0.46000000000000002</v>
      </c>
      <c r="BU120" s="6">
        <f>IFERROR(AVERAGEIFS(RdTRABYVals!AM$2:AM$999,RdTRABYVals!$B$2:$B$999,"="&amp;$C120,RdTRABYVals!$C$2:$C$999,"="&amp;INS!$A120),"")</f>
        <v>0.42999999999999999</v>
      </c>
      <c r="BV120" s="6">
        <f>IFERROR(AVERAGEIFS(RdTRABYVals!AN$2:AN$999,RdTRABYVals!$B$2:$B$999,"="&amp;$C120,RdTRABYVals!$C$2:$C$999,"="&amp;INS!$A120),"")</f>
        <v>0.41999999999999998</v>
      </c>
      <c r="BW120" s="6">
        <f>IFERROR(AVERAGEIFS(RdTRABYVals!AO$2:AO$999,RdTRABYVals!$B$2:$B$999,"="&amp;$C120,RdTRABYVals!$C$2:$C$999,"="&amp;INS!$A120),"")</f>
        <v>0.42999999999999999</v>
      </c>
      <c r="BX120" s="6">
        <f>IFERROR(AVERAGEIFS(RdTRABYVals!AP$2:AP$999,RdTRABYVals!$B$2:$B$999,"="&amp;$C120,RdTRABYVals!$C$2:$C$999,"="&amp;INS!$A120),"")</f>
        <v>0.46999999999999997</v>
      </c>
      <c r="BY120" s="6">
        <f>IFERROR(AVERAGEIFS(RdTRABYVals!AQ$2:AQ$999,RdTRABYVals!$B$2:$B$999,"="&amp;$C120,RdTRABYVals!$C$2:$C$999,"="&amp;INS!$A120),"")</f>
        <v>0.39000000000000001</v>
      </c>
      <c r="BZ120" s="6">
        <f>IFERROR(AVERAGEIFS(RdTRABYVals!AR$2:AR$999,RdTRABYVals!$B$2:$B$999,"="&amp;$C120,RdTRABYVals!$C$2:$C$999,"="&amp;INS!$A120),"")</f>
        <v>0.44</v>
      </c>
      <c r="CA120" s="6">
        <f>IFERROR(AVERAGEIFS(RdTRABYVals!AS$2:AS$999,RdTRABYVals!$B$2:$B$999,"="&amp;$C120,RdTRABYVals!$C$2:$C$999,"="&amp;INS!$A120),"")</f>
        <v>0.47999999999999998</v>
      </c>
      <c r="CB120" s="6">
        <f>IFERROR(AVERAGEIFS(RdTRABYVals!AT$2:AT$999,RdTRABYVals!$B$2:$B$999,"="&amp;$C120,RdTRABYVals!$C$2:$C$999,"="&amp;INS!$A120),"")</f>
        <v>0.44</v>
      </c>
      <c r="CC120" s="6">
        <f>IFERROR(AVERAGEIFS(RdTRABYVals!AU$2:AU$999,RdTRABYVals!$B$2:$B$999,"="&amp;$C120,RdTRABYVals!$C$2:$C$999,"="&amp;INS!$A120),"")</f>
        <v>0.46000000000000002</v>
      </c>
      <c r="CD120" s="6">
        <f>IFERROR(AVERAGEIFS(RdTRABYVals!AV$2:AV$999,RdTRABYVals!$B$2:$B$999,"="&amp;$C120,RdTRABYVals!$C$2:$C$999,"="&amp;INS!$A120),"")</f>
        <v>0.47999999999999998</v>
      </c>
    </row>
    <row r="121" spans="1:82" ht="14.4">
      <c r="A121" s="3" t="s">
        <v>130</v>
      </c>
      <c r="C121" s="1" t="s">
        <v>29</v>
      </c>
      <c r="D121" t="str">
        <f t="shared" si="30"/>
        <v>TRA_Car_Gas_Upm*</v>
      </c>
      <c r="F121" t="str">
        <f t="shared" si="31"/>
        <v>*0.364054054054054</v>
      </c>
      <c r="G121" t="str">
        <f t="shared" si="37"/>
        <v>*0.34</v>
      </c>
      <c r="H121" t="str">
        <f t="shared" si="38"/>
        <v>*0.37</v>
      </c>
      <c r="I121" t="str">
        <f t="shared" si="39"/>
        <v>*0.36</v>
      </c>
      <c r="J121" t="str">
        <f t="shared" si="40"/>
        <v>*0.36</v>
      </c>
      <c r="K121" t="str">
        <f t="shared" si="41"/>
        <v>*0.32</v>
      </c>
      <c r="L121" t="str">
        <f t="shared" si="42"/>
        <v>*0.36</v>
      </c>
      <c r="M121" t="str">
        <f t="shared" si="43"/>
        <v>*0.33</v>
      </c>
      <c r="N121" t="str">
        <f t="shared" si="44"/>
        <v>*0.37</v>
      </c>
      <c r="O121" t="str">
        <f t="shared" si="45"/>
        <v>*0.37</v>
      </c>
      <c r="P121" t="str">
        <f t="shared" si="46"/>
        <v>*0.38</v>
      </c>
      <c r="Q121" t="str">
        <f t="shared" si="47"/>
        <v>*0.4</v>
      </c>
      <c r="R121" t="str">
        <f t="shared" si="48"/>
        <v>*0.34</v>
      </c>
      <c r="S121" t="str">
        <f t="shared" si="49"/>
        <v>*0.38</v>
      </c>
      <c r="T121" t="str">
        <f t="shared" si="50"/>
        <v>*0.36</v>
      </c>
      <c r="U121" t="str">
        <f t="shared" si="51"/>
        <v>*0.38</v>
      </c>
      <c r="V121" t="str">
        <f t="shared" si="52"/>
        <v>*0.36</v>
      </c>
      <c r="W121" t="str">
        <f t="shared" si="53"/>
        <v>*0.39</v>
      </c>
      <c r="X121" t="str">
        <f t="shared" si="54"/>
        <v>*0.37</v>
      </c>
      <c r="Y121" t="str">
        <f t="shared" si="55"/>
        <v>*0.35</v>
      </c>
      <c r="Z121" t="str">
        <f t="shared" si="56"/>
        <v>*0.37</v>
      </c>
      <c r="AA121" t="str">
        <f t="shared" si="57"/>
        <v>*0.36</v>
      </c>
      <c r="AB121" t="str">
        <f t="shared" si="58"/>
        <v>*0.36</v>
      </c>
      <c r="AC121" t="str">
        <f t="shared" si="59"/>
        <v>*0.36</v>
      </c>
      <c r="AD121" t="str">
        <f t="shared" si="60"/>
        <v>*0.38</v>
      </c>
      <c r="AE121" t="str">
        <f t="shared" si="61"/>
        <v>*0.34</v>
      </c>
      <c r="AF121" t="str">
        <f t="shared" si="62"/>
        <v>*0.36</v>
      </c>
      <c r="AG121" t="str">
        <f t="shared" si="63"/>
        <v>*0.37</v>
      </c>
      <c r="AH121" t="str">
        <f t="shared" si="64"/>
        <v>*0.34</v>
      </c>
      <c r="AI121" t="str">
        <f t="shared" si="65"/>
        <v>*0.36</v>
      </c>
      <c r="AJ121" t="str">
        <f t="shared" si="66"/>
        <v>*0.37</v>
      </c>
      <c r="AK121" t="str">
        <f t="shared" si="67"/>
        <v>*0.39</v>
      </c>
      <c r="AL121" t="str">
        <f t="shared" si="68"/>
        <v>*0.33</v>
      </c>
      <c r="AM121" t="str">
        <f t="shared" si="69"/>
        <v>*0.36</v>
      </c>
      <c r="AN121" t="str">
        <f t="shared" si="33"/>
        <v>*0.38</v>
      </c>
      <c r="AO121" t="str">
        <f t="shared" si="34"/>
        <v>*0.37</v>
      </c>
      <c r="AP121" t="str">
        <f t="shared" si="35"/>
        <v>*0.39</v>
      </c>
      <c r="AQ121" t="str">
        <f t="shared" si="36"/>
        <v>*0.39</v>
      </c>
      <c r="AS121" s="6">
        <f t="shared" si="32"/>
        <v>0.364054054054054</v>
      </c>
      <c r="AT121" s="6">
        <f>IFERROR(AVERAGEIFS(RdTRABYVals!L$2:L$999,RdTRABYVals!$B$2:$B$999,"="&amp;$C121,RdTRABYVals!$C$2:$C$999,"="&amp;INS!$A121),"")</f>
        <v>0.34000000000000002</v>
      </c>
      <c r="AU121" s="6">
        <f>IFERROR(AVERAGEIFS(RdTRABYVals!M$2:M$999,RdTRABYVals!$B$2:$B$999,"="&amp;$C121,RdTRABYVals!$C$2:$C$999,"="&amp;INS!$A121),"")</f>
        <v>0.37</v>
      </c>
      <c r="AV121" s="6">
        <f>IFERROR(AVERAGEIFS(RdTRABYVals!N$2:N$999,RdTRABYVals!$B$2:$B$999,"="&amp;$C121,RdTRABYVals!$C$2:$C$999,"="&amp;INS!$A121),"")</f>
        <v>0.35999999999999999</v>
      </c>
      <c r="AW121" s="6">
        <f>IFERROR(AVERAGEIFS(RdTRABYVals!O$2:O$999,RdTRABYVals!$B$2:$B$999,"="&amp;$C121,RdTRABYVals!$C$2:$C$999,"="&amp;INS!$A121),"")</f>
        <v>0.35999999999999999</v>
      </c>
      <c r="AX121" s="6">
        <f>IFERROR(AVERAGEIFS(RdTRABYVals!P$2:P$999,RdTRABYVals!$B$2:$B$999,"="&amp;$C121,RdTRABYVals!$C$2:$C$999,"="&amp;INS!$A121),"")</f>
        <v>0.32000000000000001</v>
      </c>
      <c r="AY121" s="6">
        <f>IFERROR(AVERAGEIFS(RdTRABYVals!Q$2:Q$999,RdTRABYVals!$B$2:$B$999,"="&amp;$C121,RdTRABYVals!$C$2:$C$999,"="&amp;INS!$A121),"")</f>
        <v>0.35999999999999999</v>
      </c>
      <c r="AZ121" s="6">
        <f>IFERROR(AVERAGEIFS(RdTRABYVals!R$2:R$999,RdTRABYVals!$B$2:$B$999,"="&amp;$C121,RdTRABYVals!$C$2:$C$999,"="&amp;INS!$A121),"")</f>
        <v>0.33000000000000002</v>
      </c>
      <c r="BA121" s="6">
        <f>IFERROR(AVERAGEIFS(RdTRABYVals!S$2:S$999,RdTRABYVals!$B$2:$B$999,"="&amp;$C121,RdTRABYVals!$C$2:$C$999,"="&amp;INS!$A121),"")</f>
        <v>0.37</v>
      </c>
      <c r="BB121" s="6">
        <f>IFERROR(AVERAGEIFS(RdTRABYVals!T$2:T$999,RdTRABYVals!$B$2:$B$999,"="&amp;$C121,RdTRABYVals!$C$2:$C$999,"="&amp;INS!$A121),"")</f>
        <v>0.37</v>
      </c>
      <c r="BC121" s="6">
        <f>IFERROR(AVERAGEIFS(RdTRABYVals!U$2:U$999,RdTRABYVals!$B$2:$B$999,"="&amp;$C121,RdTRABYVals!$C$2:$C$999,"="&amp;INS!$A121),"")</f>
        <v>0.38</v>
      </c>
      <c r="BD121" s="6">
        <f>IFERROR(AVERAGEIFS(RdTRABYVals!V$2:V$999,RdTRABYVals!$B$2:$B$999,"="&amp;$C121,RdTRABYVals!$C$2:$C$999,"="&amp;INS!$A121),"")</f>
        <v>0.40000000000000002</v>
      </c>
      <c r="BE121" s="6">
        <f>IFERROR(AVERAGEIFS(RdTRABYVals!W$2:W$999,RdTRABYVals!$B$2:$B$999,"="&amp;$C121,RdTRABYVals!$C$2:$C$999,"="&amp;INS!$A121),"")</f>
        <v>0.34000000000000002</v>
      </c>
      <c r="BF121" s="6">
        <f>IFERROR(AVERAGEIFS(RdTRABYVals!X$2:X$999,RdTRABYVals!$B$2:$B$999,"="&amp;$C121,RdTRABYVals!$C$2:$C$999,"="&amp;INS!$A121),"")</f>
        <v>0.38</v>
      </c>
      <c r="BG121" s="6">
        <f>IFERROR(AVERAGEIFS(RdTRABYVals!Y$2:Y$999,RdTRABYVals!$B$2:$B$999,"="&amp;$C121,RdTRABYVals!$C$2:$C$999,"="&amp;INS!$A121),"")</f>
        <v>0.35999999999999999</v>
      </c>
      <c r="BH121" s="6">
        <f>IFERROR(AVERAGEIFS(RdTRABYVals!Z$2:Z$999,RdTRABYVals!$B$2:$B$999,"="&amp;$C121,RdTRABYVals!$C$2:$C$999,"="&amp;INS!$A121),"")</f>
        <v>0.38</v>
      </c>
      <c r="BI121" s="6">
        <f>IFERROR(AVERAGEIFS(RdTRABYVals!AA$2:AA$999,RdTRABYVals!$B$2:$B$999,"="&amp;$C121,RdTRABYVals!$C$2:$C$999,"="&amp;INS!$A121),"")</f>
        <v>0.35999999999999999</v>
      </c>
      <c r="BJ121" s="6">
        <f>IFERROR(AVERAGEIFS(RdTRABYVals!AB$2:AB$999,RdTRABYVals!$B$2:$B$999,"="&amp;$C121,RdTRABYVals!$C$2:$C$999,"="&amp;INS!$A121),"")</f>
        <v>0.39000000000000001</v>
      </c>
      <c r="BK121" s="6">
        <f>IFERROR(AVERAGEIFS(RdTRABYVals!AC$2:AC$999,RdTRABYVals!$B$2:$B$999,"="&amp;$C121,RdTRABYVals!$C$2:$C$999,"="&amp;INS!$A121),"")</f>
        <v>0.37</v>
      </c>
      <c r="BL121" s="6">
        <f>IFERROR(AVERAGEIFS(RdTRABYVals!AD$2:AD$999,RdTRABYVals!$B$2:$B$999,"="&amp;$C121,RdTRABYVals!$C$2:$C$999,"="&amp;INS!$A121),"")</f>
        <v>0.34999999999999998</v>
      </c>
      <c r="BM121" s="6">
        <f>IFERROR(AVERAGEIFS(RdTRABYVals!AE$2:AE$999,RdTRABYVals!$B$2:$B$999,"="&amp;$C121,RdTRABYVals!$C$2:$C$999,"="&amp;INS!$A121),"")</f>
        <v>0.37</v>
      </c>
      <c r="BN121" s="6">
        <f>IFERROR(AVERAGEIFS(RdTRABYVals!AF$2:AF$999,RdTRABYVals!$B$2:$B$999,"="&amp;$C121,RdTRABYVals!$C$2:$C$999,"="&amp;INS!$A121),"")</f>
        <v>0.35999999999999999</v>
      </c>
      <c r="BO121" s="6">
        <f>IFERROR(AVERAGEIFS(RdTRABYVals!AG$2:AG$999,RdTRABYVals!$B$2:$B$999,"="&amp;$C121,RdTRABYVals!$C$2:$C$999,"="&amp;INS!$A121),"")</f>
        <v>0.35999999999999999</v>
      </c>
      <c r="BP121" s="6">
        <f>IFERROR(AVERAGEIFS(RdTRABYVals!AH$2:AH$999,RdTRABYVals!$B$2:$B$999,"="&amp;$C121,RdTRABYVals!$C$2:$C$999,"="&amp;INS!$A121),"")</f>
        <v>0.35999999999999999</v>
      </c>
      <c r="BQ121" s="6">
        <f>IFERROR(AVERAGEIFS(RdTRABYVals!AI$2:AI$999,RdTRABYVals!$B$2:$B$999,"="&amp;$C121,RdTRABYVals!$C$2:$C$999,"="&amp;INS!$A121),"")</f>
        <v>0.38</v>
      </c>
      <c r="BR121" s="6">
        <f>IFERROR(AVERAGEIFS(RdTRABYVals!AJ$2:AJ$999,RdTRABYVals!$B$2:$B$999,"="&amp;$C121,RdTRABYVals!$C$2:$C$999,"="&amp;INS!$A121),"")</f>
        <v>0.34000000000000002</v>
      </c>
      <c r="BS121" s="6">
        <f>IFERROR(AVERAGEIFS(RdTRABYVals!AK$2:AK$999,RdTRABYVals!$B$2:$B$999,"="&amp;$C121,RdTRABYVals!$C$2:$C$999,"="&amp;INS!$A121),"")</f>
        <v>0.35999999999999999</v>
      </c>
      <c r="BT121" s="6">
        <f>IFERROR(AVERAGEIFS(RdTRABYVals!AL$2:AL$999,RdTRABYVals!$B$2:$B$999,"="&amp;$C121,RdTRABYVals!$C$2:$C$999,"="&amp;INS!$A121),"")</f>
        <v>0.37</v>
      </c>
      <c r="BU121" s="6">
        <f>IFERROR(AVERAGEIFS(RdTRABYVals!AM$2:AM$999,RdTRABYVals!$B$2:$B$999,"="&amp;$C121,RdTRABYVals!$C$2:$C$999,"="&amp;INS!$A121),"")</f>
        <v>0.34000000000000002</v>
      </c>
      <c r="BV121" s="6">
        <f>IFERROR(AVERAGEIFS(RdTRABYVals!AN$2:AN$999,RdTRABYVals!$B$2:$B$999,"="&amp;$C121,RdTRABYVals!$C$2:$C$999,"="&amp;INS!$A121),"")</f>
        <v>0.35999999999999999</v>
      </c>
      <c r="BW121" s="6">
        <f>IFERROR(AVERAGEIFS(RdTRABYVals!AO$2:AO$999,RdTRABYVals!$B$2:$B$999,"="&amp;$C121,RdTRABYVals!$C$2:$C$999,"="&amp;INS!$A121),"")</f>
        <v>0.37</v>
      </c>
      <c r="BX121" s="6">
        <f>IFERROR(AVERAGEIFS(RdTRABYVals!AP$2:AP$999,RdTRABYVals!$B$2:$B$999,"="&amp;$C121,RdTRABYVals!$C$2:$C$999,"="&amp;INS!$A121),"")</f>
        <v>0.39000000000000001</v>
      </c>
      <c r="BY121" s="6">
        <f>IFERROR(AVERAGEIFS(RdTRABYVals!AQ$2:AQ$999,RdTRABYVals!$B$2:$B$999,"="&amp;$C121,RdTRABYVals!$C$2:$C$999,"="&amp;INS!$A121),"")</f>
        <v>0.33000000000000002</v>
      </c>
      <c r="BZ121" s="6">
        <f>IFERROR(AVERAGEIFS(RdTRABYVals!AR$2:AR$999,RdTRABYVals!$B$2:$B$999,"="&amp;$C121,RdTRABYVals!$C$2:$C$999,"="&amp;INS!$A121),"")</f>
        <v>0.35999999999999999</v>
      </c>
      <c r="CA121" s="6">
        <f>IFERROR(AVERAGEIFS(RdTRABYVals!AS$2:AS$999,RdTRABYVals!$B$2:$B$999,"="&amp;$C121,RdTRABYVals!$C$2:$C$999,"="&amp;INS!$A121),"")</f>
        <v>0.38</v>
      </c>
      <c r="CB121" s="6">
        <f>IFERROR(AVERAGEIFS(RdTRABYVals!AT$2:AT$999,RdTRABYVals!$B$2:$B$999,"="&amp;$C121,RdTRABYVals!$C$2:$C$999,"="&amp;INS!$A121),"")</f>
        <v>0.37</v>
      </c>
      <c r="CC121" s="6">
        <f>IFERROR(AVERAGEIFS(RdTRABYVals!AU$2:AU$999,RdTRABYVals!$B$2:$B$999,"="&amp;$C121,RdTRABYVals!$C$2:$C$999,"="&amp;INS!$A121),"")</f>
        <v>0.39000000000000001</v>
      </c>
      <c r="CD121" s="6">
        <f>IFERROR(AVERAGEIFS(RdTRABYVals!AV$2:AV$999,RdTRABYVals!$B$2:$B$999,"="&amp;$C121,RdTRABYVals!$C$2:$C$999,"="&amp;INS!$A121),"")</f>
        <v>0.39000000000000001</v>
      </c>
    </row>
    <row r="122" spans="1:82" ht="14.4">
      <c r="A122" s="3" t="s">
        <v>131</v>
      </c>
      <c r="C122" s="1" t="s">
        <v>29</v>
      </c>
      <c r="D122" t="str">
        <f t="shared" si="30"/>
        <v>TRA_Car_Lpg_Exe*</v>
      </c>
      <c r="F122" t="str">
        <f t="shared" si="31"/>
        <v>*0.384545454545455</v>
      </c>
      <c r="G122" t="str">
        <f t="shared" si="37"/>
        <v>*0.37</v>
      </c>
      <c r="H122" t="str">
        <f t="shared" si="38"/>
        <v>*0.384545454545455</v>
      </c>
      <c r="I122" t="str">
        <f t="shared" si="39"/>
        <v>*0.42</v>
      </c>
      <c r="J122" t="str">
        <f t="shared" si="40"/>
        <v>*0.35</v>
      </c>
      <c r="K122" t="str">
        <f t="shared" si="41"/>
        <v>*0.36</v>
      </c>
      <c r="L122" t="str">
        <f t="shared" si="42"/>
        <v>*0.384545454545455</v>
      </c>
      <c r="M122" t="str">
        <f t="shared" si="43"/>
        <v>*0.384545454545455</v>
      </c>
      <c r="N122" t="str">
        <f t="shared" si="44"/>
        <v>*0.384545454545455</v>
      </c>
      <c r="O122" t="str">
        <f t="shared" si="45"/>
        <v>*0.42</v>
      </c>
      <c r="P122" t="str">
        <f t="shared" si="46"/>
        <v>*0.47</v>
      </c>
      <c r="Q122" t="str">
        <f t="shared" si="47"/>
        <v>*0.384545454545455</v>
      </c>
      <c r="R122" t="str">
        <f t="shared" si="48"/>
        <v>*0.37</v>
      </c>
      <c r="S122" t="str">
        <f t="shared" si="49"/>
        <v>*0.384545454545455</v>
      </c>
      <c r="T122" t="str">
        <f t="shared" si="50"/>
        <v>*0.384545454545455</v>
      </c>
      <c r="U122" t="str">
        <f t="shared" si="51"/>
        <v>*0.38</v>
      </c>
      <c r="V122" t="str">
        <f t="shared" si="52"/>
        <v>*0.42</v>
      </c>
      <c r="W122" t="str">
        <f t="shared" si="53"/>
        <v>*0.39</v>
      </c>
      <c r="X122" t="str">
        <f t="shared" si="54"/>
        <v>*0.37</v>
      </c>
      <c r="Y122" t="str">
        <f t="shared" si="55"/>
        <v>*0.384545454545455</v>
      </c>
      <c r="Z122" t="str">
        <f t="shared" si="56"/>
        <v>*0.36</v>
      </c>
      <c r="AA122" t="str">
        <f t="shared" si="57"/>
        <v>*0.42</v>
      </c>
      <c r="AB122" t="str">
        <f t="shared" si="58"/>
        <v>*0.384545454545455</v>
      </c>
      <c r="AC122" t="str">
        <f t="shared" si="59"/>
        <v>*0.384545454545455</v>
      </c>
      <c r="AD122" t="str">
        <f t="shared" si="60"/>
        <v>*0.39</v>
      </c>
      <c r="AE122" t="str">
        <f t="shared" si="61"/>
        <v>*0.37</v>
      </c>
      <c r="AF122" t="str">
        <f t="shared" si="62"/>
        <v>*0.384545454545455</v>
      </c>
      <c r="AG122" t="str">
        <f t="shared" si="63"/>
        <v>*0.384545454545455</v>
      </c>
      <c r="AH122" t="str">
        <f t="shared" si="64"/>
        <v>*0.33</v>
      </c>
      <c r="AI122" t="str">
        <f t="shared" si="65"/>
        <v>*0.384545454545455</v>
      </c>
      <c r="AJ122" t="str">
        <f t="shared" si="66"/>
        <v>*0.38</v>
      </c>
      <c r="AK122" t="str">
        <f t="shared" si="67"/>
        <v>*0.35</v>
      </c>
      <c r="AL122" t="str">
        <f t="shared" si="68"/>
        <v>*0.36</v>
      </c>
      <c r="AM122" t="str">
        <f t="shared" si="69"/>
        <v>*0.42</v>
      </c>
      <c r="AN122" t="str">
        <f t="shared" si="33"/>
        <v>*0.384545454545455</v>
      </c>
      <c r="AO122" t="str">
        <f t="shared" si="34"/>
        <v>*0.384545454545455</v>
      </c>
      <c r="AP122" t="str">
        <f t="shared" si="35"/>
        <v>*0.39</v>
      </c>
      <c r="AQ122" t="str">
        <f t="shared" si="36"/>
        <v>*0.37</v>
      </c>
      <c r="AS122" s="6">
        <f t="shared" si="32"/>
        <v>0.38454545454545475</v>
      </c>
      <c r="AT122" s="6">
        <f>IFERROR(AVERAGEIFS(RdTRABYVals!L$2:L$999,RdTRABYVals!$B$2:$B$999,"="&amp;$C122,RdTRABYVals!$C$2:$C$999,"="&amp;INS!$A122),"")</f>
        <v>0.37</v>
      </c>
      <c r="AU122" s="6">
        <f>IFERROR(AVERAGEIFS(RdTRABYVals!M$2:M$999,RdTRABYVals!$B$2:$B$999,"="&amp;$C122,RdTRABYVals!$C$2:$C$999,"="&amp;INS!$A122),"")</f>
        <v>0.38454545454545502</v>
      </c>
      <c r="AV122" s="6">
        <f>IFERROR(AVERAGEIFS(RdTRABYVals!N$2:N$999,RdTRABYVals!$B$2:$B$999,"="&amp;$C122,RdTRABYVals!$C$2:$C$999,"="&amp;INS!$A122),"")</f>
        <v>0.41999999999999998</v>
      </c>
      <c r="AW122" s="6">
        <f>IFERROR(AVERAGEIFS(RdTRABYVals!O$2:O$999,RdTRABYVals!$B$2:$B$999,"="&amp;$C122,RdTRABYVals!$C$2:$C$999,"="&amp;INS!$A122),"")</f>
        <v>0.34999999999999998</v>
      </c>
      <c r="AX122" s="6">
        <f>IFERROR(AVERAGEIFS(RdTRABYVals!P$2:P$999,RdTRABYVals!$B$2:$B$999,"="&amp;$C122,RdTRABYVals!$C$2:$C$999,"="&amp;INS!$A122),"")</f>
        <v>0.35999999999999999</v>
      </c>
      <c r="AY122" s="6">
        <f>IFERROR(AVERAGEIFS(RdTRABYVals!Q$2:Q$999,RdTRABYVals!$B$2:$B$999,"="&amp;$C122,RdTRABYVals!$C$2:$C$999,"="&amp;INS!$A122),"")</f>
        <v>0.38454545454545502</v>
      </c>
      <c r="AZ122" s="6">
        <f>IFERROR(AVERAGEIFS(RdTRABYVals!R$2:R$999,RdTRABYVals!$B$2:$B$999,"="&amp;$C122,RdTRABYVals!$C$2:$C$999,"="&amp;INS!$A122),"")</f>
        <v>0.38454545454545502</v>
      </c>
      <c r="BA122" s="6">
        <f>IFERROR(AVERAGEIFS(RdTRABYVals!S$2:S$999,RdTRABYVals!$B$2:$B$999,"="&amp;$C122,RdTRABYVals!$C$2:$C$999,"="&amp;INS!$A122),"")</f>
        <v>0.38454545454545502</v>
      </c>
      <c r="BB122" s="6">
        <f>IFERROR(AVERAGEIFS(RdTRABYVals!T$2:T$999,RdTRABYVals!$B$2:$B$999,"="&amp;$C122,RdTRABYVals!$C$2:$C$999,"="&amp;INS!$A122),"")</f>
        <v>0.41999999999999998</v>
      </c>
      <c r="BC122" s="6">
        <f>IFERROR(AVERAGEIFS(RdTRABYVals!U$2:U$999,RdTRABYVals!$B$2:$B$999,"="&amp;$C122,RdTRABYVals!$C$2:$C$999,"="&amp;INS!$A122),"")</f>
        <v>0.46999999999999997</v>
      </c>
      <c r="BD122" s="6">
        <f>IFERROR(AVERAGEIFS(RdTRABYVals!V$2:V$999,RdTRABYVals!$B$2:$B$999,"="&amp;$C122,RdTRABYVals!$C$2:$C$999,"="&amp;INS!$A122),"")</f>
        <v>0.38454545454545502</v>
      </c>
      <c r="BE122" s="6">
        <f>IFERROR(AVERAGEIFS(RdTRABYVals!W$2:W$999,RdTRABYVals!$B$2:$B$999,"="&amp;$C122,RdTRABYVals!$C$2:$C$999,"="&amp;INS!$A122),"")</f>
        <v>0.37</v>
      </c>
      <c r="BF122" s="6">
        <f>IFERROR(AVERAGEIFS(RdTRABYVals!X$2:X$999,RdTRABYVals!$B$2:$B$999,"="&amp;$C122,RdTRABYVals!$C$2:$C$999,"="&amp;INS!$A122),"")</f>
        <v>0.38454545454545502</v>
      </c>
      <c r="BG122" s="6">
        <f>IFERROR(AVERAGEIFS(RdTRABYVals!Y$2:Y$999,RdTRABYVals!$B$2:$B$999,"="&amp;$C122,RdTRABYVals!$C$2:$C$999,"="&amp;INS!$A122),"")</f>
        <v>0.38454545454545502</v>
      </c>
      <c r="BH122" s="6">
        <f>IFERROR(AVERAGEIFS(RdTRABYVals!Z$2:Z$999,RdTRABYVals!$B$2:$B$999,"="&amp;$C122,RdTRABYVals!$C$2:$C$999,"="&amp;INS!$A122),"")</f>
        <v>0.38</v>
      </c>
      <c r="BI122" s="6">
        <f>IFERROR(AVERAGEIFS(RdTRABYVals!AA$2:AA$999,RdTRABYVals!$B$2:$B$999,"="&amp;$C122,RdTRABYVals!$C$2:$C$999,"="&amp;INS!$A122),"")</f>
        <v>0.41999999999999998</v>
      </c>
      <c r="BJ122" s="6">
        <f>IFERROR(AVERAGEIFS(RdTRABYVals!AB$2:AB$999,RdTRABYVals!$B$2:$B$999,"="&amp;$C122,RdTRABYVals!$C$2:$C$999,"="&amp;INS!$A122),"")</f>
        <v>0.39000000000000001</v>
      </c>
      <c r="BK122" s="6">
        <f>IFERROR(AVERAGEIFS(RdTRABYVals!AC$2:AC$999,RdTRABYVals!$B$2:$B$999,"="&amp;$C122,RdTRABYVals!$C$2:$C$999,"="&amp;INS!$A122),"")</f>
        <v>0.37</v>
      </c>
      <c r="BL122" s="6">
        <f>IFERROR(AVERAGEIFS(RdTRABYVals!AD$2:AD$999,RdTRABYVals!$B$2:$B$999,"="&amp;$C122,RdTRABYVals!$C$2:$C$999,"="&amp;INS!$A122),"")</f>
        <v>0.38454545454545502</v>
      </c>
      <c r="BM122" s="6">
        <f>IFERROR(AVERAGEIFS(RdTRABYVals!AE$2:AE$999,RdTRABYVals!$B$2:$B$999,"="&amp;$C122,RdTRABYVals!$C$2:$C$999,"="&amp;INS!$A122),"")</f>
        <v>0.35999999999999999</v>
      </c>
      <c r="BN122" s="6">
        <f>IFERROR(AVERAGEIFS(RdTRABYVals!AF$2:AF$999,RdTRABYVals!$B$2:$B$999,"="&amp;$C122,RdTRABYVals!$C$2:$C$999,"="&amp;INS!$A122),"")</f>
        <v>0.41999999999999998</v>
      </c>
      <c r="BO122" s="6">
        <f>IFERROR(AVERAGEIFS(RdTRABYVals!AG$2:AG$999,RdTRABYVals!$B$2:$B$999,"="&amp;$C122,RdTRABYVals!$C$2:$C$999,"="&amp;INS!$A122),"")</f>
        <v>0.38454545454545502</v>
      </c>
      <c r="BP122" s="6">
        <f>IFERROR(AVERAGEIFS(RdTRABYVals!AH$2:AH$999,RdTRABYVals!$B$2:$B$999,"="&amp;$C122,RdTRABYVals!$C$2:$C$999,"="&amp;INS!$A122),"")</f>
        <v>0.38454545454545502</v>
      </c>
      <c r="BQ122" s="6">
        <f>IFERROR(AVERAGEIFS(RdTRABYVals!AI$2:AI$999,RdTRABYVals!$B$2:$B$999,"="&amp;$C122,RdTRABYVals!$C$2:$C$999,"="&amp;INS!$A122),"")</f>
        <v>0.39000000000000001</v>
      </c>
      <c r="BR122" s="6">
        <f>IFERROR(AVERAGEIFS(RdTRABYVals!AJ$2:AJ$999,RdTRABYVals!$B$2:$B$999,"="&amp;$C122,RdTRABYVals!$C$2:$C$999,"="&amp;INS!$A122),"")</f>
        <v>0.37</v>
      </c>
      <c r="BS122" s="6">
        <f>IFERROR(AVERAGEIFS(RdTRABYVals!AK$2:AK$999,RdTRABYVals!$B$2:$B$999,"="&amp;$C122,RdTRABYVals!$C$2:$C$999,"="&amp;INS!$A122),"")</f>
        <v>0.38454545454545502</v>
      </c>
      <c r="BT122" s="6">
        <f>IFERROR(AVERAGEIFS(RdTRABYVals!AL$2:AL$999,RdTRABYVals!$B$2:$B$999,"="&amp;$C122,RdTRABYVals!$C$2:$C$999,"="&amp;INS!$A122),"")</f>
        <v>0.38454545454545502</v>
      </c>
      <c r="BU122" s="6">
        <f>IFERROR(AVERAGEIFS(RdTRABYVals!AM$2:AM$999,RdTRABYVals!$B$2:$B$999,"="&amp;$C122,RdTRABYVals!$C$2:$C$999,"="&amp;INS!$A122),"")</f>
        <v>0.33000000000000002</v>
      </c>
      <c r="BV122" s="6">
        <f>IFERROR(AVERAGEIFS(RdTRABYVals!AN$2:AN$999,RdTRABYVals!$B$2:$B$999,"="&amp;$C122,RdTRABYVals!$C$2:$C$999,"="&amp;INS!$A122),"")</f>
        <v>0.38454545454545502</v>
      </c>
      <c r="BW122" s="6">
        <f>IFERROR(AVERAGEIFS(RdTRABYVals!AO$2:AO$999,RdTRABYVals!$B$2:$B$999,"="&amp;$C122,RdTRABYVals!$C$2:$C$999,"="&amp;INS!$A122),"")</f>
        <v>0.38</v>
      </c>
      <c r="BX122" s="6">
        <f>IFERROR(AVERAGEIFS(RdTRABYVals!AP$2:AP$999,RdTRABYVals!$B$2:$B$999,"="&amp;$C122,RdTRABYVals!$C$2:$C$999,"="&amp;INS!$A122),"")</f>
        <v>0.34999999999999998</v>
      </c>
      <c r="BY122" s="6">
        <f>IFERROR(AVERAGEIFS(RdTRABYVals!AQ$2:AQ$999,RdTRABYVals!$B$2:$B$999,"="&amp;$C122,RdTRABYVals!$C$2:$C$999,"="&amp;INS!$A122),"")</f>
        <v>0.35999999999999999</v>
      </c>
      <c r="BZ122" s="6">
        <f>IFERROR(AVERAGEIFS(RdTRABYVals!AR$2:AR$999,RdTRABYVals!$B$2:$B$999,"="&amp;$C122,RdTRABYVals!$C$2:$C$999,"="&amp;INS!$A122),"")</f>
        <v>0.41999999999999998</v>
      </c>
      <c r="CA122" s="6">
        <f>IFERROR(AVERAGEIFS(RdTRABYVals!AS$2:AS$999,RdTRABYVals!$B$2:$B$999,"="&amp;$C122,RdTRABYVals!$C$2:$C$999,"="&amp;INS!$A122),"")</f>
        <v>0.38454545454545502</v>
      </c>
      <c r="CB122" s="6">
        <f>IFERROR(AVERAGEIFS(RdTRABYVals!AT$2:AT$999,RdTRABYVals!$B$2:$B$999,"="&amp;$C122,RdTRABYVals!$C$2:$C$999,"="&amp;INS!$A122),"")</f>
        <v>0.38454545454545502</v>
      </c>
      <c r="CC122" s="6">
        <f>IFERROR(AVERAGEIFS(RdTRABYVals!AU$2:AU$999,RdTRABYVals!$B$2:$B$999,"="&amp;$C122,RdTRABYVals!$C$2:$C$999,"="&amp;INS!$A122),"")</f>
        <v>0.39000000000000001</v>
      </c>
      <c r="CD122" s="6">
        <f>IFERROR(AVERAGEIFS(RdTRABYVals!AV$2:AV$999,RdTRABYVals!$B$2:$B$999,"="&amp;$C122,RdTRABYVals!$C$2:$C$999,"="&amp;INS!$A122),"")</f>
        <v>0.37</v>
      </c>
    </row>
    <row r="123" spans="1:82" ht="14.4">
      <c r="A123" s="3" t="s">
        <v>132</v>
      </c>
      <c r="C123" s="1" t="s">
        <v>29</v>
      </c>
      <c r="D123" t="str">
        <f t="shared" si="30"/>
        <v>TRA_Car_Lpg_Lom*</v>
      </c>
      <c r="F123" t="str">
        <f t="shared" si="31"/>
        <v>*0.384090909090909</v>
      </c>
      <c r="G123" t="str">
        <f t="shared" si="37"/>
        <v>*0.37</v>
      </c>
      <c r="H123" t="str">
        <f t="shared" si="38"/>
        <v>*0.384090909090909</v>
      </c>
      <c r="I123" t="str">
        <f t="shared" si="39"/>
        <v>*0.42</v>
      </c>
      <c r="J123" t="str">
        <f t="shared" si="40"/>
        <v>*0.35</v>
      </c>
      <c r="K123" t="str">
        <f t="shared" si="41"/>
        <v>*0.36</v>
      </c>
      <c r="L123" t="str">
        <f t="shared" si="42"/>
        <v>*0.384090909090909</v>
      </c>
      <c r="M123" t="str">
        <f t="shared" si="43"/>
        <v>*0.384090909090909</v>
      </c>
      <c r="N123" t="str">
        <f t="shared" si="44"/>
        <v>*0.384090909090909</v>
      </c>
      <c r="O123" t="str">
        <f t="shared" si="45"/>
        <v>*0.41</v>
      </c>
      <c r="P123" t="str">
        <f t="shared" si="46"/>
        <v>*0.47</v>
      </c>
      <c r="Q123" t="str">
        <f t="shared" si="47"/>
        <v>*0.384090909090909</v>
      </c>
      <c r="R123" t="str">
        <f t="shared" si="48"/>
        <v>*0.37</v>
      </c>
      <c r="S123" t="str">
        <f t="shared" si="49"/>
        <v>*0.384090909090909</v>
      </c>
      <c r="T123" t="str">
        <f t="shared" si="50"/>
        <v>*0.384090909090909</v>
      </c>
      <c r="U123" t="str">
        <f t="shared" si="51"/>
        <v>*0.38</v>
      </c>
      <c r="V123" t="str">
        <f t="shared" si="52"/>
        <v>*0.42</v>
      </c>
      <c r="W123" t="str">
        <f t="shared" si="53"/>
        <v>*0.39</v>
      </c>
      <c r="X123" t="str">
        <f t="shared" si="54"/>
        <v>*0.37</v>
      </c>
      <c r="Y123" t="str">
        <f t="shared" si="55"/>
        <v>*0.384090909090909</v>
      </c>
      <c r="Z123" t="str">
        <f t="shared" si="56"/>
        <v>*0.36</v>
      </c>
      <c r="AA123" t="str">
        <f t="shared" si="57"/>
        <v>*0.42</v>
      </c>
      <c r="AB123" t="str">
        <f t="shared" si="58"/>
        <v>*0.384090909090909</v>
      </c>
      <c r="AC123" t="str">
        <f t="shared" si="59"/>
        <v>*0.384090909090909</v>
      </c>
      <c r="AD123" t="str">
        <f t="shared" si="60"/>
        <v>*0.39</v>
      </c>
      <c r="AE123" t="str">
        <f t="shared" si="61"/>
        <v>*0.37</v>
      </c>
      <c r="AF123" t="str">
        <f t="shared" si="62"/>
        <v>*0.384090909090909</v>
      </c>
      <c r="AG123" t="str">
        <f t="shared" si="63"/>
        <v>*0.384090909090909</v>
      </c>
      <c r="AH123" t="str">
        <f t="shared" si="64"/>
        <v>*0.33</v>
      </c>
      <c r="AI123" t="str">
        <f t="shared" si="65"/>
        <v>*0.384090909090909</v>
      </c>
      <c r="AJ123" t="str">
        <f t="shared" si="66"/>
        <v>*0.38</v>
      </c>
      <c r="AK123" t="str">
        <f t="shared" si="67"/>
        <v>*0.35</v>
      </c>
      <c r="AL123" t="str">
        <f t="shared" si="68"/>
        <v>*0.36</v>
      </c>
      <c r="AM123" t="str">
        <f t="shared" si="69"/>
        <v>*0.42</v>
      </c>
      <c r="AN123" t="str">
        <f t="shared" si="33"/>
        <v>*0.384090909090909</v>
      </c>
      <c r="AO123" t="str">
        <f t="shared" si="34"/>
        <v>*0.384090909090909</v>
      </c>
      <c r="AP123" t="str">
        <f t="shared" si="35"/>
        <v>*0.39</v>
      </c>
      <c r="AQ123" t="str">
        <f t="shared" si="36"/>
        <v>*0.37</v>
      </c>
      <c r="AS123" s="6">
        <f t="shared" si="32"/>
        <v>0.38409090909090898</v>
      </c>
      <c r="AT123" s="6">
        <f>IFERROR(AVERAGEIFS(RdTRABYVals!L$2:L$999,RdTRABYVals!$B$2:$B$999,"="&amp;$C123,RdTRABYVals!$C$2:$C$999,"="&amp;INS!$A123),"")</f>
        <v>0.37</v>
      </c>
      <c r="AU123" s="6">
        <f>IFERROR(AVERAGEIFS(RdTRABYVals!M$2:M$999,RdTRABYVals!$B$2:$B$999,"="&amp;$C123,RdTRABYVals!$C$2:$C$999,"="&amp;INS!$A123),"")</f>
        <v>0.38409090909090898</v>
      </c>
      <c r="AV123" s="6">
        <f>IFERROR(AVERAGEIFS(RdTRABYVals!N$2:N$999,RdTRABYVals!$B$2:$B$999,"="&amp;$C123,RdTRABYVals!$C$2:$C$999,"="&amp;INS!$A123),"")</f>
        <v>0.41999999999999998</v>
      </c>
      <c r="AW123" s="6">
        <f>IFERROR(AVERAGEIFS(RdTRABYVals!O$2:O$999,RdTRABYVals!$B$2:$B$999,"="&amp;$C123,RdTRABYVals!$C$2:$C$999,"="&amp;INS!$A123),"")</f>
        <v>0.34999999999999998</v>
      </c>
      <c r="AX123" s="6">
        <f>IFERROR(AVERAGEIFS(RdTRABYVals!P$2:P$999,RdTRABYVals!$B$2:$B$999,"="&amp;$C123,RdTRABYVals!$C$2:$C$999,"="&amp;INS!$A123),"")</f>
        <v>0.35999999999999999</v>
      </c>
      <c r="AY123" s="6">
        <f>IFERROR(AVERAGEIFS(RdTRABYVals!Q$2:Q$999,RdTRABYVals!$B$2:$B$999,"="&amp;$C123,RdTRABYVals!$C$2:$C$999,"="&amp;INS!$A123),"")</f>
        <v>0.38409090909090898</v>
      </c>
      <c r="AZ123" s="6">
        <f>IFERROR(AVERAGEIFS(RdTRABYVals!R$2:R$999,RdTRABYVals!$B$2:$B$999,"="&amp;$C123,RdTRABYVals!$C$2:$C$999,"="&amp;INS!$A123),"")</f>
        <v>0.38409090909090898</v>
      </c>
      <c r="BA123" s="6">
        <f>IFERROR(AVERAGEIFS(RdTRABYVals!S$2:S$999,RdTRABYVals!$B$2:$B$999,"="&amp;$C123,RdTRABYVals!$C$2:$C$999,"="&amp;INS!$A123),"")</f>
        <v>0.38409090909090898</v>
      </c>
      <c r="BB123" s="6">
        <f>IFERROR(AVERAGEIFS(RdTRABYVals!T$2:T$999,RdTRABYVals!$B$2:$B$999,"="&amp;$C123,RdTRABYVals!$C$2:$C$999,"="&amp;INS!$A123),"")</f>
        <v>0.40999999999999998</v>
      </c>
      <c r="BC123" s="6">
        <f>IFERROR(AVERAGEIFS(RdTRABYVals!U$2:U$999,RdTRABYVals!$B$2:$B$999,"="&amp;$C123,RdTRABYVals!$C$2:$C$999,"="&amp;INS!$A123),"")</f>
        <v>0.46999999999999997</v>
      </c>
      <c r="BD123" s="6">
        <f>IFERROR(AVERAGEIFS(RdTRABYVals!V$2:V$999,RdTRABYVals!$B$2:$B$999,"="&amp;$C123,RdTRABYVals!$C$2:$C$999,"="&amp;INS!$A123),"")</f>
        <v>0.38409090909090898</v>
      </c>
      <c r="BE123" s="6">
        <f>IFERROR(AVERAGEIFS(RdTRABYVals!W$2:W$999,RdTRABYVals!$B$2:$B$999,"="&amp;$C123,RdTRABYVals!$C$2:$C$999,"="&amp;INS!$A123),"")</f>
        <v>0.37</v>
      </c>
      <c r="BF123" s="6">
        <f>IFERROR(AVERAGEIFS(RdTRABYVals!X$2:X$999,RdTRABYVals!$B$2:$B$999,"="&amp;$C123,RdTRABYVals!$C$2:$C$999,"="&amp;INS!$A123),"")</f>
        <v>0.38409090909090898</v>
      </c>
      <c r="BG123" s="6">
        <f>IFERROR(AVERAGEIFS(RdTRABYVals!Y$2:Y$999,RdTRABYVals!$B$2:$B$999,"="&amp;$C123,RdTRABYVals!$C$2:$C$999,"="&amp;INS!$A123),"")</f>
        <v>0.38409090909090898</v>
      </c>
      <c r="BH123" s="6">
        <f>IFERROR(AVERAGEIFS(RdTRABYVals!Z$2:Z$999,RdTRABYVals!$B$2:$B$999,"="&amp;$C123,RdTRABYVals!$C$2:$C$999,"="&amp;INS!$A123),"")</f>
        <v>0.38</v>
      </c>
      <c r="BI123" s="6">
        <f>IFERROR(AVERAGEIFS(RdTRABYVals!AA$2:AA$999,RdTRABYVals!$B$2:$B$999,"="&amp;$C123,RdTRABYVals!$C$2:$C$999,"="&amp;INS!$A123),"")</f>
        <v>0.41999999999999998</v>
      </c>
      <c r="BJ123" s="6">
        <f>IFERROR(AVERAGEIFS(RdTRABYVals!AB$2:AB$999,RdTRABYVals!$B$2:$B$999,"="&amp;$C123,RdTRABYVals!$C$2:$C$999,"="&amp;INS!$A123),"")</f>
        <v>0.39000000000000001</v>
      </c>
      <c r="BK123" s="6">
        <f>IFERROR(AVERAGEIFS(RdTRABYVals!AC$2:AC$999,RdTRABYVals!$B$2:$B$999,"="&amp;$C123,RdTRABYVals!$C$2:$C$999,"="&amp;INS!$A123),"")</f>
        <v>0.37</v>
      </c>
      <c r="BL123" s="6">
        <f>IFERROR(AVERAGEIFS(RdTRABYVals!AD$2:AD$999,RdTRABYVals!$B$2:$B$999,"="&amp;$C123,RdTRABYVals!$C$2:$C$999,"="&amp;INS!$A123),"")</f>
        <v>0.38409090909090898</v>
      </c>
      <c r="BM123" s="6">
        <f>IFERROR(AVERAGEIFS(RdTRABYVals!AE$2:AE$999,RdTRABYVals!$B$2:$B$999,"="&amp;$C123,RdTRABYVals!$C$2:$C$999,"="&amp;INS!$A123),"")</f>
        <v>0.35999999999999999</v>
      </c>
      <c r="BN123" s="6">
        <f>IFERROR(AVERAGEIFS(RdTRABYVals!AF$2:AF$999,RdTRABYVals!$B$2:$B$999,"="&amp;$C123,RdTRABYVals!$C$2:$C$999,"="&amp;INS!$A123),"")</f>
        <v>0.41999999999999998</v>
      </c>
      <c r="BO123" s="6">
        <f>IFERROR(AVERAGEIFS(RdTRABYVals!AG$2:AG$999,RdTRABYVals!$B$2:$B$999,"="&amp;$C123,RdTRABYVals!$C$2:$C$999,"="&amp;INS!$A123),"")</f>
        <v>0.38409090909090898</v>
      </c>
      <c r="BP123" s="6">
        <f>IFERROR(AVERAGEIFS(RdTRABYVals!AH$2:AH$999,RdTRABYVals!$B$2:$B$999,"="&amp;$C123,RdTRABYVals!$C$2:$C$999,"="&amp;INS!$A123),"")</f>
        <v>0.38409090909090898</v>
      </c>
      <c r="BQ123" s="6">
        <f>IFERROR(AVERAGEIFS(RdTRABYVals!AI$2:AI$999,RdTRABYVals!$B$2:$B$999,"="&amp;$C123,RdTRABYVals!$C$2:$C$999,"="&amp;INS!$A123),"")</f>
        <v>0.39000000000000001</v>
      </c>
      <c r="BR123" s="6">
        <f>IFERROR(AVERAGEIFS(RdTRABYVals!AJ$2:AJ$999,RdTRABYVals!$B$2:$B$999,"="&amp;$C123,RdTRABYVals!$C$2:$C$999,"="&amp;INS!$A123),"")</f>
        <v>0.37</v>
      </c>
      <c r="BS123" s="6">
        <f>IFERROR(AVERAGEIFS(RdTRABYVals!AK$2:AK$999,RdTRABYVals!$B$2:$B$999,"="&amp;$C123,RdTRABYVals!$C$2:$C$999,"="&amp;INS!$A123),"")</f>
        <v>0.38409090909090898</v>
      </c>
      <c r="BT123" s="6">
        <f>IFERROR(AVERAGEIFS(RdTRABYVals!AL$2:AL$999,RdTRABYVals!$B$2:$B$999,"="&amp;$C123,RdTRABYVals!$C$2:$C$999,"="&amp;INS!$A123),"")</f>
        <v>0.38409090909090898</v>
      </c>
      <c r="BU123" s="6">
        <f>IFERROR(AVERAGEIFS(RdTRABYVals!AM$2:AM$999,RdTRABYVals!$B$2:$B$999,"="&amp;$C123,RdTRABYVals!$C$2:$C$999,"="&amp;INS!$A123),"")</f>
        <v>0.33000000000000002</v>
      </c>
      <c r="BV123" s="6">
        <f>IFERROR(AVERAGEIFS(RdTRABYVals!AN$2:AN$999,RdTRABYVals!$B$2:$B$999,"="&amp;$C123,RdTRABYVals!$C$2:$C$999,"="&amp;INS!$A123),"")</f>
        <v>0.38409090909090898</v>
      </c>
      <c r="BW123" s="6">
        <f>IFERROR(AVERAGEIFS(RdTRABYVals!AO$2:AO$999,RdTRABYVals!$B$2:$B$999,"="&amp;$C123,RdTRABYVals!$C$2:$C$999,"="&amp;INS!$A123),"")</f>
        <v>0.38</v>
      </c>
      <c r="BX123" s="6">
        <f>IFERROR(AVERAGEIFS(RdTRABYVals!AP$2:AP$999,RdTRABYVals!$B$2:$B$999,"="&amp;$C123,RdTRABYVals!$C$2:$C$999,"="&amp;INS!$A123),"")</f>
        <v>0.34999999999999998</v>
      </c>
      <c r="BY123" s="6">
        <f>IFERROR(AVERAGEIFS(RdTRABYVals!AQ$2:AQ$999,RdTRABYVals!$B$2:$B$999,"="&amp;$C123,RdTRABYVals!$C$2:$C$999,"="&amp;INS!$A123),"")</f>
        <v>0.35999999999999999</v>
      </c>
      <c r="BZ123" s="6">
        <f>IFERROR(AVERAGEIFS(RdTRABYVals!AR$2:AR$999,RdTRABYVals!$B$2:$B$999,"="&amp;$C123,RdTRABYVals!$C$2:$C$999,"="&amp;INS!$A123),"")</f>
        <v>0.41999999999999998</v>
      </c>
      <c r="CA123" s="6">
        <f>IFERROR(AVERAGEIFS(RdTRABYVals!AS$2:AS$999,RdTRABYVals!$B$2:$B$999,"="&amp;$C123,RdTRABYVals!$C$2:$C$999,"="&amp;INS!$A123),"")</f>
        <v>0.38409090909090898</v>
      </c>
      <c r="CB123" s="6">
        <f>IFERROR(AVERAGEIFS(RdTRABYVals!AT$2:AT$999,RdTRABYVals!$B$2:$B$999,"="&amp;$C123,RdTRABYVals!$C$2:$C$999,"="&amp;INS!$A123),"")</f>
        <v>0.38409090909090898</v>
      </c>
      <c r="CC123" s="6">
        <f>IFERROR(AVERAGEIFS(RdTRABYVals!AU$2:AU$999,RdTRABYVals!$B$2:$B$999,"="&amp;$C123,RdTRABYVals!$C$2:$C$999,"="&amp;INS!$A123),"")</f>
        <v>0.39000000000000001</v>
      </c>
      <c r="CD123" s="6">
        <f>IFERROR(AVERAGEIFS(RdTRABYVals!AV$2:AV$999,RdTRABYVals!$B$2:$B$999,"="&amp;$C123,RdTRABYVals!$C$2:$C$999,"="&amp;INS!$A123),"")</f>
        <v>0.37</v>
      </c>
    </row>
    <row r="124" spans="1:82" ht="14.4">
      <c r="A124" s="3" t="s">
        <v>133</v>
      </c>
      <c r="C124" s="1" t="s">
        <v>29</v>
      </c>
      <c r="D124" t="str">
        <f t="shared" si="30"/>
        <v>TRA_Car_Lpg_Sma*</v>
      </c>
      <c r="F124" t="str">
        <f t="shared" si="31"/>
        <v>*0.384545454545455</v>
      </c>
      <c r="G124" t="str">
        <f t="shared" si="37"/>
        <v>*0.37</v>
      </c>
      <c r="H124" t="str">
        <f t="shared" si="38"/>
        <v>*0.384545454545455</v>
      </c>
      <c r="I124" t="str">
        <f t="shared" si="39"/>
        <v>*0.42</v>
      </c>
      <c r="J124" t="str">
        <f t="shared" si="40"/>
        <v>*0.35</v>
      </c>
      <c r="K124" t="str">
        <f t="shared" si="41"/>
        <v>*0.36</v>
      </c>
      <c r="L124" t="str">
        <f t="shared" si="42"/>
        <v>*0.384545454545455</v>
      </c>
      <c r="M124" t="str">
        <f t="shared" si="43"/>
        <v>*0.384545454545455</v>
      </c>
      <c r="N124" t="str">
        <f t="shared" si="44"/>
        <v>*0.384545454545455</v>
      </c>
      <c r="O124" t="str">
        <f t="shared" si="45"/>
        <v>*0.41</v>
      </c>
      <c r="P124" t="str">
        <f t="shared" si="46"/>
        <v>*0.47</v>
      </c>
      <c r="Q124" t="str">
        <f t="shared" si="47"/>
        <v>*0.384545454545455</v>
      </c>
      <c r="R124" t="str">
        <f t="shared" si="48"/>
        <v>*0.37</v>
      </c>
      <c r="S124" t="str">
        <f t="shared" si="49"/>
        <v>*0.384545454545455</v>
      </c>
      <c r="T124" t="str">
        <f t="shared" si="50"/>
        <v>*0.384545454545455</v>
      </c>
      <c r="U124" t="str">
        <f t="shared" si="51"/>
        <v>*0.38</v>
      </c>
      <c r="V124" t="str">
        <f t="shared" si="52"/>
        <v>*0.42</v>
      </c>
      <c r="W124" t="str">
        <f t="shared" si="53"/>
        <v>*0.39</v>
      </c>
      <c r="X124" t="str">
        <f t="shared" si="54"/>
        <v>*0.37</v>
      </c>
      <c r="Y124" t="str">
        <f t="shared" si="55"/>
        <v>*0.384545454545455</v>
      </c>
      <c r="Z124" t="str">
        <f t="shared" si="56"/>
        <v>*0.36</v>
      </c>
      <c r="AA124" t="str">
        <f t="shared" si="57"/>
        <v>*0.42</v>
      </c>
      <c r="AB124" t="str">
        <f t="shared" si="58"/>
        <v>*0.384545454545455</v>
      </c>
      <c r="AC124" t="str">
        <f t="shared" si="59"/>
        <v>*0.384545454545455</v>
      </c>
      <c r="AD124" t="str">
        <f t="shared" si="60"/>
        <v>*0.39</v>
      </c>
      <c r="AE124" t="str">
        <f t="shared" si="61"/>
        <v>*0.37</v>
      </c>
      <c r="AF124" t="str">
        <f t="shared" si="62"/>
        <v>*0.384545454545455</v>
      </c>
      <c r="AG124" t="str">
        <f t="shared" si="63"/>
        <v>*0.384545454545455</v>
      </c>
      <c r="AH124" t="str">
        <f t="shared" si="64"/>
        <v>*0.34</v>
      </c>
      <c r="AI124" t="str">
        <f t="shared" si="65"/>
        <v>*0.384545454545455</v>
      </c>
      <c r="AJ124" t="str">
        <f t="shared" si="66"/>
        <v>*0.38</v>
      </c>
      <c r="AK124" t="str">
        <f t="shared" si="67"/>
        <v>*0.35</v>
      </c>
      <c r="AL124" t="str">
        <f t="shared" si="68"/>
        <v>*0.36</v>
      </c>
      <c r="AM124" t="str">
        <f t="shared" si="69"/>
        <v>*0.42</v>
      </c>
      <c r="AN124" t="str">
        <f t="shared" si="33"/>
        <v>*0.384545454545455</v>
      </c>
      <c r="AO124" t="str">
        <f t="shared" si="34"/>
        <v>*0.384545454545455</v>
      </c>
      <c r="AP124" t="str">
        <f t="shared" si="35"/>
        <v>*0.39</v>
      </c>
      <c r="AQ124" t="str">
        <f t="shared" si="36"/>
        <v>*0.37</v>
      </c>
      <c r="AS124" s="6">
        <f t="shared" si="32"/>
        <v>0.38454545454545469</v>
      </c>
      <c r="AT124" s="6">
        <f>IFERROR(AVERAGEIFS(RdTRABYVals!L$2:L$999,RdTRABYVals!$B$2:$B$999,"="&amp;$C124,RdTRABYVals!$C$2:$C$999,"="&amp;INS!$A124),"")</f>
        <v>0.37</v>
      </c>
      <c r="AU124" s="6">
        <f>IFERROR(AVERAGEIFS(RdTRABYVals!M$2:M$999,RdTRABYVals!$B$2:$B$999,"="&amp;$C124,RdTRABYVals!$C$2:$C$999,"="&amp;INS!$A124),"")</f>
        <v>0.38454545454545502</v>
      </c>
      <c r="AV124" s="6">
        <f>IFERROR(AVERAGEIFS(RdTRABYVals!N$2:N$999,RdTRABYVals!$B$2:$B$999,"="&amp;$C124,RdTRABYVals!$C$2:$C$999,"="&amp;INS!$A124),"")</f>
        <v>0.41999999999999998</v>
      </c>
      <c r="AW124" s="6">
        <f>IFERROR(AVERAGEIFS(RdTRABYVals!O$2:O$999,RdTRABYVals!$B$2:$B$999,"="&amp;$C124,RdTRABYVals!$C$2:$C$999,"="&amp;INS!$A124),"")</f>
        <v>0.34999999999999998</v>
      </c>
      <c r="AX124" s="6">
        <f>IFERROR(AVERAGEIFS(RdTRABYVals!P$2:P$999,RdTRABYVals!$B$2:$B$999,"="&amp;$C124,RdTRABYVals!$C$2:$C$999,"="&amp;INS!$A124),"")</f>
        <v>0.35999999999999999</v>
      </c>
      <c r="AY124" s="6">
        <f>IFERROR(AVERAGEIFS(RdTRABYVals!Q$2:Q$999,RdTRABYVals!$B$2:$B$999,"="&amp;$C124,RdTRABYVals!$C$2:$C$999,"="&amp;INS!$A124),"")</f>
        <v>0.38454545454545502</v>
      </c>
      <c r="AZ124" s="6">
        <f>IFERROR(AVERAGEIFS(RdTRABYVals!R$2:R$999,RdTRABYVals!$B$2:$B$999,"="&amp;$C124,RdTRABYVals!$C$2:$C$999,"="&amp;INS!$A124),"")</f>
        <v>0.38454545454545502</v>
      </c>
      <c r="BA124" s="6">
        <f>IFERROR(AVERAGEIFS(RdTRABYVals!S$2:S$999,RdTRABYVals!$B$2:$B$999,"="&amp;$C124,RdTRABYVals!$C$2:$C$999,"="&amp;INS!$A124),"")</f>
        <v>0.38454545454545502</v>
      </c>
      <c r="BB124" s="6">
        <f>IFERROR(AVERAGEIFS(RdTRABYVals!T$2:T$999,RdTRABYVals!$B$2:$B$999,"="&amp;$C124,RdTRABYVals!$C$2:$C$999,"="&amp;INS!$A124),"")</f>
        <v>0.40999999999999998</v>
      </c>
      <c r="BC124" s="6">
        <f>IFERROR(AVERAGEIFS(RdTRABYVals!U$2:U$999,RdTRABYVals!$B$2:$B$999,"="&amp;$C124,RdTRABYVals!$C$2:$C$999,"="&amp;INS!$A124),"")</f>
        <v>0.46999999999999997</v>
      </c>
      <c r="BD124" s="6">
        <f>IFERROR(AVERAGEIFS(RdTRABYVals!V$2:V$999,RdTRABYVals!$B$2:$B$999,"="&amp;$C124,RdTRABYVals!$C$2:$C$999,"="&amp;INS!$A124),"")</f>
        <v>0.38454545454545502</v>
      </c>
      <c r="BE124" s="6">
        <f>IFERROR(AVERAGEIFS(RdTRABYVals!W$2:W$999,RdTRABYVals!$B$2:$B$999,"="&amp;$C124,RdTRABYVals!$C$2:$C$999,"="&amp;INS!$A124),"")</f>
        <v>0.37</v>
      </c>
      <c r="BF124" s="6">
        <f>IFERROR(AVERAGEIFS(RdTRABYVals!X$2:X$999,RdTRABYVals!$B$2:$B$999,"="&amp;$C124,RdTRABYVals!$C$2:$C$999,"="&amp;INS!$A124),"")</f>
        <v>0.38454545454545502</v>
      </c>
      <c r="BG124" s="6">
        <f>IFERROR(AVERAGEIFS(RdTRABYVals!Y$2:Y$999,RdTRABYVals!$B$2:$B$999,"="&amp;$C124,RdTRABYVals!$C$2:$C$999,"="&amp;INS!$A124),"")</f>
        <v>0.38454545454545502</v>
      </c>
      <c r="BH124" s="6">
        <f>IFERROR(AVERAGEIFS(RdTRABYVals!Z$2:Z$999,RdTRABYVals!$B$2:$B$999,"="&amp;$C124,RdTRABYVals!$C$2:$C$999,"="&amp;INS!$A124),"")</f>
        <v>0.38</v>
      </c>
      <c r="BI124" s="6">
        <f>IFERROR(AVERAGEIFS(RdTRABYVals!AA$2:AA$999,RdTRABYVals!$B$2:$B$999,"="&amp;$C124,RdTRABYVals!$C$2:$C$999,"="&amp;INS!$A124),"")</f>
        <v>0.41999999999999998</v>
      </c>
      <c r="BJ124" s="6">
        <f>IFERROR(AVERAGEIFS(RdTRABYVals!AB$2:AB$999,RdTRABYVals!$B$2:$B$999,"="&amp;$C124,RdTRABYVals!$C$2:$C$999,"="&amp;INS!$A124),"")</f>
        <v>0.39000000000000001</v>
      </c>
      <c r="BK124" s="6">
        <f>IFERROR(AVERAGEIFS(RdTRABYVals!AC$2:AC$999,RdTRABYVals!$B$2:$B$999,"="&amp;$C124,RdTRABYVals!$C$2:$C$999,"="&amp;INS!$A124),"")</f>
        <v>0.37</v>
      </c>
      <c r="BL124" s="6">
        <f>IFERROR(AVERAGEIFS(RdTRABYVals!AD$2:AD$999,RdTRABYVals!$B$2:$B$999,"="&amp;$C124,RdTRABYVals!$C$2:$C$999,"="&amp;INS!$A124),"")</f>
        <v>0.38454545454545502</v>
      </c>
      <c r="BM124" s="6">
        <f>IFERROR(AVERAGEIFS(RdTRABYVals!AE$2:AE$999,RdTRABYVals!$B$2:$B$999,"="&amp;$C124,RdTRABYVals!$C$2:$C$999,"="&amp;INS!$A124),"")</f>
        <v>0.35999999999999999</v>
      </c>
      <c r="BN124" s="6">
        <f>IFERROR(AVERAGEIFS(RdTRABYVals!AF$2:AF$999,RdTRABYVals!$B$2:$B$999,"="&amp;$C124,RdTRABYVals!$C$2:$C$999,"="&amp;INS!$A124),"")</f>
        <v>0.41999999999999998</v>
      </c>
      <c r="BO124" s="6">
        <f>IFERROR(AVERAGEIFS(RdTRABYVals!AG$2:AG$999,RdTRABYVals!$B$2:$B$999,"="&amp;$C124,RdTRABYVals!$C$2:$C$999,"="&amp;INS!$A124),"")</f>
        <v>0.38454545454545502</v>
      </c>
      <c r="BP124" s="6">
        <f>IFERROR(AVERAGEIFS(RdTRABYVals!AH$2:AH$999,RdTRABYVals!$B$2:$B$999,"="&amp;$C124,RdTRABYVals!$C$2:$C$999,"="&amp;INS!$A124),"")</f>
        <v>0.38454545454545502</v>
      </c>
      <c r="BQ124" s="6">
        <f>IFERROR(AVERAGEIFS(RdTRABYVals!AI$2:AI$999,RdTRABYVals!$B$2:$B$999,"="&amp;$C124,RdTRABYVals!$C$2:$C$999,"="&amp;INS!$A124),"")</f>
        <v>0.39000000000000001</v>
      </c>
      <c r="BR124" s="6">
        <f>IFERROR(AVERAGEIFS(RdTRABYVals!AJ$2:AJ$999,RdTRABYVals!$B$2:$B$999,"="&amp;$C124,RdTRABYVals!$C$2:$C$999,"="&amp;INS!$A124),"")</f>
        <v>0.37</v>
      </c>
      <c r="BS124" s="6">
        <f>IFERROR(AVERAGEIFS(RdTRABYVals!AK$2:AK$999,RdTRABYVals!$B$2:$B$999,"="&amp;$C124,RdTRABYVals!$C$2:$C$999,"="&amp;INS!$A124),"")</f>
        <v>0.38454545454545502</v>
      </c>
      <c r="BT124" s="6">
        <f>IFERROR(AVERAGEIFS(RdTRABYVals!AL$2:AL$999,RdTRABYVals!$B$2:$B$999,"="&amp;$C124,RdTRABYVals!$C$2:$C$999,"="&amp;INS!$A124),"")</f>
        <v>0.38454545454545502</v>
      </c>
      <c r="BU124" s="6">
        <f>IFERROR(AVERAGEIFS(RdTRABYVals!AM$2:AM$999,RdTRABYVals!$B$2:$B$999,"="&amp;$C124,RdTRABYVals!$C$2:$C$999,"="&amp;INS!$A124),"")</f>
        <v>0.34000000000000002</v>
      </c>
      <c r="BV124" s="6">
        <f>IFERROR(AVERAGEIFS(RdTRABYVals!AN$2:AN$999,RdTRABYVals!$B$2:$B$999,"="&amp;$C124,RdTRABYVals!$C$2:$C$999,"="&amp;INS!$A124),"")</f>
        <v>0.38454545454545502</v>
      </c>
      <c r="BW124" s="6">
        <f>IFERROR(AVERAGEIFS(RdTRABYVals!AO$2:AO$999,RdTRABYVals!$B$2:$B$999,"="&amp;$C124,RdTRABYVals!$C$2:$C$999,"="&amp;INS!$A124),"")</f>
        <v>0.38</v>
      </c>
      <c r="BX124" s="6">
        <f>IFERROR(AVERAGEIFS(RdTRABYVals!AP$2:AP$999,RdTRABYVals!$B$2:$B$999,"="&amp;$C124,RdTRABYVals!$C$2:$C$999,"="&amp;INS!$A124),"")</f>
        <v>0.34999999999999998</v>
      </c>
      <c r="BY124" s="6">
        <f>IFERROR(AVERAGEIFS(RdTRABYVals!AQ$2:AQ$999,RdTRABYVals!$B$2:$B$999,"="&amp;$C124,RdTRABYVals!$C$2:$C$999,"="&amp;INS!$A124),"")</f>
        <v>0.35999999999999999</v>
      </c>
      <c r="BZ124" s="6">
        <f>IFERROR(AVERAGEIFS(RdTRABYVals!AR$2:AR$999,RdTRABYVals!$B$2:$B$999,"="&amp;$C124,RdTRABYVals!$C$2:$C$999,"="&amp;INS!$A124),"")</f>
        <v>0.41999999999999998</v>
      </c>
      <c r="CA124" s="6">
        <f>IFERROR(AVERAGEIFS(RdTRABYVals!AS$2:AS$999,RdTRABYVals!$B$2:$B$999,"="&amp;$C124,RdTRABYVals!$C$2:$C$999,"="&amp;INS!$A124),"")</f>
        <v>0.38454545454545502</v>
      </c>
      <c r="CB124" s="6">
        <f>IFERROR(AVERAGEIFS(RdTRABYVals!AT$2:AT$999,RdTRABYVals!$B$2:$B$999,"="&amp;$C124,RdTRABYVals!$C$2:$C$999,"="&amp;INS!$A124),"")</f>
        <v>0.38454545454545502</v>
      </c>
      <c r="CC124" s="6">
        <f>IFERROR(AVERAGEIFS(RdTRABYVals!AU$2:AU$999,RdTRABYVals!$B$2:$B$999,"="&amp;$C124,RdTRABYVals!$C$2:$C$999,"="&amp;INS!$A124),"")</f>
        <v>0.39000000000000001</v>
      </c>
      <c r="CD124" s="6">
        <f>IFERROR(AVERAGEIFS(RdTRABYVals!AV$2:AV$999,RdTRABYVals!$B$2:$B$999,"="&amp;$C124,RdTRABYVals!$C$2:$C$999,"="&amp;INS!$A124),"")</f>
        <v>0.37</v>
      </c>
    </row>
    <row r="125" spans="1:82" ht="14.4">
      <c r="A125" s="3" t="s">
        <v>134</v>
      </c>
      <c r="C125" s="1" t="s">
        <v>29</v>
      </c>
      <c r="D125" t="str">
        <f t="shared" si="30"/>
        <v>TRA_Car_Lpg_Upm*</v>
      </c>
      <c r="F125" t="str">
        <f t="shared" si="31"/>
        <v>*0.385</v>
      </c>
      <c r="G125" t="str">
        <f t="shared" si="37"/>
        <v>*0.37</v>
      </c>
      <c r="H125" t="str">
        <f t="shared" si="38"/>
        <v>*0.385</v>
      </c>
      <c r="I125" t="str">
        <f t="shared" si="39"/>
        <v>*0.42</v>
      </c>
      <c r="J125" t="str">
        <f t="shared" si="40"/>
        <v>*0.35</v>
      </c>
      <c r="K125" t="str">
        <f t="shared" si="41"/>
        <v>*0.36</v>
      </c>
      <c r="L125" t="str">
        <f t="shared" si="42"/>
        <v>*0.385</v>
      </c>
      <c r="M125" t="str">
        <f t="shared" si="43"/>
        <v>*0.385</v>
      </c>
      <c r="N125" t="str">
        <f t="shared" si="44"/>
        <v>*0.385</v>
      </c>
      <c r="O125" t="str">
        <f t="shared" si="45"/>
        <v>*0.42</v>
      </c>
      <c r="P125" t="str">
        <f t="shared" si="46"/>
        <v>*0.47</v>
      </c>
      <c r="Q125" t="str">
        <f t="shared" si="47"/>
        <v>*0.385</v>
      </c>
      <c r="R125" t="str">
        <f t="shared" si="48"/>
        <v>*0.37</v>
      </c>
      <c r="S125" t="str">
        <f t="shared" si="49"/>
        <v>*0.385</v>
      </c>
      <c r="T125" t="str">
        <f t="shared" si="50"/>
        <v>*0.385</v>
      </c>
      <c r="U125" t="str">
        <f t="shared" si="51"/>
        <v>*0.38</v>
      </c>
      <c r="V125" t="str">
        <f t="shared" si="52"/>
        <v>*0.42</v>
      </c>
      <c r="W125" t="str">
        <f t="shared" si="53"/>
        <v>*0.39</v>
      </c>
      <c r="X125" t="str">
        <f t="shared" si="54"/>
        <v>*0.37</v>
      </c>
      <c r="Y125" t="str">
        <f t="shared" si="55"/>
        <v>*0.385</v>
      </c>
      <c r="Z125" t="str">
        <f t="shared" si="56"/>
        <v>*0.36</v>
      </c>
      <c r="AA125" t="str">
        <f t="shared" si="57"/>
        <v>*0.42</v>
      </c>
      <c r="AB125" t="str">
        <f t="shared" si="58"/>
        <v>*0.385</v>
      </c>
      <c r="AC125" t="str">
        <f t="shared" si="59"/>
        <v>*0.385</v>
      </c>
      <c r="AD125" t="str">
        <f t="shared" si="60"/>
        <v>*0.39</v>
      </c>
      <c r="AE125" t="str">
        <f t="shared" si="61"/>
        <v>*0.37</v>
      </c>
      <c r="AF125" t="str">
        <f t="shared" si="62"/>
        <v>*0.385</v>
      </c>
      <c r="AG125" t="str">
        <f t="shared" si="63"/>
        <v>*0.385</v>
      </c>
      <c r="AH125" t="str">
        <f t="shared" si="64"/>
        <v>*0.33</v>
      </c>
      <c r="AI125" t="str">
        <f t="shared" si="65"/>
        <v>*0.385</v>
      </c>
      <c r="AJ125" t="str">
        <f t="shared" si="66"/>
        <v>*0.38</v>
      </c>
      <c r="AK125" t="str">
        <f t="shared" si="67"/>
        <v>*0.36</v>
      </c>
      <c r="AL125" t="str">
        <f t="shared" si="68"/>
        <v>*0.36</v>
      </c>
      <c r="AM125" t="str">
        <f t="shared" si="69"/>
        <v>*0.42</v>
      </c>
      <c r="AN125" t="str">
        <f t="shared" si="33"/>
        <v>*0.385</v>
      </c>
      <c r="AO125" t="str">
        <f t="shared" si="34"/>
        <v>*0.385</v>
      </c>
      <c r="AP125" t="str">
        <f t="shared" si="35"/>
        <v>*0.39</v>
      </c>
      <c r="AQ125" t="str">
        <f t="shared" si="36"/>
        <v>*0.37</v>
      </c>
      <c r="AS125" s="6">
        <f t="shared" si="32"/>
        <v>0.38499999999999995</v>
      </c>
      <c r="AT125" s="6">
        <f>IFERROR(AVERAGEIFS(RdTRABYVals!L$2:L$999,RdTRABYVals!$B$2:$B$999,"="&amp;$C125,RdTRABYVals!$C$2:$C$999,"="&amp;INS!$A125),"")</f>
        <v>0.37</v>
      </c>
      <c r="AU125" s="6">
        <f>IFERROR(AVERAGEIFS(RdTRABYVals!M$2:M$999,RdTRABYVals!$B$2:$B$999,"="&amp;$C125,RdTRABYVals!$C$2:$C$999,"="&amp;INS!$A125),"")</f>
        <v>0.38500000000000001</v>
      </c>
      <c r="AV125" s="6">
        <f>IFERROR(AVERAGEIFS(RdTRABYVals!N$2:N$999,RdTRABYVals!$B$2:$B$999,"="&amp;$C125,RdTRABYVals!$C$2:$C$999,"="&amp;INS!$A125),"")</f>
        <v>0.41999999999999998</v>
      </c>
      <c r="AW125" s="6">
        <f>IFERROR(AVERAGEIFS(RdTRABYVals!O$2:O$999,RdTRABYVals!$B$2:$B$999,"="&amp;$C125,RdTRABYVals!$C$2:$C$999,"="&amp;INS!$A125),"")</f>
        <v>0.34999999999999998</v>
      </c>
      <c r="AX125" s="6">
        <f>IFERROR(AVERAGEIFS(RdTRABYVals!P$2:P$999,RdTRABYVals!$B$2:$B$999,"="&amp;$C125,RdTRABYVals!$C$2:$C$999,"="&amp;INS!$A125),"")</f>
        <v>0.35999999999999999</v>
      </c>
      <c r="AY125" s="6">
        <f>IFERROR(AVERAGEIFS(RdTRABYVals!Q$2:Q$999,RdTRABYVals!$B$2:$B$999,"="&amp;$C125,RdTRABYVals!$C$2:$C$999,"="&amp;INS!$A125),"")</f>
        <v>0.38500000000000001</v>
      </c>
      <c r="AZ125" s="6">
        <f>IFERROR(AVERAGEIFS(RdTRABYVals!R$2:R$999,RdTRABYVals!$B$2:$B$999,"="&amp;$C125,RdTRABYVals!$C$2:$C$999,"="&amp;INS!$A125),"")</f>
        <v>0.38500000000000001</v>
      </c>
      <c r="BA125" s="6">
        <f>IFERROR(AVERAGEIFS(RdTRABYVals!S$2:S$999,RdTRABYVals!$B$2:$B$999,"="&amp;$C125,RdTRABYVals!$C$2:$C$999,"="&amp;INS!$A125),"")</f>
        <v>0.38500000000000001</v>
      </c>
      <c r="BB125" s="6">
        <f>IFERROR(AVERAGEIFS(RdTRABYVals!T$2:T$999,RdTRABYVals!$B$2:$B$999,"="&amp;$C125,RdTRABYVals!$C$2:$C$999,"="&amp;INS!$A125),"")</f>
        <v>0.41999999999999998</v>
      </c>
      <c r="BC125" s="6">
        <f>IFERROR(AVERAGEIFS(RdTRABYVals!U$2:U$999,RdTRABYVals!$B$2:$B$999,"="&amp;$C125,RdTRABYVals!$C$2:$C$999,"="&amp;INS!$A125),"")</f>
        <v>0.46999999999999997</v>
      </c>
      <c r="BD125" s="6">
        <f>IFERROR(AVERAGEIFS(RdTRABYVals!V$2:V$999,RdTRABYVals!$B$2:$B$999,"="&amp;$C125,RdTRABYVals!$C$2:$C$999,"="&amp;INS!$A125),"")</f>
        <v>0.38500000000000001</v>
      </c>
      <c r="BE125" s="6">
        <f>IFERROR(AVERAGEIFS(RdTRABYVals!W$2:W$999,RdTRABYVals!$B$2:$B$999,"="&amp;$C125,RdTRABYVals!$C$2:$C$999,"="&amp;INS!$A125),"")</f>
        <v>0.37</v>
      </c>
      <c r="BF125" s="6">
        <f>IFERROR(AVERAGEIFS(RdTRABYVals!X$2:X$999,RdTRABYVals!$B$2:$B$999,"="&amp;$C125,RdTRABYVals!$C$2:$C$999,"="&amp;INS!$A125),"")</f>
        <v>0.38500000000000001</v>
      </c>
      <c r="BG125" s="6">
        <f>IFERROR(AVERAGEIFS(RdTRABYVals!Y$2:Y$999,RdTRABYVals!$B$2:$B$999,"="&amp;$C125,RdTRABYVals!$C$2:$C$999,"="&amp;INS!$A125),"")</f>
        <v>0.38500000000000001</v>
      </c>
      <c r="BH125" s="6">
        <f>IFERROR(AVERAGEIFS(RdTRABYVals!Z$2:Z$999,RdTRABYVals!$B$2:$B$999,"="&amp;$C125,RdTRABYVals!$C$2:$C$999,"="&amp;INS!$A125),"")</f>
        <v>0.38</v>
      </c>
      <c r="BI125" s="6">
        <f>IFERROR(AVERAGEIFS(RdTRABYVals!AA$2:AA$999,RdTRABYVals!$B$2:$B$999,"="&amp;$C125,RdTRABYVals!$C$2:$C$999,"="&amp;INS!$A125),"")</f>
        <v>0.41999999999999998</v>
      </c>
      <c r="BJ125" s="6">
        <f>IFERROR(AVERAGEIFS(RdTRABYVals!AB$2:AB$999,RdTRABYVals!$B$2:$B$999,"="&amp;$C125,RdTRABYVals!$C$2:$C$999,"="&amp;INS!$A125),"")</f>
        <v>0.39000000000000001</v>
      </c>
      <c r="BK125" s="6">
        <f>IFERROR(AVERAGEIFS(RdTRABYVals!AC$2:AC$999,RdTRABYVals!$B$2:$B$999,"="&amp;$C125,RdTRABYVals!$C$2:$C$999,"="&amp;INS!$A125),"")</f>
        <v>0.37</v>
      </c>
      <c r="BL125" s="6">
        <f>IFERROR(AVERAGEIFS(RdTRABYVals!AD$2:AD$999,RdTRABYVals!$B$2:$B$999,"="&amp;$C125,RdTRABYVals!$C$2:$C$999,"="&amp;INS!$A125),"")</f>
        <v>0.38500000000000001</v>
      </c>
      <c r="BM125" s="6">
        <f>IFERROR(AVERAGEIFS(RdTRABYVals!AE$2:AE$999,RdTRABYVals!$B$2:$B$999,"="&amp;$C125,RdTRABYVals!$C$2:$C$999,"="&amp;INS!$A125),"")</f>
        <v>0.35999999999999999</v>
      </c>
      <c r="BN125" s="6">
        <f>IFERROR(AVERAGEIFS(RdTRABYVals!AF$2:AF$999,RdTRABYVals!$B$2:$B$999,"="&amp;$C125,RdTRABYVals!$C$2:$C$999,"="&amp;INS!$A125),"")</f>
        <v>0.41999999999999998</v>
      </c>
      <c r="BO125" s="6">
        <f>IFERROR(AVERAGEIFS(RdTRABYVals!AG$2:AG$999,RdTRABYVals!$B$2:$B$999,"="&amp;$C125,RdTRABYVals!$C$2:$C$999,"="&amp;INS!$A125),"")</f>
        <v>0.38500000000000001</v>
      </c>
      <c r="BP125" s="6">
        <f>IFERROR(AVERAGEIFS(RdTRABYVals!AH$2:AH$999,RdTRABYVals!$B$2:$B$999,"="&amp;$C125,RdTRABYVals!$C$2:$C$999,"="&amp;INS!$A125),"")</f>
        <v>0.38500000000000001</v>
      </c>
      <c r="BQ125" s="6">
        <f>IFERROR(AVERAGEIFS(RdTRABYVals!AI$2:AI$999,RdTRABYVals!$B$2:$B$999,"="&amp;$C125,RdTRABYVals!$C$2:$C$999,"="&amp;INS!$A125),"")</f>
        <v>0.39000000000000001</v>
      </c>
      <c r="BR125" s="6">
        <f>IFERROR(AVERAGEIFS(RdTRABYVals!AJ$2:AJ$999,RdTRABYVals!$B$2:$B$999,"="&amp;$C125,RdTRABYVals!$C$2:$C$999,"="&amp;INS!$A125),"")</f>
        <v>0.37</v>
      </c>
      <c r="BS125" s="6">
        <f>IFERROR(AVERAGEIFS(RdTRABYVals!AK$2:AK$999,RdTRABYVals!$B$2:$B$999,"="&amp;$C125,RdTRABYVals!$C$2:$C$999,"="&amp;INS!$A125),"")</f>
        <v>0.38500000000000001</v>
      </c>
      <c r="BT125" s="6">
        <f>IFERROR(AVERAGEIFS(RdTRABYVals!AL$2:AL$999,RdTRABYVals!$B$2:$B$999,"="&amp;$C125,RdTRABYVals!$C$2:$C$999,"="&amp;INS!$A125),"")</f>
        <v>0.38500000000000001</v>
      </c>
      <c r="BU125" s="6">
        <f>IFERROR(AVERAGEIFS(RdTRABYVals!AM$2:AM$999,RdTRABYVals!$B$2:$B$999,"="&amp;$C125,RdTRABYVals!$C$2:$C$999,"="&amp;INS!$A125),"")</f>
        <v>0.33000000000000002</v>
      </c>
      <c r="BV125" s="6">
        <f>IFERROR(AVERAGEIFS(RdTRABYVals!AN$2:AN$999,RdTRABYVals!$B$2:$B$999,"="&amp;$C125,RdTRABYVals!$C$2:$C$999,"="&amp;INS!$A125),"")</f>
        <v>0.38500000000000001</v>
      </c>
      <c r="BW125" s="6">
        <f>IFERROR(AVERAGEIFS(RdTRABYVals!AO$2:AO$999,RdTRABYVals!$B$2:$B$999,"="&amp;$C125,RdTRABYVals!$C$2:$C$999,"="&amp;INS!$A125),"")</f>
        <v>0.38</v>
      </c>
      <c r="BX125" s="6">
        <f>IFERROR(AVERAGEIFS(RdTRABYVals!AP$2:AP$999,RdTRABYVals!$B$2:$B$999,"="&amp;$C125,RdTRABYVals!$C$2:$C$999,"="&amp;INS!$A125),"")</f>
        <v>0.35999999999999999</v>
      </c>
      <c r="BY125" s="6">
        <f>IFERROR(AVERAGEIFS(RdTRABYVals!AQ$2:AQ$999,RdTRABYVals!$B$2:$B$999,"="&amp;$C125,RdTRABYVals!$C$2:$C$999,"="&amp;INS!$A125),"")</f>
        <v>0.35999999999999999</v>
      </c>
      <c r="BZ125" s="6">
        <f>IFERROR(AVERAGEIFS(RdTRABYVals!AR$2:AR$999,RdTRABYVals!$B$2:$B$999,"="&amp;$C125,RdTRABYVals!$C$2:$C$999,"="&amp;INS!$A125),"")</f>
        <v>0.41999999999999998</v>
      </c>
      <c r="CA125" s="6">
        <f>IFERROR(AVERAGEIFS(RdTRABYVals!AS$2:AS$999,RdTRABYVals!$B$2:$B$999,"="&amp;$C125,RdTRABYVals!$C$2:$C$999,"="&amp;INS!$A125),"")</f>
        <v>0.38500000000000001</v>
      </c>
      <c r="CB125" s="6">
        <f>IFERROR(AVERAGEIFS(RdTRABYVals!AT$2:AT$999,RdTRABYVals!$B$2:$B$999,"="&amp;$C125,RdTRABYVals!$C$2:$C$999,"="&amp;INS!$A125),"")</f>
        <v>0.38500000000000001</v>
      </c>
      <c r="CC125" s="6">
        <f>IFERROR(AVERAGEIFS(RdTRABYVals!AU$2:AU$999,RdTRABYVals!$B$2:$B$999,"="&amp;$C125,RdTRABYVals!$C$2:$C$999,"="&amp;INS!$A125),"")</f>
        <v>0.39000000000000001</v>
      </c>
      <c r="CD125" s="6">
        <f>IFERROR(AVERAGEIFS(RdTRABYVals!AV$2:AV$999,RdTRABYVals!$B$2:$B$999,"="&amp;$C125,RdTRABYVals!$C$2:$C$999,"="&amp;INS!$A125),"")</f>
        <v>0.37</v>
      </c>
    </row>
    <row r="126" spans="1:82" ht="14.4">
      <c r="A126" s="3" t="s">
        <v>139</v>
      </c>
      <c r="C126" s="1" t="s">
        <v>29</v>
      </c>
      <c r="D126" t="str">
        <f t="shared" si="30"/>
        <v>TRA_Hdt_Dis*</v>
      </c>
      <c r="F126" t="str">
        <f t="shared" si="31"/>
        <v>*0.120031551044115</v>
      </c>
      <c r="G126" t="str">
        <f t="shared" si="37"/>
        <v>*0.116721265948143</v>
      </c>
      <c r="H126" t="str">
        <f t="shared" si="38"/>
        <v>*0.0952180811835516</v>
      </c>
      <c r="I126" t="str">
        <f t="shared" si="39"/>
        <v>*0.144636393470381</v>
      </c>
      <c r="J126" t="str">
        <f t="shared" si="40"/>
        <v>*0.103619698488162</v>
      </c>
      <c r="K126" t="str">
        <f t="shared" si="41"/>
        <v>*0.0927843613904477</v>
      </c>
      <c r="L126" t="str">
        <f t="shared" si="42"/>
        <v>*0.11858440363995</v>
      </c>
      <c r="M126" t="str">
        <f t="shared" si="43"/>
        <v>*0.114044829974671</v>
      </c>
      <c r="N126" t="str">
        <f t="shared" si="44"/>
        <v>*0.108556322896224</v>
      </c>
      <c r="O126" t="str">
        <f t="shared" si="45"/>
        <v>*0.117000107745321</v>
      </c>
      <c r="P126" t="str">
        <f t="shared" si="46"/>
        <v>*0.0920368881457436</v>
      </c>
      <c r="Q126" t="str">
        <f t="shared" si="47"/>
        <v>*0.118437880938806</v>
      </c>
      <c r="R126" t="str">
        <f t="shared" si="48"/>
        <v>*0.116721265948143</v>
      </c>
      <c r="S126" t="str">
        <f t="shared" si="49"/>
        <v>*0.118203291106111</v>
      </c>
      <c r="T126" t="str">
        <f t="shared" si="50"/>
        <v>*0.103957439548966</v>
      </c>
      <c r="U126" t="str">
        <f t="shared" si="51"/>
        <v>*0.0953943246845703</v>
      </c>
      <c r="V126" t="str">
        <f t="shared" si="52"/>
        <v>*0.144636393470381</v>
      </c>
      <c r="W126" t="str">
        <f t="shared" si="53"/>
        <v>*0.113604413499276</v>
      </c>
      <c r="X126" t="str">
        <f t="shared" si="54"/>
        <v>*0.174101631034081</v>
      </c>
      <c r="Y126" t="str">
        <f t="shared" si="55"/>
        <v>*0.13212961864411</v>
      </c>
      <c r="Z126" t="str">
        <f t="shared" si="56"/>
        <v>*0.113429238866598</v>
      </c>
      <c r="AA126" t="str">
        <f t="shared" si="57"/>
        <v>*0.144636393470381</v>
      </c>
      <c r="AB126" t="str">
        <f t="shared" si="58"/>
        <v>*0.133995634549939</v>
      </c>
      <c r="AC126" t="str">
        <f t="shared" si="59"/>
        <v>*0.118861775109382</v>
      </c>
      <c r="AD126" t="str">
        <f t="shared" si="60"/>
        <v>*0.127491964405818</v>
      </c>
      <c r="AE126" t="str">
        <f t="shared" si="61"/>
        <v>*0.116721265948143</v>
      </c>
      <c r="AF126" t="str">
        <f t="shared" si="62"/>
        <v>*0.108385724603052</v>
      </c>
      <c r="AG126" t="str">
        <f t="shared" si="63"/>
        <v>*0.131293205393269</v>
      </c>
      <c r="AH126" t="str">
        <f t="shared" si="64"/>
        <v>*0.119527312928311</v>
      </c>
      <c r="AI126" t="str">
        <f t="shared" si="65"/>
        <v>*0.123912339422979</v>
      </c>
      <c r="AJ126" t="str">
        <f t="shared" si="66"/>
        <v>*0.126190138899243</v>
      </c>
      <c r="AK126" t="str">
        <f t="shared" si="67"/>
        <v>*0.140256313706714</v>
      </c>
      <c r="AL126" t="str">
        <f t="shared" si="68"/>
        <v>*0.114838437511216</v>
      </c>
      <c r="AM126" t="str">
        <f t="shared" si="69"/>
        <v>*0.144636393470381</v>
      </c>
      <c r="AN126" t="str">
        <f t="shared" si="33"/>
        <v>*0.101009453044025</v>
      </c>
      <c r="AO126" t="str">
        <f t="shared" si="34"/>
        <v>*0.110848943480575</v>
      </c>
      <c r="AP126" t="str">
        <f t="shared" si="35"/>
        <v>*0.13040484478619</v>
      </c>
      <c r="AQ126" t="str">
        <f t="shared" si="36"/>
        <v>*0.114339397278989</v>
      </c>
      <c r="AS126" s="6">
        <f t="shared" si="32"/>
        <v>0.1200315510441147</v>
      </c>
      <c r="AT126" s="6">
        <f>IFERROR(AVERAGEIFS(RdTRABYVals!L$2:L$999,RdTRABYVals!$B$2:$B$999,"="&amp;$C126,RdTRABYVals!$C$2:$C$999,"="&amp;INS!$A126),"")</f>
        <v>0.116721265948143</v>
      </c>
      <c r="AU126" s="6">
        <f>IFERROR(AVERAGEIFS(RdTRABYVals!M$2:M$999,RdTRABYVals!$B$2:$B$999,"="&amp;$C126,RdTRABYVals!$C$2:$C$999,"="&amp;INS!$A126),"")</f>
        <v>0.095218081183551601</v>
      </c>
      <c r="AV126" s="6">
        <f>IFERROR(AVERAGEIFS(RdTRABYVals!N$2:N$999,RdTRABYVals!$B$2:$B$999,"="&amp;$C126,RdTRABYVals!$C$2:$C$999,"="&amp;INS!$A126),"")</f>
        <v>0.14463639347038099</v>
      </c>
      <c r="AW126" s="6">
        <f>IFERROR(AVERAGEIFS(RdTRABYVals!O$2:O$999,RdTRABYVals!$B$2:$B$999,"="&amp;$C126,RdTRABYVals!$C$2:$C$999,"="&amp;INS!$A126),"")</f>
        <v>0.10361969848816199</v>
      </c>
      <c r="AX126" s="6">
        <f>IFERROR(AVERAGEIFS(RdTRABYVals!P$2:P$999,RdTRABYVals!$B$2:$B$999,"="&amp;$C126,RdTRABYVals!$C$2:$C$999,"="&amp;INS!$A126),"")</f>
        <v>0.092784361390447698</v>
      </c>
      <c r="AY126" s="6">
        <f>IFERROR(AVERAGEIFS(RdTRABYVals!Q$2:Q$999,RdTRABYVals!$B$2:$B$999,"="&amp;$C126,RdTRABYVals!$C$2:$C$999,"="&amp;INS!$A126),"")</f>
        <v>0.11858440363995</v>
      </c>
      <c r="AZ126" s="6">
        <f>IFERROR(AVERAGEIFS(RdTRABYVals!R$2:R$999,RdTRABYVals!$B$2:$B$999,"="&amp;$C126,RdTRABYVals!$C$2:$C$999,"="&amp;INS!$A126),"")</f>
        <v>0.114044829974671</v>
      </c>
      <c r="BA126" s="6">
        <f>IFERROR(AVERAGEIFS(RdTRABYVals!S$2:S$999,RdTRABYVals!$B$2:$B$999,"="&amp;$C126,RdTRABYVals!$C$2:$C$999,"="&amp;INS!$A126),"")</f>
        <v>0.10855632289622399</v>
      </c>
      <c r="BB126" s="6">
        <f>IFERROR(AVERAGEIFS(RdTRABYVals!T$2:T$999,RdTRABYVals!$B$2:$B$999,"="&amp;$C126,RdTRABYVals!$C$2:$C$999,"="&amp;INS!$A126),"")</f>
        <v>0.11700010774532101</v>
      </c>
      <c r="BC126" s="6">
        <f>IFERROR(AVERAGEIFS(RdTRABYVals!U$2:U$999,RdTRABYVals!$B$2:$B$999,"="&amp;$C126,RdTRABYVals!$C$2:$C$999,"="&amp;INS!$A126),"")</f>
        <v>0.092036888145743595</v>
      </c>
      <c r="BD126" s="6">
        <f>IFERROR(AVERAGEIFS(RdTRABYVals!V$2:V$999,RdTRABYVals!$B$2:$B$999,"="&amp;$C126,RdTRABYVals!$C$2:$C$999,"="&amp;INS!$A126),"")</f>
        <v>0.118437880938806</v>
      </c>
      <c r="BE126" s="6">
        <f>IFERROR(AVERAGEIFS(RdTRABYVals!W$2:W$999,RdTRABYVals!$B$2:$B$999,"="&amp;$C126,RdTRABYVals!$C$2:$C$999,"="&amp;INS!$A126),"")</f>
        <v>0.116721265948143</v>
      </c>
      <c r="BF126" s="6">
        <f>IFERROR(AVERAGEIFS(RdTRABYVals!X$2:X$999,RdTRABYVals!$B$2:$B$999,"="&amp;$C126,RdTRABYVals!$C$2:$C$999,"="&amp;INS!$A126),"")</f>
        <v>0.118203291106111</v>
      </c>
      <c r="BG126" s="6">
        <f>IFERROR(AVERAGEIFS(RdTRABYVals!Y$2:Y$999,RdTRABYVals!$B$2:$B$999,"="&amp;$C126,RdTRABYVals!$C$2:$C$999,"="&amp;INS!$A126),"")</f>
        <v>0.103957439548966</v>
      </c>
      <c r="BH126" s="6">
        <f>IFERROR(AVERAGEIFS(RdTRABYVals!Z$2:Z$999,RdTRABYVals!$B$2:$B$999,"="&amp;$C126,RdTRABYVals!$C$2:$C$999,"="&amp;INS!$A126),"")</f>
        <v>0.095394324684570306</v>
      </c>
      <c r="BI126" s="6">
        <f>IFERROR(AVERAGEIFS(RdTRABYVals!AA$2:AA$999,RdTRABYVals!$B$2:$B$999,"="&amp;$C126,RdTRABYVals!$C$2:$C$999,"="&amp;INS!$A126),"")</f>
        <v>0.14463639347038099</v>
      </c>
      <c r="BJ126" s="6">
        <f>IFERROR(AVERAGEIFS(RdTRABYVals!AB$2:AB$999,RdTRABYVals!$B$2:$B$999,"="&amp;$C126,RdTRABYVals!$C$2:$C$999,"="&amp;INS!$A126),"")</f>
        <v>0.113604413499276</v>
      </c>
      <c r="BK126" s="6">
        <f>IFERROR(AVERAGEIFS(RdTRABYVals!AC$2:AC$999,RdTRABYVals!$B$2:$B$999,"="&amp;$C126,RdTRABYVals!$C$2:$C$999,"="&amp;INS!$A126),"")</f>
        <v>0.17410163103408099</v>
      </c>
      <c r="BL126" s="6">
        <f>IFERROR(AVERAGEIFS(RdTRABYVals!AD$2:AD$999,RdTRABYVals!$B$2:$B$999,"="&amp;$C126,RdTRABYVals!$C$2:$C$999,"="&amp;INS!$A126),"")</f>
        <v>0.13212961864410999</v>
      </c>
      <c r="BM126" s="6">
        <f>IFERROR(AVERAGEIFS(RdTRABYVals!AE$2:AE$999,RdTRABYVals!$B$2:$B$999,"="&amp;$C126,RdTRABYVals!$C$2:$C$999,"="&amp;INS!$A126),"")</f>
        <v>0.113429238866598</v>
      </c>
      <c r="BN126" s="6">
        <f>IFERROR(AVERAGEIFS(RdTRABYVals!AF$2:AF$999,RdTRABYVals!$B$2:$B$999,"="&amp;$C126,RdTRABYVals!$C$2:$C$999,"="&amp;INS!$A126),"")</f>
        <v>0.14463639347038099</v>
      </c>
      <c r="BO126" s="6">
        <f>IFERROR(AVERAGEIFS(RdTRABYVals!AG$2:AG$999,RdTRABYVals!$B$2:$B$999,"="&amp;$C126,RdTRABYVals!$C$2:$C$999,"="&amp;INS!$A126),"")</f>
        <v>0.13399563454993901</v>
      </c>
      <c r="BP126" s="6">
        <f>IFERROR(AVERAGEIFS(RdTRABYVals!AH$2:AH$999,RdTRABYVals!$B$2:$B$999,"="&amp;$C126,RdTRABYVals!$C$2:$C$999,"="&amp;INS!$A126),"")</f>
        <v>0.11886177510938201</v>
      </c>
      <c r="BQ126" s="6">
        <f>IFERROR(AVERAGEIFS(RdTRABYVals!AI$2:AI$999,RdTRABYVals!$B$2:$B$999,"="&amp;$C126,RdTRABYVals!$C$2:$C$999,"="&amp;INS!$A126),"")</f>
        <v>0.127491964405818</v>
      </c>
      <c r="BR126" s="6">
        <f>IFERROR(AVERAGEIFS(RdTRABYVals!AJ$2:AJ$999,RdTRABYVals!$B$2:$B$999,"="&amp;$C126,RdTRABYVals!$C$2:$C$999,"="&amp;INS!$A126),"")</f>
        <v>0.116721265948143</v>
      </c>
      <c r="BS126" s="6">
        <f>IFERROR(AVERAGEIFS(RdTRABYVals!AK$2:AK$999,RdTRABYVals!$B$2:$B$999,"="&amp;$C126,RdTRABYVals!$C$2:$C$999,"="&amp;INS!$A126),"")</f>
        <v>0.108385724603052</v>
      </c>
      <c r="BT126" s="6">
        <f>IFERROR(AVERAGEIFS(RdTRABYVals!AL$2:AL$999,RdTRABYVals!$B$2:$B$999,"="&amp;$C126,RdTRABYVals!$C$2:$C$999,"="&amp;INS!$A126),"")</f>
        <v>0.131293205393269</v>
      </c>
      <c r="BU126" s="6">
        <f>IFERROR(AVERAGEIFS(RdTRABYVals!AM$2:AM$999,RdTRABYVals!$B$2:$B$999,"="&amp;$C126,RdTRABYVals!$C$2:$C$999,"="&amp;INS!$A126),"")</f>
        <v>0.11952731292831099</v>
      </c>
      <c r="BV126" s="6">
        <f>IFERROR(AVERAGEIFS(RdTRABYVals!AN$2:AN$999,RdTRABYVals!$B$2:$B$999,"="&amp;$C126,RdTRABYVals!$C$2:$C$999,"="&amp;INS!$A126),"")</f>
        <v>0.123912339422979</v>
      </c>
      <c r="BW126" s="6">
        <f>IFERROR(AVERAGEIFS(RdTRABYVals!AO$2:AO$999,RdTRABYVals!$B$2:$B$999,"="&amp;$C126,RdTRABYVals!$C$2:$C$999,"="&amp;INS!$A126),"")</f>
        <v>0.12619013889924299</v>
      </c>
      <c r="BX126" s="6">
        <f>IFERROR(AVERAGEIFS(RdTRABYVals!AP$2:AP$999,RdTRABYVals!$B$2:$B$999,"="&amp;$C126,RdTRABYVals!$C$2:$C$999,"="&amp;INS!$A126),"")</f>
        <v>0.14025631370671399</v>
      </c>
      <c r="BY126" s="6">
        <f>IFERROR(AVERAGEIFS(RdTRABYVals!AQ$2:AQ$999,RdTRABYVals!$B$2:$B$999,"="&amp;$C126,RdTRABYVals!$C$2:$C$999,"="&amp;INS!$A126),"")</f>
        <v>0.114838437511216</v>
      </c>
      <c r="BZ126" s="6">
        <f>IFERROR(AVERAGEIFS(RdTRABYVals!AR$2:AR$999,RdTRABYVals!$B$2:$B$999,"="&amp;$C126,RdTRABYVals!$C$2:$C$999,"="&amp;INS!$A126),"")</f>
        <v>0.14463639347038099</v>
      </c>
      <c r="CA126" s="6">
        <f>IFERROR(AVERAGEIFS(RdTRABYVals!AS$2:AS$999,RdTRABYVals!$B$2:$B$999,"="&amp;$C126,RdTRABYVals!$C$2:$C$999,"="&amp;INS!$A126),"")</f>
        <v>0.101009453044025</v>
      </c>
      <c r="CB126" s="6">
        <f>IFERROR(AVERAGEIFS(RdTRABYVals!AT$2:AT$999,RdTRABYVals!$B$2:$B$999,"="&amp;$C126,RdTRABYVals!$C$2:$C$999,"="&amp;INS!$A126),"")</f>
        <v>0.110848943480575</v>
      </c>
      <c r="CC126" s="6">
        <f>IFERROR(AVERAGEIFS(RdTRABYVals!AU$2:AU$999,RdTRABYVals!$B$2:$B$999,"="&amp;$C126,RdTRABYVals!$C$2:$C$999,"="&amp;INS!$A126),"")</f>
        <v>0.13040484478618999</v>
      </c>
      <c r="CD126" s="6">
        <f>IFERROR(AVERAGEIFS(RdTRABYVals!AV$2:AV$999,RdTRABYVals!$B$2:$B$999,"="&amp;$C126,RdTRABYVals!$C$2:$C$999,"="&amp;INS!$A126),"")</f>
        <v>0.11433939727898899</v>
      </c>
    </row>
    <row r="127" spans="1:82" ht="14.4">
      <c r="A127" s="3" t="s">
        <v>140</v>
      </c>
      <c r="C127" s="1" t="s">
        <v>29</v>
      </c>
      <c r="D127" t="str">
        <f t="shared" si="30"/>
        <v>TRA_Hdt_Gas*</v>
      </c>
      <c r="F127" t="str">
        <f t="shared" si="31"/>
        <v>*0.132740331344722</v>
      </c>
      <c r="G127" t="str">
        <f t="shared" si="37"/>
        <v>*0.132740332798573</v>
      </c>
      <c r="H127" t="str">
        <f t="shared" si="38"/>
        <v>*0.132740331344722</v>
      </c>
      <c r="I127" t="str">
        <f t="shared" si="39"/>
        <v>*0.132740329079821</v>
      </c>
      <c r="J127" t="str">
        <f t="shared" si="40"/>
        <v>*0.132740331344722</v>
      </c>
      <c r="K127" t="str">
        <f t="shared" si="41"/>
        <v>*0.132740331431887</v>
      </c>
      <c r="L127" t="str">
        <f t="shared" si="42"/>
        <v>*0.132740331344722</v>
      </c>
      <c r="M127" t="str">
        <f t="shared" si="43"/>
        <v>*0.132740330622275</v>
      </c>
      <c r="N127" t="str">
        <f t="shared" si="44"/>
        <v>*0.132740332801537</v>
      </c>
      <c r="O127" t="str">
        <f t="shared" si="45"/>
        <v>*0.132740331344722</v>
      </c>
      <c r="P127" t="str">
        <f t="shared" si="46"/>
        <v>*0.132740332361714</v>
      </c>
      <c r="Q127" t="str">
        <f t="shared" si="47"/>
        <v>*0.132740332681869</v>
      </c>
      <c r="R127" t="str">
        <f t="shared" si="48"/>
        <v>*0.132740332798573</v>
      </c>
      <c r="S127" t="str">
        <f t="shared" si="49"/>
        <v>*0.132740333041772</v>
      </c>
      <c r="T127" t="str">
        <f t="shared" si="50"/>
        <v>*0.132740328907598</v>
      </c>
      <c r="U127" t="str">
        <f t="shared" si="51"/>
        <v>*0.132740330015402</v>
      </c>
      <c r="V127" t="str">
        <f t="shared" si="52"/>
        <v>*0.132740329079821</v>
      </c>
      <c r="W127" t="str">
        <f t="shared" si="53"/>
        <v>*0.13274032865624</v>
      </c>
      <c r="X127" t="str">
        <f t="shared" si="54"/>
        <v>*0.132740334838905</v>
      </c>
      <c r="Y127" t="str">
        <f t="shared" si="55"/>
        <v>*0.132740329599224</v>
      </c>
      <c r="Z127" t="str">
        <f t="shared" si="56"/>
        <v>*0.132740331942285</v>
      </c>
      <c r="AA127" t="str">
        <f t="shared" si="57"/>
        <v>*0.132740329079821</v>
      </c>
      <c r="AB127" t="str">
        <f t="shared" si="58"/>
        <v>*0.132740332323141</v>
      </c>
      <c r="AC127" t="str">
        <f t="shared" si="59"/>
        <v>*0.132740331452887</v>
      </c>
      <c r="AD127" t="str">
        <f t="shared" si="60"/>
        <v>*0.132740331785284</v>
      </c>
      <c r="AE127" t="str">
        <f t="shared" si="61"/>
        <v>*0.132740332798573</v>
      </c>
      <c r="AF127" t="str">
        <f t="shared" si="62"/>
        <v>*0.132740332966431</v>
      </c>
      <c r="AG127" t="str">
        <f t="shared" si="63"/>
        <v>*0.132740331344722</v>
      </c>
      <c r="AH127" t="str">
        <f t="shared" si="64"/>
        <v>*0.132740332150368</v>
      </c>
      <c r="AI127" t="str">
        <f t="shared" si="65"/>
        <v>*0.132740330344933</v>
      </c>
      <c r="AJ127" t="str">
        <f t="shared" si="66"/>
        <v>*0.132740330241611</v>
      </c>
      <c r="AK127" t="str">
        <f t="shared" si="67"/>
        <v>*0.132740331344722</v>
      </c>
      <c r="AL127" t="str">
        <f t="shared" si="68"/>
        <v>*0.132740331352457</v>
      </c>
      <c r="AM127" t="str">
        <f t="shared" si="69"/>
        <v>*0.132740329079821</v>
      </c>
      <c r="AN127" t="str">
        <f t="shared" si="33"/>
        <v>*0.132740330860547</v>
      </c>
      <c r="AO127" t="str">
        <f t="shared" si="34"/>
        <v>*0.13274033165865</v>
      </c>
      <c r="AP127" t="str">
        <f t="shared" si="35"/>
        <v>*0.132740331344722</v>
      </c>
      <c r="AQ127" t="str">
        <f t="shared" si="36"/>
        <v>*0.132740333589635</v>
      </c>
      <c r="AS127" s="6">
        <f t="shared" si="32"/>
        <v>0.13274033134472188</v>
      </c>
      <c r="AT127" s="6">
        <f>IFERROR(AVERAGEIFS(RdTRABYVals!L$2:L$999,RdTRABYVals!$B$2:$B$999,"="&amp;$C127,RdTRABYVals!$C$2:$C$999,"="&amp;INS!$A127),"")</f>
        <v>0.132740332798573</v>
      </c>
      <c r="AU127" s="6">
        <f>IFERROR(AVERAGEIFS(RdTRABYVals!M$2:M$999,RdTRABYVals!$B$2:$B$999,"="&amp;$C127,RdTRABYVals!$C$2:$C$999,"="&amp;INS!$A127),"")</f>
        <v>0.13274033134472199</v>
      </c>
      <c r="AV127" s="6">
        <f>IFERROR(AVERAGEIFS(RdTRABYVals!N$2:N$999,RdTRABYVals!$B$2:$B$999,"="&amp;$C127,RdTRABYVals!$C$2:$C$999,"="&amp;INS!$A127),"")</f>
        <v>0.132740329079821</v>
      </c>
      <c r="AW127" s="6">
        <f>IFERROR(AVERAGEIFS(RdTRABYVals!O$2:O$999,RdTRABYVals!$B$2:$B$999,"="&amp;$C127,RdTRABYVals!$C$2:$C$999,"="&amp;INS!$A127),"")</f>
        <v>0.13274033134472199</v>
      </c>
      <c r="AX127" s="6">
        <f>IFERROR(AVERAGEIFS(RdTRABYVals!P$2:P$999,RdTRABYVals!$B$2:$B$999,"="&amp;$C127,RdTRABYVals!$C$2:$C$999,"="&amp;INS!$A127),"")</f>
        <v>0.13274033143188699</v>
      </c>
      <c r="AY127" s="6">
        <f>IFERROR(AVERAGEIFS(RdTRABYVals!Q$2:Q$999,RdTRABYVals!$B$2:$B$999,"="&amp;$C127,RdTRABYVals!$C$2:$C$999,"="&amp;INS!$A127),"")</f>
        <v>0.13274033134472199</v>
      </c>
      <c r="AZ127" s="6">
        <f>IFERROR(AVERAGEIFS(RdTRABYVals!R$2:R$999,RdTRABYVals!$B$2:$B$999,"="&amp;$C127,RdTRABYVals!$C$2:$C$999,"="&amp;INS!$A127),"")</f>
        <v>0.132740330622275</v>
      </c>
      <c r="BA127" s="6">
        <f>IFERROR(AVERAGEIFS(RdTRABYVals!S$2:S$999,RdTRABYVals!$B$2:$B$999,"="&amp;$C127,RdTRABYVals!$C$2:$C$999,"="&amp;INS!$A127),"")</f>
        <v>0.13274033280153699</v>
      </c>
      <c r="BB127" s="6">
        <f>IFERROR(AVERAGEIFS(RdTRABYVals!T$2:T$999,RdTRABYVals!$B$2:$B$999,"="&amp;$C127,RdTRABYVals!$C$2:$C$999,"="&amp;INS!$A127),"")</f>
        <v>0.13274033134472199</v>
      </c>
      <c r="BC127" s="6">
        <f>IFERROR(AVERAGEIFS(RdTRABYVals!U$2:U$999,RdTRABYVals!$B$2:$B$999,"="&amp;$C127,RdTRABYVals!$C$2:$C$999,"="&amp;INS!$A127),"")</f>
        <v>0.13274033236171401</v>
      </c>
      <c r="BD127" s="6">
        <f>IFERROR(AVERAGEIFS(RdTRABYVals!V$2:V$999,RdTRABYVals!$B$2:$B$999,"="&amp;$C127,RdTRABYVals!$C$2:$C$999,"="&amp;INS!$A127),"")</f>
        <v>0.13274033268186899</v>
      </c>
      <c r="BE127" s="6">
        <f>IFERROR(AVERAGEIFS(RdTRABYVals!W$2:W$999,RdTRABYVals!$B$2:$B$999,"="&amp;$C127,RdTRABYVals!$C$2:$C$999,"="&amp;INS!$A127),"")</f>
        <v>0.132740332798573</v>
      </c>
      <c r="BF127" s="6">
        <f>IFERROR(AVERAGEIFS(RdTRABYVals!X$2:X$999,RdTRABYVals!$B$2:$B$999,"="&amp;$C127,RdTRABYVals!$C$2:$C$999,"="&amp;INS!$A127),"")</f>
        <v>0.13274033304177199</v>
      </c>
      <c r="BG127" s="6">
        <f>IFERROR(AVERAGEIFS(RdTRABYVals!Y$2:Y$999,RdTRABYVals!$B$2:$B$999,"="&amp;$C127,RdTRABYVals!$C$2:$C$999,"="&amp;INS!$A127),"")</f>
        <v>0.13274032890759799</v>
      </c>
      <c r="BH127" s="6">
        <f>IFERROR(AVERAGEIFS(RdTRABYVals!Z$2:Z$999,RdTRABYVals!$B$2:$B$999,"="&amp;$C127,RdTRABYVals!$C$2:$C$999,"="&amp;INS!$A127),"")</f>
        <v>0.132740330015402</v>
      </c>
      <c r="BI127" s="6">
        <f>IFERROR(AVERAGEIFS(RdTRABYVals!AA$2:AA$999,RdTRABYVals!$B$2:$B$999,"="&amp;$C127,RdTRABYVals!$C$2:$C$999,"="&amp;INS!$A127),"")</f>
        <v>0.132740329079821</v>
      </c>
      <c r="BJ127" s="6">
        <f>IFERROR(AVERAGEIFS(RdTRABYVals!AB$2:AB$999,RdTRABYVals!$B$2:$B$999,"="&amp;$C127,RdTRABYVals!$C$2:$C$999,"="&amp;INS!$A127),"")</f>
        <v>0.13274032865624</v>
      </c>
      <c r="BK127" s="6">
        <f>IFERROR(AVERAGEIFS(RdTRABYVals!AC$2:AC$999,RdTRABYVals!$B$2:$B$999,"="&amp;$C127,RdTRABYVals!$C$2:$C$999,"="&amp;INS!$A127),"")</f>
        <v>0.13274033483890499</v>
      </c>
      <c r="BL127" s="6">
        <f>IFERROR(AVERAGEIFS(RdTRABYVals!AD$2:AD$999,RdTRABYVals!$B$2:$B$999,"="&amp;$C127,RdTRABYVals!$C$2:$C$999,"="&amp;INS!$A127),"")</f>
        <v>0.13274032959922399</v>
      </c>
      <c r="BM127" s="6">
        <f>IFERROR(AVERAGEIFS(RdTRABYVals!AE$2:AE$999,RdTRABYVals!$B$2:$B$999,"="&amp;$C127,RdTRABYVals!$C$2:$C$999,"="&amp;INS!$A127),"")</f>
        <v>0.13274033194228499</v>
      </c>
      <c r="BN127" s="6">
        <f>IFERROR(AVERAGEIFS(RdTRABYVals!AF$2:AF$999,RdTRABYVals!$B$2:$B$999,"="&amp;$C127,RdTRABYVals!$C$2:$C$999,"="&amp;INS!$A127),"")</f>
        <v>0.132740329079821</v>
      </c>
      <c r="BO127" s="6">
        <f>IFERROR(AVERAGEIFS(RdTRABYVals!AG$2:AG$999,RdTRABYVals!$B$2:$B$999,"="&amp;$C127,RdTRABYVals!$C$2:$C$999,"="&amp;INS!$A127),"")</f>
        <v>0.132740332323141</v>
      </c>
      <c r="BP127" s="6">
        <f>IFERROR(AVERAGEIFS(RdTRABYVals!AH$2:AH$999,RdTRABYVals!$B$2:$B$999,"="&amp;$C127,RdTRABYVals!$C$2:$C$999,"="&amp;INS!$A127),"")</f>
        <v>0.13274033145288699</v>
      </c>
      <c r="BQ127" s="6">
        <f>IFERROR(AVERAGEIFS(RdTRABYVals!AI$2:AI$999,RdTRABYVals!$B$2:$B$999,"="&amp;$C127,RdTRABYVals!$C$2:$C$999,"="&amp;INS!$A127),"")</f>
        <v>0.13274033178528399</v>
      </c>
      <c r="BR127" s="6">
        <f>IFERROR(AVERAGEIFS(RdTRABYVals!AJ$2:AJ$999,RdTRABYVals!$B$2:$B$999,"="&amp;$C127,RdTRABYVals!$C$2:$C$999,"="&amp;INS!$A127),"")</f>
        <v>0.132740332798573</v>
      </c>
      <c r="BS127" s="6">
        <f>IFERROR(AVERAGEIFS(RdTRABYVals!AK$2:AK$999,RdTRABYVals!$B$2:$B$999,"="&amp;$C127,RdTRABYVals!$C$2:$C$999,"="&amp;INS!$A127),"")</f>
        <v>0.13274033296643101</v>
      </c>
      <c r="BT127" s="6">
        <f>IFERROR(AVERAGEIFS(RdTRABYVals!AL$2:AL$999,RdTRABYVals!$B$2:$B$999,"="&amp;$C127,RdTRABYVals!$C$2:$C$999,"="&amp;INS!$A127),"")</f>
        <v>0.13274033134472199</v>
      </c>
      <c r="BU127" s="6">
        <f>IFERROR(AVERAGEIFS(RdTRABYVals!AM$2:AM$999,RdTRABYVals!$B$2:$B$999,"="&amp;$C127,RdTRABYVals!$C$2:$C$999,"="&amp;INS!$A127),"")</f>
        <v>0.13274033215036801</v>
      </c>
      <c r="BV127" s="6">
        <f>IFERROR(AVERAGEIFS(RdTRABYVals!AN$2:AN$999,RdTRABYVals!$B$2:$B$999,"="&amp;$C127,RdTRABYVals!$C$2:$C$999,"="&amp;INS!$A127),"")</f>
        <v>0.13274033034493299</v>
      </c>
      <c r="BW127" s="6">
        <f>IFERROR(AVERAGEIFS(RdTRABYVals!AO$2:AO$999,RdTRABYVals!$B$2:$B$999,"="&amp;$C127,RdTRABYVals!$C$2:$C$999,"="&amp;INS!$A127),"")</f>
        <v>0.132740330241611</v>
      </c>
      <c r="BX127" s="6">
        <f>IFERROR(AVERAGEIFS(RdTRABYVals!AP$2:AP$999,RdTRABYVals!$B$2:$B$999,"="&amp;$C127,RdTRABYVals!$C$2:$C$999,"="&amp;INS!$A127),"")</f>
        <v>0.13274033134472199</v>
      </c>
      <c r="BY127" s="6">
        <f>IFERROR(AVERAGEIFS(RdTRABYVals!AQ$2:AQ$999,RdTRABYVals!$B$2:$B$999,"="&amp;$C127,RdTRABYVals!$C$2:$C$999,"="&amp;INS!$A127),"")</f>
        <v>0.132740331352457</v>
      </c>
      <c r="BZ127" s="6">
        <f>IFERROR(AVERAGEIFS(RdTRABYVals!AR$2:AR$999,RdTRABYVals!$B$2:$B$999,"="&amp;$C127,RdTRABYVals!$C$2:$C$999,"="&amp;INS!$A127),"")</f>
        <v>0.132740329079821</v>
      </c>
      <c r="CA127" s="6">
        <f>IFERROR(AVERAGEIFS(RdTRABYVals!AS$2:AS$999,RdTRABYVals!$B$2:$B$999,"="&amp;$C127,RdTRABYVals!$C$2:$C$999,"="&amp;INS!$A127),"")</f>
        <v>0.13274033086054701</v>
      </c>
      <c r="CB127" s="6">
        <f>IFERROR(AVERAGEIFS(RdTRABYVals!AT$2:AT$999,RdTRABYVals!$B$2:$B$999,"="&amp;$C127,RdTRABYVals!$C$2:$C$999,"="&amp;INS!$A127),"")</f>
        <v>0.13274033165865001</v>
      </c>
      <c r="CC127" s="6">
        <f>IFERROR(AVERAGEIFS(RdTRABYVals!AU$2:AU$999,RdTRABYVals!$B$2:$B$999,"="&amp;$C127,RdTRABYVals!$C$2:$C$999,"="&amp;INS!$A127),"")</f>
        <v>0.13274033134472199</v>
      </c>
      <c r="CD127" s="6">
        <f>IFERROR(AVERAGEIFS(RdTRABYVals!AV$2:AV$999,RdTRABYVals!$B$2:$B$999,"="&amp;$C127,RdTRABYVals!$C$2:$C$999,"="&amp;INS!$A127),"")</f>
        <v>0.132740333589635</v>
      </c>
    </row>
    <row r="128" spans="1:82" ht="14.4">
      <c r="A128" s="3" t="s">
        <v>139</v>
      </c>
      <c r="C128" s="1" t="s">
        <v>29</v>
      </c>
      <c r="D128" t="s">
        <v>171</v>
      </c>
      <c r="F128" t="str">
        <f t="shared" si="31"/>
        <v>*0.120031551044115</v>
      </c>
      <c r="G128" t="str">
        <f t="shared" si="37"/>
        <v>*0.116721265948143</v>
      </c>
      <c r="H128" t="str">
        <f t="shared" si="38"/>
        <v>*0.0952180811835516</v>
      </c>
      <c r="I128" t="str">
        <f t="shared" si="39"/>
        <v>*0.144636393470381</v>
      </c>
      <c r="J128" t="str">
        <f t="shared" si="40"/>
        <v>*0.103619698488162</v>
      </c>
      <c r="K128" t="str">
        <f t="shared" si="41"/>
        <v>*0.0927843613904477</v>
      </c>
      <c r="L128" t="str">
        <f t="shared" si="42"/>
        <v>*0.11858440363995</v>
      </c>
      <c r="M128" t="str">
        <f t="shared" si="43"/>
        <v>*0.114044829974671</v>
      </c>
      <c r="N128" t="str">
        <f t="shared" si="44"/>
        <v>*0.108556322896224</v>
      </c>
      <c r="O128" t="str">
        <f t="shared" si="45"/>
        <v>*0.117000107745321</v>
      </c>
      <c r="P128" t="str">
        <f t="shared" si="46"/>
        <v>*0.0920368881457436</v>
      </c>
      <c r="Q128" t="str">
        <f t="shared" si="47"/>
        <v>*0.118437880938806</v>
      </c>
      <c r="R128" t="str">
        <f t="shared" si="48"/>
        <v>*0.116721265948143</v>
      </c>
      <c r="S128" t="str">
        <f t="shared" si="49"/>
        <v>*0.118203291106111</v>
      </c>
      <c r="T128" t="str">
        <f t="shared" si="50"/>
        <v>*0.103957439548966</v>
      </c>
      <c r="U128" t="str">
        <f t="shared" si="51"/>
        <v>*0.0953943246845703</v>
      </c>
      <c r="V128" t="str">
        <f t="shared" si="52"/>
        <v>*0.144636393470381</v>
      </c>
      <c r="W128" t="str">
        <f t="shared" si="53"/>
        <v>*0.113604413499276</v>
      </c>
      <c r="X128" t="str">
        <f t="shared" si="54"/>
        <v>*0.174101631034081</v>
      </c>
      <c r="Y128" t="str">
        <f t="shared" si="55"/>
        <v>*0.13212961864411</v>
      </c>
      <c r="Z128" t="str">
        <f t="shared" si="56"/>
        <v>*0.113429238866598</v>
      </c>
      <c r="AA128" t="str">
        <f t="shared" si="57"/>
        <v>*0.144636393470381</v>
      </c>
      <c r="AB128" t="str">
        <f t="shared" si="58"/>
        <v>*0.133995634549939</v>
      </c>
      <c r="AC128" t="str">
        <f t="shared" si="59"/>
        <v>*0.118861775109382</v>
      </c>
      <c r="AD128" t="str">
        <f t="shared" si="60"/>
        <v>*0.127491964405818</v>
      </c>
      <c r="AE128" t="str">
        <f t="shared" si="61"/>
        <v>*0.116721265948143</v>
      </c>
      <c r="AF128" t="str">
        <f t="shared" si="62"/>
        <v>*0.108385724603052</v>
      </c>
      <c r="AG128" t="str">
        <f t="shared" si="63"/>
        <v>*0.131293205393269</v>
      </c>
      <c r="AH128" t="str">
        <f t="shared" si="64"/>
        <v>*0.119527312928311</v>
      </c>
      <c r="AI128" t="str">
        <f t="shared" si="65"/>
        <v>*0.123912339422979</v>
      </c>
      <c r="AJ128" t="str">
        <f t="shared" si="66"/>
        <v>*0.126190138899243</v>
      </c>
      <c r="AK128" t="str">
        <f t="shared" si="67"/>
        <v>*0.140256313706714</v>
      </c>
      <c r="AL128" t="str">
        <f t="shared" si="68"/>
        <v>*0.114838437511216</v>
      </c>
      <c r="AM128" t="str">
        <f t="shared" si="69"/>
        <v>*0.144636393470381</v>
      </c>
      <c r="AN128" t="str">
        <f t="shared" si="33"/>
        <v>*0.101009453044025</v>
      </c>
      <c r="AO128" t="str">
        <f t="shared" si="34"/>
        <v>*0.110848943480575</v>
      </c>
      <c r="AP128" t="str">
        <f t="shared" si="35"/>
        <v>*0.13040484478619</v>
      </c>
      <c r="AQ128" t="str">
        <f t="shared" si="36"/>
        <v>*0.114339397278989</v>
      </c>
      <c r="AS128" s="6">
        <f>AVERAGE(AT128:CD128)</f>
        <v>0.1200315510441147</v>
      </c>
      <c r="AT128" s="6">
        <f>IFERROR(AVERAGEIFS(RdTRABYVals!L$2:L$999,RdTRABYVals!$B$2:$B$999,"="&amp;$C128,RdTRABYVals!$C$2:$C$999,"="&amp;INS!$A128),"")</f>
        <v>0.116721265948143</v>
      </c>
      <c r="AU128" s="6">
        <f>IFERROR(AVERAGEIFS(RdTRABYVals!M$2:M$999,RdTRABYVals!$B$2:$B$999,"="&amp;$C128,RdTRABYVals!$C$2:$C$999,"="&amp;INS!$A128),"")</f>
        <v>0.095218081183551601</v>
      </c>
      <c r="AV128" s="6">
        <f>IFERROR(AVERAGEIFS(RdTRABYVals!N$2:N$999,RdTRABYVals!$B$2:$B$999,"="&amp;$C128,RdTRABYVals!$C$2:$C$999,"="&amp;INS!$A128),"")</f>
        <v>0.14463639347038099</v>
      </c>
      <c r="AW128" s="6">
        <f>IFERROR(AVERAGEIFS(RdTRABYVals!O$2:O$999,RdTRABYVals!$B$2:$B$999,"="&amp;$C128,RdTRABYVals!$C$2:$C$999,"="&amp;INS!$A128),"")</f>
        <v>0.10361969848816199</v>
      </c>
      <c r="AX128" s="6">
        <f>IFERROR(AVERAGEIFS(RdTRABYVals!P$2:P$999,RdTRABYVals!$B$2:$B$999,"="&amp;$C128,RdTRABYVals!$C$2:$C$999,"="&amp;INS!$A128),"")</f>
        <v>0.092784361390447698</v>
      </c>
      <c r="AY128" s="6">
        <f>IFERROR(AVERAGEIFS(RdTRABYVals!Q$2:Q$999,RdTRABYVals!$B$2:$B$999,"="&amp;$C128,RdTRABYVals!$C$2:$C$999,"="&amp;INS!$A128),"")</f>
        <v>0.11858440363995</v>
      </c>
      <c r="AZ128" s="6">
        <f>IFERROR(AVERAGEIFS(RdTRABYVals!R$2:R$999,RdTRABYVals!$B$2:$B$999,"="&amp;$C128,RdTRABYVals!$C$2:$C$999,"="&amp;INS!$A128),"")</f>
        <v>0.114044829974671</v>
      </c>
      <c r="BA128" s="6">
        <f>IFERROR(AVERAGEIFS(RdTRABYVals!S$2:S$999,RdTRABYVals!$B$2:$B$999,"="&amp;$C128,RdTRABYVals!$C$2:$C$999,"="&amp;INS!$A128),"")</f>
        <v>0.10855632289622399</v>
      </c>
      <c r="BB128" s="6">
        <f>IFERROR(AVERAGEIFS(RdTRABYVals!T$2:T$999,RdTRABYVals!$B$2:$B$999,"="&amp;$C128,RdTRABYVals!$C$2:$C$999,"="&amp;INS!$A128),"")</f>
        <v>0.11700010774532101</v>
      </c>
      <c r="BC128" s="6">
        <f>IFERROR(AVERAGEIFS(RdTRABYVals!U$2:U$999,RdTRABYVals!$B$2:$B$999,"="&amp;$C128,RdTRABYVals!$C$2:$C$999,"="&amp;INS!$A128),"")</f>
        <v>0.092036888145743595</v>
      </c>
      <c r="BD128" s="6">
        <f>IFERROR(AVERAGEIFS(RdTRABYVals!V$2:V$999,RdTRABYVals!$B$2:$B$999,"="&amp;$C128,RdTRABYVals!$C$2:$C$999,"="&amp;INS!$A128),"")</f>
        <v>0.118437880938806</v>
      </c>
      <c r="BE128" s="6">
        <f>IFERROR(AVERAGEIFS(RdTRABYVals!W$2:W$999,RdTRABYVals!$B$2:$B$999,"="&amp;$C128,RdTRABYVals!$C$2:$C$999,"="&amp;INS!$A128),"")</f>
        <v>0.116721265948143</v>
      </c>
      <c r="BF128" s="6">
        <f>IFERROR(AVERAGEIFS(RdTRABYVals!X$2:X$999,RdTRABYVals!$B$2:$B$999,"="&amp;$C128,RdTRABYVals!$C$2:$C$999,"="&amp;INS!$A128),"")</f>
        <v>0.118203291106111</v>
      </c>
      <c r="BG128" s="6">
        <f>IFERROR(AVERAGEIFS(RdTRABYVals!Y$2:Y$999,RdTRABYVals!$B$2:$B$999,"="&amp;$C128,RdTRABYVals!$C$2:$C$999,"="&amp;INS!$A128),"")</f>
        <v>0.103957439548966</v>
      </c>
      <c r="BH128" s="6">
        <f>IFERROR(AVERAGEIFS(RdTRABYVals!Z$2:Z$999,RdTRABYVals!$B$2:$B$999,"="&amp;$C128,RdTRABYVals!$C$2:$C$999,"="&amp;INS!$A128),"")</f>
        <v>0.095394324684570306</v>
      </c>
      <c r="BI128" s="6">
        <f>IFERROR(AVERAGEIFS(RdTRABYVals!AA$2:AA$999,RdTRABYVals!$B$2:$B$999,"="&amp;$C128,RdTRABYVals!$C$2:$C$999,"="&amp;INS!$A128),"")</f>
        <v>0.14463639347038099</v>
      </c>
      <c r="BJ128" s="6">
        <f>IFERROR(AVERAGEIFS(RdTRABYVals!AB$2:AB$999,RdTRABYVals!$B$2:$B$999,"="&amp;$C128,RdTRABYVals!$C$2:$C$999,"="&amp;INS!$A128),"")</f>
        <v>0.113604413499276</v>
      </c>
      <c r="BK128" s="6">
        <f>IFERROR(AVERAGEIFS(RdTRABYVals!AC$2:AC$999,RdTRABYVals!$B$2:$B$999,"="&amp;$C128,RdTRABYVals!$C$2:$C$999,"="&amp;INS!$A128),"")</f>
        <v>0.17410163103408099</v>
      </c>
      <c r="BL128" s="6">
        <f>IFERROR(AVERAGEIFS(RdTRABYVals!AD$2:AD$999,RdTRABYVals!$B$2:$B$999,"="&amp;$C128,RdTRABYVals!$C$2:$C$999,"="&amp;INS!$A128),"")</f>
        <v>0.13212961864410999</v>
      </c>
      <c r="BM128" s="6">
        <f>IFERROR(AVERAGEIFS(RdTRABYVals!AE$2:AE$999,RdTRABYVals!$B$2:$B$999,"="&amp;$C128,RdTRABYVals!$C$2:$C$999,"="&amp;INS!$A128),"")</f>
        <v>0.113429238866598</v>
      </c>
      <c r="BN128" s="6">
        <f>IFERROR(AVERAGEIFS(RdTRABYVals!AF$2:AF$999,RdTRABYVals!$B$2:$B$999,"="&amp;$C128,RdTRABYVals!$C$2:$C$999,"="&amp;INS!$A128),"")</f>
        <v>0.14463639347038099</v>
      </c>
      <c r="BO128" s="6">
        <f>IFERROR(AVERAGEIFS(RdTRABYVals!AG$2:AG$999,RdTRABYVals!$B$2:$B$999,"="&amp;$C128,RdTRABYVals!$C$2:$C$999,"="&amp;INS!$A128),"")</f>
        <v>0.13399563454993901</v>
      </c>
      <c r="BP128" s="6">
        <f>IFERROR(AVERAGEIFS(RdTRABYVals!AH$2:AH$999,RdTRABYVals!$B$2:$B$999,"="&amp;$C128,RdTRABYVals!$C$2:$C$999,"="&amp;INS!$A128),"")</f>
        <v>0.11886177510938201</v>
      </c>
      <c r="BQ128" s="6">
        <f>IFERROR(AVERAGEIFS(RdTRABYVals!AI$2:AI$999,RdTRABYVals!$B$2:$B$999,"="&amp;$C128,RdTRABYVals!$C$2:$C$999,"="&amp;INS!$A128),"")</f>
        <v>0.127491964405818</v>
      </c>
      <c r="BR128" s="6">
        <f>IFERROR(AVERAGEIFS(RdTRABYVals!AJ$2:AJ$999,RdTRABYVals!$B$2:$B$999,"="&amp;$C128,RdTRABYVals!$C$2:$C$999,"="&amp;INS!$A128),"")</f>
        <v>0.116721265948143</v>
      </c>
      <c r="BS128" s="6">
        <f>IFERROR(AVERAGEIFS(RdTRABYVals!AK$2:AK$999,RdTRABYVals!$B$2:$B$999,"="&amp;$C128,RdTRABYVals!$C$2:$C$999,"="&amp;INS!$A128),"")</f>
        <v>0.108385724603052</v>
      </c>
      <c r="BT128" s="6">
        <f>IFERROR(AVERAGEIFS(RdTRABYVals!AL$2:AL$999,RdTRABYVals!$B$2:$B$999,"="&amp;$C128,RdTRABYVals!$C$2:$C$999,"="&amp;INS!$A128),"")</f>
        <v>0.131293205393269</v>
      </c>
      <c r="BU128" s="6">
        <f>IFERROR(AVERAGEIFS(RdTRABYVals!AM$2:AM$999,RdTRABYVals!$B$2:$B$999,"="&amp;$C128,RdTRABYVals!$C$2:$C$999,"="&amp;INS!$A128),"")</f>
        <v>0.11952731292831099</v>
      </c>
      <c r="BV128" s="6">
        <f>IFERROR(AVERAGEIFS(RdTRABYVals!AN$2:AN$999,RdTRABYVals!$B$2:$B$999,"="&amp;$C128,RdTRABYVals!$C$2:$C$999,"="&amp;INS!$A128),"")</f>
        <v>0.123912339422979</v>
      </c>
      <c r="BW128" s="6">
        <f>IFERROR(AVERAGEIFS(RdTRABYVals!AO$2:AO$999,RdTRABYVals!$B$2:$B$999,"="&amp;$C128,RdTRABYVals!$C$2:$C$999,"="&amp;INS!$A128),"")</f>
        <v>0.12619013889924299</v>
      </c>
      <c r="BX128" s="6">
        <f>IFERROR(AVERAGEIFS(RdTRABYVals!AP$2:AP$999,RdTRABYVals!$B$2:$B$999,"="&amp;$C128,RdTRABYVals!$C$2:$C$999,"="&amp;INS!$A128),"")</f>
        <v>0.14025631370671399</v>
      </c>
      <c r="BY128" s="6">
        <f>IFERROR(AVERAGEIFS(RdTRABYVals!AQ$2:AQ$999,RdTRABYVals!$B$2:$B$999,"="&amp;$C128,RdTRABYVals!$C$2:$C$999,"="&amp;INS!$A128),"")</f>
        <v>0.114838437511216</v>
      </c>
      <c r="BZ128" s="6">
        <f>IFERROR(AVERAGEIFS(RdTRABYVals!AR$2:AR$999,RdTRABYVals!$B$2:$B$999,"="&amp;$C128,RdTRABYVals!$C$2:$C$999,"="&amp;INS!$A128),"")</f>
        <v>0.14463639347038099</v>
      </c>
      <c r="CA128" s="6">
        <f>IFERROR(AVERAGEIFS(RdTRABYVals!AS$2:AS$999,RdTRABYVals!$B$2:$B$999,"="&amp;$C128,RdTRABYVals!$C$2:$C$999,"="&amp;INS!$A128),"")</f>
        <v>0.101009453044025</v>
      </c>
      <c r="CB128" s="6">
        <f>IFERROR(AVERAGEIFS(RdTRABYVals!AT$2:AT$999,RdTRABYVals!$B$2:$B$999,"="&amp;$C128,RdTRABYVals!$C$2:$C$999,"="&amp;INS!$A128),"")</f>
        <v>0.110848943480575</v>
      </c>
      <c r="CC128" s="6">
        <f>IFERROR(AVERAGEIFS(RdTRABYVals!AU$2:AU$999,RdTRABYVals!$B$2:$B$999,"="&amp;$C128,RdTRABYVals!$C$2:$C$999,"="&amp;INS!$A128),"")</f>
        <v>0.13040484478618999</v>
      </c>
      <c r="CD128" s="6">
        <f>IFERROR(AVERAGEIFS(RdTRABYVals!AV$2:AV$999,RdTRABYVals!$B$2:$B$999,"="&amp;$C128,RdTRABYVals!$C$2:$C$999,"="&amp;INS!$A128),"")</f>
        <v>0.11433939727898899</v>
      </c>
    </row>
    <row r="129" spans="1:82" ht="14.4">
      <c r="A129" s="3" t="s">
        <v>139</v>
      </c>
      <c r="C129" s="1" t="s">
        <v>29</v>
      </c>
      <c r="D129" t="s">
        <v>172</v>
      </c>
      <c r="F129" t="str">
        <f t="shared" si="31"/>
        <v>*0.120031551044115</v>
      </c>
      <c r="G129" t="str">
        <f t="shared" si="37"/>
        <v>*0.116721265948143</v>
      </c>
      <c r="H129" t="str">
        <f t="shared" si="38"/>
        <v>*0.0952180811835516</v>
      </c>
      <c r="I129" t="str">
        <f t="shared" si="39"/>
        <v>*0.144636393470381</v>
      </c>
      <c r="J129" t="str">
        <f t="shared" si="40"/>
        <v>*0.103619698488162</v>
      </c>
      <c r="K129" t="str">
        <f t="shared" si="41"/>
        <v>*0.0927843613904477</v>
      </c>
      <c r="L129" t="str">
        <f t="shared" si="42"/>
        <v>*0.11858440363995</v>
      </c>
      <c r="M129" t="str">
        <f t="shared" si="43"/>
        <v>*0.114044829974671</v>
      </c>
      <c r="N129" t="str">
        <f t="shared" si="44"/>
        <v>*0.108556322896224</v>
      </c>
      <c r="O129" t="str">
        <f t="shared" si="45"/>
        <v>*0.117000107745321</v>
      </c>
      <c r="P129" t="str">
        <f t="shared" si="46"/>
        <v>*0.0920368881457436</v>
      </c>
      <c r="Q129" t="str">
        <f t="shared" si="47"/>
        <v>*0.118437880938806</v>
      </c>
      <c r="R129" t="str">
        <f t="shared" si="48"/>
        <v>*0.116721265948143</v>
      </c>
      <c r="S129" t="str">
        <f t="shared" si="49"/>
        <v>*0.118203291106111</v>
      </c>
      <c r="T129" t="str">
        <f t="shared" si="50"/>
        <v>*0.103957439548966</v>
      </c>
      <c r="U129" t="str">
        <f t="shared" si="51"/>
        <v>*0.0953943246845703</v>
      </c>
      <c r="V129" t="str">
        <f t="shared" si="52"/>
        <v>*0.144636393470381</v>
      </c>
      <c r="W129" t="str">
        <f t="shared" si="53"/>
        <v>*0.113604413499276</v>
      </c>
      <c r="X129" t="str">
        <f t="shared" si="54"/>
        <v>*0.174101631034081</v>
      </c>
      <c r="Y129" t="str">
        <f t="shared" si="55"/>
        <v>*0.13212961864411</v>
      </c>
      <c r="Z129" t="str">
        <f t="shared" si="56"/>
        <v>*0.113429238866598</v>
      </c>
      <c r="AA129" t="str">
        <f t="shared" si="57"/>
        <v>*0.144636393470381</v>
      </c>
      <c r="AB129" t="str">
        <f t="shared" si="58"/>
        <v>*0.133995634549939</v>
      </c>
      <c r="AC129" t="str">
        <f t="shared" si="59"/>
        <v>*0.118861775109382</v>
      </c>
      <c r="AD129" t="str">
        <f t="shared" si="60"/>
        <v>*0.127491964405818</v>
      </c>
      <c r="AE129" t="str">
        <f t="shared" si="61"/>
        <v>*0.116721265948143</v>
      </c>
      <c r="AF129" t="str">
        <f t="shared" si="62"/>
        <v>*0.108385724603052</v>
      </c>
      <c r="AG129" t="str">
        <f t="shared" si="63"/>
        <v>*0.131293205393269</v>
      </c>
      <c r="AH129" t="str">
        <f t="shared" si="64"/>
        <v>*0.119527312928311</v>
      </c>
      <c r="AI129" t="str">
        <f t="shared" si="65"/>
        <v>*0.123912339422979</v>
      </c>
      <c r="AJ129" t="str">
        <f t="shared" si="66"/>
        <v>*0.126190138899243</v>
      </c>
      <c r="AK129" t="str">
        <f t="shared" si="67"/>
        <v>*0.140256313706714</v>
      </c>
      <c r="AL129" t="str">
        <f t="shared" si="68"/>
        <v>*0.114838437511216</v>
      </c>
      <c r="AM129" t="str">
        <f t="shared" si="69"/>
        <v>*0.144636393470381</v>
      </c>
      <c r="AN129" t="str">
        <f t="shared" si="33"/>
        <v>*0.101009453044025</v>
      </c>
      <c r="AO129" t="str">
        <f t="shared" si="34"/>
        <v>*0.110848943480575</v>
      </c>
      <c r="AP129" t="str">
        <f t="shared" si="35"/>
        <v>*0.13040484478619</v>
      </c>
      <c r="AQ129" t="str">
        <f t="shared" si="36"/>
        <v>*0.114339397278989</v>
      </c>
      <c r="AS129" s="6">
        <f>AVERAGE(AT129:CD129)</f>
        <v>0.1200315510441147</v>
      </c>
      <c r="AT129" s="6">
        <f>IFERROR(AVERAGEIFS(RdTRABYVals!L$2:L$999,RdTRABYVals!$B$2:$B$999,"="&amp;$C129,RdTRABYVals!$C$2:$C$999,"="&amp;INS!$A129),"")</f>
        <v>0.116721265948143</v>
      </c>
      <c r="AU129" s="6">
        <f>IFERROR(AVERAGEIFS(RdTRABYVals!M$2:M$999,RdTRABYVals!$B$2:$B$999,"="&amp;$C129,RdTRABYVals!$C$2:$C$999,"="&amp;INS!$A129),"")</f>
        <v>0.095218081183551601</v>
      </c>
      <c r="AV129" s="6">
        <f>IFERROR(AVERAGEIFS(RdTRABYVals!N$2:N$999,RdTRABYVals!$B$2:$B$999,"="&amp;$C129,RdTRABYVals!$C$2:$C$999,"="&amp;INS!$A129),"")</f>
        <v>0.14463639347038099</v>
      </c>
      <c r="AW129" s="6">
        <f>IFERROR(AVERAGEIFS(RdTRABYVals!O$2:O$999,RdTRABYVals!$B$2:$B$999,"="&amp;$C129,RdTRABYVals!$C$2:$C$999,"="&amp;INS!$A129),"")</f>
        <v>0.10361969848816199</v>
      </c>
      <c r="AX129" s="6">
        <f>IFERROR(AVERAGEIFS(RdTRABYVals!P$2:P$999,RdTRABYVals!$B$2:$B$999,"="&amp;$C129,RdTRABYVals!$C$2:$C$999,"="&amp;INS!$A129),"")</f>
        <v>0.092784361390447698</v>
      </c>
      <c r="AY129" s="6">
        <f>IFERROR(AVERAGEIFS(RdTRABYVals!Q$2:Q$999,RdTRABYVals!$B$2:$B$999,"="&amp;$C129,RdTRABYVals!$C$2:$C$999,"="&amp;INS!$A129),"")</f>
        <v>0.11858440363995</v>
      </c>
      <c r="AZ129" s="6">
        <f>IFERROR(AVERAGEIFS(RdTRABYVals!R$2:R$999,RdTRABYVals!$B$2:$B$999,"="&amp;$C129,RdTRABYVals!$C$2:$C$999,"="&amp;INS!$A129),"")</f>
        <v>0.114044829974671</v>
      </c>
      <c r="BA129" s="6">
        <f>IFERROR(AVERAGEIFS(RdTRABYVals!S$2:S$999,RdTRABYVals!$B$2:$B$999,"="&amp;$C129,RdTRABYVals!$C$2:$C$999,"="&amp;INS!$A129),"")</f>
        <v>0.10855632289622399</v>
      </c>
      <c r="BB129" s="6">
        <f>IFERROR(AVERAGEIFS(RdTRABYVals!T$2:T$999,RdTRABYVals!$B$2:$B$999,"="&amp;$C129,RdTRABYVals!$C$2:$C$999,"="&amp;INS!$A129),"")</f>
        <v>0.11700010774532101</v>
      </c>
      <c r="BC129" s="6">
        <f>IFERROR(AVERAGEIFS(RdTRABYVals!U$2:U$999,RdTRABYVals!$B$2:$B$999,"="&amp;$C129,RdTRABYVals!$C$2:$C$999,"="&amp;INS!$A129),"")</f>
        <v>0.092036888145743595</v>
      </c>
      <c r="BD129" s="6">
        <f>IFERROR(AVERAGEIFS(RdTRABYVals!V$2:V$999,RdTRABYVals!$B$2:$B$999,"="&amp;$C129,RdTRABYVals!$C$2:$C$999,"="&amp;INS!$A129),"")</f>
        <v>0.118437880938806</v>
      </c>
      <c r="BE129" s="6">
        <f>IFERROR(AVERAGEIFS(RdTRABYVals!W$2:W$999,RdTRABYVals!$B$2:$B$999,"="&amp;$C129,RdTRABYVals!$C$2:$C$999,"="&amp;INS!$A129),"")</f>
        <v>0.116721265948143</v>
      </c>
      <c r="BF129" s="6">
        <f>IFERROR(AVERAGEIFS(RdTRABYVals!X$2:X$999,RdTRABYVals!$B$2:$B$999,"="&amp;$C129,RdTRABYVals!$C$2:$C$999,"="&amp;INS!$A129),"")</f>
        <v>0.118203291106111</v>
      </c>
      <c r="BG129" s="6">
        <f>IFERROR(AVERAGEIFS(RdTRABYVals!Y$2:Y$999,RdTRABYVals!$B$2:$B$999,"="&amp;$C129,RdTRABYVals!$C$2:$C$999,"="&amp;INS!$A129),"")</f>
        <v>0.103957439548966</v>
      </c>
      <c r="BH129" s="6">
        <f>IFERROR(AVERAGEIFS(RdTRABYVals!Z$2:Z$999,RdTRABYVals!$B$2:$B$999,"="&amp;$C129,RdTRABYVals!$C$2:$C$999,"="&amp;INS!$A129),"")</f>
        <v>0.095394324684570306</v>
      </c>
      <c r="BI129" s="6">
        <f>IFERROR(AVERAGEIFS(RdTRABYVals!AA$2:AA$999,RdTRABYVals!$B$2:$B$999,"="&amp;$C129,RdTRABYVals!$C$2:$C$999,"="&amp;INS!$A129),"")</f>
        <v>0.14463639347038099</v>
      </c>
      <c r="BJ129" s="6">
        <f>IFERROR(AVERAGEIFS(RdTRABYVals!AB$2:AB$999,RdTRABYVals!$B$2:$B$999,"="&amp;$C129,RdTRABYVals!$C$2:$C$999,"="&amp;INS!$A129),"")</f>
        <v>0.113604413499276</v>
      </c>
      <c r="BK129" s="6">
        <f>IFERROR(AVERAGEIFS(RdTRABYVals!AC$2:AC$999,RdTRABYVals!$B$2:$B$999,"="&amp;$C129,RdTRABYVals!$C$2:$C$999,"="&amp;INS!$A129),"")</f>
        <v>0.17410163103408099</v>
      </c>
      <c r="BL129" s="6">
        <f>IFERROR(AVERAGEIFS(RdTRABYVals!AD$2:AD$999,RdTRABYVals!$B$2:$B$999,"="&amp;$C129,RdTRABYVals!$C$2:$C$999,"="&amp;INS!$A129),"")</f>
        <v>0.13212961864410999</v>
      </c>
      <c r="BM129" s="6">
        <f>IFERROR(AVERAGEIFS(RdTRABYVals!AE$2:AE$999,RdTRABYVals!$B$2:$B$999,"="&amp;$C129,RdTRABYVals!$C$2:$C$999,"="&amp;INS!$A129),"")</f>
        <v>0.113429238866598</v>
      </c>
      <c r="BN129" s="6">
        <f>IFERROR(AVERAGEIFS(RdTRABYVals!AF$2:AF$999,RdTRABYVals!$B$2:$B$999,"="&amp;$C129,RdTRABYVals!$C$2:$C$999,"="&amp;INS!$A129),"")</f>
        <v>0.14463639347038099</v>
      </c>
      <c r="BO129" s="6">
        <f>IFERROR(AVERAGEIFS(RdTRABYVals!AG$2:AG$999,RdTRABYVals!$B$2:$B$999,"="&amp;$C129,RdTRABYVals!$C$2:$C$999,"="&amp;INS!$A129),"")</f>
        <v>0.13399563454993901</v>
      </c>
      <c r="BP129" s="6">
        <f>IFERROR(AVERAGEIFS(RdTRABYVals!AH$2:AH$999,RdTRABYVals!$B$2:$B$999,"="&amp;$C129,RdTRABYVals!$C$2:$C$999,"="&amp;INS!$A129),"")</f>
        <v>0.11886177510938201</v>
      </c>
      <c r="BQ129" s="6">
        <f>IFERROR(AVERAGEIFS(RdTRABYVals!AI$2:AI$999,RdTRABYVals!$B$2:$B$999,"="&amp;$C129,RdTRABYVals!$C$2:$C$999,"="&amp;INS!$A129),"")</f>
        <v>0.127491964405818</v>
      </c>
      <c r="BR129" s="6">
        <f>IFERROR(AVERAGEIFS(RdTRABYVals!AJ$2:AJ$999,RdTRABYVals!$B$2:$B$999,"="&amp;$C129,RdTRABYVals!$C$2:$C$999,"="&amp;INS!$A129),"")</f>
        <v>0.116721265948143</v>
      </c>
      <c r="BS129" s="6">
        <f>IFERROR(AVERAGEIFS(RdTRABYVals!AK$2:AK$999,RdTRABYVals!$B$2:$B$999,"="&amp;$C129,RdTRABYVals!$C$2:$C$999,"="&amp;INS!$A129),"")</f>
        <v>0.108385724603052</v>
      </c>
      <c r="BT129" s="6">
        <f>IFERROR(AVERAGEIFS(RdTRABYVals!AL$2:AL$999,RdTRABYVals!$B$2:$B$999,"="&amp;$C129,RdTRABYVals!$C$2:$C$999,"="&amp;INS!$A129),"")</f>
        <v>0.131293205393269</v>
      </c>
      <c r="BU129" s="6">
        <f>IFERROR(AVERAGEIFS(RdTRABYVals!AM$2:AM$999,RdTRABYVals!$B$2:$B$999,"="&amp;$C129,RdTRABYVals!$C$2:$C$999,"="&amp;INS!$A129),"")</f>
        <v>0.11952731292831099</v>
      </c>
      <c r="BV129" s="6">
        <f>IFERROR(AVERAGEIFS(RdTRABYVals!AN$2:AN$999,RdTRABYVals!$B$2:$B$999,"="&amp;$C129,RdTRABYVals!$C$2:$C$999,"="&amp;INS!$A129),"")</f>
        <v>0.123912339422979</v>
      </c>
      <c r="BW129" s="6">
        <f>IFERROR(AVERAGEIFS(RdTRABYVals!AO$2:AO$999,RdTRABYVals!$B$2:$B$999,"="&amp;$C129,RdTRABYVals!$C$2:$C$999,"="&amp;INS!$A129),"")</f>
        <v>0.12619013889924299</v>
      </c>
      <c r="BX129" s="6">
        <f>IFERROR(AVERAGEIFS(RdTRABYVals!AP$2:AP$999,RdTRABYVals!$B$2:$B$999,"="&amp;$C129,RdTRABYVals!$C$2:$C$999,"="&amp;INS!$A129),"")</f>
        <v>0.14025631370671399</v>
      </c>
      <c r="BY129" s="6">
        <f>IFERROR(AVERAGEIFS(RdTRABYVals!AQ$2:AQ$999,RdTRABYVals!$B$2:$B$999,"="&amp;$C129,RdTRABYVals!$C$2:$C$999,"="&amp;INS!$A129),"")</f>
        <v>0.114838437511216</v>
      </c>
      <c r="BZ129" s="6">
        <f>IFERROR(AVERAGEIFS(RdTRABYVals!AR$2:AR$999,RdTRABYVals!$B$2:$B$999,"="&amp;$C129,RdTRABYVals!$C$2:$C$999,"="&amp;INS!$A129),"")</f>
        <v>0.14463639347038099</v>
      </c>
      <c r="CA129" s="6">
        <f>IFERROR(AVERAGEIFS(RdTRABYVals!AS$2:AS$999,RdTRABYVals!$B$2:$B$999,"="&amp;$C129,RdTRABYVals!$C$2:$C$999,"="&amp;INS!$A129),"")</f>
        <v>0.101009453044025</v>
      </c>
      <c r="CB129" s="6">
        <f>IFERROR(AVERAGEIFS(RdTRABYVals!AT$2:AT$999,RdTRABYVals!$B$2:$B$999,"="&amp;$C129,RdTRABYVals!$C$2:$C$999,"="&amp;INS!$A129),"")</f>
        <v>0.110848943480575</v>
      </c>
      <c r="CC129" s="6">
        <f>IFERROR(AVERAGEIFS(RdTRABYVals!AU$2:AU$999,RdTRABYVals!$B$2:$B$999,"="&amp;$C129,RdTRABYVals!$C$2:$C$999,"="&amp;INS!$A129),"")</f>
        <v>0.13040484478618999</v>
      </c>
      <c r="CD129" s="6">
        <f>IFERROR(AVERAGEIFS(RdTRABYVals!AV$2:AV$999,RdTRABYVals!$B$2:$B$999,"="&amp;$C129,RdTRABYVals!$C$2:$C$999,"="&amp;INS!$A129),"")</f>
        <v>0.11433939727898899</v>
      </c>
    </row>
    <row r="130" spans="1:82" ht="14.4">
      <c r="A130" s="3" t="s">
        <v>141</v>
      </c>
      <c r="C130" s="1" t="s">
        <v>29</v>
      </c>
      <c r="D130" t="str">
        <f t="shared" si="30"/>
        <v>TRA_Lcv_Cng*</v>
      </c>
      <c r="F130" t="str">
        <f t="shared" si="31"/>
        <v>*0.195905201584103</v>
      </c>
      <c r="G130" t="str">
        <f t="shared" si="37"/>
        <v>*0.195905201584103</v>
      </c>
      <c r="H130" t="str">
        <f t="shared" si="38"/>
        <v>*0.195905201584103</v>
      </c>
      <c r="I130" t="str">
        <f t="shared" si="39"/>
        <v>*0.195905201584103</v>
      </c>
      <c r="J130" t="str">
        <f t="shared" si="40"/>
        <v>*0.195905201584103</v>
      </c>
      <c r="K130" t="str">
        <f t="shared" si="41"/>
        <v>*0.195905201584103</v>
      </c>
      <c r="L130" t="str">
        <f t="shared" si="42"/>
        <v>*0.201033948201707</v>
      </c>
      <c r="M130" t="str">
        <f t="shared" si="43"/>
        <v>*0.195905201584103</v>
      </c>
      <c r="N130" t="str">
        <f t="shared" si="44"/>
        <v>*0.195905201584103</v>
      </c>
      <c r="O130" t="str">
        <f t="shared" si="45"/>
        <v>*0.201554945517171</v>
      </c>
      <c r="P130" t="str">
        <f t="shared" si="46"/>
        <v>*0.195905201584103</v>
      </c>
      <c r="Q130" t="str">
        <f t="shared" si="47"/>
        <v>*0.195905201584103</v>
      </c>
      <c r="R130" t="str">
        <f t="shared" si="48"/>
        <v>*0.195905201584103</v>
      </c>
      <c r="S130" t="str">
        <f t="shared" si="49"/>
        <v>*0.195905201584103</v>
      </c>
      <c r="T130" t="str">
        <f t="shared" si="50"/>
        <v>*0.195905201584103</v>
      </c>
      <c r="U130" t="str">
        <f t="shared" si="51"/>
        <v>*0.195905201584103</v>
      </c>
      <c r="V130" t="str">
        <f t="shared" si="52"/>
        <v>*0.195905201584103</v>
      </c>
      <c r="W130" t="str">
        <f t="shared" si="53"/>
        <v>*0.195905201584103</v>
      </c>
      <c r="X130" t="str">
        <f t="shared" si="54"/>
        <v>*0.195905201584103</v>
      </c>
      <c r="Y130" t="str">
        <f t="shared" si="55"/>
        <v>*0.195905201584103</v>
      </c>
      <c r="Z130" t="str">
        <f t="shared" si="56"/>
        <v>*0.195905201584103</v>
      </c>
      <c r="AA130" t="str">
        <f t="shared" si="57"/>
        <v>*0.195905201584103</v>
      </c>
      <c r="AB130" t="str">
        <f t="shared" si="58"/>
        <v>*0.195905201584103</v>
      </c>
      <c r="AC130" t="str">
        <f t="shared" si="59"/>
        <v>*0.195905201584103</v>
      </c>
      <c r="AD130" t="str">
        <f t="shared" si="60"/>
        <v>*0.195905201584103</v>
      </c>
      <c r="AE130" t="str">
        <f t="shared" si="61"/>
        <v>*0.195905201584103</v>
      </c>
      <c r="AF130" t="str">
        <f t="shared" si="62"/>
        <v>*0.195905201584103</v>
      </c>
      <c r="AG130" t="str">
        <f t="shared" si="63"/>
        <v>*0.195905201584103</v>
      </c>
      <c r="AH130" t="str">
        <f t="shared" si="64"/>
        <v>*0.185126711033431</v>
      </c>
      <c r="AI130" t="str">
        <f t="shared" si="65"/>
        <v>*0.195905201584103</v>
      </c>
      <c r="AJ130" t="str">
        <f t="shared" si="66"/>
        <v>*0.195905201584103</v>
      </c>
      <c r="AK130" t="str">
        <f t="shared" si="67"/>
        <v>*0.195905201584103</v>
      </c>
      <c r="AL130" t="str">
        <f t="shared" si="68"/>
        <v>*0.195905201584103</v>
      </c>
      <c r="AM130" t="str">
        <f t="shared" si="69"/>
        <v>*0.195905201584103</v>
      </c>
      <c r="AN130" t="str">
        <f t="shared" si="33"/>
        <v>*0.195905201584103</v>
      </c>
      <c r="AO130" t="str">
        <f t="shared" si="34"/>
        <v>*0.195905201584103</v>
      </c>
      <c r="AP130" t="str">
        <f t="shared" si="35"/>
        <v>*0.195905201584103</v>
      </c>
      <c r="AQ130" t="str">
        <f t="shared" si="36"/>
        <v>*0.195905201584103</v>
      </c>
      <c r="AS130" s="6">
        <f t="shared" si="32"/>
        <v>0.19590520158410299</v>
      </c>
      <c r="AT130" s="6">
        <f>IFERROR(AVERAGEIFS(RdTRABYVals!L$2:L$999,RdTRABYVals!$B$2:$B$999,"="&amp;$C130,RdTRABYVals!$C$2:$C$999,"="&amp;INS!$A130),"")</f>
        <v>0.19590520158410299</v>
      </c>
      <c r="AU130" s="6">
        <f>IFERROR(AVERAGEIFS(RdTRABYVals!M$2:M$999,RdTRABYVals!$B$2:$B$999,"="&amp;$C130,RdTRABYVals!$C$2:$C$999,"="&amp;INS!$A130),"")</f>
        <v>0.19590520158410299</v>
      </c>
      <c r="AV130" s="6">
        <f>IFERROR(AVERAGEIFS(RdTRABYVals!N$2:N$999,RdTRABYVals!$B$2:$B$999,"="&amp;$C130,RdTRABYVals!$C$2:$C$999,"="&amp;INS!$A130),"")</f>
        <v>0.19590520158410299</v>
      </c>
      <c r="AW130" s="6">
        <f>IFERROR(AVERAGEIFS(RdTRABYVals!O$2:O$999,RdTRABYVals!$B$2:$B$999,"="&amp;$C130,RdTRABYVals!$C$2:$C$999,"="&amp;INS!$A130),"")</f>
        <v>0.19590520158410299</v>
      </c>
      <c r="AX130" s="6">
        <f>IFERROR(AVERAGEIFS(RdTRABYVals!P$2:P$999,RdTRABYVals!$B$2:$B$999,"="&amp;$C130,RdTRABYVals!$C$2:$C$999,"="&amp;INS!$A130),"")</f>
        <v>0.19590520158410299</v>
      </c>
      <c r="AY130" s="6">
        <f>IFERROR(AVERAGEIFS(RdTRABYVals!Q$2:Q$999,RdTRABYVals!$B$2:$B$999,"="&amp;$C130,RdTRABYVals!$C$2:$C$999,"="&amp;INS!$A130),"")</f>
        <v>0.201033948201707</v>
      </c>
      <c r="AZ130" s="6">
        <f>IFERROR(AVERAGEIFS(RdTRABYVals!R$2:R$999,RdTRABYVals!$B$2:$B$999,"="&amp;$C130,RdTRABYVals!$C$2:$C$999,"="&amp;INS!$A130),"")</f>
        <v>0.19590520158410299</v>
      </c>
      <c r="BA130" s="6">
        <f>IFERROR(AVERAGEIFS(RdTRABYVals!S$2:S$999,RdTRABYVals!$B$2:$B$999,"="&amp;$C130,RdTRABYVals!$C$2:$C$999,"="&amp;INS!$A130),"")</f>
        <v>0.19590520158410299</v>
      </c>
      <c r="BB130" s="6">
        <f>IFERROR(AVERAGEIFS(RdTRABYVals!T$2:T$999,RdTRABYVals!$B$2:$B$999,"="&amp;$C130,RdTRABYVals!$C$2:$C$999,"="&amp;INS!$A130),"")</f>
        <v>0.20155494551717101</v>
      </c>
      <c r="BC130" s="6">
        <f>IFERROR(AVERAGEIFS(RdTRABYVals!U$2:U$999,RdTRABYVals!$B$2:$B$999,"="&amp;$C130,RdTRABYVals!$C$2:$C$999,"="&amp;INS!$A130),"")</f>
        <v>0.19590520158410299</v>
      </c>
      <c r="BD130" s="6">
        <f>IFERROR(AVERAGEIFS(RdTRABYVals!V$2:V$999,RdTRABYVals!$B$2:$B$999,"="&amp;$C130,RdTRABYVals!$C$2:$C$999,"="&amp;INS!$A130),"")</f>
        <v>0.19590520158410299</v>
      </c>
      <c r="BE130" s="6">
        <f>IFERROR(AVERAGEIFS(RdTRABYVals!W$2:W$999,RdTRABYVals!$B$2:$B$999,"="&amp;$C130,RdTRABYVals!$C$2:$C$999,"="&amp;INS!$A130),"")</f>
        <v>0.19590520158410299</v>
      </c>
      <c r="BF130" s="6">
        <f>IFERROR(AVERAGEIFS(RdTRABYVals!X$2:X$999,RdTRABYVals!$B$2:$B$999,"="&amp;$C130,RdTRABYVals!$C$2:$C$999,"="&amp;INS!$A130),"")</f>
        <v>0.19590520158410299</v>
      </c>
      <c r="BG130" s="6">
        <f>IFERROR(AVERAGEIFS(RdTRABYVals!Y$2:Y$999,RdTRABYVals!$B$2:$B$999,"="&amp;$C130,RdTRABYVals!$C$2:$C$999,"="&amp;INS!$A130),"")</f>
        <v>0.19590520158410299</v>
      </c>
      <c r="BH130" s="6">
        <f>IFERROR(AVERAGEIFS(RdTRABYVals!Z$2:Z$999,RdTRABYVals!$B$2:$B$999,"="&amp;$C130,RdTRABYVals!$C$2:$C$999,"="&amp;INS!$A130),"")</f>
        <v>0.19590520158410299</v>
      </c>
      <c r="BI130" s="6">
        <f>IFERROR(AVERAGEIFS(RdTRABYVals!AA$2:AA$999,RdTRABYVals!$B$2:$B$999,"="&amp;$C130,RdTRABYVals!$C$2:$C$999,"="&amp;INS!$A130),"")</f>
        <v>0.19590520158410299</v>
      </c>
      <c r="BJ130" s="6">
        <f>IFERROR(AVERAGEIFS(RdTRABYVals!AB$2:AB$999,RdTRABYVals!$B$2:$B$999,"="&amp;$C130,RdTRABYVals!$C$2:$C$999,"="&amp;INS!$A130),"")</f>
        <v>0.19590520158410299</v>
      </c>
      <c r="BK130" s="6">
        <f>IFERROR(AVERAGEIFS(RdTRABYVals!AC$2:AC$999,RdTRABYVals!$B$2:$B$999,"="&amp;$C130,RdTRABYVals!$C$2:$C$999,"="&amp;INS!$A130),"")</f>
        <v>0.19590520158410299</v>
      </c>
      <c r="BL130" s="6">
        <f>IFERROR(AVERAGEIFS(RdTRABYVals!AD$2:AD$999,RdTRABYVals!$B$2:$B$999,"="&amp;$C130,RdTRABYVals!$C$2:$C$999,"="&amp;INS!$A130),"")</f>
        <v>0.19590520158410299</v>
      </c>
      <c r="BM130" s="6">
        <f>IFERROR(AVERAGEIFS(RdTRABYVals!AE$2:AE$999,RdTRABYVals!$B$2:$B$999,"="&amp;$C130,RdTRABYVals!$C$2:$C$999,"="&amp;INS!$A130),"")</f>
        <v>0.19590520158410299</v>
      </c>
      <c r="BN130" s="6">
        <f>IFERROR(AVERAGEIFS(RdTRABYVals!AF$2:AF$999,RdTRABYVals!$B$2:$B$999,"="&amp;$C130,RdTRABYVals!$C$2:$C$999,"="&amp;INS!$A130),"")</f>
        <v>0.19590520158410299</v>
      </c>
      <c r="BO130" s="6">
        <f>IFERROR(AVERAGEIFS(RdTRABYVals!AG$2:AG$999,RdTRABYVals!$B$2:$B$999,"="&amp;$C130,RdTRABYVals!$C$2:$C$999,"="&amp;INS!$A130),"")</f>
        <v>0.19590520158410299</v>
      </c>
      <c r="BP130" s="6">
        <f>IFERROR(AVERAGEIFS(RdTRABYVals!AH$2:AH$999,RdTRABYVals!$B$2:$B$999,"="&amp;$C130,RdTRABYVals!$C$2:$C$999,"="&amp;INS!$A130),"")</f>
        <v>0.19590520158410299</v>
      </c>
      <c r="BQ130" s="6">
        <f>IFERROR(AVERAGEIFS(RdTRABYVals!AI$2:AI$999,RdTRABYVals!$B$2:$B$999,"="&amp;$C130,RdTRABYVals!$C$2:$C$999,"="&amp;INS!$A130),"")</f>
        <v>0.19590520158410299</v>
      </c>
      <c r="BR130" s="6">
        <f>IFERROR(AVERAGEIFS(RdTRABYVals!AJ$2:AJ$999,RdTRABYVals!$B$2:$B$999,"="&amp;$C130,RdTRABYVals!$C$2:$C$999,"="&amp;INS!$A130),"")</f>
        <v>0.19590520158410299</v>
      </c>
      <c r="BS130" s="6">
        <f>IFERROR(AVERAGEIFS(RdTRABYVals!AK$2:AK$999,RdTRABYVals!$B$2:$B$999,"="&amp;$C130,RdTRABYVals!$C$2:$C$999,"="&amp;INS!$A130),"")</f>
        <v>0.19590520158410299</v>
      </c>
      <c r="BT130" s="6">
        <f>IFERROR(AVERAGEIFS(RdTRABYVals!AL$2:AL$999,RdTRABYVals!$B$2:$B$999,"="&amp;$C130,RdTRABYVals!$C$2:$C$999,"="&amp;INS!$A130),"")</f>
        <v>0.19590520158410299</v>
      </c>
      <c r="BU130" s="6">
        <f>IFERROR(AVERAGEIFS(RdTRABYVals!AM$2:AM$999,RdTRABYVals!$B$2:$B$999,"="&amp;$C130,RdTRABYVals!$C$2:$C$999,"="&amp;INS!$A130),"")</f>
        <v>0.18512671103343101</v>
      </c>
      <c r="BV130" s="6">
        <f>IFERROR(AVERAGEIFS(RdTRABYVals!AN$2:AN$999,RdTRABYVals!$B$2:$B$999,"="&amp;$C130,RdTRABYVals!$C$2:$C$999,"="&amp;INS!$A130),"")</f>
        <v>0.19590520158410299</v>
      </c>
      <c r="BW130" s="6">
        <f>IFERROR(AVERAGEIFS(RdTRABYVals!AO$2:AO$999,RdTRABYVals!$B$2:$B$999,"="&amp;$C130,RdTRABYVals!$C$2:$C$999,"="&amp;INS!$A130),"")</f>
        <v>0.19590520158410299</v>
      </c>
      <c r="BX130" s="6">
        <f>IFERROR(AVERAGEIFS(RdTRABYVals!AP$2:AP$999,RdTRABYVals!$B$2:$B$999,"="&amp;$C130,RdTRABYVals!$C$2:$C$999,"="&amp;INS!$A130),"")</f>
        <v>0.19590520158410299</v>
      </c>
      <c r="BY130" s="6">
        <f>IFERROR(AVERAGEIFS(RdTRABYVals!AQ$2:AQ$999,RdTRABYVals!$B$2:$B$999,"="&amp;$C130,RdTRABYVals!$C$2:$C$999,"="&amp;INS!$A130),"")</f>
        <v>0.19590520158410299</v>
      </c>
      <c r="BZ130" s="6">
        <f>IFERROR(AVERAGEIFS(RdTRABYVals!AR$2:AR$999,RdTRABYVals!$B$2:$B$999,"="&amp;$C130,RdTRABYVals!$C$2:$C$999,"="&amp;INS!$A130),"")</f>
        <v>0.19590520158410299</v>
      </c>
      <c r="CA130" s="6">
        <f>IFERROR(AVERAGEIFS(RdTRABYVals!AS$2:AS$999,RdTRABYVals!$B$2:$B$999,"="&amp;$C130,RdTRABYVals!$C$2:$C$999,"="&amp;INS!$A130),"")</f>
        <v>0.19590520158410299</v>
      </c>
      <c r="CB130" s="6">
        <f>IFERROR(AVERAGEIFS(RdTRABYVals!AT$2:AT$999,RdTRABYVals!$B$2:$B$999,"="&amp;$C130,RdTRABYVals!$C$2:$C$999,"="&amp;INS!$A130),"")</f>
        <v>0.19590520158410299</v>
      </c>
      <c r="CC130" s="6">
        <f>IFERROR(AVERAGEIFS(RdTRABYVals!AU$2:AU$999,RdTRABYVals!$B$2:$B$999,"="&amp;$C130,RdTRABYVals!$C$2:$C$999,"="&amp;INS!$A130),"")</f>
        <v>0.19590520158410299</v>
      </c>
      <c r="CD130" s="6">
        <f>IFERROR(AVERAGEIFS(RdTRABYVals!AV$2:AV$999,RdTRABYVals!$B$2:$B$999,"="&amp;$C130,RdTRABYVals!$C$2:$C$999,"="&amp;INS!$A130),"")</f>
        <v>0.19590520158410299</v>
      </c>
    </row>
    <row r="131" spans="1:82" ht="14.4">
      <c r="A131" s="3" t="s">
        <v>142</v>
      </c>
      <c r="C131" s="1" t="s">
        <v>29</v>
      </c>
      <c r="D131" t="str">
        <f t="shared" si="30"/>
        <v>TRA_Lcv_Dis*</v>
      </c>
      <c r="F131" t="str">
        <f t="shared" si="31"/>
        <v>*0.289591499884299</v>
      </c>
      <c r="G131" t="str">
        <f t="shared" si="37"/>
        <v>*0.285300287700073</v>
      </c>
      <c r="H131" t="str">
        <f t="shared" si="38"/>
        <v>*0.276078007220829</v>
      </c>
      <c r="I131" t="str">
        <f t="shared" si="39"/>
        <v>*0.304420780718888</v>
      </c>
      <c r="J131" t="str">
        <f t="shared" si="40"/>
        <v>*0.263731110027036</v>
      </c>
      <c r="K131" t="str">
        <f t="shared" si="41"/>
        <v>*0.274052188465247</v>
      </c>
      <c r="L131" t="str">
        <f t="shared" si="42"/>
        <v>*0.263852616088118</v>
      </c>
      <c r="M131" t="str">
        <f t="shared" si="43"/>
        <v>*0.282614371038421</v>
      </c>
      <c r="N131" t="str">
        <f t="shared" si="44"/>
        <v>*0.281526402081865</v>
      </c>
      <c r="O131" t="str">
        <f t="shared" si="45"/>
        <v>*0.276151674033561</v>
      </c>
      <c r="P131" t="str">
        <f t="shared" si="46"/>
        <v>*0.343256079583113</v>
      </c>
      <c r="Q131" t="str">
        <f t="shared" si="47"/>
        <v>*0.300076606846102</v>
      </c>
      <c r="R131" t="str">
        <f t="shared" si="48"/>
        <v>*0.285300287700073</v>
      </c>
      <c r="S131" t="str">
        <f t="shared" si="49"/>
        <v>*0.260419905506247</v>
      </c>
      <c r="T131" t="str">
        <f t="shared" si="50"/>
        <v>*0.295016429375914</v>
      </c>
      <c r="U131" t="str">
        <f t="shared" si="51"/>
        <v>*0.298361980415889</v>
      </c>
      <c r="V131" t="str">
        <f t="shared" si="52"/>
        <v>*0.304420780718888</v>
      </c>
      <c r="W131" t="str">
        <f t="shared" si="53"/>
        <v>*0.2935352819074</v>
      </c>
      <c r="X131" t="str">
        <f t="shared" si="54"/>
        <v>*0.284071716210475</v>
      </c>
      <c r="Y131" t="str">
        <f t="shared" si="55"/>
        <v>*0.280385925692643</v>
      </c>
      <c r="Z131" t="str">
        <f t="shared" si="56"/>
        <v>*0.30777259609094</v>
      </c>
      <c r="AA131" t="str">
        <f t="shared" si="57"/>
        <v>*0.304420780718888</v>
      </c>
      <c r="AB131" t="str">
        <f t="shared" si="58"/>
        <v>*0.265834143975887</v>
      </c>
      <c r="AC131" t="str">
        <f t="shared" si="59"/>
        <v>*0.261367508627056</v>
      </c>
      <c r="AD131" t="str">
        <f t="shared" si="60"/>
        <v>*0.338730810739688</v>
      </c>
      <c r="AE131" t="str">
        <f t="shared" si="61"/>
        <v>*0.285300287700073</v>
      </c>
      <c r="AF131" t="str">
        <f t="shared" si="62"/>
        <v>*0.295879307936225</v>
      </c>
      <c r="AG131" t="str">
        <f t="shared" si="63"/>
        <v>*0.294272950836145</v>
      </c>
      <c r="AH131" t="str">
        <f t="shared" si="64"/>
        <v>*0.255309723394689</v>
      </c>
      <c r="AI131" t="str">
        <f t="shared" si="65"/>
        <v>*0.302070905549486</v>
      </c>
      <c r="AJ131" t="str">
        <f t="shared" si="66"/>
        <v>*0.292872702504734</v>
      </c>
      <c r="AK131" t="str">
        <f t="shared" si="67"/>
        <v>*0.26381358585829</v>
      </c>
      <c r="AL131" t="str">
        <f t="shared" si="68"/>
        <v>*0.277332473471146</v>
      </c>
      <c r="AM131" t="str">
        <f t="shared" si="69"/>
        <v>*0.304420780718888</v>
      </c>
      <c r="AN131" t="str">
        <f t="shared" si="33"/>
        <v>*0.314057523757112</v>
      </c>
      <c r="AO131" t="str">
        <f t="shared" si="34"/>
        <v>*0.306590732609561</v>
      </c>
      <c r="AP131" t="str">
        <f t="shared" si="35"/>
        <v>*0.293464957836483</v>
      </c>
      <c r="AQ131" t="str">
        <f t="shared" si="36"/>
        <v>*0.298801292062977</v>
      </c>
      <c r="AS131" s="6">
        <f t="shared" si="32"/>
        <v>0.28959149988429861</v>
      </c>
      <c r="AT131" s="6">
        <f>IFERROR(AVERAGEIFS(RdTRABYVals!L$2:L$999,RdTRABYVals!$B$2:$B$999,"="&amp;$C131,RdTRABYVals!$C$2:$C$999,"="&amp;INS!$A131),"")</f>
        <v>0.28530028770007299</v>
      </c>
      <c r="AU131" s="6">
        <f>IFERROR(AVERAGEIFS(RdTRABYVals!M$2:M$999,RdTRABYVals!$B$2:$B$999,"="&amp;$C131,RdTRABYVals!$C$2:$C$999,"="&amp;INS!$A131),"")</f>
        <v>0.27607800722082898</v>
      </c>
      <c r="AV131" s="6">
        <f>IFERROR(AVERAGEIFS(RdTRABYVals!N$2:N$999,RdTRABYVals!$B$2:$B$999,"="&amp;$C131,RdTRABYVals!$C$2:$C$999,"="&amp;INS!$A131),"")</f>
        <v>0.30442078071888801</v>
      </c>
      <c r="AW131" s="6">
        <f>IFERROR(AVERAGEIFS(RdTRABYVals!O$2:O$999,RdTRABYVals!$B$2:$B$999,"="&amp;$C131,RdTRABYVals!$C$2:$C$999,"="&amp;INS!$A131),"")</f>
        <v>0.26373111002703598</v>
      </c>
      <c r="AX131" s="6">
        <f>IFERROR(AVERAGEIFS(RdTRABYVals!P$2:P$999,RdTRABYVals!$B$2:$B$999,"="&amp;$C131,RdTRABYVals!$C$2:$C$999,"="&amp;INS!$A131),"")</f>
        <v>0.27405218846524698</v>
      </c>
      <c r="AY131" s="6">
        <f>IFERROR(AVERAGEIFS(RdTRABYVals!Q$2:Q$999,RdTRABYVals!$B$2:$B$999,"="&amp;$C131,RdTRABYVals!$C$2:$C$999,"="&amp;INS!$A131),"")</f>
        <v>0.263852616088118</v>
      </c>
      <c r="AZ131" s="6">
        <f>IFERROR(AVERAGEIFS(RdTRABYVals!R$2:R$999,RdTRABYVals!$B$2:$B$999,"="&amp;$C131,RdTRABYVals!$C$2:$C$999,"="&amp;INS!$A131),"")</f>
        <v>0.28261437103842102</v>
      </c>
      <c r="BA131" s="6">
        <f>IFERROR(AVERAGEIFS(RdTRABYVals!S$2:S$999,RdTRABYVals!$B$2:$B$999,"="&amp;$C131,RdTRABYVals!$C$2:$C$999,"="&amp;INS!$A131),"")</f>
        <v>0.28152640208186502</v>
      </c>
      <c r="BB131" s="6">
        <f>IFERROR(AVERAGEIFS(RdTRABYVals!T$2:T$999,RdTRABYVals!$B$2:$B$999,"="&amp;$C131,RdTRABYVals!$C$2:$C$999,"="&amp;INS!$A131),"")</f>
        <v>0.276151674033561</v>
      </c>
      <c r="BC131" s="6">
        <f>IFERROR(AVERAGEIFS(RdTRABYVals!U$2:U$999,RdTRABYVals!$B$2:$B$999,"="&amp;$C131,RdTRABYVals!$C$2:$C$999,"="&amp;INS!$A131),"")</f>
        <v>0.34325607958311299</v>
      </c>
      <c r="BD131" s="6">
        <f>IFERROR(AVERAGEIFS(RdTRABYVals!V$2:V$999,RdTRABYVals!$B$2:$B$999,"="&amp;$C131,RdTRABYVals!$C$2:$C$999,"="&amp;INS!$A131),"")</f>
        <v>0.30007660684610199</v>
      </c>
      <c r="BE131" s="6">
        <f>IFERROR(AVERAGEIFS(RdTRABYVals!W$2:W$999,RdTRABYVals!$B$2:$B$999,"="&amp;$C131,RdTRABYVals!$C$2:$C$999,"="&amp;INS!$A131),"")</f>
        <v>0.28530028770007299</v>
      </c>
      <c r="BF131" s="6">
        <f>IFERROR(AVERAGEIFS(RdTRABYVals!X$2:X$999,RdTRABYVals!$B$2:$B$999,"="&amp;$C131,RdTRABYVals!$C$2:$C$999,"="&amp;INS!$A131),"")</f>
        <v>0.260419905506247</v>
      </c>
      <c r="BG131" s="6">
        <f>IFERROR(AVERAGEIFS(RdTRABYVals!Y$2:Y$999,RdTRABYVals!$B$2:$B$999,"="&amp;$C131,RdTRABYVals!$C$2:$C$999,"="&amp;INS!$A131),"")</f>
        <v>0.29501642937591399</v>
      </c>
      <c r="BH131" s="6">
        <f>IFERROR(AVERAGEIFS(RdTRABYVals!Z$2:Z$999,RdTRABYVals!$B$2:$B$999,"="&amp;$C131,RdTRABYVals!$C$2:$C$999,"="&amp;INS!$A131),"")</f>
        <v>0.29836198041588902</v>
      </c>
      <c r="BI131" s="6">
        <f>IFERROR(AVERAGEIFS(RdTRABYVals!AA$2:AA$999,RdTRABYVals!$B$2:$B$999,"="&amp;$C131,RdTRABYVals!$C$2:$C$999,"="&amp;INS!$A131),"")</f>
        <v>0.30442078071888801</v>
      </c>
      <c r="BJ131" s="6">
        <f>IFERROR(AVERAGEIFS(RdTRABYVals!AB$2:AB$999,RdTRABYVals!$B$2:$B$999,"="&amp;$C131,RdTRABYVals!$C$2:$C$999,"="&amp;INS!$A131),"")</f>
        <v>0.29353528190740003</v>
      </c>
      <c r="BK131" s="6">
        <f>IFERROR(AVERAGEIFS(RdTRABYVals!AC$2:AC$999,RdTRABYVals!$B$2:$B$999,"="&amp;$C131,RdTRABYVals!$C$2:$C$999,"="&amp;INS!$A131),"")</f>
        <v>0.284071716210475</v>
      </c>
      <c r="BL131" s="6">
        <f>IFERROR(AVERAGEIFS(RdTRABYVals!AD$2:AD$999,RdTRABYVals!$B$2:$B$999,"="&amp;$C131,RdTRABYVals!$C$2:$C$999,"="&amp;INS!$A131),"")</f>
        <v>0.28038592569264298</v>
      </c>
      <c r="BM131" s="6">
        <f>IFERROR(AVERAGEIFS(RdTRABYVals!AE$2:AE$999,RdTRABYVals!$B$2:$B$999,"="&amp;$C131,RdTRABYVals!$C$2:$C$999,"="&amp;INS!$A131),"")</f>
        <v>0.30777259609093999</v>
      </c>
      <c r="BN131" s="6">
        <f>IFERROR(AVERAGEIFS(RdTRABYVals!AF$2:AF$999,RdTRABYVals!$B$2:$B$999,"="&amp;$C131,RdTRABYVals!$C$2:$C$999,"="&amp;INS!$A131),"")</f>
        <v>0.30442078071888801</v>
      </c>
      <c r="BO131" s="6">
        <f>IFERROR(AVERAGEIFS(RdTRABYVals!AG$2:AG$999,RdTRABYVals!$B$2:$B$999,"="&amp;$C131,RdTRABYVals!$C$2:$C$999,"="&amp;INS!$A131),"")</f>
        <v>0.26583414397588701</v>
      </c>
      <c r="BP131" s="6">
        <f>IFERROR(AVERAGEIFS(RdTRABYVals!AH$2:AH$999,RdTRABYVals!$B$2:$B$999,"="&amp;$C131,RdTRABYVals!$C$2:$C$999,"="&amp;INS!$A131),"")</f>
        <v>0.26136750862705599</v>
      </c>
      <c r="BQ131" s="6">
        <f>IFERROR(AVERAGEIFS(RdTRABYVals!AI$2:AI$999,RdTRABYVals!$B$2:$B$999,"="&amp;$C131,RdTRABYVals!$C$2:$C$999,"="&amp;INS!$A131),"")</f>
        <v>0.33873081073968803</v>
      </c>
      <c r="BR131" s="6">
        <f>IFERROR(AVERAGEIFS(RdTRABYVals!AJ$2:AJ$999,RdTRABYVals!$B$2:$B$999,"="&amp;$C131,RdTRABYVals!$C$2:$C$999,"="&amp;INS!$A131),"")</f>
        <v>0.28530028770007299</v>
      </c>
      <c r="BS131" s="6">
        <f>IFERROR(AVERAGEIFS(RdTRABYVals!AK$2:AK$999,RdTRABYVals!$B$2:$B$999,"="&amp;$C131,RdTRABYVals!$C$2:$C$999,"="&amp;INS!$A131),"")</f>
        <v>0.29587930793622502</v>
      </c>
      <c r="BT131" s="6">
        <f>IFERROR(AVERAGEIFS(RdTRABYVals!AL$2:AL$999,RdTRABYVals!$B$2:$B$999,"="&amp;$C131,RdTRABYVals!$C$2:$C$999,"="&amp;INS!$A131),"")</f>
        <v>0.29427295083614502</v>
      </c>
      <c r="BU131" s="6">
        <f>IFERROR(AVERAGEIFS(RdTRABYVals!AM$2:AM$999,RdTRABYVals!$B$2:$B$999,"="&amp;$C131,RdTRABYVals!$C$2:$C$999,"="&amp;INS!$A131),"")</f>
        <v>0.25530972339468899</v>
      </c>
      <c r="BV131" s="6">
        <f>IFERROR(AVERAGEIFS(RdTRABYVals!AN$2:AN$999,RdTRABYVals!$B$2:$B$999,"="&amp;$C131,RdTRABYVals!$C$2:$C$999,"="&amp;INS!$A131),"")</f>
        <v>0.30207090554948601</v>
      </c>
      <c r="BW131" s="6">
        <f>IFERROR(AVERAGEIFS(RdTRABYVals!AO$2:AO$999,RdTRABYVals!$B$2:$B$999,"="&amp;$C131,RdTRABYVals!$C$2:$C$999,"="&amp;INS!$A131),"")</f>
        <v>0.29287270250473402</v>
      </c>
      <c r="BX131" s="6">
        <f>IFERROR(AVERAGEIFS(RdTRABYVals!AP$2:AP$999,RdTRABYVals!$B$2:$B$999,"="&amp;$C131,RdTRABYVals!$C$2:$C$999,"="&amp;INS!$A131),"")</f>
        <v>0.26381358585829001</v>
      </c>
      <c r="BY131" s="6">
        <f>IFERROR(AVERAGEIFS(RdTRABYVals!AQ$2:AQ$999,RdTRABYVals!$B$2:$B$999,"="&amp;$C131,RdTRABYVals!$C$2:$C$999,"="&amp;INS!$A131),"")</f>
        <v>0.27733247347114598</v>
      </c>
      <c r="BZ131" s="6">
        <f>IFERROR(AVERAGEIFS(RdTRABYVals!AR$2:AR$999,RdTRABYVals!$B$2:$B$999,"="&amp;$C131,RdTRABYVals!$C$2:$C$999,"="&amp;INS!$A131),"")</f>
        <v>0.30442078071888801</v>
      </c>
      <c r="CA131" s="6">
        <f>IFERROR(AVERAGEIFS(RdTRABYVals!AS$2:AS$999,RdTRABYVals!$B$2:$B$999,"="&amp;$C131,RdTRABYVals!$C$2:$C$999,"="&amp;INS!$A131),"")</f>
        <v>0.31405752375711199</v>
      </c>
      <c r="CB131" s="6">
        <f>IFERROR(AVERAGEIFS(RdTRABYVals!AT$2:AT$999,RdTRABYVals!$B$2:$B$999,"="&amp;$C131,RdTRABYVals!$C$2:$C$999,"="&amp;INS!$A131),"")</f>
        <v>0.30659073260956099</v>
      </c>
      <c r="CC131" s="6">
        <f>IFERROR(AVERAGEIFS(RdTRABYVals!AU$2:AU$999,RdTRABYVals!$B$2:$B$999,"="&amp;$C131,RdTRABYVals!$C$2:$C$999,"="&amp;INS!$A131),"")</f>
        <v>0.29346495783648302</v>
      </c>
      <c r="CD131" s="6">
        <f>IFERROR(AVERAGEIFS(RdTRABYVals!AV$2:AV$999,RdTRABYVals!$B$2:$B$999,"="&amp;$C131,RdTRABYVals!$C$2:$C$999,"="&amp;INS!$A131),"")</f>
        <v>0.29880129206297701</v>
      </c>
    </row>
    <row r="132" spans="1:82" ht="14.4">
      <c r="A132" s="3" t="s">
        <v>143</v>
      </c>
      <c r="C132" s="1" t="s">
        <v>29</v>
      </c>
      <c r="D132" t="str">
        <f t="shared" si="30"/>
        <v>TRA_Lcv_Gas*</v>
      </c>
      <c r="F132" t="str">
        <f t="shared" si="31"/>
        <v>*0.231262852132941</v>
      </c>
      <c r="G132" t="str">
        <f t="shared" si="37"/>
        <v>*0.206720917116494</v>
      </c>
      <c r="H132" t="str">
        <f t="shared" si="38"/>
        <v>*0.230853068617818</v>
      </c>
      <c r="I132" t="str">
        <f t="shared" si="39"/>
        <v>*0.241210029642046</v>
      </c>
      <c r="J132" t="str">
        <f t="shared" si="40"/>
        <v>*0.22389667370098</v>
      </c>
      <c r="K132" t="str">
        <f t="shared" si="41"/>
        <v>*0.198438025786818</v>
      </c>
      <c r="L132" t="str">
        <f t="shared" si="42"/>
        <v>*0.22378876804671</v>
      </c>
      <c r="M132" t="str">
        <f t="shared" si="43"/>
        <v>*0.206290289052558</v>
      </c>
      <c r="N132" t="str">
        <f t="shared" si="44"/>
        <v>*0.234785934286788</v>
      </c>
      <c r="O132" t="str">
        <f t="shared" si="45"/>
        <v>*0.219073254668277</v>
      </c>
      <c r="P132" t="str">
        <f t="shared" si="46"/>
        <v>*0.253991932573673</v>
      </c>
      <c r="Q132" t="str">
        <f t="shared" si="47"/>
        <v>*0.26067792413552</v>
      </c>
      <c r="R132" t="str">
        <f t="shared" si="48"/>
        <v>*0.206720917116494</v>
      </c>
      <c r="S132" t="str">
        <f t="shared" si="49"/>
        <v>*0.255427972050333</v>
      </c>
      <c r="T132" t="str">
        <f t="shared" si="50"/>
        <v>*0.240916245751196</v>
      </c>
      <c r="U132" t="str">
        <f t="shared" si="51"/>
        <v>*0.238834836382566</v>
      </c>
      <c r="V132" t="str">
        <f t="shared" si="52"/>
        <v>*0.241210029642046</v>
      </c>
      <c r="W132" t="str">
        <f t="shared" si="53"/>
        <v>*0.255604985969833</v>
      </c>
      <c r="X132" t="str">
        <f t="shared" si="54"/>
        <v>*0.204213248102036</v>
      </c>
      <c r="Y132" t="str">
        <f t="shared" si="55"/>
        <v>*0.208249470350152</v>
      </c>
      <c r="Z132" t="str">
        <f t="shared" si="56"/>
        <v>*0.246580390963192</v>
      </c>
      <c r="AA132" t="str">
        <f t="shared" si="57"/>
        <v>*0.241210029642046</v>
      </c>
      <c r="AB132" t="str">
        <f t="shared" si="58"/>
        <v>*0.208861707868195</v>
      </c>
      <c r="AC132" t="str">
        <f t="shared" si="59"/>
        <v>*0.219925956692754</v>
      </c>
      <c r="AD132" t="str">
        <f t="shared" si="60"/>
        <v>*0.249666814442304</v>
      </c>
      <c r="AE132" t="str">
        <f t="shared" si="61"/>
        <v>*0.206720917116494</v>
      </c>
      <c r="AF132" t="str">
        <f t="shared" si="62"/>
        <v>*0.248865849380247</v>
      </c>
      <c r="AG132" t="str">
        <f t="shared" si="63"/>
        <v>*0.221238278896112</v>
      </c>
      <c r="AH132" t="str">
        <f t="shared" si="64"/>
        <v>*0.207834165073242</v>
      </c>
      <c r="AI132" t="str">
        <f t="shared" si="65"/>
        <v>*0.23488290223038</v>
      </c>
      <c r="AJ132" t="str">
        <f t="shared" si="66"/>
        <v>*0.229635115823821</v>
      </c>
      <c r="AK132" t="str">
        <f t="shared" si="67"/>
        <v>*0.257445713795368</v>
      </c>
      <c r="AL132" t="str">
        <f t="shared" si="68"/>
        <v>*0.218901913564027</v>
      </c>
      <c r="AM132" t="str">
        <f t="shared" si="69"/>
        <v>*0.241210029642046</v>
      </c>
      <c r="AN132" t="str">
        <f t="shared" si="33"/>
        <v>*0.244886187693852</v>
      </c>
      <c r="AO132" t="str">
        <f t="shared" si="34"/>
        <v>*0.232706519460248</v>
      </c>
      <c r="AP132" t="str">
        <f t="shared" si="35"/>
        <v>*0.240308292293256</v>
      </c>
      <c r="AQ132" t="str">
        <f t="shared" si="36"/>
        <v>*0.254940221348877</v>
      </c>
      <c r="AS132" s="6">
        <f t="shared" si="32"/>
        <v>0.23126285213294054</v>
      </c>
      <c r="AT132" s="6">
        <f>IFERROR(AVERAGEIFS(RdTRABYVals!L$2:L$999,RdTRABYVals!$B$2:$B$999,"="&amp;$C132,RdTRABYVals!$C$2:$C$999,"="&amp;INS!$A132),"")</f>
        <v>0.20672091711649401</v>
      </c>
      <c r="AU132" s="6">
        <f>IFERROR(AVERAGEIFS(RdTRABYVals!M$2:M$999,RdTRABYVals!$B$2:$B$999,"="&amp;$C132,RdTRABYVals!$C$2:$C$999,"="&amp;INS!$A132),"")</f>
        <v>0.23085306861781801</v>
      </c>
      <c r="AV132" s="6">
        <f>IFERROR(AVERAGEIFS(RdTRABYVals!N$2:N$999,RdTRABYVals!$B$2:$B$999,"="&amp;$C132,RdTRABYVals!$C$2:$C$999,"="&amp;INS!$A132),"")</f>
        <v>0.24121002964204599</v>
      </c>
      <c r="AW132" s="6">
        <f>IFERROR(AVERAGEIFS(RdTRABYVals!O$2:O$999,RdTRABYVals!$B$2:$B$999,"="&amp;$C132,RdTRABYVals!$C$2:$C$999,"="&amp;INS!$A132),"")</f>
        <v>0.22389667370097999</v>
      </c>
      <c r="AX132" s="6">
        <f>IFERROR(AVERAGEIFS(RdTRABYVals!P$2:P$999,RdTRABYVals!$B$2:$B$999,"="&amp;$C132,RdTRABYVals!$C$2:$C$999,"="&amp;INS!$A132),"")</f>
        <v>0.19843802578681799</v>
      </c>
      <c r="AY132" s="6">
        <f>IFERROR(AVERAGEIFS(RdTRABYVals!Q$2:Q$999,RdTRABYVals!$B$2:$B$999,"="&amp;$C132,RdTRABYVals!$C$2:$C$999,"="&amp;INS!$A132),"")</f>
        <v>0.22378876804671</v>
      </c>
      <c r="AZ132" s="6">
        <f>IFERROR(AVERAGEIFS(RdTRABYVals!R$2:R$999,RdTRABYVals!$B$2:$B$999,"="&amp;$C132,RdTRABYVals!$C$2:$C$999,"="&amp;INS!$A132),"")</f>
        <v>0.206290289052558</v>
      </c>
      <c r="BA132" s="6">
        <f>IFERROR(AVERAGEIFS(RdTRABYVals!S$2:S$999,RdTRABYVals!$B$2:$B$999,"="&amp;$C132,RdTRABYVals!$C$2:$C$999,"="&amp;INS!$A132),"")</f>
        <v>0.23478593428678801</v>
      </c>
      <c r="BB132" s="6">
        <f>IFERROR(AVERAGEIFS(RdTRABYVals!T$2:T$999,RdTRABYVals!$B$2:$B$999,"="&amp;$C132,RdTRABYVals!$C$2:$C$999,"="&amp;INS!$A132),"")</f>
        <v>0.21907325466827701</v>
      </c>
      <c r="BC132" s="6">
        <f>IFERROR(AVERAGEIFS(RdTRABYVals!U$2:U$999,RdTRABYVals!$B$2:$B$999,"="&amp;$C132,RdTRABYVals!$C$2:$C$999,"="&amp;INS!$A132),"")</f>
        <v>0.25399193257367297</v>
      </c>
      <c r="BD132" s="6">
        <f>IFERROR(AVERAGEIFS(RdTRABYVals!V$2:V$999,RdTRABYVals!$B$2:$B$999,"="&amp;$C132,RdTRABYVals!$C$2:$C$999,"="&amp;INS!$A132),"")</f>
        <v>0.26067792413551999</v>
      </c>
      <c r="BE132" s="6">
        <f>IFERROR(AVERAGEIFS(RdTRABYVals!W$2:W$999,RdTRABYVals!$B$2:$B$999,"="&amp;$C132,RdTRABYVals!$C$2:$C$999,"="&amp;INS!$A132),"")</f>
        <v>0.20672091711649401</v>
      </c>
      <c r="BF132" s="6">
        <f>IFERROR(AVERAGEIFS(RdTRABYVals!X$2:X$999,RdTRABYVals!$B$2:$B$999,"="&amp;$C132,RdTRABYVals!$C$2:$C$999,"="&amp;INS!$A132),"")</f>
        <v>0.25542797205033302</v>
      </c>
      <c r="BG132" s="6">
        <f>IFERROR(AVERAGEIFS(RdTRABYVals!Y$2:Y$999,RdTRABYVals!$B$2:$B$999,"="&amp;$C132,RdTRABYVals!$C$2:$C$999,"="&amp;INS!$A132),"")</f>
        <v>0.240916245751196</v>
      </c>
      <c r="BH132" s="6">
        <f>IFERROR(AVERAGEIFS(RdTRABYVals!Z$2:Z$999,RdTRABYVals!$B$2:$B$999,"="&amp;$C132,RdTRABYVals!$C$2:$C$999,"="&amp;INS!$A132),"")</f>
        <v>0.238834836382566</v>
      </c>
      <c r="BI132" s="6">
        <f>IFERROR(AVERAGEIFS(RdTRABYVals!AA$2:AA$999,RdTRABYVals!$B$2:$B$999,"="&amp;$C132,RdTRABYVals!$C$2:$C$999,"="&amp;INS!$A132),"")</f>
        <v>0.24121002964204599</v>
      </c>
      <c r="BJ132" s="6">
        <f>IFERROR(AVERAGEIFS(RdTRABYVals!AB$2:AB$999,RdTRABYVals!$B$2:$B$999,"="&amp;$C132,RdTRABYVals!$C$2:$C$999,"="&amp;INS!$A132),"")</f>
        <v>0.255604985969833</v>
      </c>
      <c r="BK132" s="6">
        <f>IFERROR(AVERAGEIFS(RdTRABYVals!AC$2:AC$999,RdTRABYVals!$B$2:$B$999,"="&amp;$C132,RdTRABYVals!$C$2:$C$999,"="&amp;INS!$A132),"")</f>
        <v>0.204213248102036</v>
      </c>
      <c r="BL132" s="6">
        <f>IFERROR(AVERAGEIFS(RdTRABYVals!AD$2:AD$999,RdTRABYVals!$B$2:$B$999,"="&amp;$C132,RdTRABYVals!$C$2:$C$999,"="&amp;INS!$A132),"")</f>
        <v>0.20824947035015201</v>
      </c>
      <c r="BM132" s="6">
        <f>IFERROR(AVERAGEIFS(RdTRABYVals!AE$2:AE$999,RdTRABYVals!$B$2:$B$999,"="&amp;$C132,RdTRABYVals!$C$2:$C$999,"="&amp;INS!$A132),"")</f>
        <v>0.24658039096319201</v>
      </c>
      <c r="BN132" s="6">
        <f>IFERROR(AVERAGEIFS(RdTRABYVals!AF$2:AF$999,RdTRABYVals!$B$2:$B$999,"="&amp;$C132,RdTRABYVals!$C$2:$C$999,"="&amp;INS!$A132),"")</f>
        <v>0.24121002964204599</v>
      </c>
      <c r="BO132" s="6">
        <f>IFERROR(AVERAGEIFS(RdTRABYVals!AG$2:AG$999,RdTRABYVals!$B$2:$B$999,"="&amp;$C132,RdTRABYVals!$C$2:$C$999,"="&amp;INS!$A132),"")</f>
        <v>0.208861707868195</v>
      </c>
      <c r="BP132" s="6">
        <f>IFERROR(AVERAGEIFS(RdTRABYVals!AH$2:AH$999,RdTRABYVals!$B$2:$B$999,"="&amp;$C132,RdTRABYVals!$C$2:$C$999,"="&amp;INS!$A132),"")</f>
        <v>0.219925956692754</v>
      </c>
      <c r="BQ132" s="6">
        <f>IFERROR(AVERAGEIFS(RdTRABYVals!AI$2:AI$999,RdTRABYVals!$B$2:$B$999,"="&amp;$C132,RdTRABYVals!$C$2:$C$999,"="&amp;INS!$A132),"")</f>
        <v>0.24966681444230401</v>
      </c>
      <c r="BR132" s="6">
        <f>IFERROR(AVERAGEIFS(RdTRABYVals!AJ$2:AJ$999,RdTRABYVals!$B$2:$B$999,"="&amp;$C132,RdTRABYVals!$C$2:$C$999,"="&amp;INS!$A132),"")</f>
        <v>0.20672091711649401</v>
      </c>
      <c r="BS132" s="6">
        <f>IFERROR(AVERAGEIFS(RdTRABYVals!AK$2:AK$999,RdTRABYVals!$B$2:$B$999,"="&amp;$C132,RdTRABYVals!$C$2:$C$999,"="&amp;INS!$A132),"")</f>
        <v>0.248865849380247</v>
      </c>
      <c r="BT132" s="6">
        <f>IFERROR(AVERAGEIFS(RdTRABYVals!AL$2:AL$999,RdTRABYVals!$B$2:$B$999,"="&amp;$C132,RdTRABYVals!$C$2:$C$999,"="&amp;INS!$A132),"")</f>
        <v>0.221238278896112</v>
      </c>
      <c r="BU132" s="6">
        <f>IFERROR(AVERAGEIFS(RdTRABYVals!AM$2:AM$999,RdTRABYVals!$B$2:$B$999,"="&amp;$C132,RdTRABYVals!$C$2:$C$999,"="&amp;INS!$A132),"")</f>
        <v>0.20783416507324201</v>
      </c>
      <c r="BV132" s="6">
        <f>IFERROR(AVERAGEIFS(RdTRABYVals!AN$2:AN$999,RdTRABYVals!$B$2:$B$999,"="&amp;$C132,RdTRABYVals!$C$2:$C$999,"="&amp;INS!$A132),"")</f>
        <v>0.23488290223038</v>
      </c>
      <c r="BW132" s="6">
        <f>IFERROR(AVERAGEIFS(RdTRABYVals!AO$2:AO$999,RdTRABYVals!$B$2:$B$999,"="&amp;$C132,RdTRABYVals!$C$2:$C$999,"="&amp;INS!$A132),"")</f>
        <v>0.22963511582382101</v>
      </c>
      <c r="BX132" s="6">
        <f>IFERROR(AVERAGEIFS(RdTRABYVals!AP$2:AP$999,RdTRABYVals!$B$2:$B$999,"="&amp;$C132,RdTRABYVals!$C$2:$C$999,"="&amp;INS!$A132),"")</f>
        <v>0.25744571379536801</v>
      </c>
      <c r="BY132" s="6">
        <f>IFERROR(AVERAGEIFS(RdTRABYVals!AQ$2:AQ$999,RdTRABYVals!$B$2:$B$999,"="&amp;$C132,RdTRABYVals!$C$2:$C$999,"="&amp;INS!$A132),"")</f>
        <v>0.218901913564027</v>
      </c>
      <c r="BZ132" s="6">
        <f>IFERROR(AVERAGEIFS(RdTRABYVals!AR$2:AR$999,RdTRABYVals!$B$2:$B$999,"="&amp;$C132,RdTRABYVals!$C$2:$C$999,"="&amp;INS!$A132),"")</f>
        <v>0.24121002964204599</v>
      </c>
      <c r="CA132" s="6">
        <f>IFERROR(AVERAGEIFS(RdTRABYVals!AS$2:AS$999,RdTRABYVals!$B$2:$B$999,"="&amp;$C132,RdTRABYVals!$C$2:$C$999,"="&amp;INS!$A132),"")</f>
        <v>0.24488618769385201</v>
      </c>
      <c r="CB132" s="6">
        <f>IFERROR(AVERAGEIFS(RdTRABYVals!AT$2:AT$999,RdTRABYVals!$B$2:$B$999,"="&amp;$C132,RdTRABYVals!$C$2:$C$999,"="&amp;INS!$A132),"")</f>
        <v>0.23270651946024801</v>
      </c>
      <c r="CC132" s="6">
        <f>IFERROR(AVERAGEIFS(RdTRABYVals!AU$2:AU$999,RdTRABYVals!$B$2:$B$999,"="&amp;$C132,RdTRABYVals!$C$2:$C$999,"="&amp;INS!$A132),"")</f>
        <v>0.24030829229325601</v>
      </c>
      <c r="CD132" s="6">
        <f>IFERROR(AVERAGEIFS(RdTRABYVals!AV$2:AV$999,RdTRABYVals!$B$2:$B$999,"="&amp;$C132,RdTRABYVals!$C$2:$C$999,"="&amp;INS!$A132),"")</f>
        <v>0.25494022134887701</v>
      </c>
    </row>
    <row r="133" spans="1:82" ht="14.4">
      <c r="A133" s="3" t="s">
        <v>144</v>
      </c>
      <c r="C133" s="1" t="s">
        <v>29</v>
      </c>
      <c r="D133" t="str">
        <f t="shared" si="30"/>
        <v>TRA_Lcv_Lpg*</v>
      </c>
      <c r="F133" t="str">
        <f t="shared" si="31"/>
        <v>*0.226178244331562</v>
      </c>
      <c r="G133" t="str">
        <f t="shared" si="37"/>
        <v>*0.226178244331562</v>
      </c>
      <c r="H133" t="str">
        <f t="shared" si="38"/>
        <v>*0.226178244331562</v>
      </c>
      <c r="I133" t="str">
        <f t="shared" si="39"/>
        <v>*0.226178244331562</v>
      </c>
      <c r="J133" t="str">
        <f t="shared" si="40"/>
        <v>*0.226178244331562</v>
      </c>
      <c r="K133" t="str">
        <f t="shared" si="41"/>
        <v>*0.226178244331562</v>
      </c>
      <c r="L133" t="str">
        <f t="shared" si="42"/>
        <v>*0.226178244331562</v>
      </c>
      <c r="M133" t="str">
        <f t="shared" si="43"/>
        <v>*0.226178244331562</v>
      </c>
      <c r="N133" t="str">
        <f t="shared" si="44"/>
        <v>*0.226178244331562</v>
      </c>
      <c r="O133" t="str">
        <f t="shared" si="45"/>
        <v>*0.207767826916185</v>
      </c>
      <c r="P133" t="str">
        <f t="shared" si="46"/>
        <v>*0.245367408219423</v>
      </c>
      <c r="Q133" t="str">
        <f t="shared" si="47"/>
        <v>*0.226178244331562</v>
      </c>
      <c r="R133" t="str">
        <f t="shared" si="48"/>
        <v>*0.226178244331562</v>
      </c>
      <c r="S133" t="str">
        <f t="shared" si="49"/>
        <v>*0.226178244331562</v>
      </c>
      <c r="T133" t="str">
        <f t="shared" si="50"/>
        <v>*0.226178244331562</v>
      </c>
      <c r="U133" t="str">
        <f t="shared" si="51"/>
        <v>*0.226178244331562</v>
      </c>
      <c r="V133" t="str">
        <f t="shared" si="52"/>
        <v>*0.226178244331562</v>
      </c>
      <c r="W133" t="str">
        <f t="shared" si="53"/>
        <v>*0.226178244331562</v>
      </c>
      <c r="X133" t="str">
        <f t="shared" si="54"/>
        <v>*0.226178244331562</v>
      </c>
      <c r="Y133" t="str">
        <f t="shared" si="55"/>
        <v>*0.226178244331562</v>
      </c>
      <c r="Z133" t="str">
        <f t="shared" si="56"/>
        <v>*0.226178244331562</v>
      </c>
      <c r="AA133" t="str">
        <f t="shared" si="57"/>
        <v>*0.226178244331562</v>
      </c>
      <c r="AB133" t="str">
        <f t="shared" si="58"/>
        <v>*0.226178244331562</v>
      </c>
      <c r="AC133" t="str">
        <f t="shared" si="59"/>
        <v>*0.226178244331562</v>
      </c>
      <c r="AD133" t="str">
        <f t="shared" si="60"/>
        <v>*0.236570498381022</v>
      </c>
      <c r="AE133" t="str">
        <f t="shared" si="61"/>
        <v>*0.226178244331562</v>
      </c>
      <c r="AF133" t="str">
        <f t="shared" si="62"/>
        <v>*0.226178244331562</v>
      </c>
      <c r="AG133" t="str">
        <f t="shared" si="63"/>
        <v>*0.226178244331562</v>
      </c>
      <c r="AH133" t="str">
        <f t="shared" si="64"/>
        <v>*0.192931910247019</v>
      </c>
      <c r="AI133" t="str">
        <f t="shared" si="65"/>
        <v>*0.226178244331562</v>
      </c>
      <c r="AJ133" t="str">
        <f t="shared" si="66"/>
        <v>*0.218203680884985</v>
      </c>
      <c r="AK133" t="str">
        <f t="shared" si="67"/>
        <v>*0.242020198345385</v>
      </c>
      <c r="AL133" t="str">
        <f t="shared" si="68"/>
        <v>*0.226178244331562</v>
      </c>
      <c r="AM133" t="str">
        <f t="shared" si="69"/>
        <v>*0.226178244331562</v>
      </c>
      <c r="AN133" t="str">
        <f t="shared" si="33"/>
        <v>*0.226178244331562</v>
      </c>
      <c r="AO133" t="str">
        <f t="shared" si="34"/>
        <v>*0.226178244331562</v>
      </c>
      <c r="AP133" t="str">
        <f t="shared" si="35"/>
        <v>*0.226178244331562</v>
      </c>
      <c r="AQ133" t="str">
        <f t="shared" si="36"/>
        <v>*0.240386187326915</v>
      </c>
      <c r="AS133" s="6">
        <f t="shared" si="32"/>
        <v>0.226178244331562</v>
      </c>
      <c r="AT133" s="6">
        <f>IFERROR(AVERAGEIFS(RdTRABYVals!L$2:L$999,RdTRABYVals!$B$2:$B$999,"="&amp;$C133,RdTRABYVals!$C$2:$C$999,"="&amp;INS!$A133),"")</f>
        <v>0.226178244331562</v>
      </c>
      <c r="AU133" s="6">
        <f>IFERROR(AVERAGEIFS(RdTRABYVals!M$2:M$999,RdTRABYVals!$B$2:$B$999,"="&amp;$C133,RdTRABYVals!$C$2:$C$999,"="&amp;INS!$A133),"")</f>
        <v>0.226178244331562</v>
      </c>
      <c r="AV133" s="6">
        <f>IFERROR(AVERAGEIFS(RdTRABYVals!N$2:N$999,RdTRABYVals!$B$2:$B$999,"="&amp;$C133,RdTRABYVals!$C$2:$C$999,"="&amp;INS!$A133),"")</f>
        <v>0.226178244331562</v>
      </c>
      <c r="AW133" s="6">
        <f>IFERROR(AVERAGEIFS(RdTRABYVals!O$2:O$999,RdTRABYVals!$B$2:$B$999,"="&amp;$C133,RdTRABYVals!$C$2:$C$999,"="&amp;INS!$A133),"")</f>
        <v>0.226178244331562</v>
      </c>
      <c r="AX133" s="6">
        <f>IFERROR(AVERAGEIFS(RdTRABYVals!P$2:P$999,RdTRABYVals!$B$2:$B$999,"="&amp;$C133,RdTRABYVals!$C$2:$C$999,"="&amp;INS!$A133),"")</f>
        <v>0.226178244331562</v>
      </c>
      <c r="AY133" s="6">
        <f>IFERROR(AVERAGEIFS(RdTRABYVals!Q$2:Q$999,RdTRABYVals!$B$2:$B$999,"="&amp;$C133,RdTRABYVals!$C$2:$C$999,"="&amp;INS!$A133),"")</f>
        <v>0.226178244331562</v>
      </c>
      <c r="AZ133" s="6">
        <f>IFERROR(AVERAGEIFS(RdTRABYVals!R$2:R$999,RdTRABYVals!$B$2:$B$999,"="&amp;$C133,RdTRABYVals!$C$2:$C$999,"="&amp;INS!$A133),"")</f>
        <v>0.226178244331562</v>
      </c>
      <c r="BA133" s="6">
        <f>IFERROR(AVERAGEIFS(RdTRABYVals!S$2:S$999,RdTRABYVals!$B$2:$B$999,"="&amp;$C133,RdTRABYVals!$C$2:$C$999,"="&amp;INS!$A133),"")</f>
        <v>0.226178244331562</v>
      </c>
      <c r="BB133" s="6">
        <f>IFERROR(AVERAGEIFS(RdTRABYVals!T$2:T$999,RdTRABYVals!$B$2:$B$999,"="&amp;$C133,RdTRABYVals!$C$2:$C$999,"="&amp;INS!$A133),"")</f>
        <v>0.20776782691618501</v>
      </c>
      <c r="BC133" s="6">
        <f>IFERROR(AVERAGEIFS(RdTRABYVals!U$2:U$999,RdTRABYVals!$B$2:$B$999,"="&amp;$C133,RdTRABYVals!$C$2:$C$999,"="&amp;INS!$A133),"")</f>
        <v>0.24536740821942299</v>
      </c>
      <c r="BD133" s="6">
        <f>IFERROR(AVERAGEIFS(RdTRABYVals!V$2:V$999,RdTRABYVals!$B$2:$B$999,"="&amp;$C133,RdTRABYVals!$C$2:$C$999,"="&amp;INS!$A133),"")</f>
        <v>0.226178244331562</v>
      </c>
      <c r="BE133" s="6">
        <f>IFERROR(AVERAGEIFS(RdTRABYVals!W$2:W$999,RdTRABYVals!$B$2:$B$999,"="&amp;$C133,RdTRABYVals!$C$2:$C$999,"="&amp;INS!$A133),"")</f>
        <v>0.226178244331562</v>
      </c>
      <c r="BF133" s="6">
        <f>IFERROR(AVERAGEIFS(RdTRABYVals!X$2:X$999,RdTRABYVals!$B$2:$B$999,"="&amp;$C133,RdTRABYVals!$C$2:$C$999,"="&amp;INS!$A133),"")</f>
        <v>0.226178244331562</v>
      </c>
      <c r="BG133" s="6">
        <f>IFERROR(AVERAGEIFS(RdTRABYVals!Y$2:Y$999,RdTRABYVals!$B$2:$B$999,"="&amp;$C133,RdTRABYVals!$C$2:$C$999,"="&amp;INS!$A133),"")</f>
        <v>0.226178244331562</v>
      </c>
      <c r="BH133" s="6">
        <f>IFERROR(AVERAGEIFS(RdTRABYVals!Z$2:Z$999,RdTRABYVals!$B$2:$B$999,"="&amp;$C133,RdTRABYVals!$C$2:$C$999,"="&amp;INS!$A133),"")</f>
        <v>0.226178244331562</v>
      </c>
      <c r="BI133" s="6">
        <f>IFERROR(AVERAGEIFS(RdTRABYVals!AA$2:AA$999,RdTRABYVals!$B$2:$B$999,"="&amp;$C133,RdTRABYVals!$C$2:$C$999,"="&amp;INS!$A133),"")</f>
        <v>0.226178244331562</v>
      </c>
      <c r="BJ133" s="6">
        <f>IFERROR(AVERAGEIFS(RdTRABYVals!AB$2:AB$999,RdTRABYVals!$B$2:$B$999,"="&amp;$C133,RdTRABYVals!$C$2:$C$999,"="&amp;INS!$A133),"")</f>
        <v>0.226178244331562</v>
      </c>
      <c r="BK133" s="6">
        <f>IFERROR(AVERAGEIFS(RdTRABYVals!AC$2:AC$999,RdTRABYVals!$B$2:$B$999,"="&amp;$C133,RdTRABYVals!$C$2:$C$999,"="&amp;INS!$A133),"")</f>
        <v>0.226178244331562</v>
      </c>
      <c r="BL133" s="6">
        <f>IFERROR(AVERAGEIFS(RdTRABYVals!AD$2:AD$999,RdTRABYVals!$B$2:$B$999,"="&amp;$C133,RdTRABYVals!$C$2:$C$999,"="&amp;INS!$A133),"")</f>
        <v>0.226178244331562</v>
      </c>
      <c r="BM133" s="6">
        <f>IFERROR(AVERAGEIFS(RdTRABYVals!AE$2:AE$999,RdTRABYVals!$B$2:$B$999,"="&amp;$C133,RdTRABYVals!$C$2:$C$999,"="&amp;INS!$A133),"")</f>
        <v>0.226178244331562</v>
      </c>
      <c r="BN133" s="6">
        <f>IFERROR(AVERAGEIFS(RdTRABYVals!AF$2:AF$999,RdTRABYVals!$B$2:$B$999,"="&amp;$C133,RdTRABYVals!$C$2:$C$999,"="&amp;INS!$A133),"")</f>
        <v>0.226178244331562</v>
      </c>
      <c r="BO133" s="6">
        <f>IFERROR(AVERAGEIFS(RdTRABYVals!AG$2:AG$999,RdTRABYVals!$B$2:$B$999,"="&amp;$C133,RdTRABYVals!$C$2:$C$999,"="&amp;INS!$A133),"")</f>
        <v>0.226178244331562</v>
      </c>
      <c r="BP133" s="6">
        <f>IFERROR(AVERAGEIFS(RdTRABYVals!AH$2:AH$999,RdTRABYVals!$B$2:$B$999,"="&amp;$C133,RdTRABYVals!$C$2:$C$999,"="&amp;INS!$A133),"")</f>
        <v>0.226178244331562</v>
      </c>
      <c r="BQ133" s="6">
        <f>IFERROR(AVERAGEIFS(RdTRABYVals!AI$2:AI$999,RdTRABYVals!$B$2:$B$999,"="&amp;$C133,RdTRABYVals!$C$2:$C$999,"="&amp;INS!$A133),"")</f>
        <v>0.23657049838102201</v>
      </c>
      <c r="BR133" s="6">
        <f>IFERROR(AVERAGEIFS(RdTRABYVals!AJ$2:AJ$999,RdTRABYVals!$B$2:$B$999,"="&amp;$C133,RdTRABYVals!$C$2:$C$999,"="&amp;INS!$A133),"")</f>
        <v>0.226178244331562</v>
      </c>
      <c r="BS133" s="6">
        <f>IFERROR(AVERAGEIFS(RdTRABYVals!AK$2:AK$999,RdTRABYVals!$B$2:$B$999,"="&amp;$C133,RdTRABYVals!$C$2:$C$999,"="&amp;INS!$A133),"")</f>
        <v>0.226178244331562</v>
      </c>
      <c r="BT133" s="6">
        <f>IFERROR(AVERAGEIFS(RdTRABYVals!AL$2:AL$999,RdTRABYVals!$B$2:$B$999,"="&amp;$C133,RdTRABYVals!$C$2:$C$999,"="&amp;INS!$A133),"")</f>
        <v>0.226178244331562</v>
      </c>
      <c r="BU133" s="6">
        <f>IFERROR(AVERAGEIFS(RdTRABYVals!AM$2:AM$999,RdTRABYVals!$B$2:$B$999,"="&amp;$C133,RdTRABYVals!$C$2:$C$999,"="&amp;INS!$A133),"")</f>
        <v>0.192931910247019</v>
      </c>
      <c r="BV133" s="6">
        <f>IFERROR(AVERAGEIFS(RdTRABYVals!AN$2:AN$999,RdTRABYVals!$B$2:$B$999,"="&amp;$C133,RdTRABYVals!$C$2:$C$999,"="&amp;INS!$A133),"")</f>
        <v>0.226178244331562</v>
      </c>
      <c r="BW133" s="6">
        <f>IFERROR(AVERAGEIFS(RdTRABYVals!AO$2:AO$999,RdTRABYVals!$B$2:$B$999,"="&amp;$C133,RdTRABYVals!$C$2:$C$999,"="&amp;INS!$A133),"")</f>
        <v>0.21820368088498501</v>
      </c>
      <c r="BX133" s="6">
        <f>IFERROR(AVERAGEIFS(RdTRABYVals!AP$2:AP$999,RdTRABYVals!$B$2:$B$999,"="&amp;$C133,RdTRABYVals!$C$2:$C$999,"="&amp;INS!$A133),"")</f>
        <v>0.24202019834538499</v>
      </c>
      <c r="BY133" s="6">
        <f>IFERROR(AVERAGEIFS(RdTRABYVals!AQ$2:AQ$999,RdTRABYVals!$B$2:$B$999,"="&amp;$C133,RdTRABYVals!$C$2:$C$999,"="&amp;INS!$A133),"")</f>
        <v>0.226178244331562</v>
      </c>
      <c r="BZ133" s="6">
        <f>IFERROR(AVERAGEIFS(RdTRABYVals!AR$2:AR$999,RdTRABYVals!$B$2:$B$999,"="&amp;$C133,RdTRABYVals!$C$2:$C$999,"="&amp;INS!$A133),"")</f>
        <v>0.226178244331562</v>
      </c>
      <c r="CA133" s="6">
        <f>IFERROR(AVERAGEIFS(RdTRABYVals!AS$2:AS$999,RdTRABYVals!$B$2:$B$999,"="&amp;$C133,RdTRABYVals!$C$2:$C$999,"="&amp;INS!$A133),"")</f>
        <v>0.226178244331562</v>
      </c>
      <c r="CB133" s="6">
        <f>IFERROR(AVERAGEIFS(RdTRABYVals!AT$2:AT$999,RdTRABYVals!$B$2:$B$999,"="&amp;$C133,RdTRABYVals!$C$2:$C$999,"="&amp;INS!$A133),"")</f>
        <v>0.226178244331562</v>
      </c>
      <c r="CC133" s="6">
        <f>IFERROR(AVERAGEIFS(RdTRABYVals!AU$2:AU$999,RdTRABYVals!$B$2:$B$999,"="&amp;$C133,RdTRABYVals!$C$2:$C$999,"="&amp;INS!$A133),"")</f>
        <v>0.226178244331562</v>
      </c>
      <c r="CD133" s="6">
        <f>IFERROR(AVERAGEIFS(RdTRABYVals!AV$2:AV$999,RdTRABYVals!$B$2:$B$999,"="&amp;$C133,RdTRABYVals!$C$2:$C$999,"="&amp;INS!$A133),"")</f>
        <v>0.240386187326915</v>
      </c>
    </row>
    <row r="134" spans="1:82" ht="14.4">
      <c r="A134" s="3" t="s">
        <v>143</v>
      </c>
      <c r="C134" s="1" t="s">
        <v>29</v>
      </c>
      <c r="D134" t="s">
        <v>168</v>
      </c>
      <c r="F134" t="str">
        <f t="shared" si="31"/>
        <v>*0.231262852132941</v>
      </c>
      <c r="G134" t="str">
        <f t="shared" si="37"/>
        <v>*0.206720917116494</v>
      </c>
      <c r="H134" t="str">
        <f t="shared" si="38"/>
        <v>*0.230853068617818</v>
      </c>
      <c r="I134" t="str">
        <f t="shared" si="39"/>
        <v>*0.241210029642046</v>
      </c>
      <c r="J134" t="str">
        <f t="shared" si="40"/>
        <v>*0.22389667370098</v>
      </c>
      <c r="K134" t="str">
        <f t="shared" si="41"/>
        <v>*0.198438025786818</v>
      </c>
      <c r="L134" t="str">
        <f t="shared" si="42"/>
        <v>*0.22378876804671</v>
      </c>
      <c r="M134" t="str">
        <f t="shared" si="43"/>
        <v>*0.206290289052558</v>
      </c>
      <c r="N134" t="str">
        <f t="shared" si="44"/>
        <v>*0.234785934286788</v>
      </c>
      <c r="O134" t="str">
        <f t="shared" si="45"/>
        <v>*0.219073254668277</v>
      </c>
      <c r="P134" t="str">
        <f t="shared" si="46"/>
        <v>*0.253991932573673</v>
      </c>
      <c r="Q134" t="str">
        <f t="shared" si="47"/>
        <v>*0.26067792413552</v>
      </c>
      <c r="R134" t="str">
        <f t="shared" si="48"/>
        <v>*0.206720917116494</v>
      </c>
      <c r="S134" t="str">
        <f t="shared" si="49"/>
        <v>*0.255427972050333</v>
      </c>
      <c r="T134" t="str">
        <f t="shared" si="50"/>
        <v>*0.240916245751196</v>
      </c>
      <c r="U134" t="str">
        <f t="shared" si="51"/>
        <v>*0.238834836382566</v>
      </c>
      <c r="V134" t="str">
        <f t="shared" si="52"/>
        <v>*0.241210029642046</v>
      </c>
      <c r="W134" t="str">
        <f t="shared" si="53"/>
        <v>*0.255604985969833</v>
      </c>
      <c r="X134" t="str">
        <f t="shared" si="54"/>
        <v>*0.204213248102036</v>
      </c>
      <c r="Y134" t="str">
        <f t="shared" si="55"/>
        <v>*0.208249470350152</v>
      </c>
      <c r="Z134" t="str">
        <f t="shared" si="56"/>
        <v>*0.246580390963192</v>
      </c>
      <c r="AA134" t="str">
        <f t="shared" si="57"/>
        <v>*0.241210029642046</v>
      </c>
      <c r="AB134" t="str">
        <f t="shared" si="58"/>
        <v>*0.208861707868195</v>
      </c>
      <c r="AC134" t="str">
        <f t="shared" si="59"/>
        <v>*0.219925956692754</v>
      </c>
      <c r="AD134" t="str">
        <f t="shared" si="60"/>
        <v>*0.249666814442304</v>
      </c>
      <c r="AE134" t="str">
        <f t="shared" si="61"/>
        <v>*0.206720917116494</v>
      </c>
      <c r="AF134" t="str">
        <f t="shared" si="62"/>
        <v>*0.248865849380247</v>
      </c>
      <c r="AG134" t="str">
        <f t="shared" si="63"/>
        <v>*0.221238278896112</v>
      </c>
      <c r="AH134" t="str">
        <f t="shared" si="64"/>
        <v>*0.207834165073242</v>
      </c>
      <c r="AI134" t="str">
        <f t="shared" si="65"/>
        <v>*0.23488290223038</v>
      </c>
      <c r="AJ134" t="str">
        <f t="shared" si="66"/>
        <v>*0.229635115823821</v>
      </c>
      <c r="AK134" t="str">
        <f t="shared" si="67"/>
        <v>*0.257445713795368</v>
      </c>
      <c r="AL134" t="str">
        <f t="shared" si="68"/>
        <v>*0.218901913564027</v>
      </c>
      <c r="AM134" t="str">
        <f t="shared" si="69"/>
        <v>*0.241210029642046</v>
      </c>
      <c r="AN134" t="str">
        <f t="shared" si="33"/>
        <v>*0.244886187693852</v>
      </c>
      <c r="AO134" t="str">
        <f t="shared" si="34"/>
        <v>*0.232706519460248</v>
      </c>
      <c r="AP134" t="str">
        <f t="shared" si="35"/>
        <v>*0.240308292293256</v>
      </c>
      <c r="AQ134" t="str">
        <f t="shared" si="36"/>
        <v>*0.254940221348877</v>
      </c>
      <c r="AS134" s="6">
        <f>AVERAGE(AT134:CD134)</f>
        <v>0.23126285213294054</v>
      </c>
      <c r="AT134" s="6">
        <f>IFERROR(AVERAGEIFS(RdTRABYVals!L$2:L$999,RdTRABYVals!$B$2:$B$999,"="&amp;$C134,RdTRABYVals!$C$2:$C$999,"="&amp;INS!$A134),"")</f>
        <v>0.20672091711649401</v>
      </c>
      <c r="AU134" s="6">
        <f>IFERROR(AVERAGEIFS(RdTRABYVals!M$2:M$999,RdTRABYVals!$B$2:$B$999,"="&amp;$C134,RdTRABYVals!$C$2:$C$999,"="&amp;INS!$A134),"")</f>
        <v>0.23085306861781801</v>
      </c>
      <c r="AV134" s="6">
        <f>IFERROR(AVERAGEIFS(RdTRABYVals!N$2:N$999,RdTRABYVals!$B$2:$B$999,"="&amp;$C134,RdTRABYVals!$C$2:$C$999,"="&amp;INS!$A134),"")</f>
        <v>0.24121002964204599</v>
      </c>
      <c r="AW134" s="6">
        <f>IFERROR(AVERAGEIFS(RdTRABYVals!O$2:O$999,RdTRABYVals!$B$2:$B$999,"="&amp;$C134,RdTRABYVals!$C$2:$C$999,"="&amp;INS!$A134),"")</f>
        <v>0.22389667370097999</v>
      </c>
      <c r="AX134" s="6">
        <f>IFERROR(AVERAGEIFS(RdTRABYVals!P$2:P$999,RdTRABYVals!$B$2:$B$999,"="&amp;$C134,RdTRABYVals!$C$2:$C$999,"="&amp;INS!$A134),"")</f>
        <v>0.19843802578681799</v>
      </c>
      <c r="AY134" s="6">
        <f>IFERROR(AVERAGEIFS(RdTRABYVals!Q$2:Q$999,RdTRABYVals!$B$2:$B$999,"="&amp;$C134,RdTRABYVals!$C$2:$C$999,"="&amp;INS!$A134),"")</f>
        <v>0.22378876804671</v>
      </c>
      <c r="AZ134" s="6">
        <f>IFERROR(AVERAGEIFS(RdTRABYVals!R$2:R$999,RdTRABYVals!$B$2:$B$999,"="&amp;$C134,RdTRABYVals!$C$2:$C$999,"="&amp;INS!$A134),"")</f>
        <v>0.206290289052558</v>
      </c>
      <c r="BA134" s="6">
        <f>IFERROR(AVERAGEIFS(RdTRABYVals!S$2:S$999,RdTRABYVals!$B$2:$B$999,"="&amp;$C134,RdTRABYVals!$C$2:$C$999,"="&amp;INS!$A134),"")</f>
        <v>0.23478593428678801</v>
      </c>
      <c r="BB134" s="6">
        <f>IFERROR(AVERAGEIFS(RdTRABYVals!T$2:T$999,RdTRABYVals!$B$2:$B$999,"="&amp;$C134,RdTRABYVals!$C$2:$C$999,"="&amp;INS!$A134),"")</f>
        <v>0.21907325466827701</v>
      </c>
      <c r="BC134" s="6">
        <f>IFERROR(AVERAGEIFS(RdTRABYVals!U$2:U$999,RdTRABYVals!$B$2:$B$999,"="&amp;$C134,RdTRABYVals!$C$2:$C$999,"="&amp;INS!$A134),"")</f>
        <v>0.25399193257367297</v>
      </c>
      <c r="BD134" s="6">
        <f>IFERROR(AVERAGEIFS(RdTRABYVals!V$2:V$999,RdTRABYVals!$B$2:$B$999,"="&amp;$C134,RdTRABYVals!$C$2:$C$999,"="&amp;INS!$A134),"")</f>
        <v>0.26067792413551999</v>
      </c>
      <c r="BE134" s="6">
        <f>IFERROR(AVERAGEIFS(RdTRABYVals!W$2:W$999,RdTRABYVals!$B$2:$B$999,"="&amp;$C134,RdTRABYVals!$C$2:$C$999,"="&amp;INS!$A134),"")</f>
        <v>0.20672091711649401</v>
      </c>
      <c r="BF134" s="6">
        <f>IFERROR(AVERAGEIFS(RdTRABYVals!X$2:X$999,RdTRABYVals!$B$2:$B$999,"="&amp;$C134,RdTRABYVals!$C$2:$C$999,"="&amp;INS!$A134),"")</f>
        <v>0.25542797205033302</v>
      </c>
      <c r="BG134" s="6">
        <f>IFERROR(AVERAGEIFS(RdTRABYVals!Y$2:Y$999,RdTRABYVals!$B$2:$B$999,"="&amp;$C134,RdTRABYVals!$C$2:$C$999,"="&amp;INS!$A134),"")</f>
        <v>0.240916245751196</v>
      </c>
      <c r="BH134" s="6">
        <f>IFERROR(AVERAGEIFS(RdTRABYVals!Z$2:Z$999,RdTRABYVals!$B$2:$B$999,"="&amp;$C134,RdTRABYVals!$C$2:$C$999,"="&amp;INS!$A134),"")</f>
        <v>0.238834836382566</v>
      </c>
      <c r="BI134" s="6">
        <f>IFERROR(AVERAGEIFS(RdTRABYVals!AA$2:AA$999,RdTRABYVals!$B$2:$B$999,"="&amp;$C134,RdTRABYVals!$C$2:$C$999,"="&amp;INS!$A134),"")</f>
        <v>0.24121002964204599</v>
      </c>
      <c r="BJ134" s="6">
        <f>IFERROR(AVERAGEIFS(RdTRABYVals!AB$2:AB$999,RdTRABYVals!$B$2:$B$999,"="&amp;$C134,RdTRABYVals!$C$2:$C$999,"="&amp;INS!$A134),"")</f>
        <v>0.255604985969833</v>
      </c>
      <c r="BK134" s="6">
        <f>IFERROR(AVERAGEIFS(RdTRABYVals!AC$2:AC$999,RdTRABYVals!$B$2:$B$999,"="&amp;$C134,RdTRABYVals!$C$2:$C$999,"="&amp;INS!$A134),"")</f>
        <v>0.204213248102036</v>
      </c>
      <c r="BL134" s="6">
        <f>IFERROR(AVERAGEIFS(RdTRABYVals!AD$2:AD$999,RdTRABYVals!$B$2:$B$999,"="&amp;$C134,RdTRABYVals!$C$2:$C$999,"="&amp;INS!$A134),"")</f>
        <v>0.20824947035015201</v>
      </c>
      <c r="BM134" s="6">
        <f>IFERROR(AVERAGEIFS(RdTRABYVals!AE$2:AE$999,RdTRABYVals!$B$2:$B$999,"="&amp;$C134,RdTRABYVals!$C$2:$C$999,"="&amp;INS!$A134),"")</f>
        <v>0.24658039096319201</v>
      </c>
      <c r="BN134" s="6">
        <f>IFERROR(AVERAGEIFS(RdTRABYVals!AF$2:AF$999,RdTRABYVals!$B$2:$B$999,"="&amp;$C134,RdTRABYVals!$C$2:$C$999,"="&amp;INS!$A134),"")</f>
        <v>0.24121002964204599</v>
      </c>
      <c r="BO134" s="6">
        <f>IFERROR(AVERAGEIFS(RdTRABYVals!AG$2:AG$999,RdTRABYVals!$B$2:$B$999,"="&amp;$C134,RdTRABYVals!$C$2:$C$999,"="&amp;INS!$A134),"")</f>
        <v>0.208861707868195</v>
      </c>
      <c r="BP134" s="6">
        <f>IFERROR(AVERAGEIFS(RdTRABYVals!AH$2:AH$999,RdTRABYVals!$B$2:$B$999,"="&amp;$C134,RdTRABYVals!$C$2:$C$999,"="&amp;INS!$A134),"")</f>
        <v>0.219925956692754</v>
      </c>
      <c r="BQ134" s="6">
        <f>IFERROR(AVERAGEIFS(RdTRABYVals!AI$2:AI$999,RdTRABYVals!$B$2:$B$999,"="&amp;$C134,RdTRABYVals!$C$2:$C$999,"="&amp;INS!$A134),"")</f>
        <v>0.24966681444230401</v>
      </c>
      <c r="BR134" s="6">
        <f>IFERROR(AVERAGEIFS(RdTRABYVals!AJ$2:AJ$999,RdTRABYVals!$B$2:$B$999,"="&amp;$C134,RdTRABYVals!$C$2:$C$999,"="&amp;INS!$A134),"")</f>
        <v>0.20672091711649401</v>
      </c>
      <c r="BS134" s="6">
        <f>IFERROR(AVERAGEIFS(RdTRABYVals!AK$2:AK$999,RdTRABYVals!$B$2:$B$999,"="&amp;$C134,RdTRABYVals!$C$2:$C$999,"="&amp;INS!$A134),"")</f>
        <v>0.248865849380247</v>
      </c>
      <c r="BT134" s="6">
        <f>IFERROR(AVERAGEIFS(RdTRABYVals!AL$2:AL$999,RdTRABYVals!$B$2:$B$999,"="&amp;$C134,RdTRABYVals!$C$2:$C$999,"="&amp;INS!$A134),"")</f>
        <v>0.221238278896112</v>
      </c>
      <c r="BU134" s="6">
        <f>IFERROR(AVERAGEIFS(RdTRABYVals!AM$2:AM$999,RdTRABYVals!$B$2:$B$999,"="&amp;$C134,RdTRABYVals!$C$2:$C$999,"="&amp;INS!$A134),"")</f>
        <v>0.20783416507324201</v>
      </c>
      <c r="BV134" s="6">
        <f>IFERROR(AVERAGEIFS(RdTRABYVals!AN$2:AN$999,RdTRABYVals!$B$2:$B$999,"="&amp;$C134,RdTRABYVals!$C$2:$C$999,"="&amp;INS!$A134),"")</f>
        <v>0.23488290223038</v>
      </c>
      <c r="BW134" s="6">
        <f>IFERROR(AVERAGEIFS(RdTRABYVals!AO$2:AO$999,RdTRABYVals!$B$2:$B$999,"="&amp;$C134,RdTRABYVals!$C$2:$C$999,"="&amp;INS!$A134),"")</f>
        <v>0.22963511582382101</v>
      </c>
      <c r="BX134" s="6">
        <f>IFERROR(AVERAGEIFS(RdTRABYVals!AP$2:AP$999,RdTRABYVals!$B$2:$B$999,"="&amp;$C134,RdTRABYVals!$C$2:$C$999,"="&amp;INS!$A134),"")</f>
        <v>0.25744571379536801</v>
      </c>
      <c r="BY134" s="6">
        <f>IFERROR(AVERAGEIFS(RdTRABYVals!AQ$2:AQ$999,RdTRABYVals!$B$2:$B$999,"="&amp;$C134,RdTRABYVals!$C$2:$C$999,"="&amp;INS!$A134),"")</f>
        <v>0.218901913564027</v>
      </c>
      <c r="BZ134" s="6">
        <f>IFERROR(AVERAGEIFS(RdTRABYVals!AR$2:AR$999,RdTRABYVals!$B$2:$B$999,"="&amp;$C134,RdTRABYVals!$C$2:$C$999,"="&amp;INS!$A134),"")</f>
        <v>0.24121002964204599</v>
      </c>
      <c r="CA134" s="6">
        <f>IFERROR(AVERAGEIFS(RdTRABYVals!AS$2:AS$999,RdTRABYVals!$B$2:$B$999,"="&amp;$C134,RdTRABYVals!$C$2:$C$999,"="&amp;INS!$A134),"")</f>
        <v>0.24488618769385201</v>
      </c>
      <c r="CB134" s="6">
        <f>IFERROR(AVERAGEIFS(RdTRABYVals!AT$2:AT$999,RdTRABYVals!$B$2:$B$999,"="&amp;$C134,RdTRABYVals!$C$2:$C$999,"="&amp;INS!$A134),"")</f>
        <v>0.23270651946024801</v>
      </c>
      <c r="CC134" s="6">
        <f>IFERROR(AVERAGEIFS(RdTRABYVals!AU$2:AU$999,RdTRABYVals!$B$2:$B$999,"="&amp;$C134,RdTRABYVals!$C$2:$C$999,"="&amp;INS!$A134),"")</f>
        <v>0.24030829229325601</v>
      </c>
      <c r="CD134" s="6">
        <f>IFERROR(AVERAGEIFS(RdTRABYVals!AV$2:AV$999,RdTRABYVals!$B$2:$B$999,"="&amp;$C134,RdTRABYVals!$C$2:$C$999,"="&amp;INS!$A134),"")</f>
        <v>0.25494022134887701</v>
      </c>
    </row>
    <row r="135" spans="1:82" ht="14.4">
      <c r="A135" s="3" t="s">
        <v>143</v>
      </c>
      <c r="C135" s="1" t="s">
        <v>29</v>
      </c>
      <c r="D135" t="s">
        <v>169</v>
      </c>
      <c r="F135" t="str">
        <f t="shared" si="31"/>
        <v>*0.231262852132941</v>
      </c>
      <c r="G135" t="str">
        <f t="shared" si="37"/>
        <v>*0.206720917116494</v>
      </c>
      <c r="H135" t="str">
        <f t="shared" si="38"/>
        <v>*0.230853068617818</v>
      </c>
      <c r="I135" t="str">
        <f t="shared" si="39"/>
        <v>*0.241210029642046</v>
      </c>
      <c r="J135" t="str">
        <f t="shared" si="40"/>
        <v>*0.22389667370098</v>
      </c>
      <c r="K135" t="str">
        <f t="shared" si="41"/>
        <v>*0.198438025786818</v>
      </c>
      <c r="L135" t="str">
        <f t="shared" si="42"/>
        <v>*0.22378876804671</v>
      </c>
      <c r="M135" t="str">
        <f t="shared" si="43"/>
        <v>*0.206290289052558</v>
      </c>
      <c r="N135" t="str">
        <f t="shared" si="44"/>
        <v>*0.234785934286788</v>
      </c>
      <c r="O135" t="str">
        <f t="shared" si="45"/>
        <v>*0.219073254668277</v>
      </c>
      <c r="P135" t="str">
        <f t="shared" si="46"/>
        <v>*0.253991932573673</v>
      </c>
      <c r="Q135" t="str">
        <f t="shared" si="47"/>
        <v>*0.26067792413552</v>
      </c>
      <c r="R135" t="str">
        <f t="shared" si="48"/>
        <v>*0.206720917116494</v>
      </c>
      <c r="S135" t="str">
        <f t="shared" si="49"/>
        <v>*0.255427972050333</v>
      </c>
      <c r="T135" t="str">
        <f t="shared" si="50"/>
        <v>*0.240916245751196</v>
      </c>
      <c r="U135" t="str">
        <f t="shared" si="51"/>
        <v>*0.238834836382566</v>
      </c>
      <c r="V135" t="str">
        <f t="shared" si="52"/>
        <v>*0.241210029642046</v>
      </c>
      <c r="W135" t="str">
        <f t="shared" si="53"/>
        <v>*0.255604985969833</v>
      </c>
      <c r="X135" t="str">
        <f t="shared" si="54"/>
        <v>*0.204213248102036</v>
      </c>
      <c r="Y135" t="str">
        <f t="shared" si="55"/>
        <v>*0.208249470350152</v>
      </c>
      <c r="Z135" t="str">
        <f t="shared" si="56"/>
        <v>*0.246580390963192</v>
      </c>
      <c r="AA135" t="str">
        <f t="shared" si="57"/>
        <v>*0.241210029642046</v>
      </c>
      <c r="AB135" t="str">
        <f t="shared" si="58"/>
        <v>*0.208861707868195</v>
      </c>
      <c r="AC135" t="str">
        <f t="shared" si="59"/>
        <v>*0.219925956692754</v>
      </c>
      <c r="AD135" t="str">
        <f t="shared" si="60"/>
        <v>*0.249666814442304</v>
      </c>
      <c r="AE135" t="str">
        <f t="shared" si="61"/>
        <v>*0.206720917116494</v>
      </c>
      <c r="AF135" t="str">
        <f t="shared" si="62"/>
        <v>*0.248865849380247</v>
      </c>
      <c r="AG135" t="str">
        <f t="shared" si="63"/>
        <v>*0.221238278896112</v>
      </c>
      <c r="AH135" t="str">
        <f t="shared" si="64"/>
        <v>*0.207834165073242</v>
      </c>
      <c r="AI135" t="str">
        <f t="shared" si="65"/>
        <v>*0.23488290223038</v>
      </c>
      <c r="AJ135" t="str">
        <f t="shared" si="66"/>
        <v>*0.229635115823821</v>
      </c>
      <c r="AK135" t="str">
        <f t="shared" si="67"/>
        <v>*0.257445713795368</v>
      </c>
      <c r="AL135" t="str">
        <f t="shared" si="68"/>
        <v>*0.218901913564027</v>
      </c>
      <c r="AM135" t="str">
        <f t="shared" si="69"/>
        <v>*0.241210029642046</v>
      </c>
      <c r="AN135" t="str">
        <f t="shared" si="33"/>
        <v>*0.244886187693852</v>
      </c>
      <c r="AO135" t="str">
        <f t="shared" si="34"/>
        <v>*0.232706519460248</v>
      </c>
      <c r="AP135" t="str">
        <f t="shared" si="35"/>
        <v>*0.240308292293256</v>
      </c>
      <c r="AQ135" t="str">
        <f t="shared" si="36"/>
        <v>*0.254940221348877</v>
      </c>
      <c r="AS135" s="6">
        <f>AVERAGE(AT135:CD135)</f>
        <v>0.23126285213294054</v>
      </c>
      <c r="AT135" s="6">
        <f>IFERROR(AVERAGEIFS(RdTRABYVals!L$2:L$999,RdTRABYVals!$B$2:$B$999,"="&amp;$C135,RdTRABYVals!$C$2:$C$999,"="&amp;INS!$A135),"")</f>
        <v>0.20672091711649401</v>
      </c>
      <c r="AU135" s="6">
        <f>IFERROR(AVERAGEIFS(RdTRABYVals!M$2:M$999,RdTRABYVals!$B$2:$B$999,"="&amp;$C135,RdTRABYVals!$C$2:$C$999,"="&amp;INS!$A135),"")</f>
        <v>0.23085306861781801</v>
      </c>
      <c r="AV135" s="6">
        <f>IFERROR(AVERAGEIFS(RdTRABYVals!N$2:N$999,RdTRABYVals!$B$2:$B$999,"="&amp;$C135,RdTRABYVals!$C$2:$C$999,"="&amp;INS!$A135),"")</f>
        <v>0.24121002964204599</v>
      </c>
      <c r="AW135" s="6">
        <f>IFERROR(AVERAGEIFS(RdTRABYVals!O$2:O$999,RdTRABYVals!$B$2:$B$999,"="&amp;$C135,RdTRABYVals!$C$2:$C$999,"="&amp;INS!$A135),"")</f>
        <v>0.22389667370097999</v>
      </c>
      <c r="AX135" s="6">
        <f>IFERROR(AVERAGEIFS(RdTRABYVals!P$2:P$999,RdTRABYVals!$B$2:$B$999,"="&amp;$C135,RdTRABYVals!$C$2:$C$999,"="&amp;INS!$A135),"")</f>
        <v>0.19843802578681799</v>
      </c>
      <c r="AY135" s="6">
        <f>IFERROR(AVERAGEIFS(RdTRABYVals!Q$2:Q$999,RdTRABYVals!$B$2:$B$999,"="&amp;$C135,RdTRABYVals!$C$2:$C$999,"="&amp;INS!$A135),"")</f>
        <v>0.22378876804671</v>
      </c>
      <c r="AZ135" s="6">
        <f>IFERROR(AVERAGEIFS(RdTRABYVals!R$2:R$999,RdTRABYVals!$B$2:$B$999,"="&amp;$C135,RdTRABYVals!$C$2:$C$999,"="&amp;INS!$A135),"")</f>
        <v>0.206290289052558</v>
      </c>
      <c r="BA135" s="6">
        <f>IFERROR(AVERAGEIFS(RdTRABYVals!S$2:S$999,RdTRABYVals!$B$2:$B$999,"="&amp;$C135,RdTRABYVals!$C$2:$C$999,"="&amp;INS!$A135),"")</f>
        <v>0.23478593428678801</v>
      </c>
      <c r="BB135" s="6">
        <f>IFERROR(AVERAGEIFS(RdTRABYVals!T$2:T$999,RdTRABYVals!$B$2:$B$999,"="&amp;$C135,RdTRABYVals!$C$2:$C$999,"="&amp;INS!$A135),"")</f>
        <v>0.21907325466827701</v>
      </c>
      <c r="BC135" s="6">
        <f>IFERROR(AVERAGEIFS(RdTRABYVals!U$2:U$999,RdTRABYVals!$B$2:$B$999,"="&amp;$C135,RdTRABYVals!$C$2:$C$999,"="&amp;INS!$A135),"")</f>
        <v>0.25399193257367297</v>
      </c>
      <c r="BD135" s="6">
        <f>IFERROR(AVERAGEIFS(RdTRABYVals!V$2:V$999,RdTRABYVals!$B$2:$B$999,"="&amp;$C135,RdTRABYVals!$C$2:$C$999,"="&amp;INS!$A135),"")</f>
        <v>0.26067792413551999</v>
      </c>
      <c r="BE135" s="6">
        <f>IFERROR(AVERAGEIFS(RdTRABYVals!W$2:W$999,RdTRABYVals!$B$2:$B$999,"="&amp;$C135,RdTRABYVals!$C$2:$C$999,"="&amp;INS!$A135),"")</f>
        <v>0.20672091711649401</v>
      </c>
      <c r="BF135" s="6">
        <f>IFERROR(AVERAGEIFS(RdTRABYVals!X$2:X$999,RdTRABYVals!$B$2:$B$999,"="&amp;$C135,RdTRABYVals!$C$2:$C$999,"="&amp;INS!$A135),"")</f>
        <v>0.25542797205033302</v>
      </c>
      <c r="BG135" s="6">
        <f>IFERROR(AVERAGEIFS(RdTRABYVals!Y$2:Y$999,RdTRABYVals!$B$2:$B$999,"="&amp;$C135,RdTRABYVals!$C$2:$C$999,"="&amp;INS!$A135),"")</f>
        <v>0.240916245751196</v>
      </c>
      <c r="BH135" s="6">
        <f>IFERROR(AVERAGEIFS(RdTRABYVals!Z$2:Z$999,RdTRABYVals!$B$2:$B$999,"="&amp;$C135,RdTRABYVals!$C$2:$C$999,"="&amp;INS!$A135),"")</f>
        <v>0.238834836382566</v>
      </c>
      <c r="BI135" s="6">
        <f>IFERROR(AVERAGEIFS(RdTRABYVals!AA$2:AA$999,RdTRABYVals!$B$2:$B$999,"="&amp;$C135,RdTRABYVals!$C$2:$C$999,"="&amp;INS!$A135),"")</f>
        <v>0.24121002964204599</v>
      </c>
      <c r="BJ135" s="6">
        <f>IFERROR(AVERAGEIFS(RdTRABYVals!AB$2:AB$999,RdTRABYVals!$B$2:$B$999,"="&amp;$C135,RdTRABYVals!$C$2:$C$999,"="&amp;INS!$A135),"")</f>
        <v>0.255604985969833</v>
      </c>
      <c r="BK135" s="6">
        <f>IFERROR(AVERAGEIFS(RdTRABYVals!AC$2:AC$999,RdTRABYVals!$B$2:$B$999,"="&amp;$C135,RdTRABYVals!$C$2:$C$999,"="&amp;INS!$A135),"")</f>
        <v>0.204213248102036</v>
      </c>
      <c r="BL135" s="6">
        <f>IFERROR(AVERAGEIFS(RdTRABYVals!AD$2:AD$999,RdTRABYVals!$B$2:$B$999,"="&amp;$C135,RdTRABYVals!$C$2:$C$999,"="&amp;INS!$A135),"")</f>
        <v>0.20824947035015201</v>
      </c>
      <c r="BM135" s="6">
        <f>IFERROR(AVERAGEIFS(RdTRABYVals!AE$2:AE$999,RdTRABYVals!$B$2:$B$999,"="&amp;$C135,RdTRABYVals!$C$2:$C$999,"="&amp;INS!$A135),"")</f>
        <v>0.24658039096319201</v>
      </c>
      <c r="BN135" s="6">
        <f>IFERROR(AVERAGEIFS(RdTRABYVals!AF$2:AF$999,RdTRABYVals!$B$2:$B$999,"="&amp;$C135,RdTRABYVals!$C$2:$C$999,"="&amp;INS!$A135),"")</f>
        <v>0.24121002964204599</v>
      </c>
      <c r="BO135" s="6">
        <f>IFERROR(AVERAGEIFS(RdTRABYVals!AG$2:AG$999,RdTRABYVals!$B$2:$B$999,"="&amp;$C135,RdTRABYVals!$C$2:$C$999,"="&amp;INS!$A135),"")</f>
        <v>0.208861707868195</v>
      </c>
      <c r="BP135" s="6">
        <f>IFERROR(AVERAGEIFS(RdTRABYVals!AH$2:AH$999,RdTRABYVals!$B$2:$B$999,"="&amp;$C135,RdTRABYVals!$C$2:$C$999,"="&amp;INS!$A135),"")</f>
        <v>0.219925956692754</v>
      </c>
      <c r="BQ135" s="6">
        <f>IFERROR(AVERAGEIFS(RdTRABYVals!AI$2:AI$999,RdTRABYVals!$B$2:$B$999,"="&amp;$C135,RdTRABYVals!$C$2:$C$999,"="&amp;INS!$A135),"")</f>
        <v>0.24966681444230401</v>
      </c>
      <c r="BR135" s="6">
        <f>IFERROR(AVERAGEIFS(RdTRABYVals!AJ$2:AJ$999,RdTRABYVals!$B$2:$B$999,"="&amp;$C135,RdTRABYVals!$C$2:$C$999,"="&amp;INS!$A135),"")</f>
        <v>0.20672091711649401</v>
      </c>
      <c r="BS135" s="6">
        <f>IFERROR(AVERAGEIFS(RdTRABYVals!AK$2:AK$999,RdTRABYVals!$B$2:$B$999,"="&amp;$C135,RdTRABYVals!$C$2:$C$999,"="&amp;INS!$A135),"")</f>
        <v>0.248865849380247</v>
      </c>
      <c r="BT135" s="6">
        <f>IFERROR(AVERAGEIFS(RdTRABYVals!AL$2:AL$999,RdTRABYVals!$B$2:$B$999,"="&amp;$C135,RdTRABYVals!$C$2:$C$999,"="&amp;INS!$A135),"")</f>
        <v>0.221238278896112</v>
      </c>
      <c r="BU135" s="6">
        <f>IFERROR(AVERAGEIFS(RdTRABYVals!AM$2:AM$999,RdTRABYVals!$B$2:$B$999,"="&amp;$C135,RdTRABYVals!$C$2:$C$999,"="&amp;INS!$A135),"")</f>
        <v>0.20783416507324201</v>
      </c>
      <c r="BV135" s="6">
        <f>IFERROR(AVERAGEIFS(RdTRABYVals!AN$2:AN$999,RdTRABYVals!$B$2:$B$999,"="&amp;$C135,RdTRABYVals!$C$2:$C$999,"="&amp;INS!$A135),"")</f>
        <v>0.23488290223038</v>
      </c>
      <c r="BW135" s="6">
        <f>IFERROR(AVERAGEIFS(RdTRABYVals!AO$2:AO$999,RdTRABYVals!$B$2:$B$999,"="&amp;$C135,RdTRABYVals!$C$2:$C$999,"="&amp;INS!$A135),"")</f>
        <v>0.22963511582382101</v>
      </c>
      <c r="BX135" s="6">
        <f>IFERROR(AVERAGEIFS(RdTRABYVals!AP$2:AP$999,RdTRABYVals!$B$2:$B$999,"="&amp;$C135,RdTRABYVals!$C$2:$C$999,"="&amp;INS!$A135),"")</f>
        <v>0.25744571379536801</v>
      </c>
      <c r="BY135" s="6">
        <f>IFERROR(AVERAGEIFS(RdTRABYVals!AQ$2:AQ$999,RdTRABYVals!$B$2:$B$999,"="&amp;$C135,RdTRABYVals!$C$2:$C$999,"="&amp;INS!$A135),"")</f>
        <v>0.218901913564027</v>
      </c>
      <c r="BZ135" s="6">
        <f>IFERROR(AVERAGEIFS(RdTRABYVals!AR$2:AR$999,RdTRABYVals!$B$2:$B$999,"="&amp;$C135,RdTRABYVals!$C$2:$C$999,"="&amp;INS!$A135),"")</f>
        <v>0.24121002964204599</v>
      </c>
      <c r="CA135" s="6">
        <f>IFERROR(AVERAGEIFS(RdTRABYVals!AS$2:AS$999,RdTRABYVals!$B$2:$B$999,"="&amp;$C135,RdTRABYVals!$C$2:$C$999,"="&amp;INS!$A135),"")</f>
        <v>0.24488618769385201</v>
      </c>
      <c r="CB135" s="6">
        <f>IFERROR(AVERAGEIFS(RdTRABYVals!AT$2:AT$999,RdTRABYVals!$B$2:$B$999,"="&amp;$C135,RdTRABYVals!$C$2:$C$999,"="&amp;INS!$A135),"")</f>
        <v>0.23270651946024801</v>
      </c>
      <c r="CC135" s="6">
        <f>IFERROR(AVERAGEIFS(RdTRABYVals!AU$2:AU$999,RdTRABYVals!$B$2:$B$999,"="&amp;$C135,RdTRABYVals!$C$2:$C$999,"="&amp;INS!$A135),"")</f>
        <v>0.24030829229325601</v>
      </c>
      <c r="CD135" s="6">
        <f>IFERROR(AVERAGEIFS(RdTRABYVals!AV$2:AV$999,RdTRABYVals!$B$2:$B$999,"="&amp;$C135,RdTRABYVals!$C$2:$C$999,"="&amp;INS!$A135),"")</f>
        <v>0.25494022134887701</v>
      </c>
    </row>
    <row r="136" spans="1:82" ht="14.4">
      <c r="A136" s="3" t="s">
        <v>143</v>
      </c>
      <c r="C136" s="1" t="s">
        <v>29</v>
      </c>
      <c r="D136" t="s">
        <v>170</v>
      </c>
      <c r="F136" t="str">
        <f t="shared" si="31"/>
        <v>*0.231262852132941</v>
      </c>
      <c r="G136" t="str">
        <f t="shared" si="37"/>
        <v>*0.206720917116494</v>
      </c>
      <c r="H136" t="str">
        <f t="shared" si="38"/>
        <v>*0.230853068617818</v>
      </c>
      <c r="I136" t="str">
        <f t="shared" si="39"/>
        <v>*0.241210029642046</v>
      </c>
      <c r="J136" t="str">
        <f t="shared" si="40"/>
        <v>*0.22389667370098</v>
      </c>
      <c r="K136" t="str">
        <f t="shared" si="41"/>
        <v>*0.198438025786818</v>
      </c>
      <c r="L136" t="str">
        <f t="shared" si="42"/>
        <v>*0.22378876804671</v>
      </c>
      <c r="M136" t="str">
        <f t="shared" si="43"/>
        <v>*0.206290289052558</v>
      </c>
      <c r="N136" t="str">
        <f t="shared" si="44"/>
        <v>*0.234785934286788</v>
      </c>
      <c r="O136" t="str">
        <f t="shared" si="45"/>
        <v>*0.219073254668277</v>
      </c>
      <c r="P136" t="str">
        <f t="shared" si="46"/>
        <v>*0.253991932573673</v>
      </c>
      <c r="Q136" t="str">
        <f t="shared" si="47"/>
        <v>*0.26067792413552</v>
      </c>
      <c r="R136" t="str">
        <f t="shared" si="48"/>
        <v>*0.206720917116494</v>
      </c>
      <c r="S136" t="str">
        <f t="shared" si="49"/>
        <v>*0.255427972050333</v>
      </c>
      <c r="T136" t="str">
        <f t="shared" si="50"/>
        <v>*0.240916245751196</v>
      </c>
      <c r="U136" t="str">
        <f t="shared" si="51"/>
        <v>*0.238834836382566</v>
      </c>
      <c r="V136" t="str">
        <f t="shared" si="52"/>
        <v>*0.241210029642046</v>
      </c>
      <c r="W136" t="str">
        <f t="shared" si="53"/>
        <v>*0.255604985969833</v>
      </c>
      <c r="X136" t="str">
        <f t="shared" si="54"/>
        <v>*0.204213248102036</v>
      </c>
      <c r="Y136" t="str">
        <f t="shared" si="55"/>
        <v>*0.208249470350152</v>
      </c>
      <c r="Z136" t="str">
        <f t="shared" si="56"/>
        <v>*0.246580390963192</v>
      </c>
      <c r="AA136" t="str">
        <f t="shared" si="57"/>
        <v>*0.241210029642046</v>
      </c>
      <c r="AB136" t="str">
        <f t="shared" si="58"/>
        <v>*0.208861707868195</v>
      </c>
      <c r="AC136" t="str">
        <f t="shared" si="59"/>
        <v>*0.219925956692754</v>
      </c>
      <c r="AD136" t="str">
        <f t="shared" si="60"/>
        <v>*0.249666814442304</v>
      </c>
      <c r="AE136" t="str">
        <f t="shared" si="61"/>
        <v>*0.206720917116494</v>
      </c>
      <c r="AF136" t="str">
        <f t="shared" si="62"/>
        <v>*0.248865849380247</v>
      </c>
      <c r="AG136" t="str">
        <f t="shared" si="63"/>
        <v>*0.221238278896112</v>
      </c>
      <c r="AH136" t="str">
        <f t="shared" si="64"/>
        <v>*0.207834165073242</v>
      </c>
      <c r="AI136" t="str">
        <f t="shared" si="65"/>
        <v>*0.23488290223038</v>
      </c>
      <c r="AJ136" t="str">
        <f t="shared" si="66"/>
        <v>*0.229635115823821</v>
      </c>
      <c r="AK136" t="str">
        <f t="shared" si="67"/>
        <v>*0.257445713795368</v>
      </c>
      <c r="AL136" t="str">
        <f t="shared" si="68"/>
        <v>*0.218901913564027</v>
      </c>
      <c r="AM136" t="str">
        <f t="shared" si="69"/>
        <v>*0.241210029642046</v>
      </c>
      <c r="AN136" t="str">
        <f t="shared" si="33"/>
        <v>*0.244886187693852</v>
      </c>
      <c r="AO136" t="str">
        <f t="shared" si="34"/>
        <v>*0.232706519460248</v>
      </c>
      <c r="AP136" t="str">
        <f t="shared" si="35"/>
        <v>*0.240308292293256</v>
      </c>
      <c r="AQ136" t="str">
        <f t="shared" si="36"/>
        <v>*0.254940221348877</v>
      </c>
      <c r="AS136" s="6">
        <f>AVERAGE(AT136:CD136)</f>
        <v>0.23126285213294054</v>
      </c>
      <c r="AT136" s="6">
        <f>IFERROR(AVERAGEIFS(RdTRABYVals!L$2:L$999,RdTRABYVals!$B$2:$B$999,"="&amp;$C136,RdTRABYVals!$C$2:$C$999,"="&amp;INS!$A136),"")</f>
        <v>0.20672091711649401</v>
      </c>
      <c r="AU136" s="6">
        <f>IFERROR(AVERAGEIFS(RdTRABYVals!M$2:M$999,RdTRABYVals!$B$2:$B$999,"="&amp;$C136,RdTRABYVals!$C$2:$C$999,"="&amp;INS!$A136),"")</f>
        <v>0.23085306861781801</v>
      </c>
      <c r="AV136" s="6">
        <f>IFERROR(AVERAGEIFS(RdTRABYVals!N$2:N$999,RdTRABYVals!$B$2:$B$999,"="&amp;$C136,RdTRABYVals!$C$2:$C$999,"="&amp;INS!$A136),"")</f>
        <v>0.24121002964204599</v>
      </c>
      <c r="AW136" s="6">
        <f>IFERROR(AVERAGEIFS(RdTRABYVals!O$2:O$999,RdTRABYVals!$B$2:$B$999,"="&amp;$C136,RdTRABYVals!$C$2:$C$999,"="&amp;INS!$A136),"")</f>
        <v>0.22389667370097999</v>
      </c>
      <c r="AX136" s="6">
        <f>IFERROR(AVERAGEIFS(RdTRABYVals!P$2:P$999,RdTRABYVals!$B$2:$B$999,"="&amp;$C136,RdTRABYVals!$C$2:$C$999,"="&amp;INS!$A136),"")</f>
        <v>0.19843802578681799</v>
      </c>
      <c r="AY136" s="6">
        <f>IFERROR(AVERAGEIFS(RdTRABYVals!Q$2:Q$999,RdTRABYVals!$B$2:$B$999,"="&amp;$C136,RdTRABYVals!$C$2:$C$999,"="&amp;INS!$A136),"")</f>
        <v>0.22378876804671</v>
      </c>
      <c r="AZ136" s="6">
        <f>IFERROR(AVERAGEIFS(RdTRABYVals!R$2:R$999,RdTRABYVals!$B$2:$B$999,"="&amp;$C136,RdTRABYVals!$C$2:$C$999,"="&amp;INS!$A136),"")</f>
        <v>0.206290289052558</v>
      </c>
      <c r="BA136" s="6">
        <f>IFERROR(AVERAGEIFS(RdTRABYVals!S$2:S$999,RdTRABYVals!$B$2:$B$999,"="&amp;$C136,RdTRABYVals!$C$2:$C$999,"="&amp;INS!$A136),"")</f>
        <v>0.23478593428678801</v>
      </c>
      <c r="BB136" s="6">
        <f>IFERROR(AVERAGEIFS(RdTRABYVals!T$2:T$999,RdTRABYVals!$B$2:$B$999,"="&amp;$C136,RdTRABYVals!$C$2:$C$999,"="&amp;INS!$A136),"")</f>
        <v>0.21907325466827701</v>
      </c>
      <c r="BC136" s="6">
        <f>IFERROR(AVERAGEIFS(RdTRABYVals!U$2:U$999,RdTRABYVals!$B$2:$B$999,"="&amp;$C136,RdTRABYVals!$C$2:$C$999,"="&amp;INS!$A136),"")</f>
        <v>0.25399193257367297</v>
      </c>
      <c r="BD136" s="6">
        <f>IFERROR(AVERAGEIFS(RdTRABYVals!V$2:V$999,RdTRABYVals!$B$2:$B$999,"="&amp;$C136,RdTRABYVals!$C$2:$C$999,"="&amp;INS!$A136),"")</f>
        <v>0.26067792413551999</v>
      </c>
      <c r="BE136" s="6">
        <f>IFERROR(AVERAGEIFS(RdTRABYVals!W$2:W$999,RdTRABYVals!$B$2:$B$999,"="&amp;$C136,RdTRABYVals!$C$2:$C$999,"="&amp;INS!$A136),"")</f>
        <v>0.20672091711649401</v>
      </c>
      <c r="BF136" s="6">
        <f>IFERROR(AVERAGEIFS(RdTRABYVals!X$2:X$999,RdTRABYVals!$B$2:$B$999,"="&amp;$C136,RdTRABYVals!$C$2:$C$999,"="&amp;INS!$A136),"")</f>
        <v>0.25542797205033302</v>
      </c>
      <c r="BG136" s="6">
        <f>IFERROR(AVERAGEIFS(RdTRABYVals!Y$2:Y$999,RdTRABYVals!$B$2:$B$999,"="&amp;$C136,RdTRABYVals!$C$2:$C$999,"="&amp;INS!$A136),"")</f>
        <v>0.240916245751196</v>
      </c>
      <c r="BH136" s="6">
        <f>IFERROR(AVERAGEIFS(RdTRABYVals!Z$2:Z$999,RdTRABYVals!$B$2:$B$999,"="&amp;$C136,RdTRABYVals!$C$2:$C$999,"="&amp;INS!$A136),"")</f>
        <v>0.238834836382566</v>
      </c>
      <c r="BI136" s="6">
        <f>IFERROR(AVERAGEIFS(RdTRABYVals!AA$2:AA$999,RdTRABYVals!$B$2:$B$999,"="&amp;$C136,RdTRABYVals!$C$2:$C$999,"="&amp;INS!$A136),"")</f>
        <v>0.24121002964204599</v>
      </c>
      <c r="BJ136" s="6">
        <f>IFERROR(AVERAGEIFS(RdTRABYVals!AB$2:AB$999,RdTRABYVals!$B$2:$B$999,"="&amp;$C136,RdTRABYVals!$C$2:$C$999,"="&amp;INS!$A136),"")</f>
        <v>0.255604985969833</v>
      </c>
      <c r="BK136" s="6">
        <f>IFERROR(AVERAGEIFS(RdTRABYVals!AC$2:AC$999,RdTRABYVals!$B$2:$B$999,"="&amp;$C136,RdTRABYVals!$C$2:$C$999,"="&amp;INS!$A136),"")</f>
        <v>0.204213248102036</v>
      </c>
      <c r="BL136" s="6">
        <f>IFERROR(AVERAGEIFS(RdTRABYVals!AD$2:AD$999,RdTRABYVals!$B$2:$B$999,"="&amp;$C136,RdTRABYVals!$C$2:$C$999,"="&amp;INS!$A136),"")</f>
        <v>0.20824947035015201</v>
      </c>
      <c r="BM136" s="6">
        <f>IFERROR(AVERAGEIFS(RdTRABYVals!AE$2:AE$999,RdTRABYVals!$B$2:$B$999,"="&amp;$C136,RdTRABYVals!$C$2:$C$999,"="&amp;INS!$A136),"")</f>
        <v>0.24658039096319201</v>
      </c>
      <c r="BN136" s="6">
        <f>IFERROR(AVERAGEIFS(RdTRABYVals!AF$2:AF$999,RdTRABYVals!$B$2:$B$999,"="&amp;$C136,RdTRABYVals!$C$2:$C$999,"="&amp;INS!$A136),"")</f>
        <v>0.24121002964204599</v>
      </c>
      <c r="BO136" s="6">
        <f>IFERROR(AVERAGEIFS(RdTRABYVals!AG$2:AG$999,RdTRABYVals!$B$2:$B$999,"="&amp;$C136,RdTRABYVals!$C$2:$C$999,"="&amp;INS!$A136),"")</f>
        <v>0.208861707868195</v>
      </c>
      <c r="BP136" s="6">
        <f>IFERROR(AVERAGEIFS(RdTRABYVals!AH$2:AH$999,RdTRABYVals!$B$2:$B$999,"="&amp;$C136,RdTRABYVals!$C$2:$C$999,"="&amp;INS!$A136),"")</f>
        <v>0.219925956692754</v>
      </c>
      <c r="BQ136" s="6">
        <f>IFERROR(AVERAGEIFS(RdTRABYVals!AI$2:AI$999,RdTRABYVals!$B$2:$B$999,"="&amp;$C136,RdTRABYVals!$C$2:$C$999,"="&amp;INS!$A136),"")</f>
        <v>0.24966681444230401</v>
      </c>
      <c r="BR136" s="6">
        <f>IFERROR(AVERAGEIFS(RdTRABYVals!AJ$2:AJ$999,RdTRABYVals!$B$2:$B$999,"="&amp;$C136,RdTRABYVals!$C$2:$C$999,"="&amp;INS!$A136),"")</f>
        <v>0.20672091711649401</v>
      </c>
      <c r="BS136" s="6">
        <f>IFERROR(AVERAGEIFS(RdTRABYVals!AK$2:AK$999,RdTRABYVals!$B$2:$B$999,"="&amp;$C136,RdTRABYVals!$C$2:$C$999,"="&amp;INS!$A136),"")</f>
        <v>0.248865849380247</v>
      </c>
      <c r="BT136" s="6">
        <f>IFERROR(AVERAGEIFS(RdTRABYVals!AL$2:AL$999,RdTRABYVals!$B$2:$B$999,"="&amp;$C136,RdTRABYVals!$C$2:$C$999,"="&amp;INS!$A136),"")</f>
        <v>0.221238278896112</v>
      </c>
      <c r="BU136" s="6">
        <f>IFERROR(AVERAGEIFS(RdTRABYVals!AM$2:AM$999,RdTRABYVals!$B$2:$B$999,"="&amp;$C136,RdTRABYVals!$C$2:$C$999,"="&amp;INS!$A136),"")</f>
        <v>0.20783416507324201</v>
      </c>
      <c r="BV136" s="6">
        <f>IFERROR(AVERAGEIFS(RdTRABYVals!AN$2:AN$999,RdTRABYVals!$B$2:$B$999,"="&amp;$C136,RdTRABYVals!$C$2:$C$999,"="&amp;INS!$A136),"")</f>
        <v>0.23488290223038</v>
      </c>
      <c r="BW136" s="6">
        <f>IFERROR(AVERAGEIFS(RdTRABYVals!AO$2:AO$999,RdTRABYVals!$B$2:$B$999,"="&amp;$C136,RdTRABYVals!$C$2:$C$999,"="&amp;INS!$A136),"")</f>
        <v>0.22963511582382101</v>
      </c>
      <c r="BX136" s="6">
        <f>IFERROR(AVERAGEIFS(RdTRABYVals!AP$2:AP$999,RdTRABYVals!$B$2:$B$999,"="&amp;$C136,RdTRABYVals!$C$2:$C$999,"="&amp;INS!$A136),"")</f>
        <v>0.25744571379536801</v>
      </c>
      <c r="BY136" s="6">
        <f>IFERROR(AVERAGEIFS(RdTRABYVals!AQ$2:AQ$999,RdTRABYVals!$B$2:$B$999,"="&amp;$C136,RdTRABYVals!$C$2:$C$999,"="&amp;INS!$A136),"")</f>
        <v>0.218901913564027</v>
      </c>
      <c r="BZ136" s="6">
        <f>IFERROR(AVERAGEIFS(RdTRABYVals!AR$2:AR$999,RdTRABYVals!$B$2:$B$999,"="&amp;$C136,RdTRABYVals!$C$2:$C$999,"="&amp;INS!$A136),"")</f>
        <v>0.24121002964204599</v>
      </c>
      <c r="CA136" s="6">
        <f>IFERROR(AVERAGEIFS(RdTRABYVals!AS$2:AS$999,RdTRABYVals!$B$2:$B$999,"="&amp;$C136,RdTRABYVals!$C$2:$C$999,"="&amp;INS!$A136),"")</f>
        <v>0.24488618769385201</v>
      </c>
      <c r="CB136" s="6">
        <f>IFERROR(AVERAGEIFS(RdTRABYVals!AT$2:AT$999,RdTRABYVals!$B$2:$B$999,"="&amp;$C136,RdTRABYVals!$C$2:$C$999,"="&amp;INS!$A136),"")</f>
        <v>0.23270651946024801</v>
      </c>
      <c r="CC136" s="6">
        <f>IFERROR(AVERAGEIFS(RdTRABYVals!AU$2:AU$999,RdTRABYVals!$B$2:$B$999,"="&amp;$C136,RdTRABYVals!$C$2:$C$999,"="&amp;INS!$A136),"")</f>
        <v>0.24030829229325601</v>
      </c>
      <c r="CD136" s="6">
        <f>IFERROR(AVERAGEIFS(RdTRABYVals!AV$2:AV$999,RdTRABYVals!$B$2:$B$999,"="&amp;$C136,RdTRABYVals!$C$2:$C$999,"="&amp;INS!$A136),"")</f>
        <v>0.25494022134887701</v>
      </c>
    </row>
    <row r="137" spans="1:82" ht="14.4">
      <c r="A137" s="3" t="s">
        <v>145</v>
      </c>
      <c r="C137" s="1" t="s">
        <v>29</v>
      </c>
      <c r="D137" t="str">
        <f t="shared" si="30"/>
        <v>TRA_Mop_Gas*</v>
      </c>
      <c r="F137" t="str">
        <f t="shared" si="31"/>
        <v>*1.07000329988658</v>
      </c>
      <c r="G137" t="str">
        <f t="shared" si="37"/>
        <v>*1.04407952057914</v>
      </c>
      <c r="H137" t="str">
        <f t="shared" si="38"/>
        <v>*1.09260918649098</v>
      </c>
      <c r="I137" t="str">
        <f t="shared" si="39"/>
        <v>*1.11189366737313</v>
      </c>
      <c r="J137" t="str">
        <f t="shared" si="40"/>
        <v>*1.04008416766686</v>
      </c>
      <c r="K137" t="str">
        <f t="shared" si="41"/>
        <v>*1.0809728679292</v>
      </c>
      <c r="L137" t="str">
        <f t="shared" si="42"/>
        <v>*1.02425023016475</v>
      </c>
      <c r="M137" t="str">
        <f t="shared" si="43"/>
        <v>*1.04899029075893</v>
      </c>
      <c r="N137" t="str">
        <f t="shared" si="44"/>
        <v>*1.00608498349528</v>
      </c>
      <c r="O137" t="str">
        <f t="shared" si="45"/>
        <v>*1.00082109353235</v>
      </c>
      <c r="P137" t="str">
        <f t="shared" si="46"/>
        <v>*1.07619552705011</v>
      </c>
      <c r="Q137" t="str">
        <f t="shared" si="47"/>
        <v>*1.07000329988658</v>
      </c>
      <c r="R137" t="str">
        <f t="shared" si="48"/>
        <v>*1.04407952057914</v>
      </c>
      <c r="S137" t="str">
        <f t="shared" si="49"/>
        <v>*1.06209869642994</v>
      </c>
      <c r="T137" t="str">
        <f t="shared" si="50"/>
        <v>*1.06861504462526</v>
      </c>
      <c r="U137" t="str">
        <f t="shared" si="51"/>
        <v>*1.09629158690831</v>
      </c>
      <c r="V137" t="str">
        <f t="shared" si="52"/>
        <v>*1.11189366737313</v>
      </c>
      <c r="W137" t="str">
        <f t="shared" si="53"/>
        <v>*1.08531988288222</v>
      </c>
      <c r="X137" t="str">
        <f t="shared" si="54"/>
        <v>*1.12964795046778</v>
      </c>
      <c r="Y137" t="str">
        <f t="shared" si="55"/>
        <v>*1.07000329988658</v>
      </c>
      <c r="Z137" t="str">
        <f t="shared" si="56"/>
        <v>*1.00918665061122</v>
      </c>
      <c r="AA137" t="str">
        <f t="shared" si="57"/>
        <v>*1.11189366737313</v>
      </c>
      <c r="AB137" t="str">
        <f t="shared" si="58"/>
        <v>*0.945811537546269</v>
      </c>
      <c r="AC137" t="str">
        <f t="shared" si="59"/>
        <v>*1.03408804019147</v>
      </c>
      <c r="AD137" t="str">
        <f t="shared" si="60"/>
        <v>*1.14213174114348</v>
      </c>
      <c r="AE137" t="str">
        <f t="shared" si="61"/>
        <v>*1.04407952057914</v>
      </c>
      <c r="AF137" t="str">
        <f t="shared" si="62"/>
        <v>*1.07000329988658</v>
      </c>
      <c r="AG137" t="str">
        <f t="shared" si="63"/>
        <v>*1.04098738849628</v>
      </c>
      <c r="AH137" t="str">
        <f t="shared" si="64"/>
        <v>*1.0954418262893</v>
      </c>
      <c r="AI137" t="str">
        <f t="shared" si="65"/>
        <v>*1.07499559239017</v>
      </c>
      <c r="AJ137" t="str">
        <f t="shared" si="66"/>
        <v>*1.07428476217411</v>
      </c>
      <c r="AK137" t="str">
        <f t="shared" si="67"/>
        <v>*1.06544825294274</v>
      </c>
      <c r="AL137" t="str">
        <f t="shared" si="68"/>
        <v>*1.12152908692885</v>
      </c>
      <c r="AM137" t="str">
        <f t="shared" si="69"/>
        <v>*1.11189366737313</v>
      </c>
      <c r="AN137" t="str">
        <f t="shared" si="33"/>
        <v>*1.11440865190304</v>
      </c>
      <c r="AO137" t="str">
        <f t="shared" si="34"/>
        <v>*1.09058159604954</v>
      </c>
      <c r="AP137" t="str">
        <f t="shared" si="35"/>
        <v>*1.0872236728367</v>
      </c>
      <c r="AQ137" t="str">
        <f t="shared" si="36"/>
        <v>*1.09219865700873</v>
      </c>
      <c r="AS137" s="6">
        <f t="shared" si="32"/>
        <v>1.0700032998865825</v>
      </c>
      <c r="AT137" s="6">
        <f>IFERROR(AVERAGEIFS(RdTRABYVals!L$2:L$999,RdTRABYVals!$B$2:$B$999,"="&amp;$C137,RdTRABYVals!$C$2:$C$999,"="&amp;INS!$A137),"")</f>
        <v>1.04407952057914</v>
      </c>
      <c r="AU137" s="6">
        <f>IFERROR(AVERAGEIFS(RdTRABYVals!M$2:M$999,RdTRABYVals!$B$2:$B$999,"="&amp;$C137,RdTRABYVals!$C$2:$C$999,"="&amp;INS!$A137),"")</f>
        <v>1.0926091864909799</v>
      </c>
      <c r="AV137" s="6">
        <f>IFERROR(AVERAGEIFS(RdTRABYVals!N$2:N$999,RdTRABYVals!$B$2:$B$999,"="&amp;$C137,RdTRABYVals!$C$2:$C$999,"="&amp;INS!$A137),"")</f>
        <v>1.1118936673731299</v>
      </c>
      <c r="AW137" s="6">
        <f>IFERROR(AVERAGEIFS(RdTRABYVals!O$2:O$999,RdTRABYVals!$B$2:$B$999,"="&amp;$C137,RdTRABYVals!$C$2:$C$999,"="&amp;INS!$A137),"")</f>
        <v>1.04008416766686</v>
      </c>
      <c r="AX137" s="6">
        <f>IFERROR(AVERAGEIFS(RdTRABYVals!P$2:P$999,RdTRABYVals!$B$2:$B$999,"="&amp;$C137,RdTRABYVals!$C$2:$C$999,"="&amp;INS!$A137),"")</f>
        <v>1.0809728679292001</v>
      </c>
      <c r="AY137" s="6">
        <f>IFERROR(AVERAGEIFS(RdTRABYVals!Q$2:Q$999,RdTRABYVals!$B$2:$B$999,"="&amp;$C137,RdTRABYVals!$C$2:$C$999,"="&amp;INS!$A137),"")</f>
        <v>1.02425023016475</v>
      </c>
      <c r="AZ137" s="6">
        <f>IFERROR(AVERAGEIFS(RdTRABYVals!R$2:R$999,RdTRABYVals!$B$2:$B$999,"="&amp;$C137,RdTRABYVals!$C$2:$C$999,"="&amp;INS!$A137),"")</f>
        <v>1.0489902907589299</v>
      </c>
      <c r="BA137" s="6">
        <f>IFERROR(AVERAGEIFS(RdTRABYVals!S$2:S$999,RdTRABYVals!$B$2:$B$999,"="&amp;$C137,RdTRABYVals!$C$2:$C$999,"="&amp;INS!$A137),"")</f>
        <v>1.0060849834952801</v>
      </c>
      <c r="BB137" s="6">
        <f>IFERROR(AVERAGEIFS(RdTRABYVals!T$2:T$999,RdTRABYVals!$B$2:$B$999,"="&amp;$C137,RdTRABYVals!$C$2:$C$999,"="&amp;INS!$A137),"")</f>
        <v>1.00082109353235</v>
      </c>
      <c r="BC137" s="6">
        <f>IFERROR(AVERAGEIFS(RdTRABYVals!U$2:U$999,RdTRABYVals!$B$2:$B$999,"="&amp;$C137,RdTRABYVals!$C$2:$C$999,"="&amp;INS!$A137),"")</f>
        <v>1.07619552705011</v>
      </c>
      <c r="BD137" s="6">
        <f>IFERROR(AVERAGEIFS(RdTRABYVals!V$2:V$999,RdTRABYVals!$B$2:$B$999,"="&amp;$C137,RdTRABYVals!$C$2:$C$999,"="&amp;INS!$A137),"")</f>
        <v>1.0700032998865801</v>
      </c>
      <c r="BE137" s="6">
        <f>IFERROR(AVERAGEIFS(RdTRABYVals!W$2:W$999,RdTRABYVals!$B$2:$B$999,"="&amp;$C137,RdTRABYVals!$C$2:$C$999,"="&amp;INS!$A137),"")</f>
        <v>1.04407952057914</v>
      </c>
      <c r="BF137" s="6">
        <f>IFERROR(AVERAGEIFS(RdTRABYVals!X$2:X$999,RdTRABYVals!$B$2:$B$999,"="&amp;$C137,RdTRABYVals!$C$2:$C$999,"="&amp;INS!$A137),"")</f>
        <v>1.0620986964299399</v>
      </c>
      <c r="BG137" s="6">
        <f>IFERROR(AVERAGEIFS(RdTRABYVals!Y$2:Y$999,RdTRABYVals!$B$2:$B$999,"="&amp;$C137,RdTRABYVals!$C$2:$C$999,"="&amp;INS!$A137),"")</f>
        <v>1.06861504462526</v>
      </c>
      <c r="BH137" s="6">
        <f>IFERROR(AVERAGEIFS(RdTRABYVals!Z$2:Z$999,RdTRABYVals!$B$2:$B$999,"="&amp;$C137,RdTRABYVals!$C$2:$C$999,"="&amp;INS!$A137),"")</f>
        <v>1.0962915869083101</v>
      </c>
      <c r="BI137" s="6">
        <f>IFERROR(AVERAGEIFS(RdTRABYVals!AA$2:AA$999,RdTRABYVals!$B$2:$B$999,"="&amp;$C137,RdTRABYVals!$C$2:$C$999,"="&amp;INS!$A137),"")</f>
        <v>1.1118936673731299</v>
      </c>
      <c r="BJ137" s="6">
        <f>IFERROR(AVERAGEIFS(RdTRABYVals!AB$2:AB$999,RdTRABYVals!$B$2:$B$999,"="&amp;$C137,RdTRABYVals!$C$2:$C$999,"="&amp;INS!$A137),"")</f>
        <v>1.0853198828822199</v>
      </c>
      <c r="BK137" s="6">
        <f>IFERROR(AVERAGEIFS(RdTRABYVals!AC$2:AC$999,RdTRABYVals!$B$2:$B$999,"="&amp;$C137,RdTRABYVals!$C$2:$C$999,"="&amp;INS!$A137),"")</f>
        <v>1.1296479504677801</v>
      </c>
      <c r="BL137" s="6">
        <f>IFERROR(AVERAGEIFS(RdTRABYVals!AD$2:AD$999,RdTRABYVals!$B$2:$B$999,"="&amp;$C137,RdTRABYVals!$C$2:$C$999,"="&amp;INS!$A137),"")</f>
        <v>1.0700032998865801</v>
      </c>
      <c r="BM137" s="6">
        <f>IFERROR(AVERAGEIFS(RdTRABYVals!AE$2:AE$999,RdTRABYVals!$B$2:$B$999,"="&amp;$C137,RdTRABYVals!$C$2:$C$999,"="&amp;INS!$A137),"")</f>
        <v>1.0091866506112199</v>
      </c>
      <c r="BN137" s="6">
        <f>IFERROR(AVERAGEIFS(RdTRABYVals!AF$2:AF$999,RdTRABYVals!$B$2:$B$999,"="&amp;$C137,RdTRABYVals!$C$2:$C$999,"="&amp;INS!$A137),"")</f>
        <v>1.1118936673731299</v>
      </c>
      <c r="BO137" s="6">
        <f>IFERROR(AVERAGEIFS(RdTRABYVals!AG$2:AG$999,RdTRABYVals!$B$2:$B$999,"="&amp;$C137,RdTRABYVals!$C$2:$C$999,"="&amp;INS!$A137),"")</f>
        <v>0.94581153754626901</v>
      </c>
      <c r="BP137" s="6">
        <f>IFERROR(AVERAGEIFS(RdTRABYVals!AH$2:AH$999,RdTRABYVals!$B$2:$B$999,"="&amp;$C137,RdTRABYVals!$C$2:$C$999,"="&amp;INS!$A137),"")</f>
        <v>1.03408804019147</v>
      </c>
      <c r="BQ137" s="6">
        <f>IFERROR(AVERAGEIFS(RdTRABYVals!AI$2:AI$999,RdTRABYVals!$B$2:$B$999,"="&amp;$C137,RdTRABYVals!$C$2:$C$999,"="&amp;INS!$A137),"")</f>
        <v>1.1421317411434799</v>
      </c>
      <c r="BR137" s="6">
        <f>IFERROR(AVERAGEIFS(RdTRABYVals!AJ$2:AJ$999,RdTRABYVals!$B$2:$B$999,"="&amp;$C137,RdTRABYVals!$C$2:$C$999,"="&amp;INS!$A137),"")</f>
        <v>1.04407952057914</v>
      </c>
      <c r="BS137" s="6">
        <f>IFERROR(AVERAGEIFS(RdTRABYVals!AK$2:AK$999,RdTRABYVals!$B$2:$B$999,"="&amp;$C137,RdTRABYVals!$C$2:$C$999,"="&amp;INS!$A137),"")</f>
        <v>1.0700032998865801</v>
      </c>
      <c r="BT137" s="6">
        <f>IFERROR(AVERAGEIFS(RdTRABYVals!AL$2:AL$999,RdTRABYVals!$B$2:$B$999,"="&amp;$C137,RdTRABYVals!$C$2:$C$999,"="&amp;INS!$A137),"")</f>
        <v>1.0409873884962799</v>
      </c>
      <c r="BU137" s="6">
        <f>IFERROR(AVERAGEIFS(RdTRABYVals!AM$2:AM$999,RdTRABYVals!$B$2:$B$999,"="&amp;$C137,RdTRABYVals!$C$2:$C$999,"="&amp;INS!$A137),"")</f>
        <v>1.0954418262893</v>
      </c>
      <c r="BV137" s="6">
        <f>IFERROR(AVERAGEIFS(RdTRABYVals!AN$2:AN$999,RdTRABYVals!$B$2:$B$999,"="&amp;$C137,RdTRABYVals!$C$2:$C$999,"="&amp;INS!$A137),"")</f>
        <v>1.07499559239017</v>
      </c>
      <c r="BW137" s="6">
        <f>IFERROR(AVERAGEIFS(RdTRABYVals!AO$2:AO$999,RdTRABYVals!$B$2:$B$999,"="&amp;$C137,RdTRABYVals!$C$2:$C$999,"="&amp;INS!$A137),"")</f>
        <v>1.0742847621741101</v>
      </c>
      <c r="BX137" s="6">
        <f>IFERROR(AVERAGEIFS(RdTRABYVals!AP$2:AP$999,RdTRABYVals!$B$2:$B$999,"="&amp;$C137,RdTRABYVals!$C$2:$C$999,"="&amp;INS!$A137),"")</f>
        <v>1.06544825294274</v>
      </c>
      <c r="BY137" s="6">
        <f>IFERROR(AVERAGEIFS(RdTRABYVals!AQ$2:AQ$999,RdTRABYVals!$B$2:$B$999,"="&amp;$C137,RdTRABYVals!$C$2:$C$999,"="&amp;INS!$A137),"")</f>
        <v>1.1215290869288499</v>
      </c>
      <c r="BZ137" s="6">
        <f>IFERROR(AVERAGEIFS(RdTRABYVals!AR$2:AR$999,RdTRABYVals!$B$2:$B$999,"="&amp;$C137,RdTRABYVals!$C$2:$C$999,"="&amp;INS!$A137),"")</f>
        <v>1.1118936673731299</v>
      </c>
      <c r="CA137" s="6">
        <f>IFERROR(AVERAGEIFS(RdTRABYVals!AS$2:AS$999,RdTRABYVals!$B$2:$B$999,"="&amp;$C137,RdTRABYVals!$C$2:$C$999,"="&amp;INS!$A137),"")</f>
        <v>1.1144086519030401</v>
      </c>
      <c r="CB137" s="6">
        <f>IFERROR(AVERAGEIFS(RdTRABYVals!AT$2:AT$999,RdTRABYVals!$B$2:$B$999,"="&amp;$C137,RdTRABYVals!$C$2:$C$999,"="&amp;INS!$A137),"")</f>
        <v>1.09058159604954</v>
      </c>
      <c r="CC137" s="6">
        <f>IFERROR(AVERAGEIFS(RdTRABYVals!AU$2:AU$999,RdTRABYVals!$B$2:$B$999,"="&amp;$C137,RdTRABYVals!$C$2:$C$999,"="&amp;INS!$A137),"")</f>
        <v>1.0872236728367</v>
      </c>
      <c r="CD137" s="6">
        <f>IFERROR(AVERAGEIFS(RdTRABYVals!AV$2:AV$999,RdTRABYVals!$B$2:$B$999,"="&amp;$C137,RdTRABYVals!$C$2:$C$999,"="&amp;INS!$A137),"")</f>
        <v>1.0921986570087301</v>
      </c>
    </row>
    <row r="138" spans="1:82" ht="14.4">
      <c r="A138" s="12" t="s">
        <v>146</v>
      </c>
      <c r="C138" s="1" t="s">
        <v>29</v>
      </c>
      <c r="D138" t="str">
        <f t="shared" si="30"/>
        <v>TRA_Mot_Gas*</v>
      </c>
      <c r="F138" t="str">
        <f t="shared" si="31"/>
        <v>*0.641080551496624</v>
      </c>
      <c r="G138" t="str">
        <f t="shared" si="37"/>
        <v>*0.661578457471393</v>
      </c>
      <c r="H138" t="str">
        <f t="shared" si="38"/>
        <v>*0.662289028544465</v>
      </c>
      <c r="I138" t="str">
        <f t="shared" si="39"/>
        <v>*0.623321674311133</v>
      </c>
      <c r="J138" t="str">
        <f t="shared" si="40"/>
        <v>*0.621152824134031</v>
      </c>
      <c r="K138" t="str">
        <f t="shared" si="41"/>
        <v>*0.621359466427288</v>
      </c>
      <c r="L138" t="str">
        <f t="shared" si="42"/>
        <v>*0.625192255633571</v>
      </c>
      <c r="M138" t="str">
        <f t="shared" si="43"/>
        <v>*0.673435369325016</v>
      </c>
      <c r="N138" t="str">
        <f t="shared" si="44"/>
        <v>*0.639160722573184</v>
      </c>
      <c r="O138" t="str">
        <f t="shared" si="45"/>
        <v>*0.658550068492754</v>
      </c>
      <c r="P138" t="str">
        <f t="shared" si="46"/>
        <v>*0.686683765067413</v>
      </c>
      <c r="Q138" t="str">
        <f t="shared" si="47"/>
        <v>*0.631822556736692</v>
      </c>
      <c r="R138" t="str">
        <f t="shared" si="48"/>
        <v>*0.661578457471393</v>
      </c>
      <c r="S138" t="str">
        <f t="shared" si="49"/>
        <v>*0.611774997268324</v>
      </c>
      <c r="T138" t="str">
        <f t="shared" si="50"/>
        <v>*0.639297809237315</v>
      </c>
      <c r="U138" t="str">
        <f t="shared" si="51"/>
        <v>*0.664028999866633</v>
      </c>
      <c r="V138" t="str">
        <f t="shared" si="52"/>
        <v>*0.623321674311133</v>
      </c>
      <c r="W138" t="str">
        <f t="shared" si="53"/>
        <v>*0.694492888808367</v>
      </c>
      <c r="X138" t="str">
        <f t="shared" si="54"/>
        <v>*0.58797955123032</v>
      </c>
      <c r="Y138" t="str">
        <f t="shared" si="55"/>
        <v>*0.589380338418921</v>
      </c>
      <c r="Z138" t="str">
        <f t="shared" si="56"/>
        <v>*0.70408081539128</v>
      </c>
      <c r="AA138" t="str">
        <f t="shared" si="57"/>
        <v>*0.623321674311133</v>
      </c>
      <c r="AB138" t="str">
        <f t="shared" si="58"/>
        <v>*0.605592482216311</v>
      </c>
      <c r="AC138" t="str">
        <f t="shared" si="59"/>
        <v>*0.600804467894062</v>
      </c>
      <c r="AD138" t="str">
        <f t="shared" si="60"/>
        <v>*0.690472680994831</v>
      </c>
      <c r="AE138" t="str">
        <f t="shared" si="61"/>
        <v>*0.661578457471393</v>
      </c>
      <c r="AF138" t="str">
        <f t="shared" si="62"/>
        <v>*0.619136984614676</v>
      </c>
      <c r="AG138" t="str">
        <f t="shared" si="63"/>
        <v>*0.663635556629942</v>
      </c>
      <c r="AH138" t="str">
        <f t="shared" si="64"/>
        <v>*0.552424659940085</v>
      </c>
      <c r="AI138" t="str">
        <f t="shared" si="65"/>
        <v>*0.668098084460143</v>
      </c>
      <c r="AJ138" t="str">
        <f t="shared" si="66"/>
        <v>*0.700230544989045</v>
      </c>
      <c r="AK138" t="str">
        <f t="shared" si="67"/>
        <v>*0.545311458670438</v>
      </c>
      <c r="AL138" t="str">
        <f t="shared" si="68"/>
        <v>*0.644597629486907</v>
      </c>
      <c r="AM138" t="str">
        <f t="shared" si="69"/>
        <v>*0.623321674311133</v>
      </c>
      <c r="AN138" t="str">
        <f t="shared" si="33"/>
        <v>*0.679515522458692</v>
      </c>
      <c r="AO138" t="str">
        <f t="shared" si="34"/>
        <v>*0.623916601175477</v>
      </c>
      <c r="AP138" t="str">
        <f t="shared" si="35"/>
        <v>*0.64926878656447</v>
      </c>
      <c r="AQ138" t="str">
        <f t="shared" si="36"/>
        <v>*0.688271418465718</v>
      </c>
      <c r="AS138" s="11">
        <f t="shared" si="32"/>
        <v>0.64108055149662391</v>
      </c>
      <c r="AT138" s="11">
        <f>IFERROR(AVERAGEIFS(RdTRABYVals!L$2:L$999,RdTRABYVals!$B$2:$B$999,"="&amp;$C138,RdTRABYVals!$C$2:$C$999,"="&amp;INS!$A138),"")</f>
        <v>0.66157845747139299</v>
      </c>
      <c r="AU138" s="11">
        <f>IFERROR(AVERAGEIFS(RdTRABYVals!M$2:M$999,RdTRABYVals!$B$2:$B$999,"="&amp;$C138,RdTRABYVals!$C$2:$C$999,"="&amp;INS!$A138),"")</f>
        <v>0.66228902854446503</v>
      </c>
      <c r="AV138" s="11">
        <f>IFERROR(AVERAGEIFS(RdTRABYVals!N$2:N$999,RdTRABYVals!$B$2:$B$999,"="&amp;$C138,RdTRABYVals!$C$2:$C$999,"="&amp;INS!$A138),"")</f>
        <v>0.62332167431113294</v>
      </c>
      <c r="AW138" s="11">
        <f>IFERROR(AVERAGEIFS(RdTRABYVals!O$2:O$999,RdTRABYVals!$B$2:$B$999,"="&amp;$C138,RdTRABYVals!$C$2:$C$999,"="&amp;INS!$A138),"")</f>
        <v>0.62115282413403095</v>
      </c>
      <c r="AX138" s="11">
        <f>IFERROR(AVERAGEIFS(RdTRABYVals!P$2:P$999,RdTRABYVals!$B$2:$B$999,"="&amp;$C138,RdTRABYVals!$C$2:$C$999,"="&amp;INS!$A138),"")</f>
        <v>0.62135946642728801</v>
      </c>
      <c r="AY138" s="11">
        <f>IFERROR(AVERAGEIFS(RdTRABYVals!Q$2:Q$999,RdTRABYVals!$B$2:$B$999,"="&amp;$C138,RdTRABYVals!$C$2:$C$999,"="&amp;INS!$A138),"")</f>
        <v>0.62519225563357095</v>
      </c>
      <c r="AZ138" s="11">
        <f>IFERROR(AVERAGEIFS(RdTRABYVals!R$2:R$999,RdTRABYVals!$B$2:$B$999,"="&amp;$C138,RdTRABYVals!$C$2:$C$999,"="&amp;INS!$A138),"")</f>
        <v>0.67343536932501602</v>
      </c>
      <c r="BA138" s="11">
        <f>IFERROR(AVERAGEIFS(RdTRABYVals!S$2:S$999,RdTRABYVals!$B$2:$B$999,"="&amp;$C138,RdTRABYVals!$C$2:$C$999,"="&amp;INS!$A138),"")</f>
        <v>0.63916072257318401</v>
      </c>
      <c r="BB138" s="11">
        <f>IFERROR(AVERAGEIFS(RdTRABYVals!T$2:T$999,RdTRABYVals!$B$2:$B$999,"="&amp;$C138,RdTRABYVals!$C$2:$C$999,"="&amp;INS!$A138),"")</f>
        <v>0.65855006849275399</v>
      </c>
      <c r="BC138" s="11">
        <f>IFERROR(AVERAGEIFS(RdTRABYVals!U$2:U$999,RdTRABYVals!$B$2:$B$999,"="&amp;$C138,RdTRABYVals!$C$2:$C$999,"="&amp;INS!$A138),"")</f>
        <v>0.68668376506741302</v>
      </c>
      <c r="BD138" s="11">
        <f>IFERROR(AVERAGEIFS(RdTRABYVals!V$2:V$999,RdTRABYVals!$B$2:$B$999,"="&amp;$C138,RdTRABYVals!$C$2:$C$999,"="&amp;INS!$A138),"")</f>
        <v>0.63182255673669196</v>
      </c>
      <c r="BE138" s="11">
        <f>IFERROR(AVERAGEIFS(RdTRABYVals!W$2:W$999,RdTRABYVals!$B$2:$B$999,"="&amp;$C138,RdTRABYVals!$C$2:$C$999,"="&amp;INS!$A138),"")</f>
        <v>0.66157845747139299</v>
      </c>
      <c r="BF138" s="11">
        <f>IFERROR(AVERAGEIFS(RdTRABYVals!X$2:X$999,RdTRABYVals!$B$2:$B$999,"="&amp;$C138,RdTRABYVals!$C$2:$C$999,"="&amp;INS!$A138),"")</f>
        <v>0.61177499726832396</v>
      </c>
      <c r="BG138" s="11">
        <f>IFERROR(AVERAGEIFS(RdTRABYVals!Y$2:Y$999,RdTRABYVals!$B$2:$B$999,"="&amp;$C138,RdTRABYVals!$C$2:$C$999,"="&amp;INS!$A138),"")</f>
        <v>0.63929780923731505</v>
      </c>
      <c r="BH138" s="11">
        <f>IFERROR(AVERAGEIFS(RdTRABYVals!Z$2:Z$999,RdTRABYVals!$B$2:$B$999,"="&amp;$C138,RdTRABYVals!$C$2:$C$999,"="&amp;INS!$A138),"")</f>
        <v>0.664028999866633</v>
      </c>
      <c r="BI138" s="11">
        <f>IFERROR(AVERAGEIFS(RdTRABYVals!AA$2:AA$999,RdTRABYVals!$B$2:$B$999,"="&amp;$C138,RdTRABYVals!$C$2:$C$999,"="&amp;INS!$A138),"")</f>
        <v>0.62332167431113294</v>
      </c>
      <c r="BJ138" s="11">
        <f>IFERROR(AVERAGEIFS(RdTRABYVals!AB$2:AB$999,RdTRABYVals!$B$2:$B$999,"="&amp;$C138,RdTRABYVals!$C$2:$C$999,"="&amp;INS!$A138),"")</f>
        <v>0.69449288880836701</v>
      </c>
      <c r="BK138" s="11">
        <f>IFERROR(AVERAGEIFS(RdTRABYVals!AC$2:AC$999,RdTRABYVals!$B$2:$B$999,"="&amp;$C138,RdTRABYVals!$C$2:$C$999,"="&amp;INS!$A138),"")</f>
        <v>0.58797955123031997</v>
      </c>
      <c r="BL138" s="11">
        <f>IFERROR(AVERAGEIFS(RdTRABYVals!AD$2:AD$999,RdTRABYVals!$B$2:$B$999,"="&amp;$C138,RdTRABYVals!$C$2:$C$999,"="&amp;INS!$A138),"")</f>
        <v>0.58938033841892101</v>
      </c>
      <c r="BM138" s="11">
        <f>IFERROR(AVERAGEIFS(RdTRABYVals!AE$2:AE$999,RdTRABYVals!$B$2:$B$999,"="&amp;$C138,RdTRABYVals!$C$2:$C$999,"="&amp;INS!$A138),"")</f>
        <v>0.70408081539127998</v>
      </c>
      <c r="BN138" s="11">
        <f>IFERROR(AVERAGEIFS(RdTRABYVals!AF$2:AF$999,RdTRABYVals!$B$2:$B$999,"="&amp;$C138,RdTRABYVals!$C$2:$C$999,"="&amp;INS!$A138),"")</f>
        <v>0.62332167431113294</v>
      </c>
      <c r="BO138" s="11">
        <f>IFERROR(AVERAGEIFS(RdTRABYVals!AG$2:AG$999,RdTRABYVals!$B$2:$B$999,"="&amp;$C138,RdTRABYVals!$C$2:$C$999,"="&amp;INS!$A138),"")</f>
        <v>0.60559248221631101</v>
      </c>
      <c r="BP138" s="6">
        <f>IFERROR(AVERAGEIFS(RdTRABYVals!AH$2:AH$999,RdTRABYVals!$B$2:$B$999,"="&amp;$C138,RdTRABYVals!$C$2:$C$999,"="&amp;INS!$A138),"")</f>
        <v>0.60080446789406206</v>
      </c>
      <c r="BQ138" s="6">
        <f>IFERROR(AVERAGEIFS(RdTRABYVals!AI$2:AI$999,RdTRABYVals!$B$2:$B$999,"="&amp;$C138,RdTRABYVals!$C$2:$C$999,"="&amp;INS!$A138),"")</f>
        <v>0.69047268099483095</v>
      </c>
      <c r="BR138" s="6">
        <f>IFERROR(AVERAGEIFS(RdTRABYVals!AJ$2:AJ$999,RdTRABYVals!$B$2:$B$999,"="&amp;$C138,RdTRABYVals!$C$2:$C$999,"="&amp;INS!$A138),"")</f>
        <v>0.66157845747139299</v>
      </c>
      <c r="BS138" s="6">
        <f>IFERROR(AVERAGEIFS(RdTRABYVals!AK$2:AK$999,RdTRABYVals!$B$2:$B$999,"="&amp;$C138,RdTRABYVals!$C$2:$C$999,"="&amp;INS!$A138),"")</f>
        <v>0.61913698461467603</v>
      </c>
      <c r="BT138" s="6">
        <f>IFERROR(AVERAGEIFS(RdTRABYVals!AL$2:AL$999,RdTRABYVals!$B$2:$B$999,"="&amp;$C138,RdTRABYVals!$C$2:$C$999,"="&amp;INS!$A138),"")</f>
        <v>0.663635556629942</v>
      </c>
      <c r="BU138" s="6">
        <f>IFERROR(AVERAGEIFS(RdTRABYVals!AM$2:AM$999,RdTRABYVals!$B$2:$B$999,"="&amp;$C138,RdTRABYVals!$C$2:$C$999,"="&amp;INS!$A138),"")</f>
        <v>0.55242465994008505</v>
      </c>
      <c r="BV138" s="6">
        <f>IFERROR(AVERAGEIFS(RdTRABYVals!AN$2:AN$999,RdTRABYVals!$B$2:$B$999,"="&amp;$C138,RdTRABYVals!$C$2:$C$999,"="&amp;INS!$A138),"")</f>
        <v>0.66809808446014296</v>
      </c>
      <c r="BW138" s="6">
        <f>IFERROR(AVERAGEIFS(RdTRABYVals!AO$2:AO$999,RdTRABYVals!$B$2:$B$999,"="&amp;$C138,RdTRABYVals!$C$2:$C$999,"="&amp;INS!$A138),"")</f>
        <v>0.70023054498904502</v>
      </c>
      <c r="BX138" s="6">
        <f>IFERROR(AVERAGEIFS(RdTRABYVals!AP$2:AP$999,RdTRABYVals!$B$2:$B$999,"="&amp;$C138,RdTRABYVals!$C$2:$C$999,"="&amp;INS!$A138),"")</f>
        <v>0.54531145867043795</v>
      </c>
      <c r="BY138" s="6">
        <f>IFERROR(AVERAGEIFS(RdTRABYVals!AQ$2:AQ$999,RdTRABYVals!$B$2:$B$999,"="&amp;$C138,RdTRABYVals!$C$2:$C$999,"="&amp;INS!$A138),"")</f>
        <v>0.64459762948690702</v>
      </c>
      <c r="BZ138" s="6">
        <f>IFERROR(AVERAGEIFS(RdTRABYVals!AR$2:AR$999,RdTRABYVals!$B$2:$B$999,"="&amp;$C138,RdTRABYVals!$C$2:$C$999,"="&amp;INS!$A138),"")</f>
        <v>0.62332167431113294</v>
      </c>
      <c r="CA138" s="6">
        <f>IFERROR(AVERAGEIFS(RdTRABYVals!AS$2:AS$999,RdTRABYVals!$B$2:$B$999,"="&amp;$C138,RdTRABYVals!$C$2:$C$999,"="&amp;INS!$A138),"")</f>
        <v>0.67951552245869196</v>
      </c>
      <c r="CB138" s="6">
        <f>IFERROR(AVERAGEIFS(RdTRABYVals!AT$2:AT$999,RdTRABYVals!$B$2:$B$999,"="&amp;$C138,RdTRABYVals!$C$2:$C$999,"="&amp;INS!$A138),"")</f>
        <v>0.62391660117547698</v>
      </c>
      <c r="CC138" s="6">
        <f>IFERROR(AVERAGEIFS(RdTRABYVals!AU$2:AU$999,RdTRABYVals!$B$2:$B$999,"="&amp;$C138,RdTRABYVals!$C$2:$C$999,"="&amp;INS!$A138),"")</f>
        <v>0.64926878656446996</v>
      </c>
      <c r="CD138" s="6">
        <f>IFERROR(AVERAGEIFS(RdTRABYVals!AV$2:AV$999,RdTRABYVals!$B$2:$B$999,"="&amp;$C138,RdTRABYVals!$C$2:$C$999,"="&amp;INS!$A138),"")</f>
        <v>0.68827141846571804</v>
      </c>
    </row>
    <row r="139" spans="1:82" ht="14.4">
      <c r="A139" s="3" t="s">
        <v>145</v>
      </c>
      <c r="C139" s="1" t="s">
        <v>29</v>
      </c>
      <c r="D139" s="1" t="s">
        <v>180</v>
      </c>
      <c r="F139" t="str">
        <f t="shared" si="31"/>
        <v>*1.07000329988658</v>
      </c>
      <c r="G139" t="str">
        <f t="shared" si="37"/>
        <v>*1.04407952057914</v>
      </c>
      <c r="H139" t="str">
        <f t="shared" si="38"/>
        <v>*1.09260918649098</v>
      </c>
      <c r="I139" t="str">
        <f t="shared" si="39"/>
        <v>*1.11189366737313</v>
      </c>
      <c r="J139" t="str">
        <f t="shared" si="40"/>
        <v>*1.04008416766686</v>
      </c>
      <c r="K139" t="str">
        <f t="shared" si="41"/>
        <v>*1.0809728679292</v>
      </c>
      <c r="L139" t="str">
        <f t="shared" si="42"/>
        <v>*1.02425023016475</v>
      </c>
      <c r="M139" t="str">
        <f t="shared" si="43"/>
        <v>*1.04899029075893</v>
      </c>
      <c r="N139" t="str">
        <f t="shared" si="44"/>
        <v>*1.00608498349528</v>
      </c>
      <c r="O139" t="str">
        <f t="shared" si="45"/>
        <v>*1.00082109353235</v>
      </c>
      <c r="P139" t="str">
        <f t="shared" si="46"/>
        <v>*1.07619552705011</v>
      </c>
      <c r="Q139" t="str">
        <f t="shared" si="47"/>
        <v>*1.07000329988658</v>
      </c>
      <c r="R139" t="str">
        <f t="shared" si="48"/>
        <v>*1.04407952057914</v>
      </c>
      <c r="S139" t="str">
        <f t="shared" si="49"/>
        <v>*1.06209869642994</v>
      </c>
      <c r="T139" t="str">
        <f t="shared" si="50"/>
        <v>*1.06861504462526</v>
      </c>
      <c r="U139" t="str">
        <f t="shared" si="51"/>
        <v>*1.09629158690831</v>
      </c>
      <c r="V139" t="str">
        <f t="shared" si="52"/>
        <v>*1.11189366737313</v>
      </c>
      <c r="W139" t="str">
        <f t="shared" si="53"/>
        <v>*1.08531988288222</v>
      </c>
      <c r="X139" t="str">
        <f t="shared" si="54"/>
        <v>*1.12964795046778</v>
      </c>
      <c r="Y139" t="str">
        <f t="shared" si="55"/>
        <v>*1.07000329988658</v>
      </c>
      <c r="Z139" t="str">
        <f t="shared" si="56"/>
        <v>*1.00918665061122</v>
      </c>
      <c r="AA139" t="str">
        <f t="shared" si="57"/>
        <v>*1.11189366737313</v>
      </c>
      <c r="AB139" t="str">
        <f t="shared" si="58"/>
        <v>*0.945811537546269</v>
      </c>
      <c r="AC139" t="str">
        <f t="shared" si="59"/>
        <v>*1.03408804019147</v>
      </c>
      <c r="AD139" t="str">
        <f t="shared" si="60"/>
        <v>*1.14213174114348</v>
      </c>
      <c r="AE139" t="str">
        <f t="shared" si="61"/>
        <v>*1.04407952057914</v>
      </c>
      <c r="AF139" t="str">
        <f t="shared" si="62"/>
        <v>*1.07000329988658</v>
      </c>
      <c r="AG139" t="str">
        <f t="shared" si="63"/>
        <v>*1.04098738849628</v>
      </c>
      <c r="AH139" t="str">
        <f t="shared" si="64"/>
        <v>*1.0954418262893</v>
      </c>
      <c r="AI139" t="str">
        <f t="shared" si="65"/>
        <v>*1.07499559239017</v>
      </c>
      <c r="AJ139" t="str">
        <f t="shared" si="66"/>
        <v>*1.07428476217411</v>
      </c>
      <c r="AK139" t="str">
        <f t="shared" si="67"/>
        <v>*1.06544825294274</v>
      </c>
      <c r="AL139" t="str">
        <f t="shared" si="68"/>
        <v>*1.12152908692885</v>
      </c>
      <c r="AM139" t="str">
        <f t="shared" si="69"/>
        <v>*1.11189366737313</v>
      </c>
      <c r="AN139" t="str">
        <f t="shared" si="33"/>
        <v>*1.11440865190304</v>
      </c>
      <c r="AO139" t="str">
        <f t="shared" si="34"/>
        <v>*1.09058159604954</v>
      </c>
      <c r="AP139" t="str">
        <f t="shared" si="35"/>
        <v>*1.0872236728367</v>
      </c>
      <c r="AQ139" t="str">
        <f t="shared" si="36"/>
        <v>*1.09219865700873</v>
      </c>
      <c r="AS139" s="11">
        <f>AVERAGE(AT139:CD139)</f>
        <v>1.0700032998865825</v>
      </c>
      <c r="AT139" s="11">
        <f>IFERROR(AVERAGEIFS(RdTRABYVals!L$2:L$999,RdTRABYVals!$B$2:$B$999,"="&amp;$C139,RdTRABYVals!$C$2:$C$999,"="&amp;INS!$A139),"")</f>
        <v>1.04407952057914</v>
      </c>
      <c r="AU139" s="11">
        <f>IFERROR(AVERAGEIFS(RdTRABYVals!M$2:M$999,RdTRABYVals!$B$2:$B$999,"="&amp;$C139,RdTRABYVals!$C$2:$C$999,"="&amp;INS!$A139),"")</f>
        <v>1.0926091864909799</v>
      </c>
      <c r="AV139" s="11">
        <f>IFERROR(AVERAGEIFS(RdTRABYVals!N$2:N$999,RdTRABYVals!$B$2:$B$999,"="&amp;$C139,RdTRABYVals!$C$2:$C$999,"="&amp;INS!$A139),"")</f>
        <v>1.1118936673731299</v>
      </c>
      <c r="AW139" s="11">
        <f>IFERROR(AVERAGEIFS(RdTRABYVals!O$2:O$999,RdTRABYVals!$B$2:$B$999,"="&amp;$C139,RdTRABYVals!$C$2:$C$999,"="&amp;INS!$A139),"")</f>
        <v>1.04008416766686</v>
      </c>
      <c r="AX139" s="11">
        <f>IFERROR(AVERAGEIFS(RdTRABYVals!P$2:P$999,RdTRABYVals!$B$2:$B$999,"="&amp;$C139,RdTRABYVals!$C$2:$C$999,"="&amp;INS!$A139),"")</f>
        <v>1.0809728679292001</v>
      </c>
      <c r="AY139" s="11">
        <f>IFERROR(AVERAGEIFS(RdTRABYVals!Q$2:Q$999,RdTRABYVals!$B$2:$B$999,"="&amp;$C139,RdTRABYVals!$C$2:$C$999,"="&amp;INS!$A139),"")</f>
        <v>1.02425023016475</v>
      </c>
      <c r="AZ139" s="11">
        <f>IFERROR(AVERAGEIFS(RdTRABYVals!R$2:R$999,RdTRABYVals!$B$2:$B$999,"="&amp;$C139,RdTRABYVals!$C$2:$C$999,"="&amp;INS!$A139),"")</f>
        <v>1.0489902907589299</v>
      </c>
      <c r="BA139" s="11">
        <f>IFERROR(AVERAGEIFS(RdTRABYVals!S$2:S$999,RdTRABYVals!$B$2:$B$999,"="&amp;$C139,RdTRABYVals!$C$2:$C$999,"="&amp;INS!$A139),"")</f>
        <v>1.0060849834952801</v>
      </c>
      <c r="BB139" s="11">
        <f>IFERROR(AVERAGEIFS(RdTRABYVals!T$2:T$999,RdTRABYVals!$B$2:$B$999,"="&amp;$C139,RdTRABYVals!$C$2:$C$999,"="&amp;INS!$A139),"")</f>
        <v>1.00082109353235</v>
      </c>
      <c r="BC139" s="11">
        <f>IFERROR(AVERAGEIFS(RdTRABYVals!U$2:U$999,RdTRABYVals!$B$2:$B$999,"="&amp;$C139,RdTRABYVals!$C$2:$C$999,"="&amp;INS!$A139),"")</f>
        <v>1.07619552705011</v>
      </c>
      <c r="BD139" s="11">
        <f>IFERROR(AVERAGEIFS(RdTRABYVals!V$2:V$999,RdTRABYVals!$B$2:$B$999,"="&amp;$C139,RdTRABYVals!$C$2:$C$999,"="&amp;INS!$A139),"")</f>
        <v>1.0700032998865801</v>
      </c>
      <c r="BE139" s="11">
        <f>IFERROR(AVERAGEIFS(RdTRABYVals!W$2:W$999,RdTRABYVals!$B$2:$B$999,"="&amp;$C139,RdTRABYVals!$C$2:$C$999,"="&amp;INS!$A139),"")</f>
        <v>1.04407952057914</v>
      </c>
      <c r="BF139" s="11">
        <f>IFERROR(AVERAGEIFS(RdTRABYVals!X$2:X$999,RdTRABYVals!$B$2:$B$999,"="&amp;$C139,RdTRABYVals!$C$2:$C$999,"="&amp;INS!$A139),"")</f>
        <v>1.0620986964299399</v>
      </c>
      <c r="BG139" s="11">
        <f>IFERROR(AVERAGEIFS(RdTRABYVals!Y$2:Y$999,RdTRABYVals!$B$2:$B$999,"="&amp;$C139,RdTRABYVals!$C$2:$C$999,"="&amp;INS!$A139),"")</f>
        <v>1.06861504462526</v>
      </c>
      <c r="BH139" s="11">
        <f>IFERROR(AVERAGEIFS(RdTRABYVals!Z$2:Z$999,RdTRABYVals!$B$2:$B$999,"="&amp;$C139,RdTRABYVals!$C$2:$C$999,"="&amp;INS!$A139),"")</f>
        <v>1.0962915869083101</v>
      </c>
      <c r="BI139" s="11">
        <f>IFERROR(AVERAGEIFS(RdTRABYVals!AA$2:AA$999,RdTRABYVals!$B$2:$B$999,"="&amp;$C139,RdTRABYVals!$C$2:$C$999,"="&amp;INS!$A139),"")</f>
        <v>1.1118936673731299</v>
      </c>
      <c r="BJ139" s="11">
        <f>IFERROR(AVERAGEIFS(RdTRABYVals!AB$2:AB$999,RdTRABYVals!$B$2:$B$999,"="&amp;$C139,RdTRABYVals!$C$2:$C$999,"="&amp;INS!$A139),"")</f>
        <v>1.0853198828822199</v>
      </c>
      <c r="BK139" s="11">
        <f>IFERROR(AVERAGEIFS(RdTRABYVals!AC$2:AC$999,RdTRABYVals!$B$2:$B$999,"="&amp;$C139,RdTRABYVals!$C$2:$C$999,"="&amp;INS!$A139),"")</f>
        <v>1.1296479504677801</v>
      </c>
      <c r="BL139" s="11">
        <f>IFERROR(AVERAGEIFS(RdTRABYVals!AD$2:AD$999,RdTRABYVals!$B$2:$B$999,"="&amp;$C139,RdTRABYVals!$C$2:$C$999,"="&amp;INS!$A139),"")</f>
        <v>1.0700032998865801</v>
      </c>
      <c r="BM139" s="11">
        <f>IFERROR(AVERAGEIFS(RdTRABYVals!AE$2:AE$999,RdTRABYVals!$B$2:$B$999,"="&amp;$C139,RdTRABYVals!$C$2:$C$999,"="&amp;INS!$A139),"")</f>
        <v>1.0091866506112199</v>
      </c>
      <c r="BN139" s="11">
        <f>IFERROR(AVERAGEIFS(RdTRABYVals!AF$2:AF$999,RdTRABYVals!$B$2:$B$999,"="&amp;$C139,RdTRABYVals!$C$2:$C$999,"="&amp;INS!$A139),"")</f>
        <v>1.1118936673731299</v>
      </c>
      <c r="BO139" s="11">
        <f>IFERROR(AVERAGEIFS(RdTRABYVals!AG$2:AG$999,RdTRABYVals!$B$2:$B$999,"="&amp;$C139,RdTRABYVals!$C$2:$C$999,"="&amp;INS!$A139),"")</f>
        <v>0.94581153754626901</v>
      </c>
      <c r="BP139" s="6">
        <f>IFERROR(AVERAGEIFS(RdTRABYVals!AH$2:AH$999,RdTRABYVals!$B$2:$B$999,"="&amp;$C139,RdTRABYVals!$C$2:$C$999,"="&amp;INS!$A139),"")</f>
        <v>1.03408804019147</v>
      </c>
      <c r="BQ139" s="6">
        <f>IFERROR(AVERAGEIFS(RdTRABYVals!AI$2:AI$999,RdTRABYVals!$B$2:$B$999,"="&amp;$C139,RdTRABYVals!$C$2:$C$999,"="&amp;INS!$A139),"")</f>
        <v>1.1421317411434799</v>
      </c>
      <c r="BR139" s="6">
        <f>IFERROR(AVERAGEIFS(RdTRABYVals!AJ$2:AJ$999,RdTRABYVals!$B$2:$B$999,"="&amp;$C139,RdTRABYVals!$C$2:$C$999,"="&amp;INS!$A139),"")</f>
        <v>1.04407952057914</v>
      </c>
      <c r="BS139" s="6">
        <f>IFERROR(AVERAGEIFS(RdTRABYVals!AK$2:AK$999,RdTRABYVals!$B$2:$B$999,"="&amp;$C139,RdTRABYVals!$C$2:$C$999,"="&amp;INS!$A139),"")</f>
        <v>1.0700032998865801</v>
      </c>
      <c r="BT139" s="6">
        <f>IFERROR(AVERAGEIFS(RdTRABYVals!AL$2:AL$999,RdTRABYVals!$B$2:$B$999,"="&amp;$C139,RdTRABYVals!$C$2:$C$999,"="&amp;INS!$A139),"")</f>
        <v>1.0409873884962799</v>
      </c>
      <c r="BU139" s="6">
        <f>IFERROR(AVERAGEIFS(RdTRABYVals!AM$2:AM$999,RdTRABYVals!$B$2:$B$999,"="&amp;$C139,RdTRABYVals!$C$2:$C$999,"="&amp;INS!$A139),"")</f>
        <v>1.0954418262893</v>
      </c>
      <c r="BV139" s="6">
        <f>IFERROR(AVERAGEIFS(RdTRABYVals!AN$2:AN$999,RdTRABYVals!$B$2:$B$999,"="&amp;$C139,RdTRABYVals!$C$2:$C$999,"="&amp;INS!$A139),"")</f>
        <v>1.07499559239017</v>
      </c>
      <c r="BW139" s="6">
        <f>IFERROR(AVERAGEIFS(RdTRABYVals!AO$2:AO$999,RdTRABYVals!$B$2:$B$999,"="&amp;$C139,RdTRABYVals!$C$2:$C$999,"="&amp;INS!$A139),"")</f>
        <v>1.0742847621741101</v>
      </c>
      <c r="BX139" s="6">
        <f>IFERROR(AVERAGEIFS(RdTRABYVals!AP$2:AP$999,RdTRABYVals!$B$2:$B$999,"="&amp;$C139,RdTRABYVals!$C$2:$C$999,"="&amp;INS!$A139),"")</f>
        <v>1.06544825294274</v>
      </c>
      <c r="BY139" s="6">
        <f>IFERROR(AVERAGEIFS(RdTRABYVals!AQ$2:AQ$999,RdTRABYVals!$B$2:$B$999,"="&amp;$C139,RdTRABYVals!$C$2:$C$999,"="&amp;INS!$A139),"")</f>
        <v>1.1215290869288499</v>
      </c>
      <c r="BZ139" s="6">
        <f>IFERROR(AVERAGEIFS(RdTRABYVals!AR$2:AR$999,RdTRABYVals!$B$2:$B$999,"="&amp;$C139,RdTRABYVals!$C$2:$C$999,"="&amp;INS!$A139),"")</f>
        <v>1.1118936673731299</v>
      </c>
      <c r="CA139" s="6">
        <f>IFERROR(AVERAGEIFS(RdTRABYVals!AS$2:AS$999,RdTRABYVals!$B$2:$B$999,"="&amp;$C139,RdTRABYVals!$C$2:$C$999,"="&amp;INS!$A139),"")</f>
        <v>1.1144086519030401</v>
      </c>
      <c r="CB139" s="6">
        <f>IFERROR(AVERAGEIFS(RdTRABYVals!AT$2:AT$999,RdTRABYVals!$B$2:$B$999,"="&amp;$C139,RdTRABYVals!$C$2:$C$999,"="&amp;INS!$A139),"")</f>
        <v>1.09058159604954</v>
      </c>
      <c r="CC139" s="6">
        <f>IFERROR(AVERAGEIFS(RdTRABYVals!AU$2:AU$999,RdTRABYVals!$B$2:$B$999,"="&amp;$C139,RdTRABYVals!$C$2:$C$999,"="&amp;INS!$A139),"")</f>
        <v>1.0872236728367</v>
      </c>
      <c r="CD139" s="6">
        <f>IFERROR(AVERAGEIFS(RdTRABYVals!AV$2:AV$999,RdTRABYVals!$B$2:$B$999,"="&amp;$C139,RdTRABYVals!$C$2:$C$999,"="&amp;INS!$A139),"")</f>
        <v>1.0921986570087301</v>
      </c>
    </row>
    <row r="140" spans="1:82" ht="14.4">
      <c r="A140" s="12" t="s">
        <v>146</v>
      </c>
      <c r="C140" s="1" t="s">
        <v>29</v>
      </c>
      <c r="D140" s="1" t="s">
        <v>181</v>
      </c>
      <c r="F140" t="str">
        <f t="shared" si="31"/>
        <v>*0.641080551496624</v>
      </c>
      <c r="G140" t="str">
        <f t="shared" si="37"/>
        <v>*0.661578457471393</v>
      </c>
      <c r="H140" t="str">
        <f t="shared" si="38"/>
        <v>*0.662289028544465</v>
      </c>
      <c r="I140" t="str">
        <f t="shared" si="39"/>
        <v>*0.623321674311133</v>
      </c>
      <c r="J140" t="str">
        <f t="shared" si="40"/>
        <v>*0.621152824134031</v>
      </c>
      <c r="K140" t="str">
        <f t="shared" si="41"/>
        <v>*0.621359466427288</v>
      </c>
      <c r="L140" t="str">
        <f t="shared" si="42"/>
        <v>*0.625192255633571</v>
      </c>
      <c r="M140" t="str">
        <f t="shared" si="43"/>
        <v>*0.673435369325016</v>
      </c>
      <c r="N140" t="str">
        <f t="shared" si="44"/>
        <v>*0.639160722573184</v>
      </c>
      <c r="O140" t="str">
        <f t="shared" si="45"/>
        <v>*0.658550068492754</v>
      </c>
      <c r="P140" t="str">
        <f t="shared" si="46"/>
        <v>*0.686683765067413</v>
      </c>
      <c r="Q140" t="str">
        <f t="shared" si="47"/>
        <v>*0.631822556736692</v>
      </c>
      <c r="R140" t="str">
        <f t="shared" si="48"/>
        <v>*0.661578457471393</v>
      </c>
      <c r="S140" t="str">
        <f t="shared" si="49"/>
        <v>*0.611774997268324</v>
      </c>
      <c r="T140" t="str">
        <f t="shared" si="50"/>
        <v>*0.639297809237315</v>
      </c>
      <c r="U140" t="str">
        <f t="shared" si="51"/>
        <v>*0.664028999866633</v>
      </c>
      <c r="V140" t="str">
        <f t="shared" si="52"/>
        <v>*0.623321674311133</v>
      </c>
      <c r="W140" t="str">
        <f t="shared" si="53"/>
        <v>*0.694492888808367</v>
      </c>
      <c r="X140" t="str">
        <f t="shared" si="54"/>
        <v>*0.58797955123032</v>
      </c>
      <c r="Y140" t="str">
        <f t="shared" si="55"/>
        <v>*0.589380338418921</v>
      </c>
      <c r="Z140" t="str">
        <f t="shared" si="56"/>
        <v>*0.70408081539128</v>
      </c>
      <c r="AA140" t="str">
        <f t="shared" si="57"/>
        <v>*0.623321674311133</v>
      </c>
      <c r="AB140" t="str">
        <f t="shared" si="58"/>
        <v>*0.605592482216311</v>
      </c>
      <c r="AC140" t="str">
        <f t="shared" si="59"/>
        <v>*0.600804467894062</v>
      </c>
      <c r="AD140" t="str">
        <f t="shared" si="60"/>
        <v>*0.690472680994831</v>
      </c>
      <c r="AE140" t="str">
        <f t="shared" si="61"/>
        <v>*0.661578457471393</v>
      </c>
      <c r="AF140" t="str">
        <f t="shared" si="62"/>
        <v>*0.619136984614676</v>
      </c>
      <c r="AG140" t="str">
        <f t="shared" si="63"/>
        <v>*0.663635556629942</v>
      </c>
      <c r="AH140" t="str">
        <f t="shared" si="64"/>
        <v>*0.552424659940085</v>
      </c>
      <c r="AI140" t="str">
        <f t="shared" si="65"/>
        <v>*0.668098084460143</v>
      </c>
      <c r="AJ140" t="str">
        <f t="shared" si="66"/>
        <v>*0.700230544989045</v>
      </c>
      <c r="AK140" t="str">
        <f t="shared" si="67"/>
        <v>*0.545311458670438</v>
      </c>
      <c r="AL140" t="str">
        <f t="shared" si="68"/>
        <v>*0.644597629486907</v>
      </c>
      <c r="AM140" t="str">
        <f t="shared" si="69"/>
        <v>*0.623321674311133</v>
      </c>
      <c r="AN140" t="str">
        <f t="shared" si="33"/>
        <v>*0.679515522458692</v>
      </c>
      <c r="AO140" t="str">
        <f t="shared" si="34"/>
        <v>*0.623916601175477</v>
      </c>
      <c r="AP140" t="str">
        <f t="shared" si="35"/>
        <v>*0.64926878656447</v>
      </c>
      <c r="AQ140" t="str">
        <f t="shared" si="36"/>
        <v>*0.688271418465718</v>
      </c>
      <c r="AS140" s="11">
        <f>AVERAGE(AT140:CD140)</f>
        <v>0.64108055149662391</v>
      </c>
      <c r="AT140" s="11">
        <f>IFERROR(AVERAGEIFS(RdTRABYVals!L$2:L$999,RdTRABYVals!$B$2:$B$999,"="&amp;$C140,RdTRABYVals!$C$2:$C$999,"="&amp;INS!$A140),"")</f>
        <v>0.66157845747139299</v>
      </c>
      <c r="AU140" s="11">
        <f>IFERROR(AVERAGEIFS(RdTRABYVals!M$2:M$999,RdTRABYVals!$B$2:$B$999,"="&amp;$C140,RdTRABYVals!$C$2:$C$999,"="&amp;INS!$A140),"")</f>
        <v>0.66228902854446503</v>
      </c>
      <c r="AV140" s="11">
        <f>IFERROR(AVERAGEIFS(RdTRABYVals!N$2:N$999,RdTRABYVals!$B$2:$B$999,"="&amp;$C140,RdTRABYVals!$C$2:$C$999,"="&amp;INS!$A140),"")</f>
        <v>0.62332167431113294</v>
      </c>
      <c r="AW140" s="11">
        <f>IFERROR(AVERAGEIFS(RdTRABYVals!O$2:O$999,RdTRABYVals!$B$2:$B$999,"="&amp;$C140,RdTRABYVals!$C$2:$C$999,"="&amp;INS!$A140),"")</f>
        <v>0.62115282413403095</v>
      </c>
      <c r="AX140" s="11">
        <f>IFERROR(AVERAGEIFS(RdTRABYVals!P$2:P$999,RdTRABYVals!$B$2:$B$999,"="&amp;$C140,RdTRABYVals!$C$2:$C$999,"="&amp;INS!$A140),"")</f>
        <v>0.62135946642728801</v>
      </c>
      <c r="AY140" s="11">
        <f>IFERROR(AVERAGEIFS(RdTRABYVals!Q$2:Q$999,RdTRABYVals!$B$2:$B$999,"="&amp;$C140,RdTRABYVals!$C$2:$C$999,"="&amp;INS!$A140),"")</f>
        <v>0.62519225563357095</v>
      </c>
      <c r="AZ140" s="11">
        <f>IFERROR(AVERAGEIFS(RdTRABYVals!R$2:R$999,RdTRABYVals!$B$2:$B$999,"="&amp;$C140,RdTRABYVals!$C$2:$C$999,"="&amp;INS!$A140),"")</f>
        <v>0.67343536932501602</v>
      </c>
      <c r="BA140" s="11">
        <f>IFERROR(AVERAGEIFS(RdTRABYVals!S$2:S$999,RdTRABYVals!$B$2:$B$999,"="&amp;$C140,RdTRABYVals!$C$2:$C$999,"="&amp;INS!$A140),"")</f>
        <v>0.63916072257318401</v>
      </c>
      <c r="BB140" s="11">
        <f>IFERROR(AVERAGEIFS(RdTRABYVals!T$2:T$999,RdTRABYVals!$B$2:$B$999,"="&amp;$C140,RdTRABYVals!$C$2:$C$999,"="&amp;INS!$A140),"")</f>
        <v>0.65855006849275399</v>
      </c>
      <c r="BC140" s="11">
        <f>IFERROR(AVERAGEIFS(RdTRABYVals!U$2:U$999,RdTRABYVals!$B$2:$B$999,"="&amp;$C140,RdTRABYVals!$C$2:$C$999,"="&amp;INS!$A140),"")</f>
        <v>0.68668376506741302</v>
      </c>
      <c r="BD140" s="11">
        <f>IFERROR(AVERAGEIFS(RdTRABYVals!V$2:V$999,RdTRABYVals!$B$2:$B$999,"="&amp;$C140,RdTRABYVals!$C$2:$C$999,"="&amp;INS!$A140),"")</f>
        <v>0.63182255673669196</v>
      </c>
      <c r="BE140" s="11">
        <f>IFERROR(AVERAGEIFS(RdTRABYVals!W$2:W$999,RdTRABYVals!$B$2:$B$999,"="&amp;$C140,RdTRABYVals!$C$2:$C$999,"="&amp;INS!$A140),"")</f>
        <v>0.66157845747139299</v>
      </c>
      <c r="BF140" s="11">
        <f>IFERROR(AVERAGEIFS(RdTRABYVals!X$2:X$999,RdTRABYVals!$B$2:$B$999,"="&amp;$C140,RdTRABYVals!$C$2:$C$999,"="&amp;INS!$A140),"")</f>
        <v>0.61177499726832396</v>
      </c>
      <c r="BG140" s="11">
        <f>IFERROR(AVERAGEIFS(RdTRABYVals!Y$2:Y$999,RdTRABYVals!$B$2:$B$999,"="&amp;$C140,RdTRABYVals!$C$2:$C$999,"="&amp;INS!$A140),"")</f>
        <v>0.63929780923731505</v>
      </c>
      <c r="BH140" s="11">
        <f>IFERROR(AVERAGEIFS(RdTRABYVals!Z$2:Z$999,RdTRABYVals!$B$2:$B$999,"="&amp;$C140,RdTRABYVals!$C$2:$C$999,"="&amp;INS!$A140),"")</f>
        <v>0.664028999866633</v>
      </c>
      <c r="BI140" s="11">
        <f>IFERROR(AVERAGEIFS(RdTRABYVals!AA$2:AA$999,RdTRABYVals!$B$2:$B$999,"="&amp;$C140,RdTRABYVals!$C$2:$C$999,"="&amp;INS!$A140),"")</f>
        <v>0.62332167431113294</v>
      </c>
      <c r="BJ140" s="11">
        <f>IFERROR(AVERAGEIFS(RdTRABYVals!AB$2:AB$999,RdTRABYVals!$B$2:$B$999,"="&amp;$C140,RdTRABYVals!$C$2:$C$999,"="&amp;INS!$A140),"")</f>
        <v>0.69449288880836701</v>
      </c>
      <c r="BK140" s="11">
        <f>IFERROR(AVERAGEIFS(RdTRABYVals!AC$2:AC$999,RdTRABYVals!$B$2:$B$999,"="&amp;$C140,RdTRABYVals!$C$2:$C$999,"="&amp;INS!$A140),"")</f>
        <v>0.58797955123031997</v>
      </c>
      <c r="BL140" s="11">
        <f>IFERROR(AVERAGEIFS(RdTRABYVals!AD$2:AD$999,RdTRABYVals!$B$2:$B$999,"="&amp;$C140,RdTRABYVals!$C$2:$C$999,"="&amp;INS!$A140),"")</f>
        <v>0.58938033841892101</v>
      </c>
      <c r="BM140" s="11">
        <f>IFERROR(AVERAGEIFS(RdTRABYVals!AE$2:AE$999,RdTRABYVals!$B$2:$B$999,"="&amp;$C140,RdTRABYVals!$C$2:$C$999,"="&amp;INS!$A140),"")</f>
        <v>0.70408081539127998</v>
      </c>
      <c r="BN140" s="11">
        <f>IFERROR(AVERAGEIFS(RdTRABYVals!AF$2:AF$999,RdTRABYVals!$B$2:$B$999,"="&amp;$C140,RdTRABYVals!$C$2:$C$999,"="&amp;INS!$A140),"")</f>
        <v>0.62332167431113294</v>
      </c>
      <c r="BO140" s="11">
        <f>IFERROR(AVERAGEIFS(RdTRABYVals!AG$2:AG$999,RdTRABYVals!$B$2:$B$999,"="&amp;$C140,RdTRABYVals!$C$2:$C$999,"="&amp;INS!$A140),"")</f>
        <v>0.60559248221631101</v>
      </c>
      <c r="BP140" s="6">
        <f>IFERROR(AVERAGEIFS(RdTRABYVals!AH$2:AH$999,RdTRABYVals!$B$2:$B$999,"="&amp;$C140,RdTRABYVals!$C$2:$C$999,"="&amp;INS!$A140),"")</f>
        <v>0.60080446789406206</v>
      </c>
      <c r="BQ140" s="6">
        <f>IFERROR(AVERAGEIFS(RdTRABYVals!AI$2:AI$999,RdTRABYVals!$B$2:$B$999,"="&amp;$C140,RdTRABYVals!$C$2:$C$999,"="&amp;INS!$A140),"")</f>
        <v>0.69047268099483095</v>
      </c>
      <c r="BR140" s="6">
        <f>IFERROR(AVERAGEIFS(RdTRABYVals!AJ$2:AJ$999,RdTRABYVals!$B$2:$B$999,"="&amp;$C140,RdTRABYVals!$C$2:$C$999,"="&amp;INS!$A140),"")</f>
        <v>0.66157845747139299</v>
      </c>
      <c r="BS140" s="6">
        <f>IFERROR(AVERAGEIFS(RdTRABYVals!AK$2:AK$999,RdTRABYVals!$B$2:$B$999,"="&amp;$C140,RdTRABYVals!$C$2:$C$999,"="&amp;INS!$A140),"")</f>
        <v>0.61913698461467603</v>
      </c>
      <c r="BT140" s="6">
        <f>IFERROR(AVERAGEIFS(RdTRABYVals!AL$2:AL$999,RdTRABYVals!$B$2:$B$999,"="&amp;$C140,RdTRABYVals!$C$2:$C$999,"="&amp;INS!$A140),"")</f>
        <v>0.663635556629942</v>
      </c>
      <c r="BU140" s="6">
        <f>IFERROR(AVERAGEIFS(RdTRABYVals!AM$2:AM$999,RdTRABYVals!$B$2:$B$999,"="&amp;$C140,RdTRABYVals!$C$2:$C$999,"="&amp;INS!$A140),"")</f>
        <v>0.55242465994008505</v>
      </c>
      <c r="BV140" s="6">
        <f>IFERROR(AVERAGEIFS(RdTRABYVals!AN$2:AN$999,RdTRABYVals!$B$2:$B$999,"="&amp;$C140,RdTRABYVals!$C$2:$C$999,"="&amp;INS!$A140),"")</f>
        <v>0.66809808446014296</v>
      </c>
      <c r="BW140" s="6">
        <f>IFERROR(AVERAGEIFS(RdTRABYVals!AO$2:AO$999,RdTRABYVals!$B$2:$B$999,"="&amp;$C140,RdTRABYVals!$C$2:$C$999,"="&amp;INS!$A140),"")</f>
        <v>0.70023054498904502</v>
      </c>
      <c r="BX140" s="6">
        <f>IFERROR(AVERAGEIFS(RdTRABYVals!AP$2:AP$999,RdTRABYVals!$B$2:$B$999,"="&amp;$C140,RdTRABYVals!$C$2:$C$999,"="&amp;INS!$A140),"")</f>
        <v>0.54531145867043795</v>
      </c>
      <c r="BY140" s="6">
        <f>IFERROR(AVERAGEIFS(RdTRABYVals!AQ$2:AQ$999,RdTRABYVals!$B$2:$B$999,"="&amp;$C140,RdTRABYVals!$C$2:$C$999,"="&amp;INS!$A140),"")</f>
        <v>0.64459762948690702</v>
      </c>
      <c r="BZ140" s="6">
        <f>IFERROR(AVERAGEIFS(RdTRABYVals!AR$2:AR$999,RdTRABYVals!$B$2:$B$999,"="&amp;$C140,RdTRABYVals!$C$2:$C$999,"="&amp;INS!$A140),"")</f>
        <v>0.62332167431113294</v>
      </c>
      <c r="CA140" s="6">
        <f>IFERROR(AVERAGEIFS(RdTRABYVals!AS$2:AS$999,RdTRABYVals!$B$2:$B$999,"="&amp;$C140,RdTRABYVals!$C$2:$C$999,"="&amp;INS!$A140),"")</f>
        <v>0.67951552245869196</v>
      </c>
      <c r="CB140" s="6">
        <f>IFERROR(AVERAGEIFS(RdTRABYVals!AT$2:AT$999,RdTRABYVals!$B$2:$B$999,"="&amp;$C140,RdTRABYVals!$C$2:$C$999,"="&amp;INS!$A140),"")</f>
        <v>0.62391660117547698</v>
      </c>
      <c r="CC140" s="6">
        <f>IFERROR(AVERAGEIFS(RdTRABYVals!AU$2:AU$999,RdTRABYVals!$B$2:$B$999,"="&amp;$C140,RdTRABYVals!$C$2:$C$999,"="&amp;INS!$A140),"")</f>
        <v>0.64926878656446996</v>
      </c>
      <c r="CD140" s="6">
        <f>IFERROR(AVERAGEIFS(RdTRABYVals!AV$2:AV$999,RdTRABYVals!$B$2:$B$999,"="&amp;$C140,RdTRABYVals!$C$2:$C$999,"="&amp;INS!$A140),"")</f>
        <v>0.68827141846571804</v>
      </c>
    </row>
    <row r="141" spans="1:82" ht="14.4">
      <c r="A141" s="12" t="s">
        <v>127</v>
      </c>
      <c r="C141" s="1" t="s">
        <v>29</v>
      </c>
      <c r="D141" t="s">
        <v>148</v>
      </c>
      <c r="F141" t="str">
        <f t="shared" si="31"/>
        <v>*0.261891891891892</v>
      </c>
      <c r="G141" t="str">
        <f t="shared" si="37"/>
        <v>*0.23</v>
      </c>
      <c r="H141" t="str">
        <f t="shared" si="38"/>
        <v>*0.24</v>
      </c>
      <c r="I141" t="str">
        <f t="shared" si="39"/>
        <v>*0.28</v>
      </c>
      <c r="J141" t="str">
        <f t="shared" si="40"/>
        <v>*0.25</v>
      </c>
      <c r="K141" t="str">
        <f t="shared" si="41"/>
        <v>*0.22</v>
      </c>
      <c r="L141" t="str">
        <f t="shared" si="42"/>
        <v>*0.25</v>
      </c>
      <c r="M141" t="str">
        <f t="shared" si="43"/>
        <v>*0.24</v>
      </c>
      <c r="N141" t="str">
        <f t="shared" si="44"/>
        <v>*0.27</v>
      </c>
      <c r="O141" t="str">
        <f t="shared" si="45"/>
        <v>*0.25</v>
      </c>
      <c r="P141" t="str">
        <f t="shared" si="46"/>
        <v>*0.29</v>
      </c>
      <c r="Q141" t="str">
        <f t="shared" si="47"/>
        <v>*0.31</v>
      </c>
      <c r="R141" t="str">
        <f t="shared" si="48"/>
        <v>*0.23</v>
      </c>
      <c r="S141" t="str">
        <f t="shared" si="49"/>
        <v>*0.29</v>
      </c>
      <c r="T141" t="str">
        <f t="shared" si="50"/>
        <v>*0.26</v>
      </c>
      <c r="U141" t="str">
        <f t="shared" si="51"/>
        <v>*0.26</v>
      </c>
      <c r="V141" t="str">
        <f t="shared" si="52"/>
        <v>*0.28</v>
      </c>
      <c r="W141" t="str">
        <f t="shared" si="53"/>
        <v>*0.29</v>
      </c>
      <c r="X141" t="str">
        <f t="shared" si="54"/>
        <v>*0.24</v>
      </c>
      <c r="Y141" t="str">
        <f t="shared" si="55"/>
        <v>*0.25</v>
      </c>
      <c r="Z141" t="str">
        <f t="shared" si="56"/>
        <v>*0.23</v>
      </c>
      <c r="AA141" t="str">
        <f t="shared" si="57"/>
        <v>*0.28</v>
      </c>
      <c r="AB141" t="str">
        <f t="shared" si="58"/>
        <v>*0.28</v>
      </c>
      <c r="AC141" t="str">
        <f t="shared" si="59"/>
        <v>*0.26</v>
      </c>
      <c r="AD141" t="str">
        <f t="shared" si="60"/>
        <v>*0.28</v>
      </c>
      <c r="AE141" t="str">
        <f t="shared" si="61"/>
        <v>*0.23</v>
      </c>
      <c r="AF141" t="str">
        <f t="shared" si="62"/>
        <v>*0.26</v>
      </c>
      <c r="AG141" t="str">
        <f t="shared" si="63"/>
        <v>*0.28</v>
      </c>
      <c r="AH141" t="str">
        <f t="shared" si="64"/>
        <v>*0.25</v>
      </c>
      <c r="AI141" t="str">
        <f t="shared" si="65"/>
        <v>*0.27</v>
      </c>
      <c r="AJ141" t="str">
        <f t="shared" si="66"/>
        <v>*0.28</v>
      </c>
      <c r="AK141" t="str">
        <f t="shared" si="67"/>
        <v>*0.27</v>
      </c>
      <c r="AL141" t="str">
        <f t="shared" si="68"/>
        <v>*0.21</v>
      </c>
      <c r="AM141" t="str">
        <f t="shared" si="69"/>
        <v>*0.28</v>
      </c>
      <c r="AN141" t="str">
        <f t="shared" si="33"/>
        <v>*0.28</v>
      </c>
      <c r="AO141" t="str">
        <f t="shared" si="34"/>
        <v>*0.28</v>
      </c>
      <c r="AP141" t="str">
        <f t="shared" si="35"/>
        <v>*0.28</v>
      </c>
      <c r="AQ141" t="str">
        <f t="shared" si="36"/>
        <v>*0.26</v>
      </c>
      <c r="AS141" s="11">
        <f t="shared" si="70" ref="AS141:AS148">AVERAGE(AT141:CD141)</f>
        <v>0.26189189189189194</v>
      </c>
      <c r="AT141" s="11">
        <f>IFERROR(AVERAGEIFS(RdTRABYVals!L$2:L$999,RdTRABYVals!$B$2:$B$999,"="&amp;$C141,RdTRABYVals!$C$2:$C$999,"="&amp;INS!$A141),"")</f>
        <v>0.23000000000000001</v>
      </c>
      <c r="AU141" s="11">
        <f>IFERROR(AVERAGEIFS(RdTRABYVals!M$2:M$999,RdTRABYVals!$B$2:$B$999,"="&amp;$C141,RdTRABYVals!$C$2:$C$999,"="&amp;INS!$A141),"")</f>
        <v>0.23999999999999999</v>
      </c>
      <c r="AV141" s="11">
        <f>IFERROR(AVERAGEIFS(RdTRABYVals!N$2:N$999,RdTRABYVals!$B$2:$B$999,"="&amp;$C141,RdTRABYVals!$C$2:$C$999,"="&amp;INS!$A141),"")</f>
        <v>0.28000000000000003</v>
      </c>
      <c r="AW141" s="11">
        <f>IFERROR(AVERAGEIFS(RdTRABYVals!O$2:O$999,RdTRABYVals!$B$2:$B$999,"="&amp;$C141,RdTRABYVals!$C$2:$C$999,"="&amp;INS!$A141),"")</f>
        <v>0.25</v>
      </c>
      <c r="AX141" s="11">
        <f>IFERROR(AVERAGEIFS(RdTRABYVals!P$2:P$999,RdTRABYVals!$B$2:$B$999,"="&amp;$C141,RdTRABYVals!$C$2:$C$999,"="&amp;INS!$A141),"")</f>
        <v>0.22</v>
      </c>
      <c r="AY141" s="11">
        <f>IFERROR(AVERAGEIFS(RdTRABYVals!Q$2:Q$999,RdTRABYVals!$B$2:$B$999,"="&amp;$C141,RdTRABYVals!$C$2:$C$999,"="&amp;INS!$A141),"")</f>
        <v>0.25</v>
      </c>
      <c r="AZ141" s="11">
        <f>IFERROR(AVERAGEIFS(RdTRABYVals!R$2:R$999,RdTRABYVals!$B$2:$B$999,"="&amp;$C141,RdTRABYVals!$C$2:$C$999,"="&amp;INS!$A141),"")</f>
        <v>0.23999999999999999</v>
      </c>
      <c r="BA141" s="11">
        <f>IFERROR(AVERAGEIFS(RdTRABYVals!S$2:S$999,RdTRABYVals!$B$2:$B$999,"="&amp;$C141,RdTRABYVals!$C$2:$C$999,"="&amp;INS!$A141),"")</f>
        <v>0.27000000000000002</v>
      </c>
      <c r="BB141" s="11">
        <f>IFERROR(AVERAGEIFS(RdTRABYVals!T$2:T$999,RdTRABYVals!$B$2:$B$999,"="&amp;$C141,RdTRABYVals!$C$2:$C$999,"="&amp;INS!$A141),"")</f>
        <v>0.25</v>
      </c>
      <c r="BC141" s="11">
        <f>IFERROR(AVERAGEIFS(RdTRABYVals!U$2:U$999,RdTRABYVals!$B$2:$B$999,"="&amp;$C141,RdTRABYVals!$C$2:$C$999,"="&amp;INS!$A141),"")</f>
        <v>0.28999999999999998</v>
      </c>
      <c r="BD141" s="11">
        <f>IFERROR(AVERAGEIFS(RdTRABYVals!V$2:V$999,RdTRABYVals!$B$2:$B$999,"="&amp;$C141,RdTRABYVals!$C$2:$C$999,"="&amp;INS!$A141),"")</f>
        <v>0.31</v>
      </c>
      <c r="BE141" s="11">
        <f>IFERROR(AVERAGEIFS(RdTRABYVals!W$2:W$999,RdTRABYVals!$B$2:$B$999,"="&amp;$C141,RdTRABYVals!$C$2:$C$999,"="&amp;INS!$A141),"")</f>
        <v>0.23000000000000001</v>
      </c>
      <c r="BF141" s="11">
        <f>IFERROR(AVERAGEIFS(RdTRABYVals!X$2:X$999,RdTRABYVals!$B$2:$B$999,"="&amp;$C141,RdTRABYVals!$C$2:$C$999,"="&amp;INS!$A141),"")</f>
        <v>0.28999999999999998</v>
      </c>
      <c r="BG141" s="11">
        <f>IFERROR(AVERAGEIFS(RdTRABYVals!Y$2:Y$999,RdTRABYVals!$B$2:$B$999,"="&amp;$C141,RdTRABYVals!$C$2:$C$999,"="&amp;INS!$A141),"")</f>
        <v>0.26000000000000001</v>
      </c>
      <c r="BH141" s="11">
        <f>IFERROR(AVERAGEIFS(RdTRABYVals!Z$2:Z$999,RdTRABYVals!$B$2:$B$999,"="&amp;$C141,RdTRABYVals!$C$2:$C$999,"="&amp;INS!$A141),"")</f>
        <v>0.26000000000000001</v>
      </c>
      <c r="BI141" s="11">
        <f>IFERROR(AVERAGEIFS(RdTRABYVals!AA$2:AA$999,RdTRABYVals!$B$2:$B$999,"="&amp;$C141,RdTRABYVals!$C$2:$C$999,"="&amp;INS!$A141),"")</f>
        <v>0.28000000000000003</v>
      </c>
      <c r="BJ141" s="11">
        <f>IFERROR(AVERAGEIFS(RdTRABYVals!AB$2:AB$999,RdTRABYVals!$B$2:$B$999,"="&amp;$C141,RdTRABYVals!$C$2:$C$999,"="&amp;INS!$A141),"")</f>
        <v>0.28999999999999998</v>
      </c>
      <c r="BK141" s="11">
        <f>IFERROR(AVERAGEIFS(RdTRABYVals!AC$2:AC$999,RdTRABYVals!$B$2:$B$999,"="&amp;$C141,RdTRABYVals!$C$2:$C$999,"="&amp;INS!$A141),"")</f>
        <v>0.23999999999999999</v>
      </c>
      <c r="BL141" s="11">
        <f>IFERROR(AVERAGEIFS(RdTRABYVals!AD$2:AD$999,RdTRABYVals!$B$2:$B$999,"="&amp;$C141,RdTRABYVals!$C$2:$C$999,"="&amp;INS!$A141),"")</f>
        <v>0.25</v>
      </c>
      <c r="BM141" s="11">
        <f>IFERROR(AVERAGEIFS(RdTRABYVals!AE$2:AE$999,RdTRABYVals!$B$2:$B$999,"="&amp;$C141,RdTRABYVals!$C$2:$C$999,"="&amp;INS!$A141),"")</f>
        <v>0.23000000000000001</v>
      </c>
      <c r="BN141" s="11">
        <f>IFERROR(AVERAGEIFS(RdTRABYVals!AF$2:AF$999,RdTRABYVals!$B$2:$B$999,"="&amp;$C141,RdTRABYVals!$C$2:$C$999,"="&amp;INS!$A141),"")</f>
        <v>0.28000000000000003</v>
      </c>
      <c r="BO141" s="11">
        <f>IFERROR(AVERAGEIFS(RdTRABYVals!AG$2:AG$999,RdTRABYVals!$B$2:$B$999,"="&amp;$C141,RdTRABYVals!$C$2:$C$999,"="&amp;INS!$A141),"")</f>
        <v>0.28000000000000003</v>
      </c>
      <c r="BP141" s="11">
        <f>IFERROR(AVERAGEIFS(RdTRABYVals!AH$2:AH$999,RdTRABYVals!$B$2:$B$999,"="&amp;$C141,RdTRABYVals!$C$2:$C$999,"="&amp;INS!$A141),"")</f>
        <v>0.26000000000000001</v>
      </c>
      <c r="BQ141" s="11">
        <f>IFERROR(AVERAGEIFS(RdTRABYVals!AI$2:AI$999,RdTRABYVals!$B$2:$B$999,"="&amp;$C141,RdTRABYVals!$C$2:$C$999,"="&amp;INS!$A141),"")</f>
        <v>0.28000000000000003</v>
      </c>
      <c r="BR141" s="11">
        <f>IFERROR(AVERAGEIFS(RdTRABYVals!AJ$2:AJ$999,RdTRABYVals!$B$2:$B$999,"="&amp;$C141,RdTRABYVals!$C$2:$C$999,"="&amp;INS!$A141),"")</f>
        <v>0.23000000000000001</v>
      </c>
      <c r="BS141" s="11">
        <f>IFERROR(AVERAGEIFS(RdTRABYVals!AK$2:AK$999,RdTRABYVals!$B$2:$B$999,"="&amp;$C141,RdTRABYVals!$C$2:$C$999,"="&amp;INS!$A141),"")</f>
        <v>0.26000000000000001</v>
      </c>
      <c r="BT141" s="11">
        <f>IFERROR(AVERAGEIFS(RdTRABYVals!AL$2:AL$999,RdTRABYVals!$B$2:$B$999,"="&amp;$C141,RdTRABYVals!$C$2:$C$999,"="&amp;INS!$A141),"")</f>
        <v>0.28000000000000003</v>
      </c>
      <c r="BU141" s="11">
        <f>IFERROR(AVERAGEIFS(RdTRABYVals!AM$2:AM$999,RdTRABYVals!$B$2:$B$999,"="&amp;$C141,RdTRABYVals!$C$2:$C$999,"="&amp;INS!$A141),"")</f>
        <v>0.25</v>
      </c>
      <c r="BV141" s="11">
        <f>IFERROR(AVERAGEIFS(RdTRABYVals!AN$2:AN$999,RdTRABYVals!$B$2:$B$999,"="&amp;$C141,RdTRABYVals!$C$2:$C$999,"="&amp;INS!$A141),"")</f>
        <v>0.27000000000000002</v>
      </c>
      <c r="BW141" s="11">
        <f>IFERROR(AVERAGEIFS(RdTRABYVals!AO$2:AO$999,RdTRABYVals!$B$2:$B$999,"="&amp;$C141,RdTRABYVals!$C$2:$C$999,"="&amp;INS!$A141),"")</f>
        <v>0.28000000000000003</v>
      </c>
      <c r="BX141" s="11">
        <f>IFERROR(AVERAGEIFS(RdTRABYVals!AP$2:AP$999,RdTRABYVals!$B$2:$B$999,"="&amp;$C141,RdTRABYVals!$C$2:$C$999,"="&amp;INS!$A141),"")</f>
        <v>0.27000000000000002</v>
      </c>
      <c r="BY141" s="11">
        <f>IFERROR(AVERAGEIFS(RdTRABYVals!AQ$2:AQ$999,RdTRABYVals!$B$2:$B$999,"="&amp;$C141,RdTRABYVals!$C$2:$C$999,"="&amp;INS!$A141),"")</f>
        <v>0.20999999999999999</v>
      </c>
      <c r="BZ141" s="11">
        <f>IFERROR(AVERAGEIFS(RdTRABYVals!AR$2:AR$999,RdTRABYVals!$B$2:$B$999,"="&amp;$C141,RdTRABYVals!$C$2:$C$999,"="&amp;INS!$A141),"")</f>
        <v>0.28000000000000003</v>
      </c>
      <c r="CA141" s="11">
        <f>IFERROR(AVERAGEIFS(RdTRABYVals!AS$2:AS$999,RdTRABYVals!$B$2:$B$999,"="&amp;$C141,RdTRABYVals!$C$2:$C$999,"="&amp;INS!$A141),"")</f>
        <v>0.28000000000000003</v>
      </c>
      <c r="CB141" s="11">
        <f>IFERROR(AVERAGEIFS(RdTRABYVals!AT$2:AT$999,RdTRABYVals!$B$2:$B$999,"="&amp;$C141,RdTRABYVals!$C$2:$C$999,"="&amp;INS!$A141),"")</f>
        <v>0.28000000000000003</v>
      </c>
      <c r="CC141" s="11">
        <f>IFERROR(AVERAGEIFS(RdTRABYVals!AU$2:AU$999,RdTRABYVals!$B$2:$B$999,"="&amp;$C141,RdTRABYVals!$C$2:$C$999,"="&amp;INS!$A141),"")</f>
        <v>0.28000000000000003</v>
      </c>
      <c r="CD141" s="11">
        <f>IFERROR(AVERAGEIFS(RdTRABYVals!AV$2:AV$999,RdTRABYVals!$B$2:$B$999,"="&amp;$C141,RdTRABYVals!$C$2:$C$999,"="&amp;INS!$A141),"")</f>
        <v>0.26000000000000001</v>
      </c>
    </row>
    <row r="142" spans="1:82" ht="14.4">
      <c r="A142" s="3" t="s">
        <v>128</v>
      </c>
      <c r="C142" s="1" t="s">
        <v>29</v>
      </c>
      <c r="D142" t="s">
        <v>149</v>
      </c>
      <c r="F142" t="str">
        <f t="shared" si="31"/>
        <v>*0.43027027027027</v>
      </c>
      <c r="G142" t="str">
        <f t="shared" si="37"/>
        <v>*0.4</v>
      </c>
      <c r="H142" t="str">
        <f t="shared" si="38"/>
        <v>*0.44</v>
      </c>
      <c r="I142" t="str">
        <f t="shared" si="39"/>
        <v>*0.43</v>
      </c>
      <c r="J142" t="str">
        <f t="shared" si="40"/>
        <v>*0.42</v>
      </c>
      <c r="K142" t="str">
        <f t="shared" si="41"/>
        <v>*0.38</v>
      </c>
      <c r="L142" t="str">
        <f t="shared" si="42"/>
        <v>*0.42</v>
      </c>
      <c r="M142" t="str">
        <f t="shared" si="43"/>
        <v>*0.4</v>
      </c>
      <c r="N142" t="str">
        <f t="shared" si="44"/>
        <v>*0.43</v>
      </c>
      <c r="O142" t="str">
        <f t="shared" si="45"/>
        <v>*0.43</v>
      </c>
      <c r="P142" t="str">
        <f t="shared" si="46"/>
        <v>*0.45</v>
      </c>
      <c r="Q142" t="str">
        <f t="shared" si="47"/>
        <v>*0.46</v>
      </c>
      <c r="R142" t="str">
        <f t="shared" si="48"/>
        <v>*0.4</v>
      </c>
      <c r="S142" t="str">
        <f t="shared" si="49"/>
        <v>*0.44</v>
      </c>
      <c r="T142" t="str">
        <f t="shared" si="50"/>
        <v>*0.42</v>
      </c>
      <c r="U142" t="str">
        <f t="shared" si="51"/>
        <v>*0.46</v>
      </c>
      <c r="V142" t="str">
        <f t="shared" si="52"/>
        <v>*0.43</v>
      </c>
      <c r="W142" t="str">
        <f t="shared" si="53"/>
        <v>*0.46</v>
      </c>
      <c r="X142" t="str">
        <f t="shared" si="54"/>
        <v>*0.44</v>
      </c>
      <c r="Y142" t="str">
        <f t="shared" si="55"/>
        <v>*0.42</v>
      </c>
      <c r="Z142" t="str">
        <f t="shared" si="56"/>
        <v>*0.44</v>
      </c>
      <c r="AA142" t="str">
        <f t="shared" si="57"/>
        <v>*0.43</v>
      </c>
      <c r="AB142" t="str">
        <f t="shared" si="58"/>
        <v>*0.44</v>
      </c>
      <c r="AC142" t="str">
        <f t="shared" si="59"/>
        <v>*0.43</v>
      </c>
      <c r="AD142" t="str">
        <f t="shared" si="60"/>
        <v>*0.45</v>
      </c>
      <c r="AE142" t="str">
        <f t="shared" si="61"/>
        <v>*0.4</v>
      </c>
      <c r="AF142" t="str">
        <f t="shared" si="62"/>
        <v>*0.43</v>
      </c>
      <c r="AG142" t="str">
        <f t="shared" si="63"/>
        <v>*0.44</v>
      </c>
      <c r="AH142" t="str">
        <f t="shared" si="64"/>
        <v>*0.4</v>
      </c>
      <c r="AI142" t="str">
        <f t="shared" si="65"/>
        <v>*0.42</v>
      </c>
      <c r="AJ142" t="str">
        <f t="shared" si="66"/>
        <v>*0.43</v>
      </c>
      <c r="AK142" t="str">
        <f t="shared" si="67"/>
        <v>*0.45</v>
      </c>
      <c r="AL142" t="str">
        <f t="shared" si="68"/>
        <v>*0.39</v>
      </c>
      <c r="AM142" t="str">
        <f t="shared" si="69"/>
        <v>*0.43</v>
      </c>
      <c r="AN142" t="str">
        <f t="shared" si="33"/>
        <v>*0.46</v>
      </c>
      <c r="AO142" t="str">
        <f t="shared" si="34"/>
        <v>*0.44</v>
      </c>
      <c r="AP142" t="str">
        <f t="shared" si="35"/>
        <v>*0.45</v>
      </c>
      <c r="AQ142" t="str">
        <f t="shared" si="36"/>
        <v>*0.46</v>
      </c>
      <c r="AS142" s="11">
        <f t="shared" si="70"/>
        <v>0.43027027027027026</v>
      </c>
      <c r="AT142" s="11">
        <f>IFERROR(AVERAGEIFS(RdTRABYVals!L$2:L$999,RdTRABYVals!$B$2:$B$999,"="&amp;$C142,RdTRABYVals!$C$2:$C$999,"="&amp;INS!$A142),"")</f>
        <v>0.40000000000000002</v>
      </c>
      <c r="AU142" s="11">
        <f>IFERROR(AVERAGEIFS(RdTRABYVals!M$2:M$999,RdTRABYVals!$B$2:$B$999,"="&amp;$C142,RdTRABYVals!$C$2:$C$999,"="&amp;INS!$A142),"")</f>
        <v>0.44</v>
      </c>
      <c r="AV142" s="11">
        <f>IFERROR(AVERAGEIFS(RdTRABYVals!N$2:N$999,RdTRABYVals!$B$2:$B$999,"="&amp;$C142,RdTRABYVals!$C$2:$C$999,"="&amp;INS!$A142),"")</f>
        <v>0.42999999999999999</v>
      </c>
      <c r="AW142" s="11">
        <f>IFERROR(AVERAGEIFS(RdTRABYVals!O$2:O$999,RdTRABYVals!$B$2:$B$999,"="&amp;$C142,RdTRABYVals!$C$2:$C$999,"="&amp;INS!$A142),"")</f>
        <v>0.41999999999999998</v>
      </c>
      <c r="AX142" s="11">
        <f>IFERROR(AVERAGEIFS(RdTRABYVals!P$2:P$999,RdTRABYVals!$B$2:$B$999,"="&amp;$C142,RdTRABYVals!$C$2:$C$999,"="&amp;INS!$A142),"")</f>
        <v>0.38</v>
      </c>
      <c r="AY142" s="11">
        <f>IFERROR(AVERAGEIFS(RdTRABYVals!Q$2:Q$999,RdTRABYVals!$B$2:$B$999,"="&amp;$C142,RdTRABYVals!$C$2:$C$999,"="&amp;INS!$A142),"")</f>
        <v>0.41999999999999998</v>
      </c>
      <c r="AZ142" s="11">
        <f>IFERROR(AVERAGEIFS(RdTRABYVals!R$2:R$999,RdTRABYVals!$B$2:$B$999,"="&amp;$C142,RdTRABYVals!$C$2:$C$999,"="&amp;INS!$A142),"")</f>
        <v>0.40000000000000002</v>
      </c>
      <c r="BA142" s="11">
        <f>IFERROR(AVERAGEIFS(RdTRABYVals!S$2:S$999,RdTRABYVals!$B$2:$B$999,"="&amp;$C142,RdTRABYVals!$C$2:$C$999,"="&amp;INS!$A142),"")</f>
        <v>0.42999999999999999</v>
      </c>
      <c r="BB142" s="11">
        <f>IFERROR(AVERAGEIFS(RdTRABYVals!T$2:T$999,RdTRABYVals!$B$2:$B$999,"="&amp;$C142,RdTRABYVals!$C$2:$C$999,"="&amp;INS!$A142),"")</f>
        <v>0.42999999999999999</v>
      </c>
      <c r="BC142" s="11">
        <f>IFERROR(AVERAGEIFS(RdTRABYVals!U$2:U$999,RdTRABYVals!$B$2:$B$999,"="&amp;$C142,RdTRABYVals!$C$2:$C$999,"="&amp;INS!$A142),"")</f>
        <v>0.45000000000000001</v>
      </c>
      <c r="BD142" s="11">
        <f>IFERROR(AVERAGEIFS(RdTRABYVals!V$2:V$999,RdTRABYVals!$B$2:$B$999,"="&amp;$C142,RdTRABYVals!$C$2:$C$999,"="&amp;INS!$A142),"")</f>
        <v>0.46000000000000002</v>
      </c>
      <c r="BE142" s="11">
        <f>IFERROR(AVERAGEIFS(RdTRABYVals!W$2:W$999,RdTRABYVals!$B$2:$B$999,"="&amp;$C142,RdTRABYVals!$C$2:$C$999,"="&amp;INS!$A142),"")</f>
        <v>0.40000000000000002</v>
      </c>
      <c r="BF142" s="11">
        <f>IFERROR(AVERAGEIFS(RdTRABYVals!X$2:X$999,RdTRABYVals!$B$2:$B$999,"="&amp;$C142,RdTRABYVals!$C$2:$C$999,"="&amp;INS!$A142),"")</f>
        <v>0.44</v>
      </c>
      <c r="BG142" s="11">
        <f>IFERROR(AVERAGEIFS(RdTRABYVals!Y$2:Y$999,RdTRABYVals!$B$2:$B$999,"="&amp;$C142,RdTRABYVals!$C$2:$C$999,"="&amp;INS!$A142),"")</f>
        <v>0.41999999999999998</v>
      </c>
      <c r="BH142" s="11">
        <f>IFERROR(AVERAGEIFS(RdTRABYVals!Z$2:Z$999,RdTRABYVals!$B$2:$B$999,"="&amp;$C142,RdTRABYVals!$C$2:$C$999,"="&amp;INS!$A142),"")</f>
        <v>0.46000000000000002</v>
      </c>
      <c r="BI142" s="11">
        <f>IFERROR(AVERAGEIFS(RdTRABYVals!AA$2:AA$999,RdTRABYVals!$B$2:$B$999,"="&amp;$C142,RdTRABYVals!$C$2:$C$999,"="&amp;INS!$A142),"")</f>
        <v>0.42999999999999999</v>
      </c>
      <c r="BJ142" s="11">
        <f>IFERROR(AVERAGEIFS(RdTRABYVals!AB$2:AB$999,RdTRABYVals!$B$2:$B$999,"="&amp;$C142,RdTRABYVals!$C$2:$C$999,"="&amp;INS!$A142),"")</f>
        <v>0.46000000000000002</v>
      </c>
      <c r="BK142" s="11">
        <f>IFERROR(AVERAGEIFS(RdTRABYVals!AC$2:AC$999,RdTRABYVals!$B$2:$B$999,"="&amp;$C142,RdTRABYVals!$C$2:$C$999,"="&amp;INS!$A142),"")</f>
        <v>0.44</v>
      </c>
      <c r="BL142" s="11">
        <f>IFERROR(AVERAGEIFS(RdTRABYVals!AD$2:AD$999,RdTRABYVals!$B$2:$B$999,"="&amp;$C142,RdTRABYVals!$C$2:$C$999,"="&amp;INS!$A142),"")</f>
        <v>0.41999999999999998</v>
      </c>
      <c r="BM142" s="11">
        <f>IFERROR(AVERAGEIFS(RdTRABYVals!AE$2:AE$999,RdTRABYVals!$B$2:$B$999,"="&amp;$C142,RdTRABYVals!$C$2:$C$999,"="&amp;INS!$A142),"")</f>
        <v>0.44</v>
      </c>
      <c r="BN142" s="11">
        <f>IFERROR(AVERAGEIFS(RdTRABYVals!AF$2:AF$999,RdTRABYVals!$B$2:$B$999,"="&amp;$C142,RdTRABYVals!$C$2:$C$999,"="&amp;INS!$A142),"")</f>
        <v>0.42999999999999999</v>
      </c>
      <c r="BO142" s="11">
        <f>IFERROR(AVERAGEIFS(RdTRABYVals!AG$2:AG$999,RdTRABYVals!$B$2:$B$999,"="&amp;$C142,RdTRABYVals!$C$2:$C$999,"="&amp;INS!$A142),"")</f>
        <v>0.44</v>
      </c>
      <c r="BP142" s="11">
        <f>IFERROR(AVERAGEIFS(RdTRABYVals!AH$2:AH$999,RdTRABYVals!$B$2:$B$999,"="&amp;$C142,RdTRABYVals!$C$2:$C$999,"="&amp;INS!$A142),"")</f>
        <v>0.42999999999999999</v>
      </c>
      <c r="BQ142" s="11">
        <f>IFERROR(AVERAGEIFS(RdTRABYVals!AI$2:AI$999,RdTRABYVals!$B$2:$B$999,"="&amp;$C142,RdTRABYVals!$C$2:$C$999,"="&amp;INS!$A142),"")</f>
        <v>0.45000000000000001</v>
      </c>
      <c r="BR142" s="11">
        <f>IFERROR(AVERAGEIFS(RdTRABYVals!AJ$2:AJ$999,RdTRABYVals!$B$2:$B$999,"="&amp;$C142,RdTRABYVals!$C$2:$C$999,"="&amp;INS!$A142),"")</f>
        <v>0.40000000000000002</v>
      </c>
      <c r="BS142" s="11">
        <f>IFERROR(AVERAGEIFS(RdTRABYVals!AK$2:AK$999,RdTRABYVals!$B$2:$B$999,"="&amp;$C142,RdTRABYVals!$C$2:$C$999,"="&amp;INS!$A142),"")</f>
        <v>0.42999999999999999</v>
      </c>
      <c r="BT142" s="11">
        <f>IFERROR(AVERAGEIFS(RdTRABYVals!AL$2:AL$999,RdTRABYVals!$B$2:$B$999,"="&amp;$C142,RdTRABYVals!$C$2:$C$999,"="&amp;INS!$A142),"")</f>
        <v>0.44</v>
      </c>
      <c r="BU142" s="11">
        <f>IFERROR(AVERAGEIFS(RdTRABYVals!AM$2:AM$999,RdTRABYVals!$B$2:$B$999,"="&amp;$C142,RdTRABYVals!$C$2:$C$999,"="&amp;INS!$A142),"")</f>
        <v>0.40000000000000002</v>
      </c>
      <c r="BV142" s="11">
        <f>IFERROR(AVERAGEIFS(RdTRABYVals!AN$2:AN$999,RdTRABYVals!$B$2:$B$999,"="&amp;$C142,RdTRABYVals!$C$2:$C$999,"="&amp;INS!$A142),"")</f>
        <v>0.41999999999999998</v>
      </c>
      <c r="BW142" s="11">
        <f>IFERROR(AVERAGEIFS(RdTRABYVals!AO$2:AO$999,RdTRABYVals!$B$2:$B$999,"="&amp;$C142,RdTRABYVals!$C$2:$C$999,"="&amp;INS!$A142),"")</f>
        <v>0.42999999999999999</v>
      </c>
      <c r="BX142" s="11">
        <f>IFERROR(AVERAGEIFS(RdTRABYVals!AP$2:AP$999,RdTRABYVals!$B$2:$B$999,"="&amp;$C142,RdTRABYVals!$C$2:$C$999,"="&amp;INS!$A142),"")</f>
        <v>0.45000000000000001</v>
      </c>
      <c r="BY142" s="11">
        <f>IFERROR(AVERAGEIFS(RdTRABYVals!AQ$2:AQ$999,RdTRABYVals!$B$2:$B$999,"="&amp;$C142,RdTRABYVals!$C$2:$C$999,"="&amp;INS!$A142),"")</f>
        <v>0.39000000000000001</v>
      </c>
      <c r="BZ142" s="11">
        <f>IFERROR(AVERAGEIFS(RdTRABYVals!AR$2:AR$999,RdTRABYVals!$B$2:$B$999,"="&amp;$C142,RdTRABYVals!$C$2:$C$999,"="&amp;INS!$A142),"")</f>
        <v>0.42999999999999999</v>
      </c>
      <c r="CA142" s="11">
        <f>IFERROR(AVERAGEIFS(RdTRABYVals!AS$2:AS$999,RdTRABYVals!$B$2:$B$999,"="&amp;$C142,RdTRABYVals!$C$2:$C$999,"="&amp;INS!$A142),"")</f>
        <v>0.46000000000000002</v>
      </c>
      <c r="CB142" s="11">
        <f>IFERROR(AVERAGEIFS(RdTRABYVals!AT$2:AT$999,RdTRABYVals!$B$2:$B$999,"="&amp;$C142,RdTRABYVals!$C$2:$C$999,"="&amp;INS!$A142),"")</f>
        <v>0.44</v>
      </c>
      <c r="CC142" s="11">
        <f>IFERROR(AVERAGEIFS(RdTRABYVals!AU$2:AU$999,RdTRABYVals!$B$2:$B$999,"="&amp;$C142,RdTRABYVals!$C$2:$C$999,"="&amp;INS!$A142),"")</f>
        <v>0.45000000000000001</v>
      </c>
      <c r="CD142" s="11">
        <f>IFERROR(AVERAGEIFS(RdTRABYVals!AV$2:AV$999,RdTRABYVals!$B$2:$B$999,"="&amp;$C142,RdTRABYVals!$C$2:$C$999,"="&amp;INS!$A142),"")</f>
        <v>0.46000000000000002</v>
      </c>
    </row>
    <row r="143" spans="1:82" ht="14.4">
      <c r="A143" s="3" t="s">
        <v>129</v>
      </c>
      <c r="C143" s="1" t="s">
        <v>29</v>
      </c>
      <c r="D143" t="s">
        <v>150</v>
      </c>
      <c r="F143" t="str">
        <f t="shared" si="31"/>
        <v>*0.442702702702703</v>
      </c>
      <c r="G143" t="str">
        <f t="shared" si="37"/>
        <v>*0.41</v>
      </c>
      <c r="H143" t="str">
        <f t="shared" si="38"/>
        <v>*0.45</v>
      </c>
      <c r="I143" t="str">
        <f t="shared" si="39"/>
        <v>*0.44</v>
      </c>
      <c r="J143" t="str">
        <f t="shared" si="40"/>
        <v>*0.43</v>
      </c>
      <c r="K143" t="str">
        <f t="shared" si="41"/>
        <v>*0.38</v>
      </c>
      <c r="L143" t="str">
        <f t="shared" si="42"/>
        <v>*0.44</v>
      </c>
      <c r="M143" t="str">
        <f t="shared" si="43"/>
        <v>*0.41</v>
      </c>
      <c r="N143" t="str">
        <f t="shared" si="44"/>
        <v>*0.44</v>
      </c>
      <c r="O143" t="str">
        <f t="shared" si="45"/>
        <v>*0.44</v>
      </c>
      <c r="P143" t="str">
        <f t="shared" si="46"/>
        <v>*0.49</v>
      </c>
      <c r="Q143" t="str">
        <f t="shared" si="47"/>
        <v>*0.47</v>
      </c>
      <c r="R143" t="str">
        <f t="shared" si="48"/>
        <v>*0.41</v>
      </c>
      <c r="S143" t="str">
        <f t="shared" si="49"/>
        <v>*0.45</v>
      </c>
      <c r="T143" t="str">
        <f t="shared" si="50"/>
        <v>*0.43</v>
      </c>
      <c r="U143" t="str">
        <f t="shared" si="51"/>
        <v>*0.47</v>
      </c>
      <c r="V143" t="str">
        <f t="shared" si="52"/>
        <v>*0.44</v>
      </c>
      <c r="W143" t="str">
        <f t="shared" si="53"/>
        <v>*0.46</v>
      </c>
      <c r="X143" t="str">
        <f t="shared" si="54"/>
        <v>*0.46</v>
      </c>
      <c r="Y143" t="str">
        <f t="shared" si="55"/>
        <v>*0.45</v>
      </c>
      <c r="Z143" t="str">
        <f t="shared" si="56"/>
        <v>*0.45</v>
      </c>
      <c r="AA143" t="str">
        <f t="shared" si="57"/>
        <v>*0.44</v>
      </c>
      <c r="AB143" t="str">
        <f t="shared" si="58"/>
        <v>*0.44</v>
      </c>
      <c r="AC143" t="str">
        <f t="shared" si="59"/>
        <v>*0.48</v>
      </c>
      <c r="AD143" t="str">
        <f t="shared" si="60"/>
        <v>*0.45</v>
      </c>
      <c r="AE143" t="str">
        <f t="shared" si="61"/>
        <v>*0.41</v>
      </c>
      <c r="AF143" t="str">
        <f t="shared" si="62"/>
        <v>*0.44</v>
      </c>
      <c r="AG143" t="str">
        <f t="shared" si="63"/>
        <v>*0.46</v>
      </c>
      <c r="AH143" t="str">
        <f t="shared" si="64"/>
        <v>*0.43</v>
      </c>
      <c r="AI143" t="str">
        <f t="shared" si="65"/>
        <v>*0.42</v>
      </c>
      <c r="AJ143" t="str">
        <f t="shared" si="66"/>
        <v>*0.43</v>
      </c>
      <c r="AK143" t="str">
        <f t="shared" si="67"/>
        <v>*0.47</v>
      </c>
      <c r="AL143" t="str">
        <f t="shared" si="68"/>
        <v>*0.39</v>
      </c>
      <c r="AM143" t="str">
        <f t="shared" si="69"/>
        <v>*0.44</v>
      </c>
      <c r="AN143" t="str">
        <f t="shared" si="33"/>
        <v>*0.48</v>
      </c>
      <c r="AO143" t="str">
        <f t="shared" si="34"/>
        <v>*0.44</v>
      </c>
      <c r="AP143" t="str">
        <f t="shared" si="35"/>
        <v>*0.46</v>
      </c>
      <c r="AQ143" t="str">
        <f t="shared" si="36"/>
        <v>*0.48</v>
      </c>
      <c r="AS143" s="11">
        <f t="shared" si="70"/>
        <v>0.44270270270270262</v>
      </c>
      <c r="AT143" s="11">
        <f>IFERROR(AVERAGEIFS(RdTRABYVals!L$2:L$999,RdTRABYVals!$B$2:$B$999,"="&amp;$C143,RdTRABYVals!$C$2:$C$999,"="&amp;INS!$A143),"")</f>
        <v>0.40999999999999998</v>
      </c>
      <c r="AU143" s="11">
        <f>IFERROR(AVERAGEIFS(RdTRABYVals!M$2:M$999,RdTRABYVals!$B$2:$B$999,"="&amp;$C143,RdTRABYVals!$C$2:$C$999,"="&amp;INS!$A143),"")</f>
        <v>0.45000000000000001</v>
      </c>
      <c r="AV143" s="11">
        <f>IFERROR(AVERAGEIFS(RdTRABYVals!N$2:N$999,RdTRABYVals!$B$2:$B$999,"="&amp;$C143,RdTRABYVals!$C$2:$C$999,"="&amp;INS!$A143),"")</f>
        <v>0.44</v>
      </c>
      <c r="AW143" s="11">
        <f>IFERROR(AVERAGEIFS(RdTRABYVals!O$2:O$999,RdTRABYVals!$B$2:$B$999,"="&amp;$C143,RdTRABYVals!$C$2:$C$999,"="&amp;INS!$A143),"")</f>
        <v>0.42999999999999999</v>
      </c>
      <c r="AX143" s="11">
        <f>IFERROR(AVERAGEIFS(RdTRABYVals!P$2:P$999,RdTRABYVals!$B$2:$B$999,"="&amp;$C143,RdTRABYVals!$C$2:$C$999,"="&amp;INS!$A143),"")</f>
        <v>0.38</v>
      </c>
      <c r="AY143" s="11">
        <f>IFERROR(AVERAGEIFS(RdTRABYVals!Q$2:Q$999,RdTRABYVals!$B$2:$B$999,"="&amp;$C143,RdTRABYVals!$C$2:$C$999,"="&amp;INS!$A143),"")</f>
        <v>0.44</v>
      </c>
      <c r="AZ143" s="11">
        <f>IFERROR(AVERAGEIFS(RdTRABYVals!R$2:R$999,RdTRABYVals!$B$2:$B$999,"="&amp;$C143,RdTRABYVals!$C$2:$C$999,"="&amp;INS!$A143),"")</f>
        <v>0.40999999999999998</v>
      </c>
      <c r="BA143" s="11">
        <f>IFERROR(AVERAGEIFS(RdTRABYVals!S$2:S$999,RdTRABYVals!$B$2:$B$999,"="&amp;$C143,RdTRABYVals!$C$2:$C$999,"="&amp;INS!$A143),"")</f>
        <v>0.44</v>
      </c>
      <c r="BB143" s="11">
        <f>IFERROR(AVERAGEIFS(RdTRABYVals!T$2:T$999,RdTRABYVals!$B$2:$B$999,"="&amp;$C143,RdTRABYVals!$C$2:$C$999,"="&amp;INS!$A143),"")</f>
        <v>0.44</v>
      </c>
      <c r="BC143" s="11">
        <f>IFERROR(AVERAGEIFS(RdTRABYVals!U$2:U$999,RdTRABYVals!$B$2:$B$999,"="&amp;$C143,RdTRABYVals!$C$2:$C$999,"="&amp;INS!$A143),"")</f>
        <v>0.48999999999999999</v>
      </c>
      <c r="BD143" s="11">
        <f>IFERROR(AVERAGEIFS(RdTRABYVals!V$2:V$999,RdTRABYVals!$B$2:$B$999,"="&amp;$C143,RdTRABYVals!$C$2:$C$999,"="&amp;INS!$A143),"")</f>
        <v>0.46999999999999997</v>
      </c>
      <c r="BE143" s="11">
        <f>IFERROR(AVERAGEIFS(RdTRABYVals!W$2:W$999,RdTRABYVals!$B$2:$B$999,"="&amp;$C143,RdTRABYVals!$C$2:$C$999,"="&amp;INS!$A143),"")</f>
        <v>0.40999999999999998</v>
      </c>
      <c r="BF143" s="11">
        <f>IFERROR(AVERAGEIFS(RdTRABYVals!X$2:X$999,RdTRABYVals!$B$2:$B$999,"="&amp;$C143,RdTRABYVals!$C$2:$C$999,"="&amp;INS!$A143),"")</f>
        <v>0.45000000000000001</v>
      </c>
      <c r="BG143" s="11">
        <f>IFERROR(AVERAGEIFS(RdTRABYVals!Y$2:Y$999,RdTRABYVals!$B$2:$B$999,"="&amp;$C143,RdTRABYVals!$C$2:$C$999,"="&amp;INS!$A143),"")</f>
        <v>0.42999999999999999</v>
      </c>
      <c r="BH143" s="11">
        <f>IFERROR(AVERAGEIFS(RdTRABYVals!Z$2:Z$999,RdTRABYVals!$B$2:$B$999,"="&amp;$C143,RdTRABYVals!$C$2:$C$999,"="&amp;INS!$A143),"")</f>
        <v>0.46999999999999997</v>
      </c>
      <c r="BI143" s="11">
        <f>IFERROR(AVERAGEIFS(RdTRABYVals!AA$2:AA$999,RdTRABYVals!$B$2:$B$999,"="&amp;$C143,RdTRABYVals!$C$2:$C$999,"="&amp;INS!$A143),"")</f>
        <v>0.44</v>
      </c>
      <c r="BJ143" s="11">
        <f>IFERROR(AVERAGEIFS(RdTRABYVals!AB$2:AB$999,RdTRABYVals!$B$2:$B$999,"="&amp;$C143,RdTRABYVals!$C$2:$C$999,"="&amp;INS!$A143),"")</f>
        <v>0.46000000000000002</v>
      </c>
      <c r="BK143" s="11">
        <f>IFERROR(AVERAGEIFS(RdTRABYVals!AC$2:AC$999,RdTRABYVals!$B$2:$B$999,"="&amp;$C143,RdTRABYVals!$C$2:$C$999,"="&amp;INS!$A143),"")</f>
        <v>0.46000000000000002</v>
      </c>
      <c r="BL143" s="11">
        <f>IFERROR(AVERAGEIFS(RdTRABYVals!AD$2:AD$999,RdTRABYVals!$B$2:$B$999,"="&amp;$C143,RdTRABYVals!$C$2:$C$999,"="&amp;INS!$A143),"")</f>
        <v>0.45000000000000001</v>
      </c>
      <c r="BM143" s="11">
        <f>IFERROR(AVERAGEIFS(RdTRABYVals!AE$2:AE$999,RdTRABYVals!$B$2:$B$999,"="&amp;$C143,RdTRABYVals!$C$2:$C$999,"="&amp;INS!$A143),"")</f>
        <v>0.45000000000000001</v>
      </c>
      <c r="BN143" s="11">
        <f>IFERROR(AVERAGEIFS(RdTRABYVals!AF$2:AF$999,RdTRABYVals!$B$2:$B$999,"="&amp;$C143,RdTRABYVals!$C$2:$C$999,"="&amp;INS!$A143),"")</f>
        <v>0.44</v>
      </c>
      <c r="BO143" s="11">
        <f>IFERROR(AVERAGEIFS(RdTRABYVals!AG$2:AG$999,RdTRABYVals!$B$2:$B$999,"="&amp;$C143,RdTRABYVals!$C$2:$C$999,"="&amp;INS!$A143),"")</f>
        <v>0.44</v>
      </c>
      <c r="BP143" s="11">
        <f>IFERROR(AVERAGEIFS(RdTRABYVals!AH$2:AH$999,RdTRABYVals!$B$2:$B$999,"="&amp;$C143,RdTRABYVals!$C$2:$C$999,"="&amp;INS!$A143),"")</f>
        <v>0.47999999999999998</v>
      </c>
      <c r="BQ143" s="11">
        <f>IFERROR(AVERAGEIFS(RdTRABYVals!AI$2:AI$999,RdTRABYVals!$B$2:$B$999,"="&amp;$C143,RdTRABYVals!$C$2:$C$999,"="&amp;INS!$A143),"")</f>
        <v>0.45000000000000001</v>
      </c>
      <c r="BR143" s="11">
        <f>IFERROR(AVERAGEIFS(RdTRABYVals!AJ$2:AJ$999,RdTRABYVals!$B$2:$B$999,"="&amp;$C143,RdTRABYVals!$C$2:$C$999,"="&amp;INS!$A143),"")</f>
        <v>0.40999999999999998</v>
      </c>
      <c r="BS143" s="11">
        <f>IFERROR(AVERAGEIFS(RdTRABYVals!AK$2:AK$999,RdTRABYVals!$B$2:$B$999,"="&amp;$C143,RdTRABYVals!$C$2:$C$999,"="&amp;INS!$A143),"")</f>
        <v>0.44</v>
      </c>
      <c r="BT143" s="11">
        <f>IFERROR(AVERAGEIFS(RdTRABYVals!AL$2:AL$999,RdTRABYVals!$B$2:$B$999,"="&amp;$C143,RdTRABYVals!$C$2:$C$999,"="&amp;INS!$A143),"")</f>
        <v>0.46000000000000002</v>
      </c>
      <c r="BU143" s="11">
        <f>IFERROR(AVERAGEIFS(RdTRABYVals!AM$2:AM$999,RdTRABYVals!$B$2:$B$999,"="&amp;$C143,RdTRABYVals!$C$2:$C$999,"="&amp;INS!$A143),"")</f>
        <v>0.42999999999999999</v>
      </c>
      <c r="BV143" s="11">
        <f>IFERROR(AVERAGEIFS(RdTRABYVals!AN$2:AN$999,RdTRABYVals!$B$2:$B$999,"="&amp;$C143,RdTRABYVals!$C$2:$C$999,"="&amp;INS!$A143),"")</f>
        <v>0.41999999999999998</v>
      </c>
      <c r="BW143" s="11">
        <f>IFERROR(AVERAGEIFS(RdTRABYVals!AO$2:AO$999,RdTRABYVals!$B$2:$B$999,"="&amp;$C143,RdTRABYVals!$C$2:$C$999,"="&amp;INS!$A143),"")</f>
        <v>0.42999999999999999</v>
      </c>
      <c r="BX143" s="11">
        <f>IFERROR(AVERAGEIFS(RdTRABYVals!AP$2:AP$999,RdTRABYVals!$B$2:$B$999,"="&amp;$C143,RdTRABYVals!$C$2:$C$999,"="&amp;INS!$A143),"")</f>
        <v>0.46999999999999997</v>
      </c>
      <c r="BY143" s="11">
        <f>IFERROR(AVERAGEIFS(RdTRABYVals!AQ$2:AQ$999,RdTRABYVals!$B$2:$B$999,"="&amp;$C143,RdTRABYVals!$C$2:$C$999,"="&amp;INS!$A143),"")</f>
        <v>0.39000000000000001</v>
      </c>
      <c r="BZ143" s="11">
        <f>IFERROR(AVERAGEIFS(RdTRABYVals!AR$2:AR$999,RdTRABYVals!$B$2:$B$999,"="&amp;$C143,RdTRABYVals!$C$2:$C$999,"="&amp;INS!$A143),"")</f>
        <v>0.44</v>
      </c>
      <c r="CA143" s="11">
        <f>IFERROR(AVERAGEIFS(RdTRABYVals!AS$2:AS$999,RdTRABYVals!$B$2:$B$999,"="&amp;$C143,RdTRABYVals!$C$2:$C$999,"="&amp;INS!$A143),"")</f>
        <v>0.47999999999999998</v>
      </c>
      <c r="CB143" s="11">
        <f>IFERROR(AVERAGEIFS(RdTRABYVals!AT$2:AT$999,RdTRABYVals!$B$2:$B$999,"="&amp;$C143,RdTRABYVals!$C$2:$C$999,"="&amp;INS!$A143),"")</f>
        <v>0.44</v>
      </c>
      <c r="CC143" s="11">
        <f>IFERROR(AVERAGEIFS(RdTRABYVals!AU$2:AU$999,RdTRABYVals!$B$2:$B$999,"="&amp;$C143,RdTRABYVals!$C$2:$C$999,"="&amp;INS!$A143),"")</f>
        <v>0.46000000000000002</v>
      </c>
      <c r="CD143" s="11">
        <f>IFERROR(AVERAGEIFS(RdTRABYVals!AV$2:AV$999,RdTRABYVals!$B$2:$B$999,"="&amp;$C143,RdTRABYVals!$C$2:$C$999,"="&amp;INS!$A143),"")</f>
        <v>0.47999999999999998</v>
      </c>
    </row>
    <row r="144" spans="1:82" ht="14.4">
      <c r="A144" s="3" t="s">
        <v>130</v>
      </c>
      <c r="C144" s="1" t="s">
        <v>29</v>
      </c>
      <c r="D144" t="s">
        <v>151</v>
      </c>
      <c r="F144" t="str">
        <f t="shared" si="31"/>
        <v>*0.364054054054054</v>
      </c>
      <c r="G144" t="str">
        <f t="shared" si="37"/>
        <v>*0.34</v>
      </c>
      <c r="H144" t="str">
        <f t="shared" si="38"/>
        <v>*0.37</v>
      </c>
      <c r="I144" t="str">
        <f t="shared" si="39"/>
        <v>*0.36</v>
      </c>
      <c r="J144" t="str">
        <f t="shared" si="40"/>
        <v>*0.36</v>
      </c>
      <c r="K144" t="str">
        <f t="shared" si="41"/>
        <v>*0.32</v>
      </c>
      <c r="L144" t="str">
        <f t="shared" si="42"/>
        <v>*0.36</v>
      </c>
      <c r="M144" t="str">
        <f t="shared" si="43"/>
        <v>*0.33</v>
      </c>
      <c r="N144" t="str">
        <f t="shared" si="44"/>
        <v>*0.37</v>
      </c>
      <c r="O144" t="str">
        <f t="shared" si="45"/>
        <v>*0.37</v>
      </c>
      <c r="P144" t="str">
        <f t="shared" si="46"/>
        <v>*0.38</v>
      </c>
      <c r="Q144" t="str">
        <f t="shared" si="47"/>
        <v>*0.4</v>
      </c>
      <c r="R144" t="str">
        <f t="shared" si="48"/>
        <v>*0.34</v>
      </c>
      <c r="S144" t="str">
        <f t="shared" si="49"/>
        <v>*0.38</v>
      </c>
      <c r="T144" t="str">
        <f t="shared" si="50"/>
        <v>*0.36</v>
      </c>
      <c r="U144" t="str">
        <f t="shared" si="51"/>
        <v>*0.38</v>
      </c>
      <c r="V144" t="str">
        <f t="shared" si="52"/>
        <v>*0.36</v>
      </c>
      <c r="W144" t="str">
        <f t="shared" si="53"/>
        <v>*0.39</v>
      </c>
      <c r="X144" t="str">
        <f t="shared" si="54"/>
        <v>*0.37</v>
      </c>
      <c r="Y144" t="str">
        <f t="shared" si="55"/>
        <v>*0.35</v>
      </c>
      <c r="Z144" t="str">
        <f t="shared" si="56"/>
        <v>*0.37</v>
      </c>
      <c r="AA144" t="str">
        <f t="shared" si="57"/>
        <v>*0.36</v>
      </c>
      <c r="AB144" t="str">
        <f t="shared" si="58"/>
        <v>*0.36</v>
      </c>
      <c r="AC144" t="str">
        <f t="shared" si="59"/>
        <v>*0.36</v>
      </c>
      <c r="AD144" t="str">
        <f t="shared" si="60"/>
        <v>*0.38</v>
      </c>
      <c r="AE144" t="str">
        <f t="shared" si="61"/>
        <v>*0.34</v>
      </c>
      <c r="AF144" t="str">
        <f t="shared" si="62"/>
        <v>*0.36</v>
      </c>
      <c r="AG144" t="str">
        <f t="shared" si="63"/>
        <v>*0.37</v>
      </c>
      <c r="AH144" t="str">
        <f t="shared" si="64"/>
        <v>*0.34</v>
      </c>
      <c r="AI144" t="str">
        <f t="shared" si="65"/>
        <v>*0.36</v>
      </c>
      <c r="AJ144" t="str">
        <f t="shared" si="66"/>
        <v>*0.37</v>
      </c>
      <c r="AK144" t="str">
        <f t="shared" si="67"/>
        <v>*0.39</v>
      </c>
      <c r="AL144" t="str">
        <f t="shared" si="68"/>
        <v>*0.33</v>
      </c>
      <c r="AM144" t="str">
        <f t="shared" si="69"/>
        <v>*0.36</v>
      </c>
      <c r="AN144" t="str">
        <f t="shared" si="33"/>
        <v>*0.38</v>
      </c>
      <c r="AO144" t="str">
        <f t="shared" si="34"/>
        <v>*0.37</v>
      </c>
      <c r="AP144" t="str">
        <f t="shared" si="35"/>
        <v>*0.39</v>
      </c>
      <c r="AQ144" t="str">
        <f t="shared" si="36"/>
        <v>*0.39</v>
      </c>
      <c r="AS144" s="11">
        <f t="shared" si="70"/>
        <v>0.364054054054054</v>
      </c>
      <c r="AT144" s="11">
        <f>IFERROR(AVERAGEIFS(RdTRABYVals!L$2:L$999,RdTRABYVals!$B$2:$B$999,"="&amp;$C144,RdTRABYVals!$C$2:$C$999,"="&amp;INS!$A144),"")</f>
        <v>0.34000000000000002</v>
      </c>
      <c r="AU144" s="11">
        <f>IFERROR(AVERAGEIFS(RdTRABYVals!M$2:M$999,RdTRABYVals!$B$2:$B$999,"="&amp;$C144,RdTRABYVals!$C$2:$C$999,"="&amp;INS!$A144),"")</f>
        <v>0.37</v>
      </c>
      <c r="AV144" s="11">
        <f>IFERROR(AVERAGEIFS(RdTRABYVals!N$2:N$999,RdTRABYVals!$B$2:$B$999,"="&amp;$C144,RdTRABYVals!$C$2:$C$999,"="&amp;INS!$A144),"")</f>
        <v>0.35999999999999999</v>
      </c>
      <c r="AW144" s="11">
        <f>IFERROR(AVERAGEIFS(RdTRABYVals!O$2:O$999,RdTRABYVals!$B$2:$B$999,"="&amp;$C144,RdTRABYVals!$C$2:$C$999,"="&amp;INS!$A144),"")</f>
        <v>0.35999999999999999</v>
      </c>
      <c r="AX144" s="11">
        <f>IFERROR(AVERAGEIFS(RdTRABYVals!P$2:P$999,RdTRABYVals!$B$2:$B$999,"="&amp;$C144,RdTRABYVals!$C$2:$C$999,"="&amp;INS!$A144),"")</f>
        <v>0.32000000000000001</v>
      </c>
      <c r="AY144" s="11">
        <f>IFERROR(AVERAGEIFS(RdTRABYVals!Q$2:Q$999,RdTRABYVals!$B$2:$B$999,"="&amp;$C144,RdTRABYVals!$C$2:$C$999,"="&amp;INS!$A144),"")</f>
        <v>0.35999999999999999</v>
      </c>
      <c r="AZ144" s="11">
        <f>IFERROR(AVERAGEIFS(RdTRABYVals!R$2:R$999,RdTRABYVals!$B$2:$B$999,"="&amp;$C144,RdTRABYVals!$C$2:$C$999,"="&amp;INS!$A144),"")</f>
        <v>0.33000000000000002</v>
      </c>
      <c r="BA144" s="11">
        <f>IFERROR(AVERAGEIFS(RdTRABYVals!S$2:S$999,RdTRABYVals!$B$2:$B$999,"="&amp;$C144,RdTRABYVals!$C$2:$C$999,"="&amp;INS!$A144),"")</f>
        <v>0.37</v>
      </c>
      <c r="BB144" s="11">
        <f>IFERROR(AVERAGEIFS(RdTRABYVals!T$2:T$999,RdTRABYVals!$B$2:$B$999,"="&amp;$C144,RdTRABYVals!$C$2:$C$999,"="&amp;INS!$A144),"")</f>
        <v>0.37</v>
      </c>
      <c r="BC144" s="11">
        <f>IFERROR(AVERAGEIFS(RdTRABYVals!U$2:U$999,RdTRABYVals!$B$2:$B$999,"="&amp;$C144,RdTRABYVals!$C$2:$C$999,"="&amp;INS!$A144),"")</f>
        <v>0.38</v>
      </c>
      <c r="BD144" s="11">
        <f>IFERROR(AVERAGEIFS(RdTRABYVals!V$2:V$999,RdTRABYVals!$B$2:$B$999,"="&amp;$C144,RdTRABYVals!$C$2:$C$999,"="&amp;INS!$A144),"")</f>
        <v>0.40000000000000002</v>
      </c>
      <c r="BE144" s="11">
        <f>IFERROR(AVERAGEIFS(RdTRABYVals!W$2:W$999,RdTRABYVals!$B$2:$B$999,"="&amp;$C144,RdTRABYVals!$C$2:$C$999,"="&amp;INS!$A144),"")</f>
        <v>0.34000000000000002</v>
      </c>
      <c r="BF144" s="11">
        <f>IFERROR(AVERAGEIFS(RdTRABYVals!X$2:X$999,RdTRABYVals!$B$2:$B$999,"="&amp;$C144,RdTRABYVals!$C$2:$C$999,"="&amp;INS!$A144),"")</f>
        <v>0.38</v>
      </c>
      <c r="BG144" s="11">
        <f>IFERROR(AVERAGEIFS(RdTRABYVals!Y$2:Y$999,RdTRABYVals!$B$2:$B$999,"="&amp;$C144,RdTRABYVals!$C$2:$C$999,"="&amp;INS!$A144),"")</f>
        <v>0.35999999999999999</v>
      </c>
      <c r="BH144" s="11">
        <f>IFERROR(AVERAGEIFS(RdTRABYVals!Z$2:Z$999,RdTRABYVals!$B$2:$B$999,"="&amp;$C144,RdTRABYVals!$C$2:$C$999,"="&amp;INS!$A144),"")</f>
        <v>0.38</v>
      </c>
      <c r="BI144" s="11">
        <f>IFERROR(AVERAGEIFS(RdTRABYVals!AA$2:AA$999,RdTRABYVals!$B$2:$B$999,"="&amp;$C144,RdTRABYVals!$C$2:$C$999,"="&amp;INS!$A144),"")</f>
        <v>0.35999999999999999</v>
      </c>
      <c r="BJ144" s="11">
        <f>IFERROR(AVERAGEIFS(RdTRABYVals!AB$2:AB$999,RdTRABYVals!$B$2:$B$999,"="&amp;$C144,RdTRABYVals!$C$2:$C$999,"="&amp;INS!$A144),"")</f>
        <v>0.39000000000000001</v>
      </c>
      <c r="BK144" s="11">
        <f>IFERROR(AVERAGEIFS(RdTRABYVals!AC$2:AC$999,RdTRABYVals!$B$2:$B$999,"="&amp;$C144,RdTRABYVals!$C$2:$C$999,"="&amp;INS!$A144),"")</f>
        <v>0.37</v>
      </c>
      <c r="BL144" s="11">
        <f>IFERROR(AVERAGEIFS(RdTRABYVals!AD$2:AD$999,RdTRABYVals!$B$2:$B$999,"="&amp;$C144,RdTRABYVals!$C$2:$C$999,"="&amp;INS!$A144),"")</f>
        <v>0.34999999999999998</v>
      </c>
      <c r="BM144" s="11">
        <f>IFERROR(AVERAGEIFS(RdTRABYVals!AE$2:AE$999,RdTRABYVals!$B$2:$B$999,"="&amp;$C144,RdTRABYVals!$C$2:$C$999,"="&amp;INS!$A144),"")</f>
        <v>0.37</v>
      </c>
      <c r="BN144" s="11">
        <f>IFERROR(AVERAGEIFS(RdTRABYVals!AF$2:AF$999,RdTRABYVals!$B$2:$B$999,"="&amp;$C144,RdTRABYVals!$C$2:$C$999,"="&amp;INS!$A144),"")</f>
        <v>0.35999999999999999</v>
      </c>
      <c r="BO144" s="11">
        <f>IFERROR(AVERAGEIFS(RdTRABYVals!AG$2:AG$999,RdTRABYVals!$B$2:$B$999,"="&amp;$C144,RdTRABYVals!$C$2:$C$999,"="&amp;INS!$A144),"")</f>
        <v>0.35999999999999999</v>
      </c>
      <c r="BP144" s="11">
        <f>IFERROR(AVERAGEIFS(RdTRABYVals!AH$2:AH$999,RdTRABYVals!$B$2:$B$999,"="&amp;$C144,RdTRABYVals!$C$2:$C$999,"="&amp;INS!$A144),"")</f>
        <v>0.35999999999999999</v>
      </c>
      <c r="BQ144" s="11">
        <f>IFERROR(AVERAGEIFS(RdTRABYVals!AI$2:AI$999,RdTRABYVals!$B$2:$B$999,"="&amp;$C144,RdTRABYVals!$C$2:$C$999,"="&amp;INS!$A144),"")</f>
        <v>0.38</v>
      </c>
      <c r="BR144" s="11">
        <f>IFERROR(AVERAGEIFS(RdTRABYVals!AJ$2:AJ$999,RdTRABYVals!$B$2:$B$999,"="&amp;$C144,RdTRABYVals!$C$2:$C$999,"="&amp;INS!$A144),"")</f>
        <v>0.34000000000000002</v>
      </c>
      <c r="BS144" s="11">
        <f>IFERROR(AVERAGEIFS(RdTRABYVals!AK$2:AK$999,RdTRABYVals!$B$2:$B$999,"="&amp;$C144,RdTRABYVals!$C$2:$C$999,"="&amp;INS!$A144),"")</f>
        <v>0.35999999999999999</v>
      </c>
      <c r="BT144" s="11">
        <f>IFERROR(AVERAGEIFS(RdTRABYVals!AL$2:AL$999,RdTRABYVals!$B$2:$B$999,"="&amp;$C144,RdTRABYVals!$C$2:$C$999,"="&amp;INS!$A144),"")</f>
        <v>0.37</v>
      </c>
      <c r="BU144" s="11">
        <f>IFERROR(AVERAGEIFS(RdTRABYVals!AM$2:AM$999,RdTRABYVals!$B$2:$B$999,"="&amp;$C144,RdTRABYVals!$C$2:$C$999,"="&amp;INS!$A144),"")</f>
        <v>0.34000000000000002</v>
      </c>
      <c r="BV144" s="11">
        <f>IFERROR(AVERAGEIFS(RdTRABYVals!AN$2:AN$999,RdTRABYVals!$B$2:$B$999,"="&amp;$C144,RdTRABYVals!$C$2:$C$999,"="&amp;INS!$A144),"")</f>
        <v>0.35999999999999999</v>
      </c>
      <c r="BW144" s="11">
        <f>IFERROR(AVERAGEIFS(RdTRABYVals!AO$2:AO$999,RdTRABYVals!$B$2:$B$999,"="&amp;$C144,RdTRABYVals!$C$2:$C$999,"="&amp;INS!$A144),"")</f>
        <v>0.37</v>
      </c>
      <c r="BX144" s="11">
        <f>IFERROR(AVERAGEIFS(RdTRABYVals!AP$2:AP$999,RdTRABYVals!$B$2:$B$999,"="&amp;$C144,RdTRABYVals!$C$2:$C$999,"="&amp;INS!$A144),"")</f>
        <v>0.39000000000000001</v>
      </c>
      <c r="BY144" s="11">
        <f>IFERROR(AVERAGEIFS(RdTRABYVals!AQ$2:AQ$999,RdTRABYVals!$B$2:$B$999,"="&amp;$C144,RdTRABYVals!$C$2:$C$999,"="&amp;INS!$A144),"")</f>
        <v>0.33000000000000002</v>
      </c>
      <c r="BZ144" s="11">
        <f>IFERROR(AVERAGEIFS(RdTRABYVals!AR$2:AR$999,RdTRABYVals!$B$2:$B$999,"="&amp;$C144,RdTRABYVals!$C$2:$C$999,"="&amp;INS!$A144),"")</f>
        <v>0.35999999999999999</v>
      </c>
      <c r="CA144" s="11">
        <f>IFERROR(AVERAGEIFS(RdTRABYVals!AS$2:AS$999,RdTRABYVals!$B$2:$B$999,"="&amp;$C144,RdTRABYVals!$C$2:$C$999,"="&amp;INS!$A144),"")</f>
        <v>0.38</v>
      </c>
      <c r="CB144" s="11">
        <f>IFERROR(AVERAGEIFS(RdTRABYVals!AT$2:AT$999,RdTRABYVals!$B$2:$B$999,"="&amp;$C144,RdTRABYVals!$C$2:$C$999,"="&amp;INS!$A144),"")</f>
        <v>0.37</v>
      </c>
      <c r="CC144" s="11">
        <f>IFERROR(AVERAGEIFS(RdTRABYVals!AU$2:AU$999,RdTRABYVals!$B$2:$B$999,"="&amp;$C144,RdTRABYVals!$C$2:$C$999,"="&amp;INS!$A144),"")</f>
        <v>0.39000000000000001</v>
      </c>
      <c r="CD144" s="11">
        <f>IFERROR(AVERAGEIFS(RdTRABYVals!AV$2:AV$999,RdTRABYVals!$B$2:$B$999,"="&amp;$C144,RdTRABYVals!$C$2:$C$999,"="&amp;INS!$A144),"")</f>
        <v>0.39000000000000001</v>
      </c>
    </row>
    <row r="145" spans="1:82" ht="14.4">
      <c r="A145" s="3" t="s">
        <v>127</v>
      </c>
      <c r="C145" s="1" t="s">
        <v>29</v>
      </c>
      <c r="D145" t="s">
        <v>160</v>
      </c>
      <c r="F145" t="str">
        <f t="shared" si="31"/>
        <v>*0.261891891891892</v>
      </c>
      <c r="G145" t="str">
        <f t="shared" si="37"/>
        <v>*0.23</v>
      </c>
      <c r="H145" t="str">
        <f t="shared" si="38"/>
        <v>*0.24</v>
      </c>
      <c r="I145" t="str">
        <f t="shared" si="39"/>
        <v>*0.28</v>
      </c>
      <c r="J145" t="str">
        <f t="shared" si="40"/>
        <v>*0.25</v>
      </c>
      <c r="K145" t="str">
        <f t="shared" si="41"/>
        <v>*0.22</v>
      </c>
      <c r="L145" t="str">
        <f t="shared" si="42"/>
        <v>*0.25</v>
      </c>
      <c r="M145" t="str">
        <f t="shared" si="43"/>
        <v>*0.24</v>
      </c>
      <c r="N145" t="str">
        <f t="shared" si="44"/>
        <v>*0.27</v>
      </c>
      <c r="O145" t="str">
        <f t="shared" si="45"/>
        <v>*0.25</v>
      </c>
      <c r="P145" t="str">
        <f t="shared" si="46"/>
        <v>*0.29</v>
      </c>
      <c r="Q145" t="str">
        <f t="shared" si="47"/>
        <v>*0.31</v>
      </c>
      <c r="R145" t="str">
        <f t="shared" si="48"/>
        <v>*0.23</v>
      </c>
      <c r="S145" t="str">
        <f t="shared" si="49"/>
        <v>*0.29</v>
      </c>
      <c r="T145" t="str">
        <f t="shared" si="50"/>
        <v>*0.26</v>
      </c>
      <c r="U145" t="str">
        <f t="shared" si="51"/>
        <v>*0.26</v>
      </c>
      <c r="V145" t="str">
        <f t="shared" si="52"/>
        <v>*0.28</v>
      </c>
      <c r="W145" t="str">
        <f t="shared" si="53"/>
        <v>*0.29</v>
      </c>
      <c r="X145" t="str">
        <f t="shared" si="54"/>
        <v>*0.24</v>
      </c>
      <c r="Y145" t="str">
        <f t="shared" si="55"/>
        <v>*0.25</v>
      </c>
      <c r="Z145" t="str">
        <f t="shared" si="56"/>
        <v>*0.23</v>
      </c>
      <c r="AA145" t="str">
        <f t="shared" si="57"/>
        <v>*0.28</v>
      </c>
      <c r="AB145" t="str">
        <f t="shared" si="58"/>
        <v>*0.28</v>
      </c>
      <c r="AC145" t="str">
        <f t="shared" si="59"/>
        <v>*0.26</v>
      </c>
      <c r="AD145" t="str">
        <f t="shared" si="60"/>
        <v>*0.28</v>
      </c>
      <c r="AE145" t="str">
        <f t="shared" si="61"/>
        <v>*0.23</v>
      </c>
      <c r="AF145" t="str">
        <f t="shared" si="62"/>
        <v>*0.26</v>
      </c>
      <c r="AG145" t="str">
        <f t="shared" si="63"/>
        <v>*0.28</v>
      </c>
      <c r="AH145" t="str">
        <f t="shared" si="64"/>
        <v>*0.25</v>
      </c>
      <c r="AI145" t="str">
        <f t="shared" si="65"/>
        <v>*0.27</v>
      </c>
      <c r="AJ145" t="str">
        <f t="shared" si="66"/>
        <v>*0.28</v>
      </c>
      <c r="AK145" t="str">
        <f t="shared" si="67"/>
        <v>*0.27</v>
      </c>
      <c r="AL145" t="str">
        <f t="shared" si="68"/>
        <v>*0.21</v>
      </c>
      <c r="AM145" t="str">
        <f t="shared" si="69"/>
        <v>*0.28</v>
      </c>
      <c r="AN145" t="str">
        <f t="shared" si="33"/>
        <v>*0.28</v>
      </c>
      <c r="AO145" t="str">
        <f t="shared" si="34"/>
        <v>*0.28</v>
      </c>
      <c r="AP145" t="str">
        <f t="shared" si="35"/>
        <v>*0.28</v>
      </c>
      <c r="AQ145" t="str">
        <f t="shared" si="36"/>
        <v>*0.26</v>
      </c>
      <c r="AS145" s="11">
        <f t="shared" si="70"/>
        <v>0.26189189189189194</v>
      </c>
      <c r="AT145" s="11">
        <f>IFERROR(AVERAGEIFS(RdTRABYVals!L$2:L$999,RdTRABYVals!$B$2:$B$999,"="&amp;$C145,RdTRABYVals!$C$2:$C$999,"="&amp;INS!$A145),"")</f>
        <v>0.23000000000000001</v>
      </c>
      <c r="AU145" s="11">
        <f>IFERROR(AVERAGEIFS(RdTRABYVals!M$2:M$999,RdTRABYVals!$B$2:$B$999,"="&amp;$C145,RdTRABYVals!$C$2:$C$999,"="&amp;INS!$A145),"")</f>
        <v>0.23999999999999999</v>
      </c>
      <c r="AV145" s="11">
        <f>IFERROR(AVERAGEIFS(RdTRABYVals!N$2:N$999,RdTRABYVals!$B$2:$B$999,"="&amp;$C145,RdTRABYVals!$C$2:$C$999,"="&amp;INS!$A145),"")</f>
        <v>0.28000000000000003</v>
      </c>
      <c r="AW145" s="11">
        <f>IFERROR(AVERAGEIFS(RdTRABYVals!O$2:O$999,RdTRABYVals!$B$2:$B$999,"="&amp;$C145,RdTRABYVals!$C$2:$C$999,"="&amp;INS!$A145),"")</f>
        <v>0.25</v>
      </c>
      <c r="AX145" s="11">
        <f>IFERROR(AVERAGEIFS(RdTRABYVals!P$2:P$999,RdTRABYVals!$B$2:$B$999,"="&amp;$C145,RdTRABYVals!$C$2:$C$999,"="&amp;INS!$A145),"")</f>
        <v>0.22</v>
      </c>
      <c r="AY145" s="11">
        <f>IFERROR(AVERAGEIFS(RdTRABYVals!Q$2:Q$999,RdTRABYVals!$B$2:$B$999,"="&amp;$C145,RdTRABYVals!$C$2:$C$999,"="&amp;INS!$A145),"")</f>
        <v>0.25</v>
      </c>
      <c r="AZ145" s="11">
        <f>IFERROR(AVERAGEIFS(RdTRABYVals!R$2:R$999,RdTRABYVals!$B$2:$B$999,"="&amp;$C145,RdTRABYVals!$C$2:$C$999,"="&amp;INS!$A145),"")</f>
        <v>0.23999999999999999</v>
      </c>
      <c r="BA145" s="11">
        <f>IFERROR(AVERAGEIFS(RdTRABYVals!S$2:S$999,RdTRABYVals!$B$2:$B$999,"="&amp;$C145,RdTRABYVals!$C$2:$C$999,"="&amp;INS!$A145),"")</f>
        <v>0.27000000000000002</v>
      </c>
      <c r="BB145" s="11">
        <f>IFERROR(AVERAGEIFS(RdTRABYVals!T$2:T$999,RdTRABYVals!$B$2:$B$999,"="&amp;$C145,RdTRABYVals!$C$2:$C$999,"="&amp;INS!$A145),"")</f>
        <v>0.25</v>
      </c>
      <c r="BC145" s="11">
        <f>IFERROR(AVERAGEIFS(RdTRABYVals!U$2:U$999,RdTRABYVals!$B$2:$B$999,"="&amp;$C145,RdTRABYVals!$C$2:$C$999,"="&amp;INS!$A145),"")</f>
        <v>0.28999999999999998</v>
      </c>
      <c r="BD145" s="11">
        <f>IFERROR(AVERAGEIFS(RdTRABYVals!V$2:V$999,RdTRABYVals!$B$2:$B$999,"="&amp;$C145,RdTRABYVals!$C$2:$C$999,"="&amp;INS!$A145),"")</f>
        <v>0.31</v>
      </c>
      <c r="BE145" s="11">
        <f>IFERROR(AVERAGEIFS(RdTRABYVals!W$2:W$999,RdTRABYVals!$B$2:$B$999,"="&amp;$C145,RdTRABYVals!$C$2:$C$999,"="&amp;INS!$A145),"")</f>
        <v>0.23000000000000001</v>
      </c>
      <c r="BF145" s="11">
        <f>IFERROR(AVERAGEIFS(RdTRABYVals!X$2:X$999,RdTRABYVals!$B$2:$B$999,"="&amp;$C145,RdTRABYVals!$C$2:$C$999,"="&amp;INS!$A145),"")</f>
        <v>0.28999999999999998</v>
      </c>
      <c r="BG145" s="11">
        <f>IFERROR(AVERAGEIFS(RdTRABYVals!Y$2:Y$999,RdTRABYVals!$B$2:$B$999,"="&amp;$C145,RdTRABYVals!$C$2:$C$999,"="&amp;INS!$A145),"")</f>
        <v>0.26000000000000001</v>
      </c>
      <c r="BH145" s="11">
        <f>IFERROR(AVERAGEIFS(RdTRABYVals!Z$2:Z$999,RdTRABYVals!$B$2:$B$999,"="&amp;$C145,RdTRABYVals!$C$2:$C$999,"="&amp;INS!$A145),"")</f>
        <v>0.26000000000000001</v>
      </c>
      <c r="BI145" s="11">
        <f>IFERROR(AVERAGEIFS(RdTRABYVals!AA$2:AA$999,RdTRABYVals!$B$2:$B$999,"="&amp;$C145,RdTRABYVals!$C$2:$C$999,"="&amp;INS!$A145),"")</f>
        <v>0.28000000000000003</v>
      </c>
      <c r="BJ145" s="11">
        <f>IFERROR(AVERAGEIFS(RdTRABYVals!AB$2:AB$999,RdTRABYVals!$B$2:$B$999,"="&amp;$C145,RdTRABYVals!$C$2:$C$999,"="&amp;INS!$A145),"")</f>
        <v>0.28999999999999998</v>
      </c>
      <c r="BK145" s="11">
        <f>IFERROR(AVERAGEIFS(RdTRABYVals!AC$2:AC$999,RdTRABYVals!$B$2:$B$999,"="&amp;$C145,RdTRABYVals!$C$2:$C$999,"="&amp;INS!$A145),"")</f>
        <v>0.23999999999999999</v>
      </c>
      <c r="BL145" s="11">
        <f>IFERROR(AVERAGEIFS(RdTRABYVals!AD$2:AD$999,RdTRABYVals!$B$2:$B$999,"="&amp;$C145,RdTRABYVals!$C$2:$C$999,"="&amp;INS!$A145),"")</f>
        <v>0.25</v>
      </c>
      <c r="BM145" s="11">
        <f>IFERROR(AVERAGEIFS(RdTRABYVals!AE$2:AE$999,RdTRABYVals!$B$2:$B$999,"="&amp;$C145,RdTRABYVals!$C$2:$C$999,"="&amp;INS!$A145),"")</f>
        <v>0.23000000000000001</v>
      </c>
      <c r="BN145" s="11">
        <f>IFERROR(AVERAGEIFS(RdTRABYVals!AF$2:AF$999,RdTRABYVals!$B$2:$B$999,"="&amp;$C145,RdTRABYVals!$C$2:$C$999,"="&amp;INS!$A145),"")</f>
        <v>0.28000000000000003</v>
      </c>
      <c r="BO145" s="11">
        <f>IFERROR(AVERAGEIFS(RdTRABYVals!AG$2:AG$999,RdTRABYVals!$B$2:$B$999,"="&amp;$C145,RdTRABYVals!$C$2:$C$999,"="&amp;INS!$A145),"")</f>
        <v>0.28000000000000003</v>
      </c>
      <c r="BP145" s="11">
        <f>IFERROR(AVERAGEIFS(RdTRABYVals!AH$2:AH$999,RdTRABYVals!$B$2:$B$999,"="&amp;$C145,RdTRABYVals!$C$2:$C$999,"="&amp;INS!$A145),"")</f>
        <v>0.26000000000000001</v>
      </c>
      <c r="BQ145" s="11">
        <f>IFERROR(AVERAGEIFS(RdTRABYVals!AI$2:AI$999,RdTRABYVals!$B$2:$B$999,"="&amp;$C145,RdTRABYVals!$C$2:$C$999,"="&amp;INS!$A145),"")</f>
        <v>0.28000000000000003</v>
      </c>
      <c r="BR145" s="11">
        <f>IFERROR(AVERAGEIFS(RdTRABYVals!AJ$2:AJ$999,RdTRABYVals!$B$2:$B$999,"="&amp;$C145,RdTRABYVals!$C$2:$C$999,"="&amp;INS!$A145),"")</f>
        <v>0.23000000000000001</v>
      </c>
      <c r="BS145" s="11">
        <f>IFERROR(AVERAGEIFS(RdTRABYVals!AK$2:AK$999,RdTRABYVals!$B$2:$B$999,"="&amp;$C145,RdTRABYVals!$C$2:$C$999,"="&amp;INS!$A145),"")</f>
        <v>0.26000000000000001</v>
      </c>
      <c r="BT145" s="11">
        <f>IFERROR(AVERAGEIFS(RdTRABYVals!AL$2:AL$999,RdTRABYVals!$B$2:$B$999,"="&amp;$C145,RdTRABYVals!$C$2:$C$999,"="&amp;INS!$A145),"")</f>
        <v>0.28000000000000003</v>
      </c>
      <c r="BU145" s="11">
        <f>IFERROR(AVERAGEIFS(RdTRABYVals!AM$2:AM$999,RdTRABYVals!$B$2:$B$999,"="&amp;$C145,RdTRABYVals!$C$2:$C$999,"="&amp;INS!$A145),"")</f>
        <v>0.25</v>
      </c>
      <c r="BV145" s="11">
        <f>IFERROR(AVERAGEIFS(RdTRABYVals!AN$2:AN$999,RdTRABYVals!$B$2:$B$999,"="&amp;$C145,RdTRABYVals!$C$2:$C$999,"="&amp;INS!$A145),"")</f>
        <v>0.27000000000000002</v>
      </c>
      <c r="BW145" s="11">
        <f>IFERROR(AVERAGEIFS(RdTRABYVals!AO$2:AO$999,RdTRABYVals!$B$2:$B$999,"="&amp;$C145,RdTRABYVals!$C$2:$C$999,"="&amp;INS!$A145),"")</f>
        <v>0.28000000000000003</v>
      </c>
      <c r="BX145" s="11">
        <f>IFERROR(AVERAGEIFS(RdTRABYVals!AP$2:AP$999,RdTRABYVals!$B$2:$B$999,"="&amp;$C145,RdTRABYVals!$C$2:$C$999,"="&amp;INS!$A145),"")</f>
        <v>0.27000000000000002</v>
      </c>
      <c r="BY145" s="11">
        <f>IFERROR(AVERAGEIFS(RdTRABYVals!AQ$2:AQ$999,RdTRABYVals!$B$2:$B$999,"="&amp;$C145,RdTRABYVals!$C$2:$C$999,"="&amp;INS!$A145),"")</f>
        <v>0.20999999999999999</v>
      </c>
      <c r="BZ145" s="11">
        <f>IFERROR(AVERAGEIFS(RdTRABYVals!AR$2:AR$999,RdTRABYVals!$B$2:$B$999,"="&amp;$C145,RdTRABYVals!$C$2:$C$999,"="&amp;INS!$A145),"")</f>
        <v>0.28000000000000003</v>
      </c>
      <c r="CA145" s="11">
        <f>IFERROR(AVERAGEIFS(RdTRABYVals!AS$2:AS$999,RdTRABYVals!$B$2:$B$999,"="&amp;$C145,RdTRABYVals!$C$2:$C$999,"="&amp;INS!$A145),"")</f>
        <v>0.28000000000000003</v>
      </c>
      <c r="CB145" s="11">
        <f>IFERROR(AVERAGEIFS(RdTRABYVals!AT$2:AT$999,RdTRABYVals!$B$2:$B$999,"="&amp;$C145,RdTRABYVals!$C$2:$C$999,"="&amp;INS!$A145),"")</f>
        <v>0.28000000000000003</v>
      </c>
      <c r="CC145" s="11">
        <f>IFERROR(AVERAGEIFS(RdTRABYVals!AU$2:AU$999,RdTRABYVals!$B$2:$B$999,"="&amp;$C145,RdTRABYVals!$C$2:$C$999,"="&amp;INS!$A145),"")</f>
        <v>0.28000000000000003</v>
      </c>
      <c r="CD145" s="11">
        <f>IFERROR(AVERAGEIFS(RdTRABYVals!AV$2:AV$999,RdTRABYVals!$B$2:$B$999,"="&amp;$C145,RdTRABYVals!$C$2:$C$999,"="&amp;INS!$A145),"")</f>
        <v>0.26000000000000001</v>
      </c>
    </row>
    <row r="146" spans="1:82" ht="14.4">
      <c r="A146" s="3" t="s">
        <v>128</v>
      </c>
      <c r="C146" s="1" t="s">
        <v>29</v>
      </c>
      <c r="D146" t="s">
        <v>161</v>
      </c>
      <c r="F146" t="str">
        <f t="shared" si="31"/>
        <v>*0.43027027027027</v>
      </c>
      <c r="G146" t="str">
        <f t="shared" si="37"/>
        <v>*0.4</v>
      </c>
      <c r="H146" t="str">
        <f t="shared" si="38"/>
        <v>*0.44</v>
      </c>
      <c r="I146" t="str">
        <f t="shared" si="39"/>
        <v>*0.43</v>
      </c>
      <c r="J146" t="str">
        <f t="shared" si="40"/>
        <v>*0.42</v>
      </c>
      <c r="K146" t="str">
        <f t="shared" si="41"/>
        <v>*0.38</v>
      </c>
      <c r="L146" t="str">
        <f t="shared" si="42"/>
        <v>*0.42</v>
      </c>
      <c r="M146" t="str">
        <f t="shared" si="43"/>
        <v>*0.4</v>
      </c>
      <c r="N146" t="str">
        <f t="shared" si="44"/>
        <v>*0.43</v>
      </c>
      <c r="O146" t="str">
        <f t="shared" si="45"/>
        <v>*0.43</v>
      </c>
      <c r="P146" t="str">
        <f t="shared" si="46"/>
        <v>*0.45</v>
      </c>
      <c r="Q146" t="str">
        <f t="shared" si="47"/>
        <v>*0.46</v>
      </c>
      <c r="R146" t="str">
        <f t="shared" si="48"/>
        <v>*0.4</v>
      </c>
      <c r="S146" t="str">
        <f t="shared" si="49"/>
        <v>*0.44</v>
      </c>
      <c r="T146" t="str">
        <f t="shared" si="50"/>
        <v>*0.42</v>
      </c>
      <c r="U146" t="str">
        <f t="shared" si="51"/>
        <v>*0.46</v>
      </c>
      <c r="V146" t="str">
        <f t="shared" si="52"/>
        <v>*0.43</v>
      </c>
      <c r="W146" t="str">
        <f t="shared" si="53"/>
        <v>*0.46</v>
      </c>
      <c r="X146" t="str">
        <f t="shared" si="54"/>
        <v>*0.44</v>
      </c>
      <c r="Y146" t="str">
        <f t="shared" si="55"/>
        <v>*0.42</v>
      </c>
      <c r="Z146" t="str">
        <f t="shared" si="56"/>
        <v>*0.44</v>
      </c>
      <c r="AA146" t="str">
        <f t="shared" si="57"/>
        <v>*0.43</v>
      </c>
      <c r="AB146" t="str">
        <f t="shared" si="58"/>
        <v>*0.44</v>
      </c>
      <c r="AC146" t="str">
        <f t="shared" si="59"/>
        <v>*0.43</v>
      </c>
      <c r="AD146" t="str">
        <f t="shared" si="60"/>
        <v>*0.45</v>
      </c>
      <c r="AE146" t="str">
        <f t="shared" si="61"/>
        <v>*0.4</v>
      </c>
      <c r="AF146" t="str">
        <f t="shared" si="62"/>
        <v>*0.43</v>
      </c>
      <c r="AG146" t="str">
        <f t="shared" si="63"/>
        <v>*0.44</v>
      </c>
      <c r="AH146" t="str">
        <f t="shared" si="64"/>
        <v>*0.4</v>
      </c>
      <c r="AI146" t="str">
        <f t="shared" si="65"/>
        <v>*0.42</v>
      </c>
      <c r="AJ146" t="str">
        <f t="shared" si="66"/>
        <v>*0.43</v>
      </c>
      <c r="AK146" t="str">
        <f t="shared" si="67"/>
        <v>*0.45</v>
      </c>
      <c r="AL146" t="str">
        <f t="shared" si="68"/>
        <v>*0.39</v>
      </c>
      <c r="AM146" t="str">
        <f t="shared" si="69"/>
        <v>*0.43</v>
      </c>
      <c r="AN146" t="str">
        <f t="shared" si="33"/>
        <v>*0.46</v>
      </c>
      <c r="AO146" t="str">
        <f t="shared" si="34"/>
        <v>*0.44</v>
      </c>
      <c r="AP146" t="str">
        <f t="shared" si="35"/>
        <v>*0.45</v>
      </c>
      <c r="AQ146" t="str">
        <f t="shared" si="36"/>
        <v>*0.46</v>
      </c>
      <c r="AS146" s="11">
        <f t="shared" si="70"/>
        <v>0.43027027027027026</v>
      </c>
      <c r="AT146" s="11">
        <f>IFERROR(AVERAGEIFS(RdTRABYVals!L$2:L$999,RdTRABYVals!$B$2:$B$999,"="&amp;$C146,RdTRABYVals!$C$2:$C$999,"="&amp;INS!$A146),"")</f>
        <v>0.40000000000000002</v>
      </c>
      <c r="AU146" s="11">
        <f>IFERROR(AVERAGEIFS(RdTRABYVals!M$2:M$999,RdTRABYVals!$B$2:$B$999,"="&amp;$C146,RdTRABYVals!$C$2:$C$999,"="&amp;INS!$A146),"")</f>
        <v>0.44</v>
      </c>
      <c r="AV146" s="11">
        <f>IFERROR(AVERAGEIFS(RdTRABYVals!N$2:N$999,RdTRABYVals!$B$2:$B$999,"="&amp;$C146,RdTRABYVals!$C$2:$C$999,"="&amp;INS!$A146),"")</f>
        <v>0.42999999999999999</v>
      </c>
      <c r="AW146" s="11">
        <f>IFERROR(AVERAGEIFS(RdTRABYVals!O$2:O$999,RdTRABYVals!$B$2:$B$999,"="&amp;$C146,RdTRABYVals!$C$2:$C$999,"="&amp;INS!$A146),"")</f>
        <v>0.41999999999999998</v>
      </c>
      <c r="AX146" s="11">
        <f>IFERROR(AVERAGEIFS(RdTRABYVals!P$2:P$999,RdTRABYVals!$B$2:$B$999,"="&amp;$C146,RdTRABYVals!$C$2:$C$999,"="&amp;INS!$A146),"")</f>
        <v>0.38</v>
      </c>
      <c r="AY146" s="11">
        <f>IFERROR(AVERAGEIFS(RdTRABYVals!Q$2:Q$999,RdTRABYVals!$B$2:$B$999,"="&amp;$C146,RdTRABYVals!$C$2:$C$999,"="&amp;INS!$A146),"")</f>
        <v>0.41999999999999998</v>
      </c>
      <c r="AZ146" s="11">
        <f>IFERROR(AVERAGEIFS(RdTRABYVals!R$2:R$999,RdTRABYVals!$B$2:$B$999,"="&amp;$C146,RdTRABYVals!$C$2:$C$999,"="&amp;INS!$A146),"")</f>
        <v>0.40000000000000002</v>
      </c>
      <c r="BA146" s="11">
        <f>IFERROR(AVERAGEIFS(RdTRABYVals!S$2:S$999,RdTRABYVals!$B$2:$B$999,"="&amp;$C146,RdTRABYVals!$C$2:$C$999,"="&amp;INS!$A146),"")</f>
        <v>0.42999999999999999</v>
      </c>
      <c r="BB146" s="11">
        <f>IFERROR(AVERAGEIFS(RdTRABYVals!T$2:T$999,RdTRABYVals!$B$2:$B$999,"="&amp;$C146,RdTRABYVals!$C$2:$C$999,"="&amp;INS!$A146),"")</f>
        <v>0.42999999999999999</v>
      </c>
      <c r="BC146" s="11">
        <f>IFERROR(AVERAGEIFS(RdTRABYVals!U$2:U$999,RdTRABYVals!$B$2:$B$999,"="&amp;$C146,RdTRABYVals!$C$2:$C$999,"="&amp;INS!$A146),"")</f>
        <v>0.45000000000000001</v>
      </c>
      <c r="BD146" s="11">
        <f>IFERROR(AVERAGEIFS(RdTRABYVals!V$2:V$999,RdTRABYVals!$B$2:$B$999,"="&amp;$C146,RdTRABYVals!$C$2:$C$999,"="&amp;INS!$A146),"")</f>
        <v>0.46000000000000002</v>
      </c>
      <c r="BE146" s="11">
        <f>IFERROR(AVERAGEIFS(RdTRABYVals!W$2:W$999,RdTRABYVals!$B$2:$B$999,"="&amp;$C146,RdTRABYVals!$C$2:$C$999,"="&amp;INS!$A146),"")</f>
        <v>0.40000000000000002</v>
      </c>
      <c r="BF146" s="11">
        <f>IFERROR(AVERAGEIFS(RdTRABYVals!X$2:X$999,RdTRABYVals!$B$2:$B$999,"="&amp;$C146,RdTRABYVals!$C$2:$C$999,"="&amp;INS!$A146),"")</f>
        <v>0.44</v>
      </c>
      <c r="BG146" s="11">
        <f>IFERROR(AVERAGEIFS(RdTRABYVals!Y$2:Y$999,RdTRABYVals!$B$2:$B$999,"="&amp;$C146,RdTRABYVals!$C$2:$C$999,"="&amp;INS!$A146),"")</f>
        <v>0.41999999999999998</v>
      </c>
      <c r="BH146" s="11">
        <f>IFERROR(AVERAGEIFS(RdTRABYVals!Z$2:Z$999,RdTRABYVals!$B$2:$B$999,"="&amp;$C146,RdTRABYVals!$C$2:$C$999,"="&amp;INS!$A146),"")</f>
        <v>0.46000000000000002</v>
      </c>
      <c r="BI146" s="11">
        <f>IFERROR(AVERAGEIFS(RdTRABYVals!AA$2:AA$999,RdTRABYVals!$B$2:$B$999,"="&amp;$C146,RdTRABYVals!$C$2:$C$999,"="&amp;INS!$A146),"")</f>
        <v>0.42999999999999999</v>
      </c>
      <c r="BJ146" s="11">
        <f>IFERROR(AVERAGEIFS(RdTRABYVals!AB$2:AB$999,RdTRABYVals!$B$2:$B$999,"="&amp;$C146,RdTRABYVals!$C$2:$C$999,"="&amp;INS!$A146),"")</f>
        <v>0.46000000000000002</v>
      </c>
      <c r="BK146" s="11">
        <f>IFERROR(AVERAGEIFS(RdTRABYVals!AC$2:AC$999,RdTRABYVals!$B$2:$B$999,"="&amp;$C146,RdTRABYVals!$C$2:$C$999,"="&amp;INS!$A146),"")</f>
        <v>0.44</v>
      </c>
      <c r="BL146" s="11">
        <f>IFERROR(AVERAGEIFS(RdTRABYVals!AD$2:AD$999,RdTRABYVals!$B$2:$B$999,"="&amp;$C146,RdTRABYVals!$C$2:$C$999,"="&amp;INS!$A146),"")</f>
        <v>0.41999999999999998</v>
      </c>
      <c r="BM146" s="11">
        <f>IFERROR(AVERAGEIFS(RdTRABYVals!AE$2:AE$999,RdTRABYVals!$B$2:$B$999,"="&amp;$C146,RdTRABYVals!$C$2:$C$999,"="&amp;INS!$A146),"")</f>
        <v>0.44</v>
      </c>
      <c r="BN146" s="11">
        <f>IFERROR(AVERAGEIFS(RdTRABYVals!AF$2:AF$999,RdTRABYVals!$B$2:$B$999,"="&amp;$C146,RdTRABYVals!$C$2:$C$999,"="&amp;INS!$A146),"")</f>
        <v>0.42999999999999999</v>
      </c>
      <c r="BO146" s="11">
        <f>IFERROR(AVERAGEIFS(RdTRABYVals!AG$2:AG$999,RdTRABYVals!$B$2:$B$999,"="&amp;$C146,RdTRABYVals!$C$2:$C$999,"="&amp;INS!$A146),"")</f>
        <v>0.44</v>
      </c>
      <c r="BP146" s="11">
        <f>IFERROR(AVERAGEIFS(RdTRABYVals!AH$2:AH$999,RdTRABYVals!$B$2:$B$999,"="&amp;$C146,RdTRABYVals!$C$2:$C$999,"="&amp;INS!$A146),"")</f>
        <v>0.42999999999999999</v>
      </c>
      <c r="BQ146" s="11">
        <f>IFERROR(AVERAGEIFS(RdTRABYVals!AI$2:AI$999,RdTRABYVals!$B$2:$B$999,"="&amp;$C146,RdTRABYVals!$C$2:$C$999,"="&amp;INS!$A146),"")</f>
        <v>0.45000000000000001</v>
      </c>
      <c r="BR146" s="11">
        <f>IFERROR(AVERAGEIFS(RdTRABYVals!AJ$2:AJ$999,RdTRABYVals!$B$2:$B$999,"="&amp;$C146,RdTRABYVals!$C$2:$C$999,"="&amp;INS!$A146),"")</f>
        <v>0.40000000000000002</v>
      </c>
      <c r="BS146" s="11">
        <f>IFERROR(AVERAGEIFS(RdTRABYVals!AK$2:AK$999,RdTRABYVals!$B$2:$B$999,"="&amp;$C146,RdTRABYVals!$C$2:$C$999,"="&amp;INS!$A146),"")</f>
        <v>0.42999999999999999</v>
      </c>
      <c r="BT146" s="11">
        <f>IFERROR(AVERAGEIFS(RdTRABYVals!AL$2:AL$999,RdTRABYVals!$B$2:$B$999,"="&amp;$C146,RdTRABYVals!$C$2:$C$999,"="&amp;INS!$A146),"")</f>
        <v>0.44</v>
      </c>
      <c r="BU146" s="11">
        <f>IFERROR(AVERAGEIFS(RdTRABYVals!AM$2:AM$999,RdTRABYVals!$B$2:$B$999,"="&amp;$C146,RdTRABYVals!$C$2:$C$999,"="&amp;INS!$A146),"")</f>
        <v>0.40000000000000002</v>
      </c>
      <c r="BV146" s="11">
        <f>IFERROR(AVERAGEIFS(RdTRABYVals!AN$2:AN$999,RdTRABYVals!$B$2:$B$999,"="&amp;$C146,RdTRABYVals!$C$2:$C$999,"="&amp;INS!$A146),"")</f>
        <v>0.41999999999999998</v>
      </c>
      <c r="BW146" s="11">
        <f>IFERROR(AVERAGEIFS(RdTRABYVals!AO$2:AO$999,RdTRABYVals!$B$2:$B$999,"="&amp;$C146,RdTRABYVals!$C$2:$C$999,"="&amp;INS!$A146),"")</f>
        <v>0.42999999999999999</v>
      </c>
      <c r="BX146" s="11">
        <f>IFERROR(AVERAGEIFS(RdTRABYVals!AP$2:AP$999,RdTRABYVals!$B$2:$B$999,"="&amp;$C146,RdTRABYVals!$C$2:$C$999,"="&amp;INS!$A146),"")</f>
        <v>0.45000000000000001</v>
      </c>
      <c r="BY146" s="11">
        <f>IFERROR(AVERAGEIFS(RdTRABYVals!AQ$2:AQ$999,RdTRABYVals!$B$2:$B$999,"="&amp;$C146,RdTRABYVals!$C$2:$C$999,"="&amp;INS!$A146),"")</f>
        <v>0.39000000000000001</v>
      </c>
      <c r="BZ146" s="11">
        <f>IFERROR(AVERAGEIFS(RdTRABYVals!AR$2:AR$999,RdTRABYVals!$B$2:$B$999,"="&amp;$C146,RdTRABYVals!$C$2:$C$999,"="&amp;INS!$A146),"")</f>
        <v>0.42999999999999999</v>
      </c>
      <c r="CA146" s="11">
        <f>IFERROR(AVERAGEIFS(RdTRABYVals!AS$2:AS$999,RdTRABYVals!$B$2:$B$999,"="&amp;$C146,RdTRABYVals!$C$2:$C$999,"="&amp;INS!$A146),"")</f>
        <v>0.46000000000000002</v>
      </c>
      <c r="CB146" s="11">
        <f>IFERROR(AVERAGEIFS(RdTRABYVals!AT$2:AT$999,RdTRABYVals!$B$2:$B$999,"="&amp;$C146,RdTRABYVals!$C$2:$C$999,"="&amp;INS!$A146),"")</f>
        <v>0.44</v>
      </c>
      <c r="CC146" s="11">
        <f>IFERROR(AVERAGEIFS(RdTRABYVals!AU$2:AU$999,RdTRABYVals!$B$2:$B$999,"="&amp;$C146,RdTRABYVals!$C$2:$C$999,"="&amp;INS!$A146),"")</f>
        <v>0.45000000000000001</v>
      </c>
      <c r="CD146" s="11">
        <f>IFERROR(AVERAGEIFS(RdTRABYVals!AV$2:AV$999,RdTRABYVals!$B$2:$B$999,"="&amp;$C146,RdTRABYVals!$C$2:$C$999,"="&amp;INS!$A146),"")</f>
        <v>0.46000000000000002</v>
      </c>
    </row>
    <row r="147" spans="1:82" ht="14.4">
      <c r="A147" s="3" t="s">
        <v>129</v>
      </c>
      <c r="C147" s="1" t="s">
        <v>29</v>
      </c>
      <c r="D147" t="s">
        <v>162</v>
      </c>
      <c r="F147" t="str">
        <f t="shared" si="31"/>
        <v>*0.442702702702703</v>
      </c>
      <c r="G147" t="str">
        <f t="shared" si="37"/>
        <v>*0.41</v>
      </c>
      <c r="H147" t="str">
        <f t="shared" si="38"/>
        <v>*0.45</v>
      </c>
      <c r="I147" t="str">
        <f t="shared" si="39"/>
        <v>*0.44</v>
      </c>
      <c r="J147" t="str">
        <f t="shared" si="40"/>
        <v>*0.43</v>
      </c>
      <c r="K147" t="str">
        <f t="shared" si="41"/>
        <v>*0.38</v>
      </c>
      <c r="L147" t="str">
        <f t="shared" si="42"/>
        <v>*0.44</v>
      </c>
      <c r="M147" t="str">
        <f t="shared" si="43"/>
        <v>*0.41</v>
      </c>
      <c r="N147" t="str">
        <f t="shared" si="44"/>
        <v>*0.44</v>
      </c>
      <c r="O147" t="str">
        <f t="shared" si="45"/>
        <v>*0.44</v>
      </c>
      <c r="P147" t="str">
        <f t="shared" si="46"/>
        <v>*0.49</v>
      </c>
      <c r="Q147" t="str">
        <f t="shared" si="47"/>
        <v>*0.47</v>
      </c>
      <c r="R147" t="str">
        <f t="shared" si="48"/>
        <v>*0.41</v>
      </c>
      <c r="S147" t="str">
        <f t="shared" si="49"/>
        <v>*0.45</v>
      </c>
      <c r="T147" t="str">
        <f t="shared" si="50"/>
        <v>*0.43</v>
      </c>
      <c r="U147" t="str">
        <f t="shared" si="51"/>
        <v>*0.47</v>
      </c>
      <c r="V147" t="str">
        <f t="shared" si="52"/>
        <v>*0.44</v>
      </c>
      <c r="W147" t="str">
        <f t="shared" si="53"/>
        <v>*0.46</v>
      </c>
      <c r="X147" t="str">
        <f t="shared" si="54"/>
        <v>*0.46</v>
      </c>
      <c r="Y147" t="str">
        <f t="shared" si="55"/>
        <v>*0.45</v>
      </c>
      <c r="Z147" t="str">
        <f t="shared" si="56"/>
        <v>*0.45</v>
      </c>
      <c r="AA147" t="str">
        <f t="shared" si="57"/>
        <v>*0.44</v>
      </c>
      <c r="AB147" t="str">
        <f t="shared" si="58"/>
        <v>*0.44</v>
      </c>
      <c r="AC147" t="str">
        <f t="shared" si="59"/>
        <v>*0.48</v>
      </c>
      <c r="AD147" t="str">
        <f t="shared" si="60"/>
        <v>*0.45</v>
      </c>
      <c r="AE147" t="str">
        <f t="shared" si="61"/>
        <v>*0.41</v>
      </c>
      <c r="AF147" t="str">
        <f t="shared" si="62"/>
        <v>*0.44</v>
      </c>
      <c r="AG147" t="str">
        <f t="shared" si="63"/>
        <v>*0.46</v>
      </c>
      <c r="AH147" t="str">
        <f t="shared" si="64"/>
        <v>*0.43</v>
      </c>
      <c r="AI147" t="str">
        <f t="shared" si="65"/>
        <v>*0.42</v>
      </c>
      <c r="AJ147" t="str">
        <f t="shared" si="66"/>
        <v>*0.43</v>
      </c>
      <c r="AK147" t="str">
        <f t="shared" si="67"/>
        <v>*0.47</v>
      </c>
      <c r="AL147" t="str">
        <f t="shared" si="68"/>
        <v>*0.39</v>
      </c>
      <c r="AM147" t="str">
        <f t="shared" si="69"/>
        <v>*0.44</v>
      </c>
      <c r="AN147" t="str">
        <f t="shared" si="33"/>
        <v>*0.48</v>
      </c>
      <c r="AO147" t="str">
        <f t="shared" si="34"/>
        <v>*0.44</v>
      </c>
      <c r="AP147" t="str">
        <f t="shared" si="35"/>
        <v>*0.46</v>
      </c>
      <c r="AQ147" t="str">
        <f t="shared" si="36"/>
        <v>*0.48</v>
      </c>
      <c r="AS147" s="11">
        <f t="shared" si="70"/>
        <v>0.44270270270270262</v>
      </c>
      <c r="AT147" s="11">
        <f>IFERROR(AVERAGEIFS(RdTRABYVals!L$2:L$999,RdTRABYVals!$B$2:$B$999,"="&amp;$C147,RdTRABYVals!$C$2:$C$999,"="&amp;INS!$A147),"")</f>
        <v>0.40999999999999998</v>
      </c>
      <c r="AU147" s="11">
        <f>IFERROR(AVERAGEIFS(RdTRABYVals!M$2:M$999,RdTRABYVals!$B$2:$B$999,"="&amp;$C147,RdTRABYVals!$C$2:$C$999,"="&amp;INS!$A147),"")</f>
        <v>0.45000000000000001</v>
      </c>
      <c r="AV147" s="11">
        <f>IFERROR(AVERAGEIFS(RdTRABYVals!N$2:N$999,RdTRABYVals!$B$2:$B$999,"="&amp;$C147,RdTRABYVals!$C$2:$C$999,"="&amp;INS!$A147),"")</f>
        <v>0.44</v>
      </c>
      <c r="AW147" s="11">
        <f>IFERROR(AVERAGEIFS(RdTRABYVals!O$2:O$999,RdTRABYVals!$B$2:$B$999,"="&amp;$C147,RdTRABYVals!$C$2:$C$999,"="&amp;INS!$A147),"")</f>
        <v>0.42999999999999999</v>
      </c>
      <c r="AX147" s="11">
        <f>IFERROR(AVERAGEIFS(RdTRABYVals!P$2:P$999,RdTRABYVals!$B$2:$B$999,"="&amp;$C147,RdTRABYVals!$C$2:$C$999,"="&amp;INS!$A147),"")</f>
        <v>0.38</v>
      </c>
      <c r="AY147" s="11">
        <f>IFERROR(AVERAGEIFS(RdTRABYVals!Q$2:Q$999,RdTRABYVals!$B$2:$B$999,"="&amp;$C147,RdTRABYVals!$C$2:$C$999,"="&amp;INS!$A147),"")</f>
        <v>0.44</v>
      </c>
      <c r="AZ147" s="11">
        <f>IFERROR(AVERAGEIFS(RdTRABYVals!R$2:R$999,RdTRABYVals!$B$2:$B$999,"="&amp;$C147,RdTRABYVals!$C$2:$C$999,"="&amp;INS!$A147),"")</f>
        <v>0.40999999999999998</v>
      </c>
      <c r="BA147" s="11">
        <f>IFERROR(AVERAGEIFS(RdTRABYVals!S$2:S$999,RdTRABYVals!$B$2:$B$999,"="&amp;$C147,RdTRABYVals!$C$2:$C$999,"="&amp;INS!$A147),"")</f>
        <v>0.44</v>
      </c>
      <c r="BB147" s="11">
        <f>IFERROR(AVERAGEIFS(RdTRABYVals!T$2:T$999,RdTRABYVals!$B$2:$B$999,"="&amp;$C147,RdTRABYVals!$C$2:$C$999,"="&amp;INS!$A147),"")</f>
        <v>0.44</v>
      </c>
      <c r="BC147" s="11">
        <f>IFERROR(AVERAGEIFS(RdTRABYVals!U$2:U$999,RdTRABYVals!$B$2:$B$999,"="&amp;$C147,RdTRABYVals!$C$2:$C$999,"="&amp;INS!$A147),"")</f>
        <v>0.48999999999999999</v>
      </c>
      <c r="BD147" s="11">
        <f>IFERROR(AVERAGEIFS(RdTRABYVals!V$2:V$999,RdTRABYVals!$B$2:$B$999,"="&amp;$C147,RdTRABYVals!$C$2:$C$999,"="&amp;INS!$A147),"")</f>
        <v>0.46999999999999997</v>
      </c>
      <c r="BE147" s="11">
        <f>IFERROR(AVERAGEIFS(RdTRABYVals!W$2:W$999,RdTRABYVals!$B$2:$B$999,"="&amp;$C147,RdTRABYVals!$C$2:$C$999,"="&amp;INS!$A147),"")</f>
        <v>0.40999999999999998</v>
      </c>
      <c r="BF147" s="11">
        <f>IFERROR(AVERAGEIFS(RdTRABYVals!X$2:X$999,RdTRABYVals!$B$2:$B$999,"="&amp;$C147,RdTRABYVals!$C$2:$C$999,"="&amp;INS!$A147),"")</f>
        <v>0.45000000000000001</v>
      </c>
      <c r="BG147" s="11">
        <f>IFERROR(AVERAGEIFS(RdTRABYVals!Y$2:Y$999,RdTRABYVals!$B$2:$B$999,"="&amp;$C147,RdTRABYVals!$C$2:$C$999,"="&amp;INS!$A147),"")</f>
        <v>0.42999999999999999</v>
      </c>
      <c r="BH147" s="11">
        <f>IFERROR(AVERAGEIFS(RdTRABYVals!Z$2:Z$999,RdTRABYVals!$B$2:$B$999,"="&amp;$C147,RdTRABYVals!$C$2:$C$999,"="&amp;INS!$A147),"")</f>
        <v>0.46999999999999997</v>
      </c>
      <c r="BI147" s="11">
        <f>IFERROR(AVERAGEIFS(RdTRABYVals!AA$2:AA$999,RdTRABYVals!$B$2:$B$999,"="&amp;$C147,RdTRABYVals!$C$2:$C$999,"="&amp;INS!$A147),"")</f>
        <v>0.44</v>
      </c>
      <c r="BJ147" s="11">
        <f>IFERROR(AVERAGEIFS(RdTRABYVals!AB$2:AB$999,RdTRABYVals!$B$2:$B$999,"="&amp;$C147,RdTRABYVals!$C$2:$C$999,"="&amp;INS!$A147),"")</f>
        <v>0.46000000000000002</v>
      </c>
      <c r="BK147" s="11">
        <f>IFERROR(AVERAGEIFS(RdTRABYVals!AC$2:AC$999,RdTRABYVals!$B$2:$B$999,"="&amp;$C147,RdTRABYVals!$C$2:$C$999,"="&amp;INS!$A147),"")</f>
        <v>0.46000000000000002</v>
      </c>
      <c r="BL147" s="11">
        <f>IFERROR(AVERAGEIFS(RdTRABYVals!AD$2:AD$999,RdTRABYVals!$B$2:$B$999,"="&amp;$C147,RdTRABYVals!$C$2:$C$999,"="&amp;INS!$A147),"")</f>
        <v>0.45000000000000001</v>
      </c>
      <c r="BM147" s="11">
        <f>IFERROR(AVERAGEIFS(RdTRABYVals!AE$2:AE$999,RdTRABYVals!$B$2:$B$999,"="&amp;$C147,RdTRABYVals!$C$2:$C$999,"="&amp;INS!$A147),"")</f>
        <v>0.45000000000000001</v>
      </c>
      <c r="BN147" s="11">
        <f>IFERROR(AVERAGEIFS(RdTRABYVals!AF$2:AF$999,RdTRABYVals!$B$2:$B$999,"="&amp;$C147,RdTRABYVals!$C$2:$C$999,"="&amp;INS!$A147),"")</f>
        <v>0.44</v>
      </c>
      <c r="BO147" s="11">
        <f>IFERROR(AVERAGEIFS(RdTRABYVals!AG$2:AG$999,RdTRABYVals!$B$2:$B$999,"="&amp;$C147,RdTRABYVals!$C$2:$C$999,"="&amp;INS!$A147),"")</f>
        <v>0.44</v>
      </c>
      <c r="BP147" s="11">
        <f>IFERROR(AVERAGEIFS(RdTRABYVals!AH$2:AH$999,RdTRABYVals!$B$2:$B$999,"="&amp;$C147,RdTRABYVals!$C$2:$C$999,"="&amp;INS!$A147),"")</f>
        <v>0.47999999999999998</v>
      </c>
      <c r="BQ147" s="11">
        <f>IFERROR(AVERAGEIFS(RdTRABYVals!AI$2:AI$999,RdTRABYVals!$B$2:$B$999,"="&amp;$C147,RdTRABYVals!$C$2:$C$999,"="&amp;INS!$A147),"")</f>
        <v>0.45000000000000001</v>
      </c>
      <c r="BR147" s="11">
        <f>IFERROR(AVERAGEIFS(RdTRABYVals!AJ$2:AJ$999,RdTRABYVals!$B$2:$B$999,"="&amp;$C147,RdTRABYVals!$C$2:$C$999,"="&amp;INS!$A147),"")</f>
        <v>0.40999999999999998</v>
      </c>
      <c r="BS147" s="11">
        <f>IFERROR(AVERAGEIFS(RdTRABYVals!AK$2:AK$999,RdTRABYVals!$B$2:$B$999,"="&amp;$C147,RdTRABYVals!$C$2:$C$999,"="&amp;INS!$A147),"")</f>
        <v>0.44</v>
      </c>
      <c r="BT147" s="11">
        <f>IFERROR(AVERAGEIFS(RdTRABYVals!AL$2:AL$999,RdTRABYVals!$B$2:$B$999,"="&amp;$C147,RdTRABYVals!$C$2:$C$999,"="&amp;INS!$A147),"")</f>
        <v>0.46000000000000002</v>
      </c>
      <c r="BU147" s="11">
        <f>IFERROR(AVERAGEIFS(RdTRABYVals!AM$2:AM$999,RdTRABYVals!$B$2:$B$999,"="&amp;$C147,RdTRABYVals!$C$2:$C$999,"="&amp;INS!$A147),"")</f>
        <v>0.42999999999999999</v>
      </c>
      <c r="BV147" s="11">
        <f>IFERROR(AVERAGEIFS(RdTRABYVals!AN$2:AN$999,RdTRABYVals!$B$2:$B$999,"="&amp;$C147,RdTRABYVals!$C$2:$C$999,"="&amp;INS!$A147),"")</f>
        <v>0.41999999999999998</v>
      </c>
      <c r="BW147" s="11">
        <f>IFERROR(AVERAGEIFS(RdTRABYVals!AO$2:AO$999,RdTRABYVals!$B$2:$B$999,"="&amp;$C147,RdTRABYVals!$C$2:$C$999,"="&amp;INS!$A147),"")</f>
        <v>0.42999999999999999</v>
      </c>
      <c r="BX147" s="11">
        <f>IFERROR(AVERAGEIFS(RdTRABYVals!AP$2:AP$999,RdTRABYVals!$B$2:$B$999,"="&amp;$C147,RdTRABYVals!$C$2:$C$999,"="&amp;INS!$A147),"")</f>
        <v>0.46999999999999997</v>
      </c>
      <c r="BY147" s="11">
        <f>IFERROR(AVERAGEIFS(RdTRABYVals!AQ$2:AQ$999,RdTRABYVals!$B$2:$B$999,"="&amp;$C147,RdTRABYVals!$C$2:$C$999,"="&amp;INS!$A147),"")</f>
        <v>0.39000000000000001</v>
      </c>
      <c r="BZ147" s="11">
        <f>IFERROR(AVERAGEIFS(RdTRABYVals!AR$2:AR$999,RdTRABYVals!$B$2:$B$999,"="&amp;$C147,RdTRABYVals!$C$2:$C$999,"="&amp;INS!$A147),"")</f>
        <v>0.44</v>
      </c>
      <c r="CA147" s="11">
        <f>IFERROR(AVERAGEIFS(RdTRABYVals!AS$2:AS$999,RdTRABYVals!$B$2:$B$999,"="&amp;$C147,RdTRABYVals!$C$2:$C$999,"="&amp;INS!$A147),"")</f>
        <v>0.47999999999999998</v>
      </c>
      <c r="CB147" s="11">
        <f>IFERROR(AVERAGEIFS(RdTRABYVals!AT$2:AT$999,RdTRABYVals!$B$2:$B$999,"="&amp;$C147,RdTRABYVals!$C$2:$C$999,"="&amp;INS!$A147),"")</f>
        <v>0.44</v>
      </c>
      <c r="CC147" s="11">
        <f>IFERROR(AVERAGEIFS(RdTRABYVals!AU$2:AU$999,RdTRABYVals!$B$2:$B$999,"="&amp;$C147,RdTRABYVals!$C$2:$C$999,"="&amp;INS!$A147),"")</f>
        <v>0.46000000000000002</v>
      </c>
      <c r="CD147" s="11">
        <f>IFERROR(AVERAGEIFS(RdTRABYVals!AV$2:AV$999,RdTRABYVals!$B$2:$B$999,"="&amp;$C147,RdTRABYVals!$C$2:$C$999,"="&amp;INS!$A147),"")</f>
        <v>0.47999999999999998</v>
      </c>
    </row>
    <row r="148" spans="1:82" ht="14.4">
      <c r="A148" s="3" t="s">
        <v>130</v>
      </c>
      <c r="C148" s="1" t="s">
        <v>29</v>
      </c>
      <c r="D148" t="s">
        <v>163</v>
      </c>
      <c r="F148" t="str">
        <f t="shared" si="31"/>
        <v>*0.364054054054054</v>
      </c>
      <c r="G148" t="str">
        <f t="shared" si="37"/>
        <v>*0.34</v>
      </c>
      <c r="H148" t="str">
        <f t="shared" si="38"/>
        <v>*0.37</v>
      </c>
      <c r="I148" t="str">
        <f t="shared" si="39"/>
        <v>*0.36</v>
      </c>
      <c r="J148" t="str">
        <f t="shared" si="40"/>
        <v>*0.36</v>
      </c>
      <c r="K148" t="str">
        <f t="shared" si="41"/>
        <v>*0.32</v>
      </c>
      <c r="L148" t="str">
        <f t="shared" si="42"/>
        <v>*0.36</v>
      </c>
      <c r="M148" t="str">
        <f t="shared" si="43"/>
        <v>*0.33</v>
      </c>
      <c r="N148" t="str">
        <f t="shared" si="44"/>
        <v>*0.37</v>
      </c>
      <c r="O148" t="str">
        <f t="shared" si="45"/>
        <v>*0.37</v>
      </c>
      <c r="P148" t="str">
        <f t="shared" si="46"/>
        <v>*0.38</v>
      </c>
      <c r="Q148" t="str">
        <f t="shared" si="47"/>
        <v>*0.4</v>
      </c>
      <c r="R148" t="str">
        <f t="shared" si="48"/>
        <v>*0.34</v>
      </c>
      <c r="S148" t="str">
        <f t="shared" si="49"/>
        <v>*0.38</v>
      </c>
      <c r="T148" t="str">
        <f t="shared" si="50"/>
        <v>*0.36</v>
      </c>
      <c r="U148" t="str">
        <f t="shared" si="51"/>
        <v>*0.38</v>
      </c>
      <c r="V148" t="str">
        <f t="shared" si="52"/>
        <v>*0.36</v>
      </c>
      <c r="W148" t="str">
        <f t="shared" si="53"/>
        <v>*0.39</v>
      </c>
      <c r="X148" t="str">
        <f t="shared" si="54"/>
        <v>*0.37</v>
      </c>
      <c r="Y148" t="str">
        <f t="shared" si="55"/>
        <v>*0.35</v>
      </c>
      <c r="Z148" t="str">
        <f t="shared" si="56"/>
        <v>*0.37</v>
      </c>
      <c r="AA148" t="str">
        <f t="shared" si="57"/>
        <v>*0.36</v>
      </c>
      <c r="AB148" t="str">
        <f t="shared" si="58"/>
        <v>*0.36</v>
      </c>
      <c r="AC148" t="str">
        <f t="shared" si="59"/>
        <v>*0.36</v>
      </c>
      <c r="AD148" t="str">
        <f t="shared" si="60"/>
        <v>*0.38</v>
      </c>
      <c r="AE148" t="str">
        <f t="shared" si="61"/>
        <v>*0.34</v>
      </c>
      <c r="AF148" t="str">
        <f t="shared" si="62"/>
        <v>*0.36</v>
      </c>
      <c r="AG148" t="str">
        <f t="shared" si="63"/>
        <v>*0.37</v>
      </c>
      <c r="AH148" t="str">
        <f t="shared" si="64"/>
        <v>*0.34</v>
      </c>
      <c r="AI148" t="str">
        <f t="shared" si="65"/>
        <v>*0.36</v>
      </c>
      <c r="AJ148" t="str">
        <f t="shared" si="66"/>
        <v>*0.37</v>
      </c>
      <c r="AK148" t="str">
        <f t="shared" si="67"/>
        <v>*0.39</v>
      </c>
      <c r="AL148" t="str">
        <f t="shared" si="68"/>
        <v>*0.33</v>
      </c>
      <c r="AM148" t="str">
        <f t="shared" si="69"/>
        <v>*0.36</v>
      </c>
      <c r="AN148" t="str">
        <f t="shared" si="33"/>
        <v>*0.38</v>
      </c>
      <c r="AO148" t="str">
        <f t="shared" si="34"/>
        <v>*0.37</v>
      </c>
      <c r="AP148" t="str">
        <f t="shared" si="35"/>
        <v>*0.39</v>
      </c>
      <c r="AQ148" t="str">
        <f t="shared" si="36"/>
        <v>*0.39</v>
      </c>
      <c r="AS148" s="11">
        <f t="shared" si="70"/>
        <v>0.364054054054054</v>
      </c>
      <c r="AT148" s="11">
        <f>IFERROR(AVERAGEIFS(RdTRABYVals!L$2:L$999,RdTRABYVals!$B$2:$B$999,"="&amp;$C148,RdTRABYVals!$C$2:$C$999,"="&amp;INS!$A148),"")</f>
        <v>0.34000000000000002</v>
      </c>
      <c r="AU148" s="11">
        <f>IFERROR(AVERAGEIFS(RdTRABYVals!M$2:M$999,RdTRABYVals!$B$2:$B$999,"="&amp;$C148,RdTRABYVals!$C$2:$C$999,"="&amp;INS!$A148),"")</f>
        <v>0.37</v>
      </c>
      <c r="AV148" s="11">
        <f>IFERROR(AVERAGEIFS(RdTRABYVals!N$2:N$999,RdTRABYVals!$B$2:$B$999,"="&amp;$C148,RdTRABYVals!$C$2:$C$999,"="&amp;INS!$A148),"")</f>
        <v>0.35999999999999999</v>
      </c>
      <c r="AW148" s="11">
        <f>IFERROR(AVERAGEIFS(RdTRABYVals!O$2:O$999,RdTRABYVals!$B$2:$B$999,"="&amp;$C148,RdTRABYVals!$C$2:$C$999,"="&amp;INS!$A148),"")</f>
        <v>0.35999999999999999</v>
      </c>
      <c r="AX148" s="11">
        <f>IFERROR(AVERAGEIFS(RdTRABYVals!P$2:P$999,RdTRABYVals!$B$2:$B$999,"="&amp;$C148,RdTRABYVals!$C$2:$C$999,"="&amp;INS!$A148),"")</f>
        <v>0.32000000000000001</v>
      </c>
      <c r="AY148" s="11">
        <f>IFERROR(AVERAGEIFS(RdTRABYVals!Q$2:Q$999,RdTRABYVals!$B$2:$B$999,"="&amp;$C148,RdTRABYVals!$C$2:$C$999,"="&amp;INS!$A148),"")</f>
        <v>0.35999999999999999</v>
      </c>
      <c r="AZ148" s="11">
        <f>IFERROR(AVERAGEIFS(RdTRABYVals!R$2:R$999,RdTRABYVals!$B$2:$B$999,"="&amp;$C148,RdTRABYVals!$C$2:$C$999,"="&amp;INS!$A148),"")</f>
        <v>0.33000000000000002</v>
      </c>
      <c r="BA148" s="11">
        <f>IFERROR(AVERAGEIFS(RdTRABYVals!S$2:S$999,RdTRABYVals!$B$2:$B$999,"="&amp;$C148,RdTRABYVals!$C$2:$C$999,"="&amp;INS!$A148),"")</f>
        <v>0.37</v>
      </c>
      <c r="BB148" s="11">
        <f>IFERROR(AVERAGEIFS(RdTRABYVals!T$2:T$999,RdTRABYVals!$B$2:$B$999,"="&amp;$C148,RdTRABYVals!$C$2:$C$999,"="&amp;INS!$A148),"")</f>
        <v>0.37</v>
      </c>
      <c r="BC148" s="11">
        <f>IFERROR(AVERAGEIFS(RdTRABYVals!U$2:U$999,RdTRABYVals!$B$2:$B$999,"="&amp;$C148,RdTRABYVals!$C$2:$C$999,"="&amp;INS!$A148),"")</f>
        <v>0.38</v>
      </c>
      <c r="BD148" s="11">
        <f>IFERROR(AVERAGEIFS(RdTRABYVals!V$2:V$999,RdTRABYVals!$B$2:$B$999,"="&amp;$C148,RdTRABYVals!$C$2:$C$999,"="&amp;INS!$A148),"")</f>
        <v>0.40000000000000002</v>
      </c>
      <c r="BE148" s="11">
        <f>IFERROR(AVERAGEIFS(RdTRABYVals!W$2:W$999,RdTRABYVals!$B$2:$B$999,"="&amp;$C148,RdTRABYVals!$C$2:$C$999,"="&amp;INS!$A148),"")</f>
        <v>0.34000000000000002</v>
      </c>
      <c r="BF148" s="11">
        <f>IFERROR(AVERAGEIFS(RdTRABYVals!X$2:X$999,RdTRABYVals!$B$2:$B$999,"="&amp;$C148,RdTRABYVals!$C$2:$C$999,"="&amp;INS!$A148),"")</f>
        <v>0.38</v>
      </c>
      <c r="BG148" s="11">
        <f>IFERROR(AVERAGEIFS(RdTRABYVals!Y$2:Y$999,RdTRABYVals!$B$2:$B$999,"="&amp;$C148,RdTRABYVals!$C$2:$C$999,"="&amp;INS!$A148),"")</f>
        <v>0.35999999999999999</v>
      </c>
      <c r="BH148" s="11">
        <f>IFERROR(AVERAGEIFS(RdTRABYVals!Z$2:Z$999,RdTRABYVals!$B$2:$B$999,"="&amp;$C148,RdTRABYVals!$C$2:$C$999,"="&amp;INS!$A148),"")</f>
        <v>0.38</v>
      </c>
      <c r="BI148" s="11">
        <f>IFERROR(AVERAGEIFS(RdTRABYVals!AA$2:AA$999,RdTRABYVals!$B$2:$B$999,"="&amp;$C148,RdTRABYVals!$C$2:$C$999,"="&amp;INS!$A148),"")</f>
        <v>0.35999999999999999</v>
      </c>
      <c r="BJ148" s="11">
        <f>IFERROR(AVERAGEIFS(RdTRABYVals!AB$2:AB$999,RdTRABYVals!$B$2:$B$999,"="&amp;$C148,RdTRABYVals!$C$2:$C$999,"="&amp;INS!$A148),"")</f>
        <v>0.39000000000000001</v>
      </c>
      <c r="BK148" s="11">
        <f>IFERROR(AVERAGEIFS(RdTRABYVals!AC$2:AC$999,RdTRABYVals!$B$2:$B$999,"="&amp;$C148,RdTRABYVals!$C$2:$C$999,"="&amp;INS!$A148),"")</f>
        <v>0.37</v>
      </c>
      <c r="BL148" s="11">
        <f>IFERROR(AVERAGEIFS(RdTRABYVals!AD$2:AD$999,RdTRABYVals!$B$2:$B$999,"="&amp;$C148,RdTRABYVals!$C$2:$C$999,"="&amp;INS!$A148),"")</f>
        <v>0.34999999999999998</v>
      </c>
      <c r="BM148" s="11">
        <f>IFERROR(AVERAGEIFS(RdTRABYVals!AE$2:AE$999,RdTRABYVals!$B$2:$B$999,"="&amp;$C148,RdTRABYVals!$C$2:$C$999,"="&amp;INS!$A148),"")</f>
        <v>0.37</v>
      </c>
      <c r="BN148" s="11">
        <f>IFERROR(AVERAGEIFS(RdTRABYVals!AF$2:AF$999,RdTRABYVals!$B$2:$B$999,"="&amp;$C148,RdTRABYVals!$C$2:$C$999,"="&amp;INS!$A148),"")</f>
        <v>0.35999999999999999</v>
      </c>
      <c r="BO148" s="11">
        <f>IFERROR(AVERAGEIFS(RdTRABYVals!AG$2:AG$999,RdTRABYVals!$B$2:$B$999,"="&amp;$C148,RdTRABYVals!$C$2:$C$999,"="&amp;INS!$A148),"")</f>
        <v>0.35999999999999999</v>
      </c>
      <c r="BP148" s="11">
        <f>IFERROR(AVERAGEIFS(RdTRABYVals!AH$2:AH$999,RdTRABYVals!$B$2:$B$999,"="&amp;$C148,RdTRABYVals!$C$2:$C$999,"="&amp;INS!$A148),"")</f>
        <v>0.35999999999999999</v>
      </c>
      <c r="BQ148" s="11">
        <f>IFERROR(AVERAGEIFS(RdTRABYVals!AI$2:AI$999,RdTRABYVals!$B$2:$B$999,"="&amp;$C148,RdTRABYVals!$C$2:$C$999,"="&amp;INS!$A148),"")</f>
        <v>0.38</v>
      </c>
      <c r="BR148" s="11">
        <f>IFERROR(AVERAGEIFS(RdTRABYVals!AJ$2:AJ$999,RdTRABYVals!$B$2:$B$999,"="&amp;$C148,RdTRABYVals!$C$2:$C$999,"="&amp;INS!$A148),"")</f>
        <v>0.34000000000000002</v>
      </c>
      <c r="BS148" s="11">
        <f>IFERROR(AVERAGEIFS(RdTRABYVals!AK$2:AK$999,RdTRABYVals!$B$2:$B$999,"="&amp;$C148,RdTRABYVals!$C$2:$C$999,"="&amp;INS!$A148),"")</f>
        <v>0.35999999999999999</v>
      </c>
      <c r="BT148" s="11">
        <f>IFERROR(AVERAGEIFS(RdTRABYVals!AL$2:AL$999,RdTRABYVals!$B$2:$B$999,"="&amp;$C148,RdTRABYVals!$C$2:$C$999,"="&amp;INS!$A148),"")</f>
        <v>0.37</v>
      </c>
      <c r="BU148" s="11">
        <f>IFERROR(AVERAGEIFS(RdTRABYVals!AM$2:AM$999,RdTRABYVals!$B$2:$B$999,"="&amp;$C148,RdTRABYVals!$C$2:$C$999,"="&amp;INS!$A148),"")</f>
        <v>0.34000000000000002</v>
      </c>
      <c r="BV148" s="11">
        <f>IFERROR(AVERAGEIFS(RdTRABYVals!AN$2:AN$999,RdTRABYVals!$B$2:$B$999,"="&amp;$C148,RdTRABYVals!$C$2:$C$999,"="&amp;INS!$A148),"")</f>
        <v>0.35999999999999999</v>
      </c>
      <c r="BW148" s="11">
        <f>IFERROR(AVERAGEIFS(RdTRABYVals!AO$2:AO$999,RdTRABYVals!$B$2:$B$999,"="&amp;$C148,RdTRABYVals!$C$2:$C$999,"="&amp;INS!$A148),"")</f>
        <v>0.37</v>
      </c>
      <c r="BX148" s="11">
        <f>IFERROR(AVERAGEIFS(RdTRABYVals!AP$2:AP$999,RdTRABYVals!$B$2:$B$999,"="&amp;$C148,RdTRABYVals!$C$2:$C$999,"="&amp;INS!$A148),"")</f>
        <v>0.39000000000000001</v>
      </c>
      <c r="BY148" s="11">
        <f>IFERROR(AVERAGEIFS(RdTRABYVals!AQ$2:AQ$999,RdTRABYVals!$B$2:$B$999,"="&amp;$C148,RdTRABYVals!$C$2:$C$999,"="&amp;INS!$A148),"")</f>
        <v>0.33000000000000002</v>
      </c>
      <c r="BZ148" s="11">
        <f>IFERROR(AVERAGEIFS(RdTRABYVals!AR$2:AR$999,RdTRABYVals!$B$2:$B$999,"="&amp;$C148,RdTRABYVals!$C$2:$C$999,"="&amp;INS!$A148),"")</f>
        <v>0.35999999999999999</v>
      </c>
      <c r="CA148" s="11">
        <f>IFERROR(AVERAGEIFS(RdTRABYVals!AS$2:AS$999,RdTRABYVals!$B$2:$B$999,"="&amp;$C148,RdTRABYVals!$C$2:$C$999,"="&amp;INS!$A148),"")</f>
        <v>0.38</v>
      </c>
      <c r="CB148" s="11">
        <f>IFERROR(AVERAGEIFS(RdTRABYVals!AT$2:AT$999,RdTRABYVals!$B$2:$B$999,"="&amp;$C148,RdTRABYVals!$C$2:$C$999,"="&amp;INS!$A148),"")</f>
        <v>0.37</v>
      </c>
      <c r="CC148" s="11">
        <f>IFERROR(AVERAGEIFS(RdTRABYVals!AU$2:AU$999,RdTRABYVals!$B$2:$B$999,"="&amp;$C148,RdTRABYVals!$C$2:$C$999,"="&amp;INS!$A148),"")</f>
        <v>0.39000000000000001</v>
      </c>
      <c r="CD148" s="11">
        <f>IFERROR(AVERAGEIFS(RdTRABYVals!AV$2:AV$999,RdTRABYVals!$B$2:$B$999,"="&amp;$C148,RdTRABYVals!$C$2:$C$999,"="&amp;INS!$A148),"")</f>
        <v>0.39000000000000001</v>
      </c>
    </row>
    <row r="149" spans="1:82" ht="14.4">
      <c r="A149" s="3" t="s">
        <v>127</v>
      </c>
      <c r="C149" s="1" t="s">
        <v>29</v>
      </c>
      <c r="D149" t="s">
        <v>152</v>
      </c>
      <c r="F149" t="str">
        <f t="shared" si="31"/>
        <v>*0.261891891891892</v>
      </c>
      <c r="G149" t="str">
        <f t="shared" si="37"/>
        <v>*0.23</v>
      </c>
      <c r="H149" t="str">
        <f t="shared" si="38"/>
        <v>*0.24</v>
      </c>
      <c r="I149" t="str">
        <f t="shared" si="39"/>
        <v>*0.28</v>
      </c>
      <c r="J149" t="str">
        <f t="shared" si="40"/>
        <v>*0.25</v>
      </c>
      <c r="K149" t="str">
        <f t="shared" si="41"/>
        <v>*0.22</v>
      </c>
      <c r="L149" t="str">
        <f t="shared" si="42"/>
        <v>*0.25</v>
      </c>
      <c r="M149" t="str">
        <f t="shared" si="43"/>
        <v>*0.24</v>
      </c>
      <c r="N149" t="str">
        <f t="shared" si="44"/>
        <v>*0.27</v>
      </c>
      <c r="O149" t="str">
        <f t="shared" si="45"/>
        <v>*0.25</v>
      </c>
      <c r="P149" t="str">
        <f t="shared" si="46"/>
        <v>*0.29</v>
      </c>
      <c r="Q149" t="str">
        <f t="shared" si="47"/>
        <v>*0.31</v>
      </c>
      <c r="R149" t="str">
        <f t="shared" si="48"/>
        <v>*0.23</v>
      </c>
      <c r="S149" t="str">
        <f t="shared" si="49"/>
        <v>*0.29</v>
      </c>
      <c r="T149" t="str">
        <f t="shared" si="50"/>
        <v>*0.26</v>
      </c>
      <c r="U149" t="str">
        <f t="shared" si="51"/>
        <v>*0.26</v>
      </c>
      <c r="V149" t="str">
        <f t="shared" si="52"/>
        <v>*0.28</v>
      </c>
      <c r="W149" t="str">
        <f t="shared" si="53"/>
        <v>*0.29</v>
      </c>
      <c r="X149" t="str">
        <f t="shared" si="54"/>
        <v>*0.24</v>
      </c>
      <c r="Y149" t="str">
        <f t="shared" si="55"/>
        <v>*0.25</v>
      </c>
      <c r="Z149" t="str">
        <f t="shared" si="56"/>
        <v>*0.23</v>
      </c>
      <c r="AA149" t="str">
        <f t="shared" si="57"/>
        <v>*0.28</v>
      </c>
      <c r="AB149" t="str">
        <f t="shared" si="58"/>
        <v>*0.28</v>
      </c>
      <c r="AC149" t="str">
        <f t="shared" si="59"/>
        <v>*0.26</v>
      </c>
      <c r="AD149" t="str">
        <f t="shared" si="60"/>
        <v>*0.28</v>
      </c>
      <c r="AE149" t="str">
        <f t="shared" si="61"/>
        <v>*0.23</v>
      </c>
      <c r="AF149" t="str">
        <f t="shared" si="62"/>
        <v>*0.26</v>
      </c>
      <c r="AG149" t="str">
        <f t="shared" si="63"/>
        <v>*0.28</v>
      </c>
      <c r="AH149" t="str">
        <f t="shared" si="64"/>
        <v>*0.25</v>
      </c>
      <c r="AI149" t="str">
        <f t="shared" si="65"/>
        <v>*0.27</v>
      </c>
      <c r="AJ149" t="str">
        <f t="shared" si="66"/>
        <v>*0.28</v>
      </c>
      <c r="AK149" t="str">
        <f t="shared" si="67"/>
        <v>*0.27</v>
      </c>
      <c r="AL149" t="str">
        <f t="shared" si="68"/>
        <v>*0.21</v>
      </c>
      <c r="AM149" t="str">
        <f t="shared" si="69"/>
        <v>*0.28</v>
      </c>
      <c r="AN149" t="str">
        <f t="shared" si="33"/>
        <v>*0.28</v>
      </c>
      <c r="AO149" t="str">
        <f t="shared" si="34"/>
        <v>*0.28</v>
      </c>
      <c r="AP149" t="str">
        <f t="shared" si="35"/>
        <v>*0.28</v>
      </c>
      <c r="AQ149" t="str">
        <f t="shared" si="36"/>
        <v>*0.26</v>
      </c>
      <c r="AS149" s="11">
        <f t="shared" si="71" ref="AS149:AS156">AVERAGE(AT149:CD149)</f>
        <v>0.26189189189189194</v>
      </c>
      <c r="AT149" s="11">
        <f>IFERROR(AVERAGEIFS(RdTRABYVals!L$2:L$999,RdTRABYVals!$B$2:$B$999,"="&amp;$C149,RdTRABYVals!$C$2:$C$999,"="&amp;INS!$A149),"")</f>
        <v>0.23000000000000001</v>
      </c>
      <c r="AU149" s="11">
        <f>IFERROR(AVERAGEIFS(RdTRABYVals!M$2:M$999,RdTRABYVals!$B$2:$B$999,"="&amp;$C149,RdTRABYVals!$C$2:$C$999,"="&amp;INS!$A149),"")</f>
        <v>0.23999999999999999</v>
      </c>
      <c r="AV149" s="11">
        <f>IFERROR(AVERAGEIFS(RdTRABYVals!N$2:N$999,RdTRABYVals!$B$2:$B$999,"="&amp;$C149,RdTRABYVals!$C$2:$C$999,"="&amp;INS!$A149),"")</f>
        <v>0.28000000000000003</v>
      </c>
      <c r="AW149" s="11">
        <f>IFERROR(AVERAGEIFS(RdTRABYVals!O$2:O$999,RdTRABYVals!$B$2:$B$999,"="&amp;$C149,RdTRABYVals!$C$2:$C$999,"="&amp;INS!$A149),"")</f>
        <v>0.25</v>
      </c>
      <c r="AX149" s="11">
        <f>IFERROR(AVERAGEIFS(RdTRABYVals!P$2:P$999,RdTRABYVals!$B$2:$B$999,"="&amp;$C149,RdTRABYVals!$C$2:$C$999,"="&amp;INS!$A149),"")</f>
        <v>0.22</v>
      </c>
      <c r="AY149" s="11">
        <f>IFERROR(AVERAGEIFS(RdTRABYVals!Q$2:Q$999,RdTRABYVals!$B$2:$B$999,"="&amp;$C149,RdTRABYVals!$C$2:$C$999,"="&amp;INS!$A149),"")</f>
        <v>0.25</v>
      </c>
      <c r="AZ149" s="11">
        <f>IFERROR(AVERAGEIFS(RdTRABYVals!R$2:R$999,RdTRABYVals!$B$2:$B$999,"="&amp;$C149,RdTRABYVals!$C$2:$C$999,"="&amp;INS!$A149),"")</f>
        <v>0.23999999999999999</v>
      </c>
      <c r="BA149" s="11">
        <f>IFERROR(AVERAGEIFS(RdTRABYVals!S$2:S$999,RdTRABYVals!$B$2:$B$999,"="&amp;$C149,RdTRABYVals!$C$2:$C$999,"="&amp;INS!$A149),"")</f>
        <v>0.27000000000000002</v>
      </c>
      <c r="BB149" s="11">
        <f>IFERROR(AVERAGEIFS(RdTRABYVals!T$2:T$999,RdTRABYVals!$B$2:$B$999,"="&amp;$C149,RdTRABYVals!$C$2:$C$999,"="&amp;INS!$A149),"")</f>
        <v>0.25</v>
      </c>
      <c r="BC149" s="11">
        <f>IFERROR(AVERAGEIFS(RdTRABYVals!U$2:U$999,RdTRABYVals!$B$2:$B$999,"="&amp;$C149,RdTRABYVals!$C$2:$C$999,"="&amp;INS!$A149),"")</f>
        <v>0.28999999999999998</v>
      </c>
      <c r="BD149" s="11">
        <f>IFERROR(AVERAGEIFS(RdTRABYVals!V$2:V$999,RdTRABYVals!$B$2:$B$999,"="&amp;$C149,RdTRABYVals!$C$2:$C$999,"="&amp;INS!$A149),"")</f>
        <v>0.31</v>
      </c>
      <c r="BE149" s="11">
        <f>IFERROR(AVERAGEIFS(RdTRABYVals!W$2:W$999,RdTRABYVals!$B$2:$B$999,"="&amp;$C149,RdTRABYVals!$C$2:$C$999,"="&amp;INS!$A149),"")</f>
        <v>0.23000000000000001</v>
      </c>
      <c r="BF149" s="11">
        <f>IFERROR(AVERAGEIFS(RdTRABYVals!X$2:X$999,RdTRABYVals!$B$2:$B$999,"="&amp;$C149,RdTRABYVals!$C$2:$C$999,"="&amp;INS!$A149),"")</f>
        <v>0.28999999999999998</v>
      </c>
      <c r="BG149" s="11">
        <f>IFERROR(AVERAGEIFS(RdTRABYVals!Y$2:Y$999,RdTRABYVals!$B$2:$B$999,"="&amp;$C149,RdTRABYVals!$C$2:$C$999,"="&amp;INS!$A149),"")</f>
        <v>0.26000000000000001</v>
      </c>
      <c r="BH149" s="11">
        <f>IFERROR(AVERAGEIFS(RdTRABYVals!Z$2:Z$999,RdTRABYVals!$B$2:$B$999,"="&amp;$C149,RdTRABYVals!$C$2:$C$999,"="&amp;INS!$A149),"")</f>
        <v>0.26000000000000001</v>
      </c>
      <c r="BI149" s="11">
        <f>IFERROR(AVERAGEIFS(RdTRABYVals!AA$2:AA$999,RdTRABYVals!$B$2:$B$999,"="&amp;$C149,RdTRABYVals!$C$2:$C$999,"="&amp;INS!$A149),"")</f>
        <v>0.28000000000000003</v>
      </c>
      <c r="BJ149" s="11">
        <f>IFERROR(AVERAGEIFS(RdTRABYVals!AB$2:AB$999,RdTRABYVals!$B$2:$B$999,"="&amp;$C149,RdTRABYVals!$C$2:$C$999,"="&amp;INS!$A149),"")</f>
        <v>0.28999999999999998</v>
      </c>
      <c r="BK149" s="11">
        <f>IFERROR(AVERAGEIFS(RdTRABYVals!AC$2:AC$999,RdTRABYVals!$B$2:$B$999,"="&amp;$C149,RdTRABYVals!$C$2:$C$999,"="&amp;INS!$A149),"")</f>
        <v>0.23999999999999999</v>
      </c>
      <c r="BL149" s="11">
        <f>IFERROR(AVERAGEIFS(RdTRABYVals!AD$2:AD$999,RdTRABYVals!$B$2:$B$999,"="&amp;$C149,RdTRABYVals!$C$2:$C$999,"="&amp;INS!$A149),"")</f>
        <v>0.25</v>
      </c>
      <c r="BM149" s="11">
        <f>IFERROR(AVERAGEIFS(RdTRABYVals!AE$2:AE$999,RdTRABYVals!$B$2:$B$999,"="&amp;$C149,RdTRABYVals!$C$2:$C$999,"="&amp;INS!$A149),"")</f>
        <v>0.23000000000000001</v>
      </c>
      <c r="BN149" s="11">
        <f>IFERROR(AVERAGEIFS(RdTRABYVals!AF$2:AF$999,RdTRABYVals!$B$2:$B$999,"="&amp;$C149,RdTRABYVals!$C$2:$C$999,"="&amp;INS!$A149),"")</f>
        <v>0.28000000000000003</v>
      </c>
      <c r="BO149" s="11">
        <f>IFERROR(AVERAGEIFS(RdTRABYVals!AG$2:AG$999,RdTRABYVals!$B$2:$B$999,"="&amp;$C149,RdTRABYVals!$C$2:$C$999,"="&amp;INS!$A149),"")</f>
        <v>0.28000000000000003</v>
      </c>
      <c r="BP149" s="11">
        <f>IFERROR(AVERAGEIFS(RdTRABYVals!AH$2:AH$999,RdTRABYVals!$B$2:$B$999,"="&amp;$C149,RdTRABYVals!$C$2:$C$999,"="&amp;INS!$A149),"")</f>
        <v>0.26000000000000001</v>
      </c>
      <c r="BQ149" s="11">
        <f>IFERROR(AVERAGEIFS(RdTRABYVals!AI$2:AI$999,RdTRABYVals!$B$2:$B$999,"="&amp;$C149,RdTRABYVals!$C$2:$C$999,"="&amp;INS!$A149),"")</f>
        <v>0.28000000000000003</v>
      </c>
      <c r="BR149" s="11">
        <f>IFERROR(AVERAGEIFS(RdTRABYVals!AJ$2:AJ$999,RdTRABYVals!$B$2:$B$999,"="&amp;$C149,RdTRABYVals!$C$2:$C$999,"="&amp;INS!$A149),"")</f>
        <v>0.23000000000000001</v>
      </c>
      <c r="BS149" s="11">
        <f>IFERROR(AVERAGEIFS(RdTRABYVals!AK$2:AK$999,RdTRABYVals!$B$2:$B$999,"="&amp;$C149,RdTRABYVals!$C$2:$C$999,"="&amp;INS!$A149),"")</f>
        <v>0.26000000000000001</v>
      </c>
      <c r="BT149" s="11">
        <f>IFERROR(AVERAGEIFS(RdTRABYVals!AL$2:AL$999,RdTRABYVals!$B$2:$B$999,"="&amp;$C149,RdTRABYVals!$C$2:$C$999,"="&amp;INS!$A149),"")</f>
        <v>0.28000000000000003</v>
      </c>
      <c r="BU149" s="11">
        <f>IFERROR(AVERAGEIFS(RdTRABYVals!AM$2:AM$999,RdTRABYVals!$B$2:$B$999,"="&amp;$C149,RdTRABYVals!$C$2:$C$999,"="&amp;INS!$A149),"")</f>
        <v>0.25</v>
      </c>
      <c r="BV149" s="11">
        <f>IFERROR(AVERAGEIFS(RdTRABYVals!AN$2:AN$999,RdTRABYVals!$B$2:$B$999,"="&amp;$C149,RdTRABYVals!$C$2:$C$999,"="&amp;INS!$A149),"")</f>
        <v>0.27000000000000002</v>
      </c>
      <c r="BW149" s="11">
        <f>IFERROR(AVERAGEIFS(RdTRABYVals!AO$2:AO$999,RdTRABYVals!$B$2:$B$999,"="&amp;$C149,RdTRABYVals!$C$2:$C$999,"="&amp;INS!$A149),"")</f>
        <v>0.28000000000000003</v>
      </c>
      <c r="BX149" s="11">
        <f>IFERROR(AVERAGEIFS(RdTRABYVals!AP$2:AP$999,RdTRABYVals!$B$2:$B$999,"="&amp;$C149,RdTRABYVals!$C$2:$C$999,"="&amp;INS!$A149),"")</f>
        <v>0.27000000000000002</v>
      </c>
      <c r="BY149" s="11">
        <f>IFERROR(AVERAGEIFS(RdTRABYVals!AQ$2:AQ$999,RdTRABYVals!$B$2:$B$999,"="&amp;$C149,RdTRABYVals!$C$2:$C$999,"="&amp;INS!$A149),"")</f>
        <v>0.20999999999999999</v>
      </c>
      <c r="BZ149" s="11">
        <f>IFERROR(AVERAGEIFS(RdTRABYVals!AR$2:AR$999,RdTRABYVals!$B$2:$B$999,"="&amp;$C149,RdTRABYVals!$C$2:$C$999,"="&amp;INS!$A149),"")</f>
        <v>0.28000000000000003</v>
      </c>
      <c r="CA149" s="11">
        <f>IFERROR(AVERAGEIFS(RdTRABYVals!AS$2:AS$999,RdTRABYVals!$B$2:$B$999,"="&amp;$C149,RdTRABYVals!$C$2:$C$999,"="&amp;INS!$A149),"")</f>
        <v>0.28000000000000003</v>
      </c>
      <c r="CB149" s="11">
        <f>IFERROR(AVERAGEIFS(RdTRABYVals!AT$2:AT$999,RdTRABYVals!$B$2:$B$999,"="&amp;$C149,RdTRABYVals!$C$2:$C$999,"="&amp;INS!$A149),"")</f>
        <v>0.28000000000000003</v>
      </c>
      <c r="CC149" s="11">
        <f>IFERROR(AVERAGEIFS(RdTRABYVals!AU$2:AU$999,RdTRABYVals!$B$2:$B$999,"="&amp;$C149,RdTRABYVals!$C$2:$C$999,"="&amp;INS!$A149),"")</f>
        <v>0.28000000000000003</v>
      </c>
      <c r="CD149" s="11">
        <f>IFERROR(AVERAGEIFS(RdTRABYVals!AV$2:AV$999,RdTRABYVals!$B$2:$B$999,"="&amp;$C149,RdTRABYVals!$C$2:$C$999,"="&amp;INS!$A149),"")</f>
        <v>0.26000000000000001</v>
      </c>
    </row>
    <row r="150" spans="1:82" ht="14.4">
      <c r="A150" s="3" t="s">
        <v>128</v>
      </c>
      <c r="C150" s="1" t="s">
        <v>29</v>
      </c>
      <c r="D150" t="s">
        <v>153</v>
      </c>
      <c r="F150" t="str">
        <f t="shared" si="31"/>
        <v>*0.43027027027027</v>
      </c>
      <c r="G150" t="str">
        <f t="shared" si="37"/>
        <v>*0.4</v>
      </c>
      <c r="H150" t="str">
        <f t="shared" si="38"/>
        <v>*0.44</v>
      </c>
      <c r="I150" t="str">
        <f t="shared" si="39"/>
        <v>*0.43</v>
      </c>
      <c r="J150" t="str">
        <f t="shared" si="40"/>
        <v>*0.42</v>
      </c>
      <c r="K150" t="str">
        <f t="shared" si="41"/>
        <v>*0.38</v>
      </c>
      <c r="L150" t="str">
        <f t="shared" si="42"/>
        <v>*0.42</v>
      </c>
      <c r="M150" t="str">
        <f t="shared" si="43"/>
        <v>*0.4</v>
      </c>
      <c r="N150" t="str">
        <f t="shared" si="44"/>
        <v>*0.43</v>
      </c>
      <c r="O150" t="str">
        <f t="shared" si="45"/>
        <v>*0.43</v>
      </c>
      <c r="P150" t="str">
        <f t="shared" si="46"/>
        <v>*0.45</v>
      </c>
      <c r="Q150" t="str">
        <f t="shared" si="47"/>
        <v>*0.46</v>
      </c>
      <c r="R150" t="str">
        <f t="shared" si="48"/>
        <v>*0.4</v>
      </c>
      <c r="S150" t="str">
        <f t="shared" si="49"/>
        <v>*0.44</v>
      </c>
      <c r="T150" t="str">
        <f t="shared" si="50"/>
        <v>*0.42</v>
      </c>
      <c r="U150" t="str">
        <f t="shared" si="51"/>
        <v>*0.46</v>
      </c>
      <c r="V150" t="str">
        <f t="shared" si="52"/>
        <v>*0.43</v>
      </c>
      <c r="W150" t="str">
        <f t="shared" si="53"/>
        <v>*0.46</v>
      </c>
      <c r="X150" t="str">
        <f t="shared" si="54"/>
        <v>*0.44</v>
      </c>
      <c r="Y150" t="str">
        <f t="shared" si="55"/>
        <v>*0.42</v>
      </c>
      <c r="Z150" t="str">
        <f t="shared" si="56"/>
        <v>*0.44</v>
      </c>
      <c r="AA150" t="str">
        <f t="shared" si="57"/>
        <v>*0.43</v>
      </c>
      <c r="AB150" t="str">
        <f t="shared" si="58"/>
        <v>*0.44</v>
      </c>
      <c r="AC150" t="str">
        <f t="shared" si="59"/>
        <v>*0.43</v>
      </c>
      <c r="AD150" t="str">
        <f t="shared" si="60"/>
        <v>*0.45</v>
      </c>
      <c r="AE150" t="str">
        <f t="shared" si="61"/>
        <v>*0.4</v>
      </c>
      <c r="AF150" t="str">
        <f t="shared" si="62"/>
        <v>*0.43</v>
      </c>
      <c r="AG150" t="str">
        <f t="shared" si="63"/>
        <v>*0.44</v>
      </c>
      <c r="AH150" t="str">
        <f t="shared" si="64"/>
        <v>*0.4</v>
      </c>
      <c r="AI150" t="str">
        <f t="shared" si="65"/>
        <v>*0.42</v>
      </c>
      <c r="AJ150" t="str">
        <f t="shared" si="66"/>
        <v>*0.43</v>
      </c>
      <c r="AK150" t="str">
        <f t="shared" si="67"/>
        <v>*0.45</v>
      </c>
      <c r="AL150" t="str">
        <f t="shared" si="68"/>
        <v>*0.39</v>
      </c>
      <c r="AM150" t="str">
        <f t="shared" si="69"/>
        <v>*0.43</v>
      </c>
      <c r="AN150" t="str">
        <f t="shared" si="33"/>
        <v>*0.46</v>
      </c>
      <c r="AO150" t="str">
        <f t="shared" si="34"/>
        <v>*0.44</v>
      </c>
      <c r="AP150" t="str">
        <f t="shared" si="35"/>
        <v>*0.45</v>
      </c>
      <c r="AQ150" t="str">
        <f t="shared" si="36"/>
        <v>*0.46</v>
      </c>
      <c r="AS150" s="11">
        <f t="shared" si="71"/>
        <v>0.43027027027027026</v>
      </c>
      <c r="AT150" s="11">
        <f>IFERROR(AVERAGEIFS(RdTRABYVals!L$2:L$999,RdTRABYVals!$B$2:$B$999,"="&amp;$C150,RdTRABYVals!$C$2:$C$999,"="&amp;INS!$A150),"")</f>
        <v>0.40000000000000002</v>
      </c>
      <c r="AU150" s="11">
        <f>IFERROR(AVERAGEIFS(RdTRABYVals!M$2:M$999,RdTRABYVals!$B$2:$B$999,"="&amp;$C150,RdTRABYVals!$C$2:$C$999,"="&amp;INS!$A150),"")</f>
        <v>0.44</v>
      </c>
      <c r="AV150" s="11">
        <f>IFERROR(AVERAGEIFS(RdTRABYVals!N$2:N$999,RdTRABYVals!$B$2:$B$999,"="&amp;$C150,RdTRABYVals!$C$2:$C$999,"="&amp;INS!$A150),"")</f>
        <v>0.42999999999999999</v>
      </c>
      <c r="AW150" s="11">
        <f>IFERROR(AVERAGEIFS(RdTRABYVals!O$2:O$999,RdTRABYVals!$B$2:$B$999,"="&amp;$C150,RdTRABYVals!$C$2:$C$999,"="&amp;INS!$A150),"")</f>
        <v>0.41999999999999998</v>
      </c>
      <c r="AX150" s="11">
        <f>IFERROR(AVERAGEIFS(RdTRABYVals!P$2:P$999,RdTRABYVals!$B$2:$B$999,"="&amp;$C150,RdTRABYVals!$C$2:$C$999,"="&amp;INS!$A150),"")</f>
        <v>0.38</v>
      </c>
      <c r="AY150" s="11">
        <f>IFERROR(AVERAGEIFS(RdTRABYVals!Q$2:Q$999,RdTRABYVals!$B$2:$B$999,"="&amp;$C150,RdTRABYVals!$C$2:$C$999,"="&amp;INS!$A150),"")</f>
        <v>0.41999999999999998</v>
      </c>
      <c r="AZ150" s="11">
        <f>IFERROR(AVERAGEIFS(RdTRABYVals!R$2:R$999,RdTRABYVals!$B$2:$B$999,"="&amp;$C150,RdTRABYVals!$C$2:$C$999,"="&amp;INS!$A150),"")</f>
        <v>0.40000000000000002</v>
      </c>
      <c r="BA150" s="11">
        <f>IFERROR(AVERAGEIFS(RdTRABYVals!S$2:S$999,RdTRABYVals!$B$2:$B$999,"="&amp;$C150,RdTRABYVals!$C$2:$C$999,"="&amp;INS!$A150),"")</f>
        <v>0.42999999999999999</v>
      </c>
      <c r="BB150" s="11">
        <f>IFERROR(AVERAGEIFS(RdTRABYVals!T$2:T$999,RdTRABYVals!$B$2:$B$999,"="&amp;$C150,RdTRABYVals!$C$2:$C$999,"="&amp;INS!$A150),"")</f>
        <v>0.42999999999999999</v>
      </c>
      <c r="BC150" s="11">
        <f>IFERROR(AVERAGEIFS(RdTRABYVals!U$2:U$999,RdTRABYVals!$B$2:$B$999,"="&amp;$C150,RdTRABYVals!$C$2:$C$999,"="&amp;INS!$A150),"")</f>
        <v>0.45000000000000001</v>
      </c>
      <c r="BD150" s="11">
        <f>IFERROR(AVERAGEIFS(RdTRABYVals!V$2:V$999,RdTRABYVals!$B$2:$B$999,"="&amp;$C150,RdTRABYVals!$C$2:$C$999,"="&amp;INS!$A150),"")</f>
        <v>0.46000000000000002</v>
      </c>
      <c r="BE150" s="11">
        <f>IFERROR(AVERAGEIFS(RdTRABYVals!W$2:W$999,RdTRABYVals!$B$2:$B$999,"="&amp;$C150,RdTRABYVals!$C$2:$C$999,"="&amp;INS!$A150),"")</f>
        <v>0.40000000000000002</v>
      </c>
      <c r="BF150" s="11">
        <f>IFERROR(AVERAGEIFS(RdTRABYVals!X$2:X$999,RdTRABYVals!$B$2:$B$999,"="&amp;$C150,RdTRABYVals!$C$2:$C$999,"="&amp;INS!$A150),"")</f>
        <v>0.44</v>
      </c>
      <c r="BG150" s="11">
        <f>IFERROR(AVERAGEIFS(RdTRABYVals!Y$2:Y$999,RdTRABYVals!$B$2:$B$999,"="&amp;$C150,RdTRABYVals!$C$2:$C$999,"="&amp;INS!$A150),"")</f>
        <v>0.41999999999999998</v>
      </c>
      <c r="BH150" s="11">
        <f>IFERROR(AVERAGEIFS(RdTRABYVals!Z$2:Z$999,RdTRABYVals!$B$2:$B$999,"="&amp;$C150,RdTRABYVals!$C$2:$C$999,"="&amp;INS!$A150),"")</f>
        <v>0.46000000000000002</v>
      </c>
      <c r="BI150" s="11">
        <f>IFERROR(AVERAGEIFS(RdTRABYVals!AA$2:AA$999,RdTRABYVals!$B$2:$B$999,"="&amp;$C150,RdTRABYVals!$C$2:$C$999,"="&amp;INS!$A150),"")</f>
        <v>0.42999999999999999</v>
      </c>
      <c r="BJ150" s="11">
        <f>IFERROR(AVERAGEIFS(RdTRABYVals!AB$2:AB$999,RdTRABYVals!$B$2:$B$999,"="&amp;$C150,RdTRABYVals!$C$2:$C$999,"="&amp;INS!$A150),"")</f>
        <v>0.46000000000000002</v>
      </c>
      <c r="BK150" s="11">
        <f>IFERROR(AVERAGEIFS(RdTRABYVals!AC$2:AC$999,RdTRABYVals!$B$2:$B$999,"="&amp;$C150,RdTRABYVals!$C$2:$C$999,"="&amp;INS!$A150),"")</f>
        <v>0.44</v>
      </c>
      <c r="BL150" s="11">
        <f>IFERROR(AVERAGEIFS(RdTRABYVals!AD$2:AD$999,RdTRABYVals!$B$2:$B$999,"="&amp;$C150,RdTRABYVals!$C$2:$C$999,"="&amp;INS!$A150),"")</f>
        <v>0.41999999999999998</v>
      </c>
      <c r="BM150" s="11">
        <f>IFERROR(AVERAGEIFS(RdTRABYVals!AE$2:AE$999,RdTRABYVals!$B$2:$B$999,"="&amp;$C150,RdTRABYVals!$C$2:$C$999,"="&amp;INS!$A150),"")</f>
        <v>0.44</v>
      </c>
      <c r="BN150" s="11">
        <f>IFERROR(AVERAGEIFS(RdTRABYVals!AF$2:AF$999,RdTRABYVals!$B$2:$B$999,"="&amp;$C150,RdTRABYVals!$C$2:$C$999,"="&amp;INS!$A150),"")</f>
        <v>0.42999999999999999</v>
      </c>
      <c r="BO150" s="11">
        <f>IFERROR(AVERAGEIFS(RdTRABYVals!AG$2:AG$999,RdTRABYVals!$B$2:$B$999,"="&amp;$C150,RdTRABYVals!$C$2:$C$999,"="&amp;INS!$A150),"")</f>
        <v>0.44</v>
      </c>
      <c r="BP150" s="11">
        <f>IFERROR(AVERAGEIFS(RdTRABYVals!AH$2:AH$999,RdTRABYVals!$B$2:$B$999,"="&amp;$C150,RdTRABYVals!$C$2:$C$999,"="&amp;INS!$A150),"")</f>
        <v>0.42999999999999999</v>
      </c>
      <c r="BQ150" s="11">
        <f>IFERROR(AVERAGEIFS(RdTRABYVals!AI$2:AI$999,RdTRABYVals!$B$2:$B$999,"="&amp;$C150,RdTRABYVals!$C$2:$C$999,"="&amp;INS!$A150),"")</f>
        <v>0.45000000000000001</v>
      </c>
      <c r="BR150" s="11">
        <f>IFERROR(AVERAGEIFS(RdTRABYVals!AJ$2:AJ$999,RdTRABYVals!$B$2:$B$999,"="&amp;$C150,RdTRABYVals!$C$2:$C$999,"="&amp;INS!$A150),"")</f>
        <v>0.40000000000000002</v>
      </c>
      <c r="BS150" s="11">
        <f>IFERROR(AVERAGEIFS(RdTRABYVals!AK$2:AK$999,RdTRABYVals!$B$2:$B$999,"="&amp;$C150,RdTRABYVals!$C$2:$C$999,"="&amp;INS!$A150),"")</f>
        <v>0.42999999999999999</v>
      </c>
      <c r="BT150" s="11">
        <f>IFERROR(AVERAGEIFS(RdTRABYVals!AL$2:AL$999,RdTRABYVals!$B$2:$B$999,"="&amp;$C150,RdTRABYVals!$C$2:$C$999,"="&amp;INS!$A150),"")</f>
        <v>0.44</v>
      </c>
      <c r="BU150" s="11">
        <f>IFERROR(AVERAGEIFS(RdTRABYVals!AM$2:AM$999,RdTRABYVals!$B$2:$B$999,"="&amp;$C150,RdTRABYVals!$C$2:$C$999,"="&amp;INS!$A150),"")</f>
        <v>0.40000000000000002</v>
      </c>
      <c r="BV150" s="11">
        <f>IFERROR(AVERAGEIFS(RdTRABYVals!AN$2:AN$999,RdTRABYVals!$B$2:$B$999,"="&amp;$C150,RdTRABYVals!$C$2:$C$999,"="&amp;INS!$A150),"")</f>
        <v>0.41999999999999998</v>
      </c>
      <c r="BW150" s="11">
        <f>IFERROR(AVERAGEIFS(RdTRABYVals!AO$2:AO$999,RdTRABYVals!$B$2:$B$999,"="&amp;$C150,RdTRABYVals!$C$2:$C$999,"="&amp;INS!$A150),"")</f>
        <v>0.42999999999999999</v>
      </c>
      <c r="BX150" s="11">
        <f>IFERROR(AVERAGEIFS(RdTRABYVals!AP$2:AP$999,RdTRABYVals!$B$2:$B$999,"="&amp;$C150,RdTRABYVals!$C$2:$C$999,"="&amp;INS!$A150),"")</f>
        <v>0.45000000000000001</v>
      </c>
      <c r="BY150" s="11">
        <f>IFERROR(AVERAGEIFS(RdTRABYVals!AQ$2:AQ$999,RdTRABYVals!$B$2:$B$999,"="&amp;$C150,RdTRABYVals!$C$2:$C$999,"="&amp;INS!$A150),"")</f>
        <v>0.39000000000000001</v>
      </c>
      <c r="BZ150" s="11">
        <f>IFERROR(AVERAGEIFS(RdTRABYVals!AR$2:AR$999,RdTRABYVals!$B$2:$B$999,"="&amp;$C150,RdTRABYVals!$C$2:$C$999,"="&amp;INS!$A150),"")</f>
        <v>0.42999999999999999</v>
      </c>
      <c r="CA150" s="11">
        <f>IFERROR(AVERAGEIFS(RdTRABYVals!AS$2:AS$999,RdTRABYVals!$B$2:$B$999,"="&amp;$C150,RdTRABYVals!$C$2:$C$999,"="&amp;INS!$A150),"")</f>
        <v>0.46000000000000002</v>
      </c>
      <c r="CB150" s="11">
        <f>IFERROR(AVERAGEIFS(RdTRABYVals!AT$2:AT$999,RdTRABYVals!$B$2:$B$999,"="&amp;$C150,RdTRABYVals!$C$2:$C$999,"="&amp;INS!$A150),"")</f>
        <v>0.44</v>
      </c>
      <c r="CC150" s="11">
        <f>IFERROR(AVERAGEIFS(RdTRABYVals!AU$2:AU$999,RdTRABYVals!$B$2:$B$999,"="&amp;$C150,RdTRABYVals!$C$2:$C$999,"="&amp;INS!$A150),"")</f>
        <v>0.45000000000000001</v>
      </c>
      <c r="CD150" s="11">
        <f>IFERROR(AVERAGEIFS(RdTRABYVals!AV$2:AV$999,RdTRABYVals!$B$2:$B$999,"="&amp;$C150,RdTRABYVals!$C$2:$C$999,"="&amp;INS!$A150),"")</f>
        <v>0.46000000000000002</v>
      </c>
    </row>
    <row r="151" spans="1:82" ht="14.4">
      <c r="A151" s="3" t="s">
        <v>129</v>
      </c>
      <c r="C151" s="1" t="s">
        <v>29</v>
      </c>
      <c r="D151" t="s">
        <v>154</v>
      </c>
      <c r="F151" t="str">
        <f t="shared" si="31"/>
        <v>*0.442702702702703</v>
      </c>
      <c r="G151" t="str">
        <f t="shared" si="37"/>
        <v>*0.41</v>
      </c>
      <c r="H151" t="str">
        <f t="shared" si="38"/>
        <v>*0.45</v>
      </c>
      <c r="I151" t="str">
        <f t="shared" si="39"/>
        <v>*0.44</v>
      </c>
      <c r="J151" t="str">
        <f t="shared" si="40"/>
        <v>*0.43</v>
      </c>
      <c r="K151" t="str">
        <f t="shared" si="41"/>
        <v>*0.38</v>
      </c>
      <c r="L151" t="str">
        <f t="shared" si="42"/>
        <v>*0.44</v>
      </c>
      <c r="M151" t="str">
        <f t="shared" si="43"/>
        <v>*0.41</v>
      </c>
      <c r="N151" t="str">
        <f t="shared" si="44"/>
        <v>*0.44</v>
      </c>
      <c r="O151" t="str">
        <f t="shared" si="45"/>
        <v>*0.44</v>
      </c>
      <c r="P151" t="str">
        <f t="shared" si="46"/>
        <v>*0.49</v>
      </c>
      <c r="Q151" t="str">
        <f t="shared" si="47"/>
        <v>*0.47</v>
      </c>
      <c r="R151" t="str">
        <f t="shared" si="48"/>
        <v>*0.41</v>
      </c>
      <c r="S151" t="str">
        <f t="shared" si="49"/>
        <v>*0.45</v>
      </c>
      <c r="T151" t="str">
        <f t="shared" si="50"/>
        <v>*0.43</v>
      </c>
      <c r="U151" t="str">
        <f t="shared" si="51"/>
        <v>*0.47</v>
      </c>
      <c r="V151" t="str">
        <f t="shared" si="52"/>
        <v>*0.44</v>
      </c>
      <c r="W151" t="str">
        <f t="shared" si="53"/>
        <v>*0.46</v>
      </c>
      <c r="X151" t="str">
        <f t="shared" si="54"/>
        <v>*0.46</v>
      </c>
      <c r="Y151" t="str">
        <f t="shared" si="55"/>
        <v>*0.45</v>
      </c>
      <c r="Z151" t="str">
        <f t="shared" si="56"/>
        <v>*0.45</v>
      </c>
      <c r="AA151" t="str">
        <f t="shared" si="57"/>
        <v>*0.44</v>
      </c>
      <c r="AB151" t="str">
        <f t="shared" si="58"/>
        <v>*0.44</v>
      </c>
      <c r="AC151" t="str">
        <f t="shared" si="59"/>
        <v>*0.48</v>
      </c>
      <c r="AD151" t="str">
        <f t="shared" si="60"/>
        <v>*0.45</v>
      </c>
      <c r="AE151" t="str">
        <f t="shared" si="61"/>
        <v>*0.41</v>
      </c>
      <c r="AF151" t="str">
        <f t="shared" si="62"/>
        <v>*0.44</v>
      </c>
      <c r="AG151" t="str">
        <f t="shared" si="63"/>
        <v>*0.46</v>
      </c>
      <c r="AH151" t="str">
        <f t="shared" si="64"/>
        <v>*0.43</v>
      </c>
      <c r="AI151" t="str">
        <f t="shared" si="65"/>
        <v>*0.42</v>
      </c>
      <c r="AJ151" t="str">
        <f t="shared" si="66"/>
        <v>*0.43</v>
      </c>
      <c r="AK151" t="str">
        <f t="shared" si="67"/>
        <v>*0.47</v>
      </c>
      <c r="AL151" t="str">
        <f t="shared" si="68"/>
        <v>*0.39</v>
      </c>
      <c r="AM151" t="str">
        <f t="shared" si="69"/>
        <v>*0.44</v>
      </c>
      <c r="AN151" t="str">
        <f t="shared" si="33"/>
        <v>*0.48</v>
      </c>
      <c r="AO151" t="str">
        <f t="shared" si="34"/>
        <v>*0.44</v>
      </c>
      <c r="AP151" t="str">
        <f t="shared" si="35"/>
        <v>*0.46</v>
      </c>
      <c r="AQ151" t="str">
        <f t="shared" si="36"/>
        <v>*0.48</v>
      </c>
      <c r="AS151" s="11">
        <f t="shared" si="71"/>
        <v>0.44270270270270262</v>
      </c>
      <c r="AT151" s="11">
        <f>IFERROR(AVERAGEIFS(RdTRABYVals!L$2:L$999,RdTRABYVals!$B$2:$B$999,"="&amp;$C151,RdTRABYVals!$C$2:$C$999,"="&amp;INS!$A151),"")</f>
        <v>0.40999999999999998</v>
      </c>
      <c r="AU151" s="11">
        <f>IFERROR(AVERAGEIFS(RdTRABYVals!M$2:M$999,RdTRABYVals!$B$2:$B$999,"="&amp;$C151,RdTRABYVals!$C$2:$C$999,"="&amp;INS!$A151),"")</f>
        <v>0.45000000000000001</v>
      </c>
      <c r="AV151" s="11">
        <f>IFERROR(AVERAGEIFS(RdTRABYVals!N$2:N$999,RdTRABYVals!$B$2:$B$999,"="&amp;$C151,RdTRABYVals!$C$2:$C$999,"="&amp;INS!$A151),"")</f>
        <v>0.44</v>
      </c>
      <c r="AW151" s="11">
        <f>IFERROR(AVERAGEIFS(RdTRABYVals!O$2:O$999,RdTRABYVals!$B$2:$B$999,"="&amp;$C151,RdTRABYVals!$C$2:$C$999,"="&amp;INS!$A151),"")</f>
        <v>0.42999999999999999</v>
      </c>
      <c r="AX151" s="11">
        <f>IFERROR(AVERAGEIFS(RdTRABYVals!P$2:P$999,RdTRABYVals!$B$2:$B$999,"="&amp;$C151,RdTRABYVals!$C$2:$C$999,"="&amp;INS!$A151),"")</f>
        <v>0.38</v>
      </c>
      <c r="AY151" s="11">
        <f>IFERROR(AVERAGEIFS(RdTRABYVals!Q$2:Q$999,RdTRABYVals!$B$2:$B$999,"="&amp;$C151,RdTRABYVals!$C$2:$C$999,"="&amp;INS!$A151),"")</f>
        <v>0.44</v>
      </c>
      <c r="AZ151" s="11">
        <f>IFERROR(AVERAGEIFS(RdTRABYVals!R$2:R$999,RdTRABYVals!$B$2:$B$999,"="&amp;$C151,RdTRABYVals!$C$2:$C$999,"="&amp;INS!$A151),"")</f>
        <v>0.40999999999999998</v>
      </c>
      <c r="BA151" s="11">
        <f>IFERROR(AVERAGEIFS(RdTRABYVals!S$2:S$999,RdTRABYVals!$B$2:$B$999,"="&amp;$C151,RdTRABYVals!$C$2:$C$999,"="&amp;INS!$A151),"")</f>
        <v>0.44</v>
      </c>
      <c r="BB151" s="11">
        <f>IFERROR(AVERAGEIFS(RdTRABYVals!T$2:T$999,RdTRABYVals!$B$2:$B$999,"="&amp;$C151,RdTRABYVals!$C$2:$C$999,"="&amp;INS!$A151),"")</f>
        <v>0.44</v>
      </c>
      <c r="BC151" s="11">
        <f>IFERROR(AVERAGEIFS(RdTRABYVals!U$2:U$999,RdTRABYVals!$B$2:$B$999,"="&amp;$C151,RdTRABYVals!$C$2:$C$999,"="&amp;INS!$A151),"")</f>
        <v>0.48999999999999999</v>
      </c>
      <c r="BD151" s="11">
        <f>IFERROR(AVERAGEIFS(RdTRABYVals!V$2:V$999,RdTRABYVals!$B$2:$B$999,"="&amp;$C151,RdTRABYVals!$C$2:$C$999,"="&amp;INS!$A151),"")</f>
        <v>0.46999999999999997</v>
      </c>
      <c r="BE151" s="11">
        <f>IFERROR(AVERAGEIFS(RdTRABYVals!W$2:W$999,RdTRABYVals!$B$2:$B$999,"="&amp;$C151,RdTRABYVals!$C$2:$C$999,"="&amp;INS!$A151),"")</f>
        <v>0.40999999999999998</v>
      </c>
      <c r="BF151" s="11">
        <f>IFERROR(AVERAGEIFS(RdTRABYVals!X$2:X$999,RdTRABYVals!$B$2:$B$999,"="&amp;$C151,RdTRABYVals!$C$2:$C$999,"="&amp;INS!$A151),"")</f>
        <v>0.45000000000000001</v>
      </c>
      <c r="BG151" s="11">
        <f>IFERROR(AVERAGEIFS(RdTRABYVals!Y$2:Y$999,RdTRABYVals!$B$2:$B$999,"="&amp;$C151,RdTRABYVals!$C$2:$C$999,"="&amp;INS!$A151),"")</f>
        <v>0.42999999999999999</v>
      </c>
      <c r="BH151" s="11">
        <f>IFERROR(AVERAGEIFS(RdTRABYVals!Z$2:Z$999,RdTRABYVals!$B$2:$B$999,"="&amp;$C151,RdTRABYVals!$C$2:$C$999,"="&amp;INS!$A151),"")</f>
        <v>0.46999999999999997</v>
      </c>
      <c r="BI151" s="11">
        <f>IFERROR(AVERAGEIFS(RdTRABYVals!AA$2:AA$999,RdTRABYVals!$B$2:$B$999,"="&amp;$C151,RdTRABYVals!$C$2:$C$999,"="&amp;INS!$A151),"")</f>
        <v>0.44</v>
      </c>
      <c r="BJ151" s="11">
        <f>IFERROR(AVERAGEIFS(RdTRABYVals!AB$2:AB$999,RdTRABYVals!$B$2:$B$999,"="&amp;$C151,RdTRABYVals!$C$2:$C$999,"="&amp;INS!$A151),"")</f>
        <v>0.46000000000000002</v>
      </c>
      <c r="BK151" s="11">
        <f>IFERROR(AVERAGEIFS(RdTRABYVals!AC$2:AC$999,RdTRABYVals!$B$2:$B$999,"="&amp;$C151,RdTRABYVals!$C$2:$C$999,"="&amp;INS!$A151),"")</f>
        <v>0.46000000000000002</v>
      </c>
      <c r="BL151" s="11">
        <f>IFERROR(AVERAGEIFS(RdTRABYVals!AD$2:AD$999,RdTRABYVals!$B$2:$B$999,"="&amp;$C151,RdTRABYVals!$C$2:$C$999,"="&amp;INS!$A151),"")</f>
        <v>0.45000000000000001</v>
      </c>
      <c r="BM151" s="11">
        <f>IFERROR(AVERAGEIFS(RdTRABYVals!AE$2:AE$999,RdTRABYVals!$B$2:$B$999,"="&amp;$C151,RdTRABYVals!$C$2:$C$999,"="&amp;INS!$A151),"")</f>
        <v>0.45000000000000001</v>
      </c>
      <c r="BN151" s="11">
        <f>IFERROR(AVERAGEIFS(RdTRABYVals!AF$2:AF$999,RdTRABYVals!$B$2:$B$999,"="&amp;$C151,RdTRABYVals!$C$2:$C$999,"="&amp;INS!$A151),"")</f>
        <v>0.44</v>
      </c>
      <c r="BO151" s="11">
        <f>IFERROR(AVERAGEIFS(RdTRABYVals!AG$2:AG$999,RdTRABYVals!$B$2:$B$999,"="&amp;$C151,RdTRABYVals!$C$2:$C$999,"="&amp;INS!$A151),"")</f>
        <v>0.44</v>
      </c>
      <c r="BP151" s="11">
        <f>IFERROR(AVERAGEIFS(RdTRABYVals!AH$2:AH$999,RdTRABYVals!$B$2:$B$999,"="&amp;$C151,RdTRABYVals!$C$2:$C$999,"="&amp;INS!$A151),"")</f>
        <v>0.47999999999999998</v>
      </c>
      <c r="BQ151" s="11">
        <f>IFERROR(AVERAGEIFS(RdTRABYVals!AI$2:AI$999,RdTRABYVals!$B$2:$B$999,"="&amp;$C151,RdTRABYVals!$C$2:$C$999,"="&amp;INS!$A151),"")</f>
        <v>0.45000000000000001</v>
      </c>
      <c r="BR151" s="11">
        <f>IFERROR(AVERAGEIFS(RdTRABYVals!AJ$2:AJ$999,RdTRABYVals!$B$2:$B$999,"="&amp;$C151,RdTRABYVals!$C$2:$C$999,"="&amp;INS!$A151),"")</f>
        <v>0.40999999999999998</v>
      </c>
      <c r="BS151" s="11">
        <f>IFERROR(AVERAGEIFS(RdTRABYVals!AK$2:AK$999,RdTRABYVals!$B$2:$B$999,"="&amp;$C151,RdTRABYVals!$C$2:$C$999,"="&amp;INS!$A151),"")</f>
        <v>0.44</v>
      </c>
      <c r="BT151" s="11">
        <f>IFERROR(AVERAGEIFS(RdTRABYVals!AL$2:AL$999,RdTRABYVals!$B$2:$B$999,"="&amp;$C151,RdTRABYVals!$C$2:$C$999,"="&amp;INS!$A151),"")</f>
        <v>0.46000000000000002</v>
      </c>
      <c r="BU151" s="11">
        <f>IFERROR(AVERAGEIFS(RdTRABYVals!AM$2:AM$999,RdTRABYVals!$B$2:$B$999,"="&amp;$C151,RdTRABYVals!$C$2:$C$999,"="&amp;INS!$A151),"")</f>
        <v>0.42999999999999999</v>
      </c>
      <c r="BV151" s="11">
        <f>IFERROR(AVERAGEIFS(RdTRABYVals!AN$2:AN$999,RdTRABYVals!$B$2:$B$999,"="&amp;$C151,RdTRABYVals!$C$2:$C$999,"="&amp;INS!$A151),"")</f>
        <v>0.41999999999999998</v>
      </c>
      <c r="BW151" s="11">
        <f>IFERROR(AVERAGEIFS(RdTRABYVals!AO$2:AO$999,RdTRABYVals!$B$2:$B$999,"="&amp;$C151,RdTRABYVals!$C$2:$C$999,"="&amp;INS!$A151),"")</f>
        <v>0.42999999999999999</v>
      </c>
      <c r="BX151" s="11">
        <f>IFERROR(AVERAGEIFS(RdTRABYVals!AP$2:AP$999,RdTRABYVals!$B$2:$B$999,"="&amp;$C151,RdTRABYVals!$C$2:$C$999,"="&amp;INS!$A151),"")</f>
        <v>0.46999999999999997</v>
      </c>
      <c r="BY151" s="11">
        <f>IFERROR(AVERAGEIFS(RdTRABYVals!AQ$2:AQ$999,RdTRABYVals!$B$2:$B$999,"="&amp;$C151,RdTRABYVals!$C$2:$C$999,"="&amp;INS!$A151),"")</f>
        <v>0.39000000000000001</v>
      </c>
      <c r="BZ151" s="11">
        <f>IFERROR(AVERAGEIFS(RdTRABYVals!AR$2:AR$999,RdTRABYVals!$B$2:$B$999,"="&amp;$C151,RdTRABYVals!$C$2:$C$999,"="&amp;INS!$A151),"")</f>
        <v>0.44</v>
      </c>
      <c r="CA151" s="11">
        <f>IFERROR(AVERAGEIFS(RdTRABYVals!AS$2:AS$999,RdTRABYVals!$B$2:$B$999,"="&amp;$C151,RdTRABYVals!$C$2:$C$999,"="&amp;INS!$A151),"")</f>
        <v>0.47999999999999998</v>
      </c>
      <c r="CB151" s="11">
        <f>IFERROR(AVERAGEIFS(RdTRABYVals!AT$2:AT$999,RdTRABYVals!$B$2:$B$999,"="&amp;$C151,RdTRABYVals!$C$2:$C$999,"="&amp;INS!$A151),"")</f>
        <v>0.44</v>
      </c>
      <c r="CC151" s="11">
        <f>IFERROR(AVERAGEIFS(RdTRABYVals!AU$2:AU$999,RdTRABYVals!$B$2:$B$999,"="&amp;$C151,RdTRABYVals!$C$2:$C$999,"="&amp;INS!$A151),"")</f>
        <v>0.46000000000000002</v>
      </c>
      <c r="CD151" s="11">
        <f>IFERROR(AVERAGEIFS(RdTRABYVals!AV$2:AV$999,RdTRABYVals!$B$2:$B$999,"="&amp;$C151,RdTRABYVals!$C$2:$C$999,"="&amp;INS!$A151),"")</f>
        <v>0.47999999999999998</v>
      </c>
    </row>
    <row r="152" spans="1:82" ht="14.4">
      <c r="A152" s="3" t="s">
        <v>130</v>
      </c>
      <c r="C152" s="1" t="s">
        <v>29</v>
      </c>
      <c r="D152" t="s">
        <v>155</v>
      </c>
      <c r="F152" t="str">
        <f t="shared" si="31"/>
        <v>*0.364054054054054</v>
      </c>
      <c r="G152" t="str">
        <f t="shared" si="37"/>
        <v>*0.34</v>
      </c>
      <c r="H152" t="str">
        <f t="shared" si="38"/>
        <v>*0.37</v>
      </c>
      <c r="I152" t="str">
        <f t="shared" si="39"/>
        <v>*0.36</v>
      </c>
      <c r="J152" t="str">
        <f t="shared" si="40"/>
        <v>*0.36</v>
      </c>
      <c r="K152" t="str">
        <f t="shared" si="41"/>
        <v>*0.32</v>
      </c>
      <c r="L152" t="str">
        <f t="shared" si="42"/>
        <v>*0.36</v>
      </c>
      <c r="M152" t="str">
        <f t="shared" si="43"/>
        <v>*0.33</v>
      </c>
      <c r="N152" t="str">
        <f t="shared" si="44"/>
        <v>*0.37</v>
      </c>
      <c r="O152" t="str">
        <f t="shared" si="45"/>
        <v>*0.37</v>
      </c>
      <c r="P152" t="str">
        <f t="shared" si="46"/>
        <v>*0.38</v>
      </c>
      <c r="Q152" t="str">
        <f t="shared" si="47"/>
        <v>*0.4</v>
      </c>
      <c r="R152" t="str">
        <f t="shared" si="48"/>
        <v>*0.34</v>
      </c>
      <c r="S152" t="str">
        <f t="shared" si="49"/>
        <v>*0.38</v>
      </c>
      <c r="T152" t="str">
        <f t="shared" si="50"/>
        <v>*0.36</v>
      </c>
      <c r="U152" t="str">
        <f t="shared" si="51"/>
        <v>*0.38</v>
      </c>
      <c r="V152" t="str">
        <f t="shared" si="52"/>
        <v>*0.36</v>
      </c>
      <c r="W152" t="str">
        <f t="shared" si="53"/>
        <v>*0.39</v>
      </c>
      <c r="X152" t="str">
        <f t="shared" si="54"/>
        <v>*0.37</v>
      </c>
      <c r="Y152" t="str">
        <f t="shared" si="55"/>
        <v>*0.35</v>
      </c>
      <c r="Z152" t="str">
        <f t="shared" si="56"/>
        <v>*0.37</v>
      </c>
      <c r="AA152" t="str">
        <f t="shared" si="57"/>
        <v>*0.36</v>
      </c>
      <c r="AB152" t="str">
        <f t="shared" si="58"/>
        <v>*0.36</v>
      </c>
      <c r="AC152" t="str">
        <f t="shared" si="59"/>
        <v>*0.36</v>
      </c>
      <c r="AD152" t="str">
        <f t="shared" si="60"/>
        <v>*0.38</v>
      </c>
      <c r="AE152" t="str">
        <f t="shared" si="61"/>
        <v>*0.34</v>
      </c>
      <c r="AF152" t="str">
        <f t="shared" si="62"/>
        <v>*0.36</v>
      </c>
      <c r="AG152" t="str">
        <f t="shared" si="63"/>
        <v>*0.37</v>
      </c>
      <c r="AH152" t="str">
        <f t="shared" si="64"/>
        <v>*0.34</v>
      </c>
      <c r="AI152" t="str">
        <f t="shared" si="65"/>
        <v>*0.36</v>
      </c>
      <c r="AJ152" t="str">
        <f t="shared" si="66"/>
        <v>*0.37</v>
      </c>
      <c r="AK152" t="str">
        <f t="shared" si="67"/>
        <v>*0.39</v>
      </c>
      <c r="AL152" t="str">
        <f t="shared" si="68"/>
        <v>*0.33</v>
      </c>
      <c r="AM152" t="str">
        <f t="shared" si="69"/>
        <v>*0.36</v>
      </c>
      <c r="AN152" t="str">
        <f t="shared" si="33"/>
        <v>*0.38</v>
      </c>
      <c r="AO152" t="str">
        <f t="shared" si="34"/>
        <v>*0.37</v>
      </c>
      <c r="AP152" t="str">
        <f t="shared" si="35"/>
        <v>*0.39</v>
      </c>
      <c r="AQ152" t="str">
        <f t="shared" si="36"/>
        <v>*0.39</v>
      </c>
      <c r="AS152" s="11">
        <f t="shared" si="71"/>
        <v>0.364054054054054</v>
      </c>
      <c r="AT152" s="11">
        <f>IFERROR(AVERAGEIFS(RdTRABYVals!L$2:L$999,RdTRABYVals!$B$2:$B$999,"="&amp;$C152,RdTRABYVals!$C$2:$C$999,"="&amp;INS!$A152),"")</f>
        <v>0.34000000000000002</v>
      </c>
      <c r="AU152" s="11">
        <f>IFERROR(AVERAGEIFS(RdTRABYVals!M$2:M$999,RdTRABYVals!$B$2:$B$999,"="&amp;$C152,RdTRABYVals!$C$2:$C$999,"="&amp;INS!$A152),"")</f>
        <v>0.37</v>
      </c>
      <c r="AV152" s="11">
        <f>IFERROR(AVERAGEIFS(RdTRABYVals!N$2:N$999,RdTRABYVals!$B$2:$B$999,"="&amp;$C152,RdTRABYVals!$C$2:$C$999,"="&amp;INS!$A152),"")</f>
        <v>0.35999999999999999</v>
      </c>
      <c r="AW152" s="11">
        <f>IFERROR(AVERAGEIFS(RdTRABYVals!O$2:O$999,RdTRABYVals!$B$2:$B$999,"="&amp;$C152,RdTRABYVals!$C$2:$C$999,"="&amp;INS!$A152),"")</f>
        <v>0.35999999999999999</v>
      </c>
      <c r="AX152" s="11">
        <f>IFERROR(AVERAGEIFS(RdTRABYVals!P$2:P$999,RdTRABYVals!$B$2:$B$999,"="&amp;$C152,RdTRABYVals!$C$2:$C$999,"="&amp;INS!$A152),"")</f>
        <v>0.32000000000000001</v>
      </c>
      <c r="AY152" s="11">
        <f>IFERROR(AVERAGEIFS(RdTRABYVals!Q$2:Q$999,RdTRABYVals!$B$2:$B$999,"="&amp;$C152,RdTRABYVals!$C$2:$C$999,"="&amp;INS!$A152),"")</f>
        <v>0.35999999999999999</v>
      </c>
      <c r="AZ152" s="11">
        <f>IFERROR(AVERAGEIFS(RdTRABYVals!R$2:R$999,RdTRABYVals!$B$2:$B$999,"="&amp;$C152,RdTRABYVals!$C$2:$C$999,"="&amp;INS!$A152),"")</f>
        <v>0.33000000000000002</v>
      </c>
      <c r="BA152" s="11">
        <f>IFERROR(AVERAGEIFS(RdTRABYVals!S$2:S$999,RdTRABYVals!$B$2:$B$999,"="&amp;$C152,RdTRABYVals!$C$2:$C$999,"="&amp;INS!$A152),"")</f>
        <v>0.37</v>
      </c>
      <c r="BB152" s="11">
        <f>IFERROR(AVERAGEIFS(RdTRABYVals!T$2:T$999,RdTRABYVals!$B$2:$B$999,"="&amp;$C152,RdTRABYVals!$C$2:$C$999,"="&amp;INS!$A152),"")</f>
        <v>0.37</v>
      </c>
      <c r="BC152" s="11">
        <f>IFERROR(AVERAGEIFS(RdTRABYVals!U$2:U$999,RdTRABYVals!$B$2:$B$999,"="&amp;$C152,RdTRABYVals!$C$2:$C$999,"="&amp;INS!$A152),"")</f>
        <v>0.38</v>
      </c>
      <c r="BD152" s="11">
        <f>IFERROR(AVERAGEIFS(RdTRABYVals!V$2:V$999,RdTRABYVals!$B$2:$B$999,"="&amp;$C152,RdTRABYVals!$C$2:$C$999,"="&amp;INS!$A152),"")</f>
        <v>0.40000000000000002</v>
      </c>
      <c r="BE152" s="11">
        <f>IFERROR(AVERAGEIFS(RdTRABYVals!W$2:W$999,RdTRABYVals!$B$2:$B$999,"="&amp;$C152,RdTRABYVals!$C$2:$C$999,"="&amp;INS!$A152),"")</f>
        <v>0.34000000000000002</v>
      </c>
      <c r="BF152" s="11">
        <f>IFERROR(AVERAGEIFS(RdTRABYVals!X$2:X$999,RdTRABYVals!$B$2:$B$999,"="&amp;$C152,RdTRABYVals!$C$2:$C$999,"="&amp;INS!$A152),"")</f>
        <v>0.38</v>
      </c>
      <c r="BG152" s="11">
        <f>IFERROR(AVERAGEIFS(RdTRABYVals!Y$2:Y$999,RdTRABYVals!$B$2:$B$999,"="&amp;$C152,RdTRABYVals!$C$2:$C$999,"="&amp;INS!$A152),"")</f>
        <v>0.35999999999999999</v>
      </c>
      <c r="BH152" s="11">
        <f>IFERROR(AVERAGEIFS(RdTRABYVals!Z$2:Z$999,RdTRABYVals!$B$2:$B$999,"="&amp;$C152,RdTRABYVals!$C$2:$C$999,"="&amp;INS!$A152),"")</f>
        <v>0.38</v>
      </c>
      <c r="BI152" s="11">
        <f>IFERROR(AVERAGEIFS(RdTRABYVals!AA$2:AA$999,RdTRABYVals!$B$2:$B$999,"="&amp;$C152,RdTRABYVals!$C$2:$C$999,"="&amp;INS!$A152),"")</f>
        <v>0.35999999999999999</v>
      </c>
      <c r="BJ152" s="11">
        <f>IFERROR(AVERAGEIFS(RdTRABYVals!AB$2:AB$999,RdTRABYVals!$B$2:$B$999,"="&amp;$C152,RdTRABYVals!$C$2:$C$999,"="&amp;INS!$A152),"")</f>
        <v>0.39000000000000001</v>
      </c>
      <c r="BK152" s="11">
        <f>IFERROR(AVERAGEIFS(RdTRABYVals!AC$2:AC$999,RdTRABYVals!$B$2:$B$999,"="&amp;$C152,RdTRABYVals!$C$2:$C$999,"="&amp;INS!$A152),"")</f>
        <v>0.37</v>
      </c>
      <c r="BL152" s="11">
        <f>IFERROR(AVERAGEIFS(RdTRABYVals!AD$2:AD$999,RdTRABYVals!$B$2:$B$999,"="&amp;$C152,RdTRABYVals!$C$2:$C$999,"="&amp;INS!$A152),"")</f>
        <v>0.34999999999999998</v>
      </c>
      <c r="BM152" s="11">
        <f>IFERROR(AVERAGEIFS(RdTRABYVals!AE$2:AE$999,RdTRABYVals!$B$2:$B$999,"="&amp;$C152,RdTRABYVals!$C$2:$C$999,"="&amp;INS!$A152),"")</f>
        <v>0.37</v>
      </c>
      <c r="BN152" s="11">
        <f>IFERROR(AVERAGEIFS(RdTRABYVals!AF$2:AF$999,RdTRABYVals!$B$2:$B$999,"="&amp;$C152,RdTRABYVals!$C$2:$C$999,"="&amp;INS!$A152),"")</f>
        <v>0.35999999999999999</v>
      </c>
      <c r="BO152" s="11">
        <f>IFERROR(AVERAGEIFS(RdTRABYVals!AG$2:AG$999,RdTRABYVals!$B$2:$B$999,"="&amp;$C152,RdTRABYVals!$C$2:$C$999,"="&amp;INS!$A152),"")</f>
        <v>0.35999999999999999</v>
      </c>
      <c r="BP152" s="11">
        <f>IFERROR(AVERAGEIFS(RdTRABYVals!AH$2:AH$999,RdTRABYVals!$B$2:$B$999,"="&amp;$C152,RdTRABYVals!$C$2:$C$999,"="&amp;INS!$A152),"")</f>
        <v>0.35999999999999999</v>
      </c>
      <c r="BQ152" s="11">
        <f>IFERROR(AVERAGEIFS(RdTRABYVals!AI$2:AI$999,RdTRABYVals!$B$2:$B$999,"="&amp;$C152,RdTRABYVals!$C$2:$C$999,"="&amp;INS!$A152),"")</f>
        <v>0.38</v>
      </c>
      <c r="BR152" s="11">
        <f>IFERROR(AVERAGEIFS(RdTRABYVals!AJ$2:AJ$999,RdTRABYVals!$B$2:$B$999,"="&amp;$C152,RdTRABYVals!$C$2:$C$999,"="&amp;INS!$A152),"")</f>
        <v>0.34000000000000002</v>
      </c>
      <c r="BS152" s="11">
        <f>IFERROR(AVERAGEIFS(RdTRABYVals!AK$2:AK$999,RdTRABYVals!$B$2:$B$999,"="&amp;$C152,RdTRABYVals!$C$2:$C$999,"="&amp;INS!$A152),"")</f>
        <v>0.35999999999999999</v>
      </c>
      <c r="BT152" s="11">
        <f>IFERROR(AVERAGEIFS(RdTRABYVals!AL$2:AL$999,RdTRABYVals!$B$2:$B$999,"="&amp;$C152,RdTRABYVals!$C$2:$C$999,"="&amp;INS!$A152),"")</f>
        <v>0.37</v>
      </c>
      <c r="BU152" s="11">
        <f>IFERROR(AVERAGEIFS(RdTRABYVals!AM$2:AM$999,RdTRABYVals!$B$2:$B$999,"="&amp;$C152,RdTRABYVals!$C$2:$C$999,"="&amp;INS!$A152),"")</f>
        <v>0.34000000000000002</v>
      </c>
      <c r="BV152" s="11">
        <f>IFERROR(AVERAGEIFS(RdTRABYVals!AN$2:AN$999,RdTRABYVals!$B$2:$B$999,"="&amp;$C152,RdTRABYVals!$C$2:$C$999,"="&amp;INS!$A152),"")</f>
        <v>0.35999999999999999</v>
      </c>
      <c r="BW152" s="11">
        <f>IFERROR(AVERAGEIFS(RdTRABYVals!AO$2:AO$999,RdTRABYVals!$B$2:$B$999,"="&amp;$C152,RdTRABYVals!$C$2:$C$999,"="&amp;INS!$A152),"")</f>
        <v>0.37</v>
      </c>
      <c r="BX152" s="11">
        <f>IFERROR(AVERAGEIFS(RdTRABYVals!AP$2:AP$999,RdTRABYVals!$B$2:$B$999,"="&amp;$C152,RdTRABYVals!$C$2:$C$999,"="&amp;INS!$A152),"")</f>
        <v>0.39000000000000001</v>
      </c>
      <c r="BY152" s="11">
        <f>IFERROR(AVERAGEIFS(RdTRABYVals!AQ$2:AQ$999,RdTRABYVals!$B$2:$B$999,"="&amp;$C152,RdTRABYVals!$C$2:$C$999,"="&amp;INS!$A152),"")</f>
        <v>0.33000000000000002</v>
      </c>
      <c r="BZ152" s="11">
        <f>IFERROR(AVERAGEIFS(RdTRABYVals!AR$2:AR$999,RdTRABYVals!$B$2:$B$999,"="&amp;$C152,RdTRABYVals!$C$2:$C$999,"="&amp;INS!$A152),"")</f>
        <v>0.35999999999999999</v>
      </c>
      <c r="CA152" s="11">
        <f>IFERROR(AVERAGEIFS(RdTRABYVals!AS$2:AS$999,RdTRABYVals!$B$2:$B$999,"="&amp;$C152,RdTRABYVals!$C$2:$C$999,"="&amp;INS!$A152),"")</f>
        <v>0.38</v>
      </c>
      <c r="CB152" s="11">
        <f>IFERROR(AVERAGEIFS(RdTRABYVals!AT$2:AT$999,RdTRABYVals!$B$2:$B$999,"="&amp;$C152,RdTRABYVals!$C$2:$C$999,"="&amp;INS!$A152),"")</f>
        <v>0.37</v>
      </c>
      <c r="CC152" s="11">
        <f>IFERROR(AVERAGEIFS(RdTRABYVals!AU$2:AU$999,RdTRABYVals!$B$2:$B$999,"="&amp;$C152,RdTRABYVals!$C$2:$C$999,"="&amp;INS!$A152),"")</f>
        <v>0.39000000000000001</v>
      </c>
      <c r="CD152" s="11">
        <f>IFERROR(AVERAGEIFS(RdTRABYVals!AV$2:AV$999,RdTRABYVals!$B$2:$B$999,"="&amp;$C152,RdTRABYVals!$C$2:$C$999,"="&amp;INS!$A152),"")</f>
        <v>0.39000000000000001</v>
      </c>
    </row>
    <row r="153" spans="1:82" ht="14.4">
      <c r="A153" s="3" t="s">
        <v>127</v>
      </c>
      <c r="C153" s="1" t="s">
        <v>29</v>
      </c>
      <c r="D153" t="s">
        <v>164</v>
      </c>
      <c r="F153" t="str">
        <f t="shared" si="31"/>
        <v>*0.261891891891892</v>
      </c>
      <c r="G153" t="str">
        <f t="shared" si="37"/>
        <v>*0.23</v>
      </c>
      <c r="H153" t="str">
        <f t="shared" si="38"/>
        <v>*0.24</v>
      </c>
      <c r="I153" t="str">
        <f t="shared" si="39"/>
        <v>*0.28</v>
      </c>
      <c r="J153" t="str">
        <f t="shared" si="40"/>
        <v>*0.25</v>
      </c>
      <c r="K153" t="str">
        <f t="shared" si="41"/>
        <v>*0.22</v>
      </c>
      <c r="L153" t="str">
        <f t="shared" si="42"/>
        <v>*0.25</v>
      </c>
      <c r="M153" t="str">
        <f t="shared" si="43"/>
        <v>*0.24</v>
      </c>
      <c r="N153" t="str">
        <f t="shared" si="44"/>
        <v>*0.27</v>
      </c>
      <c r="O153" t="str">
        <f t="shared" si="45"/>
        <v>*0.25</v>
      </c>
      <c r="P153" t="str">
        <f t="shared" si="46"/>
        <v>*0.29</v>
      </c>
      <c r="Q153" t="str">
        <f t="shared" si="47"/>
        <v>*0.31</v>
      </c>
      <c r="R153" t="str">
        <f t="shared" si="48"/>
        <v>*0.23</v>
      </c>
      <c r="S153" t="str">
        <f t="shared" si="49"/>
        <v>*0.29</v>
      </c>
      <c r="T153" t="str">
        <f t="shared" si="50"/>
        <v>*0.26</v>
      </c>
      <c r="U153" t="str">
        <f t="shared" si="51"/>
        <v>*0.26</v>
      </c>
      <c r="V153" t="str">
        <f t="shared" si="52"/>
        <v>*0.28</v>
      </c>
      <c r="W153" t="str">
        <f t="shared" si="53"/>
        <v>*0.29</v>
      </c>
      <c r="X153" t="str">
        <f t="shared" si="54"/>
        <v>*0.24</v>
      </c>
      <c r="Y153" t="str">
        <f t="shared" si="55"/>
        <v>*0.25</v>
      </c>
      <c r="Z153" t="str">
        <f t="shared" si="56"/>
        <v>*0.23</v>
      </c>
      <c r="AA153" t="str">
        <f t="shared" si="57"/>
        <v>*0.28</v>
      </c>
      <c r="AB153" t="str">
        <f t="shared" si="58"/>
        <v>*0.28</v>
      </c>
      <c r="AC153" t="str">
        <f t="shared" si="59"/>
        <v>*0.26</v>
      </c>
      <c r="AD153" t="str">
        <f t="shared" si="60"/>
        <v>*0.28</v>
      </c>
      <c r="AE153" t="str">
        <f t="shared" si="61"/>
        <v>*0.23</v>
      </c>
      <c r="AF153" t="str">
        <f t="shared" si="62"/>
        <v>*0.26</v>
      </c>
      <c r="AG153" t="str">
        <f t="shared" si="63"/>
        <v>*0.28</v>
      </c>
      <c r="AH153" t="str">
        <f t="shared" si="64"/>
        <v>*0.25</v>
      </c>
      <c r="AI153" t="str">
        <f t="shared" si="65"/>
        <v>*0.27</v>
      </c>
      <c r="AJ153" t="str">
        <f t="shared" si="66"/>
        <v>*0.28</v>
      </c>
      <c r="AK153" t="str">
        <f t="shared" si="67"/>
        <v>*0.27</v>
      </c>
      <c r="AL153" t="str">
        <f t="shared" si="68"/>
        <v>*0.21</v>
      </c>
      <c r="AM153" t="str">
        <f t="shared" si="69"/>
        <v>*0.28</v>
      </c>
      <c r="AN153" t="str">
        <f t="shared" si="33"/>
        <v>*0.28</v>
      </c>
      <c r="AO153" t="str">
        <f t="shared" si="34"/>
        <v>*0.28</v>
      </c>
      <c r="AP153" t="str">
        <f t="shared" si="35"/>
        <v>*0.28</v>
      </c>
      <c r="AQ153" t="str">
        <f t="shared" si="36"/>
        <v>*0.26</v>
      </c>
      <c r="AS153" s="11">
        <f t="shared" si="71"/>
        <v>0.26189189189189194</v>
      </c>
      <c r="AT153" s="11">
        <f>IFERROR(AVERAGEIFS(RdTRABYVals!L$2:L$999,RdTRABYVals!$B$2:$B$999,"="&amp;$C153,RdTRABYVals!$C$2:$C$999,"="&amp;INS!$A153),"")</f>
        <v>0.23000000000000001</v>
      </c>
      <c r="AU153" s="11">
        <f>IFERROR(AVERAGEIFS(RdTRABYVals!M$2:M$999,RdTRABYVals!$B$2:$B$999,"="&amp;$C153,RdTRABYVals!$C$2:$C$999,"="&amp;INS!$A153),"")</f>
        <v>0.23999999999999999</v>
      </c>
      <c r="AV153" s="11">
        <f>IFERROR(AVERAGEIFS(RdTRABYVals!N$2:N$999,RdTRABYVals!$B$2:$B$999,"="&amp;$C153,RdTRABYVals!$C$2:$C$999,"="&amp;INS!$A153),"")</f>
        <v>0.28000000000000003</v>
      </c>
      <c r="AW153" s="11">
        <f>IFERROR(AVERAGEIFS(RdTRABYVals!O$2:O$999,RdTRABYVals!$B$2:$B$999,"="&amp;$C153,RdTRABYVals!$C$2:$C$999,"="&amp;INS!$A153),"")</f>
        <v>0.25</v>
      </c>
      <c r="AX153" s="11">
        <f>IFERROR(AVERAGEIFS(RdTRABYVals!P$2:P$999,RdTRABYVals!$B$2:$B$999,"="&amp;$C153,RdTRABYVals!$C$2:$C$999,"="&amp;INS!$A153),"")</f>
        <v>0.22</v>
      </c>
      <c r="AY153" s="11">
        <f>IFERROR(AVERAGEIFS(RdTRABYVals!Q$2:Q$999,RdTRABYVals!$B$2:$B$999,"="&amp;$C153,RdTRABYVals!$C$2:$C$999,"="&amp;INS!$A153),"")</f>
        <v>0.25</v>
      </c>
      <c r="AZ153" s="11">
        <f>IFERROR(AVERAGEIFS(RdTRABYVals!R$2:R$999,RdTRABYVals!$B$2:$B$999,"="&amp;$C153,RdTRABYVals!$C$2:$C$999,"="&amp;INS!$A153),"")</f>
        <v>0.23999999999999999</v>
      </c>
      <c r="BA153" s="11">
        <f>IFERROR(AVERAGEIFS(RdTRABYVals!S$2:S$999,RdTRABYVals!$B$2:$B$999,"="&amp;$C153,RdTRABYVals!$C$2:$C$999,"="&amp;INS!$A153),"")</f>
        <v>0.27000000000000002</v>
      </c>
      <c r="BB153" s="11">
        <f>IFERROR(AVERAGEIFS(RdTRABYVals!T$2:T$999,RdTRABYVals!$B$2:$B$999,"="&amp;$C153,RdTRABYVals!$C$2:$C$999,"="&amp;INS!$A153),"")</f>
        <v>0.25</v>
      </c>
      <c r="BC153" s="11">
        <f>IFERROR(AVERAGEIFS(RdTRABYVals!U$2:U$999,RdTRABYVals!$B$2:$B$999,"="&amp;$C153,RdTRABYVals!$C$2:$C$999,"="&amp;INS!$A153),"")</f>
        <v>0.28999999999999998</v>
      </c>
      <c r="BD153" s="11">
        <f>IFERROR(AVERAGEIFS(RdTRABYVals!V$2:V$999,RdTRABYVals!$B$2:$B$999,"="&amp;$C153,RdTRABYVals!$C$2:$C$999,"="&amp;INS!$A153),"")</f>
        <v>0.31</v>
      </c>
      <c r="BE153" s="11">
        <f>IFERROR(AVERAGEIFS(RdTRABYVals!W$2:W$999,RdTRABYVals!$B$2:$B$999,"="&amp;$C153,RdTRABYVals!$C$2:$C$999,"="&amp;INS!$A153),"")</f>
        <v>0.23000000000000001</v>
      </c>
      <c r="BF153" s="11">
        <f>IFERROR(AVERAGEIFS(RdTRABYVals!X$2:X$999,RdTRABYVals!$B$2:$B$999,"="&amp;$C153,RdTRABYVals!$C$2:$C$999,"="&amp;INS!$A153),"")</f>
        <v>0.28999999999999998</v>
      </c>
      <c r="BG153" s="11">
        <f>IFERROR(AVERAGEIFS(RdTRABYVals!Y$2:Y$999,RdTRABYVals!$B$2:$B$999,"="&amp;$C153,RdTRABYVals!$C$2:$C$999,"="&amp;INS!$A153),"")</f>
        <v>0.26000000000000001</v>
      </c>
      <c r="BH153" s="11">
        <f>IFERROR(AVERAGEIFS(RdTRABYVals!Z$2:Z$999,RdTRABYVals!$B$2:$B$999,"="&amp;$C153,RdTRABYVals!$C$2:$C$999,"="&amp;INS!$A153),"")</f>
        <v>0.26000000000000001</v>
      </c>
      <c r="BI153" s="11">
        <f>IFERROR(AVERAGEIFS(RdTRABYVals!AA$2:AA$999,RdTRABYVals!$B$2:$B$999,"="&amp;$C153,RdTRABYVals!$C$2:$C$999,"="&amp;INS!$A153),"")</f>
        <v>0.28000000000000003</v>
      </c>
      <c r="BJ153" s="11">
        <f>IFERROR(AVERAGEIFS(RdTRABYVals!AB$2:AB$999,RdTRABYVals!$B$2:$B$999,"="&amp;$C153,RdTRABYVals!$C$2:$C$999,"="&amp;INS!$A153),"")</f>
        <v>0.28999999999999998</v>
      </c>
      <c r="BK153" s="11">
        <f>IFERROR(AVERAGEIFS(RdTRABYVals!AC$2:AC$999,RdTRABYVals!$B$2:$B$999,"="&amp;$C153,RdTRABYVals!$C$2:$C$999,"="&amp;INS!$A153),"")</f>
        <v>0.23999999999999999</v>
      </c>
      <c r="BL153" s="11">
        <f>IFERROR(AVERAGEIFS(RdTRABYVals!AD$2:AD$999,RdTRABYVals!$B$2:$B$999,"="&amp;$C153,RdTRABYVals!$C$2:$C$999,"="&amp;INS!$A153),"")</f>
        <v>0.25</v>
      </c>
      <c r="BM153" s="11">
        <f>IFERROR(AVERAGEIFS(RdTRABYVals!AE$2:AE$999,RdTRABYVals!$B$2:$B$999,"="&amp;$C153,RdTRABYVals!$C$2:$C$999,"="&amp;INS!$A153),"")</f>
        <v>0.23000000000000001</v>
      </c>
      <c r="BN153" s="11">
        <f>IFERROR(AVERAGEIFS(RdTRABYVals!AF$2:AF$999,RdTRABYVals!$B$2:$B$999,"="&amp;$C153,RdTRABYVals!$C$2:$C$999,"="&amp;INS!$A153),"")</f>
        <v>0.28000000000000003</v>
      </c>
      <c r="BO153" s="11">
        <f>IFERROR(AVERAGEIFS(RdTRABYVals!AG$2:AG$999,RdTRABYVals!$B$2:$B$999,"="&amp;$C153,RdTRABYVals!$C$2:$C$999,"="&amp;INS!$A153),"")</f>
        <v>0.28000000000000003</v>
      </c>
      <c r="BP153" s="11">
        <f>IFERROR(AVERAGEIFS(RdTRABYVals!AH$2:AH$999,RdTRABYVals!$B$2:$B$999,"="&amp;$C153,RdTRABYVals!$C$2:$C$999,"="&amp;INS!$A153),"")</f>
        <v>0.26000000000000001</v>
      </c>
      <c r="BQ153" s="11">
        <f>IFERROR(AVERAGEIFS(RdTRABYVals!AI$2:AI$999,RdTRABYVals!$B$2:$B$999,"="&amp;$C153,RdTRABYVals!$C$2:$C$999,"="&amp;INS!$A153),"")</f>
        <v>0.28000000000000003</v>
      </c>
      <c r="BR153" s="11">
        <f>IFERROR(AVERAGEIFS(RdTRABYVals!AJ$2:AJ$999,RdTRABYVals!$B$2:$B$999,"="&amp;$C153,RdTRABYVals!$C$2:$C$999,"="&amp;INS!$A153),"")</f>
        <v>0.23000000000000001</v>
      </c>
      <c r="BS153" s="11">
        <f>IFERROR(AVERAGEIFS(RdTRABYVals!AK$2:AK$999,RdTRABYVals!$B$2:$B$999,"="&amp;$C153,RdTRABYVals!$C$2:$C$999,"="&amp;INS!$A153),"")</f>
        <v>0.26000000000000001</v>
      </c>
      <c r="BT153" s="11">
        <f>IFERROR(AVERAGEIFS(RdTRABYVals!AL$2:AL$999,RdTRABYVals!$B$2:$B$999,"="&amp;$C153,RdTRABYVals!$C$2:$C$999,"="&amp;INS!$A153),"")</f>
        <v>0.28000000000000003</v>
      </c>
      <c r="BU153" s="11">
        <f>IFERROR(AVERAGEIFS(RdTRABYVals!AM$2:AM$999,RdTRABYVals!$B$2:$B$999,"="&amp;$C153,RdTRABYVals!$C$2:$C$999,"="&amp;INS!$A153),"")</f>
        <v>0.25</v>
      </c>
      <c r="BV153" s="11">
        <f>IFERROR(AVERAGEIFS(RdTRABYVals!AN$2:AN$999,RdTRABYVals!$B$2:$B$999,"="&amp;$C153,RdTRABYVals!$C$2:$C$999,"="&amp;INS!$A153),"")</f>
        <v>0.27000000000000002</v>
      </c>
      <c r="BW153" s="11">
        <f>IFERROR(AVERAGEIFS(RdTRABYVals!AO$2:AO$999,RdTRABYVals!$B$2:$B$999,"="&amp;$C153,RdTRABYVals!$C$2:$C$999,"="&amp;INS!$A153),"")</f>
        <v>0.28000000000000003</v>
      </c>
      <c r="BX153" s="11">
        <f>IFERROR(AVERAGEIFS(RdTRABYVals!AP$2:AP$999,RdTRABYVals!$B$2:$B$999,"="&amp;$C153,RdTRABYVals!$C$2:$C$999,"="&amp;INS!$A153),"")</f>
        <v>0.27000000000000002</v>
      </c>
      <c r="BY153" s="11">
        <f>IFERROR(AVERAGEIFS(RdTRABYVals!AQ$2:AQ$999,RdTRABYVals!$B$2:$B$999,"="&amp;$C153,RdTRABYVals!$C$2:$C$999,"="&amp;INS!$A153),"")</f>
        <v>0.20999999999999999</v>
      </c>
      <c r="BZ153" s="11">
        <f>IFERROR(AVERAGEIFS(RdTRABYVals!AR$2:AR$999,RdTRABYVals!$B$2:$B$999,"="&amp;$C153,RdTRABYVals!$C$2:$C$999,"="&amp;INS!$A153),"")</f>
        <v>0.28000000000000003</v>
      </c>
      <c r="CA153" s="11">
        <f>IFERROR(AVERAGEIFS(RdTRABYVals!AS$2:AS$999,RdTRABYVals!$B$2:$B$999,"="&amp;$C153,RdTRABYVals!$C$2:$C$999,"="&amp;INS!$A153),"")</f>
        <v>0.28000000000000003</v>
      </c>
      <c r="CB153" s="11">
        <f>IFERROR(AVERAGEIFS(RdTRABYVals!AT$2:AT$999,RdTRABYVals!$B$2:$B$999,"="&amp;$C153,RdTRABYVals!$C$2:$C$999,"="&amp;INS!$A153),"")</f>
        <v>0.28000000000000003</v>
      </c>
      <c r="CC153" s="11">
        <f>IFERROR(AVERAGEIFS(RdTRABYVals!AU$2:AU$999,RdTRABYVals!$B$2:$B$999,"="&amp;$C153,RdTRABYVals!$C$2:$C$999,"="&amp;INS!$A153),"")</f>
        <v>0.28000000000000003</v>
      </c>
      <c r="CD153" s="11">
        <f>IFERROR(AVERAGEIFS(RdTRABYVals!AV$2:AV$999,RdTRABYVals!$B$2:$B$999,"="&amp;$C153,RdTRABYVals!$C$2:$C$999,"="&amp;INS!$A153),"")</f>
        <v>0.26000000000000001</v>
      </c>
    </row>
    <row r="154" spans="1:82" ht="14.4">
      <c r="A154" s="3" t="s">
        <v>128</v>
      </c>
      <c r="C154" s="1" t="s">
        <v>29</v>
      </c>
      <c r="D154" t="s">
        <v>165</v>
      </c>
      <c r="F154" t="str">
        <f t="shared" si="31"/>
        <v>*0.43027027027027</v>
      </c>
      <c r="G154" t="str">
        <f t="shared" si="37"/>
        <v>*0.4</v>
      </c>
      <c r="H154" t="str">
        <f t="shared" si="38"/>
        <v>*0.44</v>
      </c>
      <c r="I154" t="str">
        <f t="shared" si="39"/>
        <v>*0.43</v>
      </c>
      <c r="J154" t="str">
        <f t="shared" si="40"/>
        <v>*0.42</v>
      </c>
      <c r="K154" t="str">
        <f t="shared" si="41"/>
        <v>*0.38</v>
      </c>
      <c r="L154" t="str">
        <f t="shared" si="42"/>
        <v>*0.42</v>
      </c>
      <c r="M154" t="str">
        <f t="shared" si="43"/>
        <v>*0.4</v>
      </c>
      <c r="N154" t="str">
        <f t="shared" si="44"/>
        <v>*0.43</v>
      </c>
      <c r="O154" t="str">
        <f t="shared" si="45"/>
        <v>*0.43</v>
      </c>
      <c r="P154" t="str">
        <f t="shared" si="46"/>
        <v>*0.45</v>
      </c>
      <c r="Q154" t="str">
        <f t="shared" si="47"/>
        <v>*0.46</v>
      </c>
      <c r="R154" t="str">
        <f t="shared" si="48"/>
        <v>*0.4</v>
      </c>
      <c r="S154" t="str">
        <f t="shared" si="49"/>
        <v>*0.44</v>
      </c>
      <c r="T154" t="str">
        <f t="shared" si="50"/>
        <v>*0.42</v>
      </c>
      <c r="U154" t="str">
        <f t="shared" si="51"/>
        <v>*0.46</v>
      </c>
      <c r="V154" t="str">
        <f t="shared" si="52"/>
        <v>*0.43</v>
      </c>
      <c r="W154" t="str">
        <f t="shared" si="53"/>
        <v>*0.46</v>
      </c>
      <c r="X154" t="str">
        <f t="shared" si="54"/>
        <v>*0.44</v>
      </c>
      <c r="Y154" t="str">
        <f t="shared" si="55"/>
        <v>*0.42</v>
      </c>
      <c r="Z154" t="str">
        <f t="shared" si="56"/>
        <v>*0.44</v>
      </c>
      <c r="AA154" t="str">
        <f t="shared" si="57"/>
        <v>*0.43</v>
      </c>
      <c r="AB154" t="str">
        <f t="shared" si="58"/>
        <v>*0.44</v>
      </c>
      <c r="AC154" t="str">
        <f t="shared" si="59"/>
        <v>*0.43</v>
      </c>
      <c r="AD154" t="str">
        <f t="shared" si="60"/>
        <v>*0.45</v>
      </c>
      <c r="AE154" t="str">
        <f t="shared" si="61"/>
        <v>*0.4</v>
      </c>
      <c r="AF154" t="str">
        <f t="shared" si="62"/>
        <v>*0.43</v>
      </c>
      <c r="AG154" t="str">
        <f t="shared" si="63"/>
        <v>*0.44</v>
      </c>
      <c r="AH154" t="str">
        <f t="shared" si="64"/>
        <v>*0.4</v>
      </c>
      <c r="AI154" t="str">
        <f t="shared" si="65"/>
        <v>*0.42</v>
      </c>
      <c r="AJ154" t="str">
        <f t="shared" si="66"/>
        <v>*0.43</v>
      </c>
      <c r="AK154" t="str">
        <f t="shared" si="67"/>
        <v>*0.45</v>
      </c>
      <c r="AL154" t="str">
        <f t="shared" si="68"/>
        <v>*0.39</v>
      </c>
      <c r="AM154" t="str">
        <f t="shared" si="69"/>
        <v>*0.43</v>
      </c>
      <c r="AN154" t="str">
        <f t="shared" si="33"/>
        <v>*0.46</v>
      </c>
      <c r="AO154" t="str">
        <f t="shared" si="34"/>
        <v>*0.44</v>
      </c>
      <c r="AP154" t="str">
        <f t="shared" si="35"/>
        <v>*0.45</v>
      </c>
      <c r="AQ154" t="str">
        <f t="shared" si="36"/>
        <v>*0.46</v>
      </c>
      <c r="AS154" s="11">
        <f t="shared" si="71"/>
        <v>0.43027027027027026</v>
      </c>
      <c r="AT154" s="11">
        <f>IFERROR(AVERAGEIFS(RdTRABYVals!L$2:L$999,RdTRABYVals!$B$2:$B$999,"="&amp;$C154,RdTRABYVals!$C$2:$C$999,"="&amp;INS!$A154),"")</f>
        <v>0.40000000000000002</v>
      </c>
      <c r="AU154" s="11">
        <f>IFERROR(AVERAGEIFS(RdTRABYVals!M$2:M$999,RdTRABYVals!$B$2:$B$999,"="&amp;$C154,RdTRABYVals!$C$2:$C$999,"="&amp;INS!$A154),"")</f>
        <v>0.44</v>
      </c>
      <c r="AV154" s="11">
        <f>IFERROR(AVERAGEIFS(RdTRABYVals!N$2:N$999,RdTRABYVals!$B$2:$B$999,"="&amp;$C154,RdTRABYVals!$C$2:$C$999,"="&amp;INS!$A154),"")</f>
        <v>0.42999999999999999</v>
      </c>
      <c r="AW154" s="11">
        <f>IFERROR(AVERAGEIFS(RdTRABYVals!O$2:O$999,RdTRABYVals!$B$2:$B$999,"="&amp;$C154,RdTRABYVals!$C$2:$C$999,"="&amp;INS!$A154),"")</f>
        <v>0.41999999999999998</v>
      </c>
      <c r="AX154" s="11">
        <f>IFERROR(AVERAGEIFS(RdTRABYVals!P$2:P$999,RdTRABYVals!$B$2:$B$999,"="&amp;$C154,RdTRABYVals!$C$2:$C$999,"="&amp;INS!$A154),"")</f>
        <v>0.38</v>
      </c>
      <c r="AY154" s="11">
        <f>IFERROR(AVERAGEIFS(RdTRABYVals!Q$2:Q$999,RdTRABYVals!$B$2:$B$999,"="&amp;$C154,RdTRABYVals!$C$2:$C$999,"="&amp;INS!$A154),"")</f>
        <v>0.41999999999999998</v>
      </c>
      <c r="AZ154" s="11">
        <f>IFERROR(AVERAGEIFS(RdTRABYVals!R$2:R$999,RdTRABYVals!$B$2:$B$999,"="&amp;$C154,RdTRABYVals!$C$2:$C$999,"="&amp;INS!$A154),"")</f>
        <v>0.40000000000000002</v>
      </c>
      <c r="BA154" s="11">
        <f>IFERROR(AVERAGEIFS(RdTRABYVals!S$2:S$999,RdTRABYVals!$B$2:$B$999,"="&amp;$C154,RdTRABYVals!$C$2:$C$999,"="&amp;INS!$A154),"")</f>
        <v>0.42999999999999999</v>
      </c>
      <c r="BB154" s="11">
        <f>IFERROR(AVERAGEIFS(RdTRABYVals!T$2:T$999,RdTRABYVals!$B$2:$B$999,"="&amp;$C154,RdTRABYVals!$C$2:$C$999,"="&amp;INS!$A154),"")</f>
        <v>0.42999999999999999</v>
      </c>
      <c r="BC154" s="11">
        <f>IFERROR(AVERAGEIFS(RdTRABYVals!U$2:U$999,RdTRABYVals!$B$2:$B$999,"="&amp;$C154,RdTRABYVals!$C$2:$C$999,"="&amp;INS!$A154),"")</f>
        <v>0.45000000000000001</v>
      </c>
      <c r="BD154" s="11">
        <f>IFERROR(AVERAGEIFS(RdTRABYVals!V$2:V$999,RdTRABYVals!$B$2:$B$999,"="&amp;$C154,RdTRABYVals!$C$2:$C$999,"="&amp;INS!$A154),"")</f>
        <v>0.46000000000000002</v>
      </c>
      <c r="BE154" s="11">
        <f>IFERROR(AVERAGEIFS(RdTRABYVals!W$2:W$999,RdTRABYVals!$B$2:$B$999,"="&amp;$C154,RdTRABYVals!$C$2:$C$999,"="&amp;INS!$A154),"")</f>
        <v>0.40000000000000002</v>
      </c>
      <c r="BF154" s="11">
        <f>IFERROR(AVERAGEIFS(RdTRABYVals!X$2:X$999,RdTRABYVals!$B$2:$B$999,"="&amp;$C154,RdTRABYVals!$C$2:$C$999,"="&amp;INS!$A154),"")</f>
        <v>0.44</v>
      </c>
      <c r="BG154" s="11">
        <f>IFERROR(AVERAGEIFS(RdTRABYVals!Y$2:Y$999,RdTRABYVals!$B$2:$B$999,"="&amp;$C154,RdTRABYVals!$C$2:$C$999,"="&amp;INS!$A154),"")</f>
        <v>0.41999999999999998</v>
      </c>
      <c r="BH154" s="11">
        <f>IFERROR(AVERAGEIFS(RdTRABYVals!Z$2:Z$999,RdTRABYVals!$B$2:$B$999,"="&amp;$C154,RdTRABYVals!$C$2:$C$999,"="&amp;INS!$A154),"")</f>
        <v>0.46000000000000002</v>
      </c>
      <c r="BI154" s="11">
        <f>IFERROR(AVERAGEIFS(RdTRABYVals!AA$2:AA$999,RdTRABYVals!$B$2:$B$999,"="&amp;$C154,RdTRABYVals!$C$2:$C$999,"="&amp;INS!$A154),"")</f>
        <v>0.42999999999999999</v>
      </c>
      <c r="BJ154" s="11">
        <f>IFERROR(AVERAGEIFS(RdTRABYVals!AB$2:AB$999,RdTRABYVals!$B$2:$B$999,"="&amp;$C154,RdTRABYVals!$C$2:$C$999,"="&amp;INS!$A154),"")</f>
        <v>0.46000000000000002</v>
      </c>
      <c r="BK154" s="11">
        <f>IFERROR(AVERAGEIFS(RdTRABYVals!AC$2:AC$999,RdTRABYVals!$B$2:$B$999,"="&amp;$C154,RdTRABYVals!$C$2:$C$999,"="&amp;INS!$A154),"")</f>
        <v>0.44</v>
      </c>
      <c r="BL154" s="11">
        <f>IFERROR(AVERAGEIFS(RdTRABYVals!AD$2:AD$999,RdTRABYVals!$B$2:$B$999,"="&amp;$C154,RdTRABYVals!$C$2:$C$999,"="&amp;INS!$A154),"")</f>
        <v>0.41999999999999998</v>
      </c>
      <c r="BM154" s="11">
        <f>IFERROR(AVERAGEIFS(RdTRABYVals!AE$2:AE$999,RdTRABYVals!$B$2:$B$999,"="&amp;$C154,RdTRABYVals!$C$2:$C$999,"="&amp;INS!$A154),"")</f>
        <v>0.44</v>
      </c>
      <c r="BN154" s="11">
        <f>IFERROR(AVERAGEIFS(RdTRABYVals!AF$2:AF$999,RdTRABYVals!$B$2:$B$999,"="&amp;$C154,RdTRABYVals!$C$2:$C$999,"="&amp;INS!$A154),"")</f>
        <v>0.42999999999999999</v>
      </c>
      <c r="BO154" s="11">
        <f>IFERROR(AVERAGEIFS(RdTRABYVals!AG$2:AG$999,RdTRABYVals!$B$2:$B$999,"="&amp;$C154,RdTRABYVals!$C$2:$C$999,"="&amp;INS!$A154),"")</f>
        <v>0.44</v>
      </c>
      <c r="BP154" s="11">
        <f>IFERROR(AVERAGEIFS(RdTRABYVals!AH$2:AH$999,RdTRABYVals!$B$2:$B$999,"="&amp;$C154,RdTRABYVals!$C$2:$C$999,"="&amp;INS!$A154),"")</f>
        <v>0.42999999999999999</v>
      </c>
      <c r="BQ154" s="11">
        <f>IFERROR(AVERAGEIFS(RdTRABYVals!AI$2:AI$999,RdTRABYVals!$B$2:$B$999,"="&amp;$C154,RdTRABYVals!$C$2:$C$999,"="&amp;INS!$A154),"")</f>
        <v>0.45000000000000001</v>
      </c>
      <c r="BR154" s="11">
        <f>IFERROR(AVERAGEIFS(RdTRABYVals!AJ$2:AJ$999,RdTRABYVals!$B$2:$B$999,"="&amp;$C154,RdTRABYVals!$C$2:$C$999,"="&amp;INS!$A154),"")</f>
        <v>0.40000000000000002</v>
      </c>
      <c r="BS154" s="11">
        <f>IFERROR(AVERAGEIFS(RdTRABYVals!AK$2:AK$999,RdTRABYVals!$B$2:$B$999,"="&amp;$C154,RdTRABYVals!$C$2:$C$999,"="&amp;INS!$A154),"")</f>
        <v>0.42999999999999999</v>
      </c>
      <c r="BT154" s="11">
        <f>IFERROR(AVERAGEIFS(RdTRABYVals!AL$2:AL$999,RdTRABYVals!$B$2:$B$999,"="&amp;$C154,RdTRABYVals!$C$2:$C$999,"="&amp;INS!$A154),"")</f>
        <v>0.44</v>
      </c>
      <c r="BU154" s="11">
        <f>IFERROR(AVERAGEIFS(RdTRABYVals!AM$2:AM$999,RdTRABYVals!$B$2:$B$999,"="&amp;$C154,RdTRABYVals!$C$2:$C$999,"="&amp;INS!$A154),"")</f>
        <v>0.40000000000000002</v>
      </c>
      <c r="BV154" s="11">
        <f>IFERROR(AVERAGEIFS(RdTRABYVals!AN$2:AN$999,RdTRABYVals!$B$2:$B$999,"="&amp;$C154,RdTRABYVals!$C$2:$C$999,"="&amp;INS!$A154),"")</f>
        <v>0.41999999999999998</v>
      </c>
      <c r="BW154" s="11">
        <f>IFERROR(AVERAGEIFS(RdTRABYVals!AO$2:AO$999,RdTRABYVals!$B$2:$B$999,"="&amp;$C154,RdTRABYVals!$C$2:$C$999,"="&amp;INS!$A154),"")</f>
        <v>0.42999999999999999</v>
      </c>
      <c r="BX154" s="11">
        <f>IFERROR(AVERAGEIFS(RdTRABYVals!AP$2:AP$999,RdTRABYVals!$B$2:$B$999,"="&amp;$C154,RdTRABYVals!$C$2:$C$999,"="&amp;INS!$A154),"")</f>
        <v>0.45000000000000001</v>
      </c>
      <c r="BY154" s="11">
        <f>IFERROR(AVERAGEIFS(RdTRABYVals!AQ$2:AQ$999,RdTRABYVals!$B$2:$B$999,"="&amp;$C154,RdTRABYVals!$C$2:$C$999,"="&amp;INS!$A154),"")</f>
        <v>0.39000000000000001</v>
      </c>
      <c r="BZ154" s="11">
        <f>IFERROR(AVERAGEIFS(RdTRABYVals!AR$2:AR$999,RdTRABYVals!$B$2:$B$999,"="&amp;$C154,RdTRABYVals!$C$2:$C$999,"="&amp;INS!$A154),"")</f>
        <v>0.42999999999999999</v>
      </c>
      <c r="CA154" s="11">
        <f>IFERROR(AVERAGEIFS(RdTRABYVals!AS$2:AS$999,RdTRABYVals!$B$2:$B$999,"="&amp;$C154,RdTRABYVals!$C$2:$C$999,"="&amp;INS!$A154),"")</f>
        <v>0.46000000000000002</v>
      </c>
      <c r="CB154" s="11">
        <f>IFERROR(AVERAGEIFS(RdTRABYVals!AT$2:AT$999,RdTRABYVals!$B$2:$B$999,"="&amp;$C154,RdTRABYVals!$C$2:$C$999,"="&amp;INS!$A154),"")</f>
        <v>0.44</v>
      </c>
      <c r="CC154" s="11">
        <f>IFERROR(AVERAGEIFS(RdTRABYVals!AU$2:AU$999,RdTRABYVals!$B$2:$B$999,"="&amp;$C154,RdTRABYVals!$C$2:$C$999,"="&amp;INS!$A154),"")</f>
        <v>0.45000000000000001</v>
      </c>
      <c r="CD154" s="11">
        <f>IFERROR(AVERAGEIFS(RdTRABYVals!AV$2:AV$999,RdTRABYVals!$B$2:$B$999,"="&amp;$C154,RdTRABYVals!$C$2:$C$999,"="&amp;INS!$A154),"")</f>
        <v>0.46000000000000002</v>
      </c>
    </row>
    <row r="155" spans="1:82" ht="14.4">
      <c r="A155" s="3" t="s">
        <v>129</v>
      </c>
      <c r="C155" s="1" t="s">
        <v>29</v>
      </c>
      <c r="D155" t="s">
        <v>166</v>
      </c>
      <c r="F155" t="str">
        <f t="shared" si="31"/>
        <v>*0.442702702702703</v>
      </c>
      <c r="G155" t="str">
        <f t="shared" si="37"/>
        <v>*0.41</v>
      </c>
      <c r="H155" t="str">
        <f t="shared" si="38"/>
        <v>*0.45</v>
      </c>
      <c r="I155" t="str">
        <f t="shared" si="39"/>
        <v>*0.44</v>
      </c>
      <c r="J155" t="str">
        <f t="shared" si="40"/>
        <v>*0.43</v>
      </c>
      <c r="K155" t="str">
        <f t="shared" si="41"/>
        <v>*0.38</v>
      </c>
      <c r="L155" t="str">
        <f t="shared" si="42"/>
        <v>*0.44</v>
      </c>
      <c r="M155" t="str">
        <f t="shared" si="43"/>
        <v>*0.41</v>
      </c>
      <c r="N155" t="str">
        <f t="shared" si="44"/>
        <v>*0.44</v>
      </c>
      <c r="O155" t="str">
        <f t="shared" si="45"/>
        <v>*0.44</v>
      </c>
      <c r="P155" t="str">
        <f t="shared" si="46"/>
        <v>*0.49</v>
      </c>
      <c r="Q155" t="str">
        <f t="shared" si="47"/>
        <v>*0.47</v>
      </c>
      <c r="R155" t="str">
        <f t="shared" si="48"/>
        <v>*0.41</v>
      </c>
      <c r="S155" t="str">
        <f t="shared" si="49"/>
        <v>*0.45</v>
      </c>
      <c r="T155" t="str">
        <f t="shared" si="50"/>
        <v>*0.43</v>
      </c>
      <c r="U155" t="str">
        <f t="shared" si="51"/>
        <v>*0.47</v>
      </c>
      <c r="V155" t="str">
        <f t="shared" si="52"/>
        <v>*0.44</v>
      </c>
      <c r="W155" t="str">
        <f t="shared" si="53"/>
        <v>*0.46</v>
      </c>
      <c r="X155" t="str">
        <f t="shared" si="54"/>
        <v>*0.46</v>
      </c>
      <c r="Y155" t="str">
        <f t="shared" si="55"/>
        <v>*0.45</v>
      </c>
      <c r="Z155" t="str">
        <f t="shared" si="56"/>
        <v>*0.45</v>
      </c>
      <c r="AA155" t="str">
        <f t="shared" si="57"/>
        <v>*0.44</v>
      </c>
      <c r="AB155" t="str">
        <f t="shared" si="58"/>
        <v>*0.44</v>
      </c>
      <c r="AC155" t="str">
        <f t="shared" si="59"/>
        <v>*0.48</v>
      </c>
      <c r="AD155" t="str">
        <f t="shared" si="60"/>
        <v>*0.45</v>
      </c>
      <c r="AE155" t="str">
        <f t="shared" si="61"/>
        <v>*0.41</v>
      </c>
      <c r="AF155" t="str">
        <f t="shared" si="62"/>
        <v>*0.44</v>
      </c>
      <c r="AG155" t="str">
        <f t="shared" si="63"/>
        <v>*0.46</v>
      </c>
      <c r="AH155" t="str">
        <f t="shared" si="64"/>
        <v>*0.43</v>
      </c>
      <c r="AI155" t="str">
        <f t="shared" si="65"/>
        <v>*0.42</v>
      </c>
      <c r="AJ155" t="str">
        <f t="shared" si="66"/>
        <v>*0.43</v>
      </c>
      <c r="AK155" t="str">
        <f t="shared" si="67"/>
        <v>*0.47</v>
      </c>
      <c r="AL155" t="str">
        <f t="shared" si="68"/>
        <v>*0.39</v>
      </c>
      <c r="AM155" t="str">
        <f t="shared" si="69"/>
        <v>*0.44</v>
      </c>
      <c r="AN155" t="str">
        <f t="shared" si="33"/>
        <v>*0.48</v>
      </c>
      <c r="AO155" t="str">
        <f t="shared" si="34"/>
        <v>*0.44</v>
      </c>
      <c r="AP155" t="str">
        <f t="shared" si="35"/>
        <v>*0.46</v>
      </c>
      <c r="AQ155" t="str">
        <f t="shared" si="36"/>
        <v>*0.48</v>
      </c>
      <c r="AS155" s="11">
        <f t="shared" si="71"/>
        <v>0.44270270270270262</v>
      </c>
      <c r="AT155" s="11">
        <f>IFERROR(AVERAGEIFS(RdTRABYVals!L$2:L$999,RdTRABYVals!$B$2:$B$999,"="&amp;$C155,RdTRABYVals!$C$2:$C$999,"="&amp;INS!$A155),"")</f>
        <v>0.40999999999999998</v>
      </c>
      <c r="AU155" s="11">
        <f>IFERROR(AVERAGEIFS(RdTRABYVals!M$2:M$999,RdTRABYVals!$B$2:$B$999,"="&amp;$C155,RdTRABYVals!$C$2:$C$999,"="&amp;INS!$A155),"")</f>
        <v>0.45000000000000001</v>
      </c>
      <c r="AV155" s="11">
        <f>IFERROR(AVERAGEIFS(RdTRABYVals!N$2:N$999,RdTRABYVals!$B$2:$B$999,"="&amp;$C155,RdTRABYVals!$C$2:$C$999,"="&amp;INS!$A155),"")</f>
        <v>0.44</v>
      </c>
      <c r="AW155" s="11">
        <f>IFERROR(AVERAGEIFS(RdTRABYVals!O$2:O$999,RdTRABYVals!$B$2:$B$999,"="&amp;$C155,RdTRABYVals!$C$2:$C$999,"="&amp;INS!$A155),"")</f>
        <v>0.42999999999999999</v>
      </c>
      <c r="AX155" s="11">
        <f>IFERROR(AVERAGEIFS(RdTRABYVals!P$2:P$999,RdTRABYVals!$B$2:$B$999,"="&amp;$C155,RdTRABYVals!$C$2:$C$999,"="&amp;INS!$A155),"")</f>
        <v>0.38</v>
      </c>
      <c r="AY155" s="11">
        <f>IFERROR(AVERAGEIFS(RdTRABYVals!Q$2:Q$999,RdTRABYVals!$B$2:$B$999,"="&amp;$C155,RdTRABYVals!$C$2:$C$999,"="&amp;INS!$A155),"")</f>
        <v>0.44</v>
      </c>
      <c r="AZ155" s="11">
        <f>IFERROR(AVERAGEIFS(RdTRABYVals!R$2:R$999,RdTRABYVals!$B$2:$B$999,"="&amp;$C155,RdTRABYVals!$C$2:$C$999,"="&amp;INS!$A155),"")</f>
        <v>0.40999999999999998</v>
      </c>
      <c r="BA155" s="11">
        <f>IFERROR(AVERAGEIFS(RdTRABYVals!S$2:S$999,RdTRABYVals!$B$2:$B$999,"="&amp;$C155,RdTRABYVals!$C$2:$C$999,"="&amp;INS!$A155),"")</f>
        <v>0.44</v>
      </c>
      <c r="BB155" s="11">
        <f>IFERROR(AVERAGEIFS(RdTRABYVals!T$2:T$999,RdTRABYVals!$B$2:$B$999,"="&amp;$C155,RdTRABYVals!$C$2:$C$999,"="&amp;INS!$A155),"")</f>
        <v>0.44</v>
      </c>
      <c r="BC155" s="11">
        <f>IFERROR(AVERAGEIFS(RdTRABYVals!U$2:U$999,RdTRABYVals!$B$2:$B$999,"="&amp;$C155,RdTRABYVals!$C$2:$C$999,"="&amp;INS!$A155),"")</f>
        <v>0.48999999999999999</v>
      </c>
      <c r="BD155" s="11">
        <f>IFERROR(AVERAGEIFS(RdTRABYVals!V$2:V$999,RdTRABYVals!$B$2:$B$999,"="&amp;$C155,RdTRABYVals!$C$2:$C$999,"="&amp;INS!$A155),"")</f>
        <v>0.46999999999999997</v>
      </c>
      <c r="BE155" s="11">
        <f>IFERROR(AVERAGEIFS(RdTRABYVals!W$2:W$999,RdTRABYVals!$B$2:$B$999,"="&amp;$C155,RdTRABYVals!$C$2:$C$999,"="&amp;INS!$A155),"")</f>
        <v>0.40999999999999998</v>
      </c>
      <c r="BF155" s="11">
        <f>IFERROR(AVERAGEIFS(RdTRABYVals!X$2:X$999,RdTRABYVals!$B$2:$B$999,"="&amp;$C155,RdTRABYVals!$C$2:$C$999,"="&amp;INS!$A155),"")</f>
        <v>0.45000000000000001</v>
      </c>
      <c r="BG155" s="11">
        <f>IFERROR(AVERAGEIFS(RdTRABYVals!Y$2:Y$999,RdTRABYVals!$B$2:$B$999,"="&amp;$C155,RdTRABYVals!$C$2:$C$999,"="&amp;INS!$A155),"")</f>
        <v>0.42999999999999999</v>
      </c>
      <c r="BH155" s="11">
        <f>IFERROR(AVERAGEIFS(RdTRABYVals!Z$2:Z$999,RdTRABYVals!$B$2:$B$999,"="&amp;$C155,RdTRABYVals!$C$2:$C$999,"="&amp;INS!$A155),"")</f>
        <v>0.46999999999999997</v>
      </c>
      <c r="BI155" s="11">
        <f>IFERROR(AVERAGEIFS(RdTRABYVals!AA$2:AA$999,RdTRABYVals!$B$2:$B$999,"="&amp;$C155,RdTRABYVals!$C$2:$C$999,"="&amp;INS!$A155),"")</f>
        <v>0.44</v>
      </c>
      <c r="BJ155" s="11">
        <f>IFERROR(AVERAGEIFS(RdTRABYVals!AB$2:AB$999,RdTRABYVals!$B$2:$B$999,"="&amp;$C155,RdTRABYVals!$C$2:$C$999,"="&amp;INS!$A155),"")</f>
        <v>0.46000000000000002</v>
      </c>
      <c r="BK155" s="11">
        <f>IFERROR(AVERAGEIFS(RdTRABYVals!AC$2:AC$999,RdTRABYVals!$B$2:$B$999,"="&amp;$C155,RdTRABYVals!$C$2:$C$999,"="&amp;INS!$A155),"")</f>
        <v>0.46000000000000002</v>
      </c>
      <c r="BL155" s="11">
        <f>IFERROR(AVERAGEIFS(RdTRABYVals!AD$2:AD$999,RdTRABYVals!$B$2:$B$999,"="&amp;$C155,RdTRABYVals!$C$2:$C$999,"="&amp;INS!$A155),"")</f>
        <v>0.45000000000000001</v>
      </c>
      <c r="BM155" s="11">
        <f>IFERROR(AVERAGEIFS(RdTRABYVals!AE$2:AE$999,RdTRABYVals!$B$2:$B$999,"="&amp;$C155,RdTRABYVals!$C$2:$C$999,"="&amp;INS!$A155),"")</f>
        <v>0.45000000000000001</v>
      </c>
      <c r="BN155" s="11">
        <f>IFERROR(AVERAGEIFS(RdTRABYVals!AF$2:AF$999,RdTRABYVals!$B$2:$B$999,"="&amp;$C155,RdTRABYVals!$C$2:$C$999,"="&amp;INS!$A155),"")</f>
        <v>0.44</v>
      </c>
      <c r="BO155" s="11">
        <f>IFERROR(AVERAGEIFS(RdTRABYVals!AG$2:AG$999,RdTRABYVals!$B$2:$B$999,"="&amp;$C155,RdTRABYVals!$C$2:$C$999,"="&amp;INS!$A155),"")</f>
        <v>0.44</v>
      </c>
      <c r="BP155" s="11">
        <f>IFERROR(AVERAGEIFS(RdTRABYVals!AH$2:AH$999,RdTRABYVals!$B$2:$B$999,"="&amp;$C155,RdTRABYVals!$C$2:$C$999,"="&amp;INS!$A155),"")</f>
        <v>0.47999999999999998</v>
      </c>
      <c r="BQ155" s="11">
        <f>IFERROR(AVERAGEIFS(RdTRABYVals!AI$2:AI$999,RdTRABYVals!$B$2:$B$999,"="&amp;$C155,RdTRABYVals!$C$2:$C$999,"="&amp;INS!$A155),"")</f>
        <v>0.45000000000000001</v>
      </c>
      <c r="BR155" s="11">
        <f>IFERROR(AVERAGEIFS(RdTRABYVals!AJ$2:AJ$999,RdTRABYVals!$B$2:$B$999,"="&amp;$C155,RdTRABYVals!$C$2:$C$999,"="&amp;INS!$A155),"")</f>
        <v>0.40999999999999998</v>
      </c>
      <c r="BS155" s="11">
        <f>IFERROR(AVERAGEIFS(RdTRABYVals!AK$2:AK$999,RdTRABYVals!$B$2:$B$999,"="&amp;$C155,RdTRABYVals!$C$2:$C$999,"="&amp;INS!$A155),"")</f>
        <v>0.44</v>
      </c>
      <c r="BT155" s="11">
        <f>IFERROR(AVERAGEIFS(RdTRABYVals!AL$2:AL$999,RdTRABYVals!$B$2:$B$999,"="&amp;$C155,RdTRABYVals!$C$2:$C$999,"="&amp;INS!$A155),"")</f>
        <v>0.46000000000000002</v>
      </c>
      <c r="BU155" s="11">
        <f>IFERROR(AVERAGEIFS(RdTRABYVals!AM$2:AM$999,RdTRABYVals!$B$2:$B$999,"="&amp;$C155,RdTRABYVals!$C$2:$C$999,"="&amp;INS!$A155),"")</f>
        <v>0.42999999999999999</v>
      </c>
      <c r="BV155" s="11">
        <f>IFERROR(AVERAGEIFS(RdTRABYVals!AN$2:AN$999,RdTRABYVals!$B$2:$B$999,"="&amp;$C155,RdTRABYVals!$C$2:$C$999,"="&amp;INS!$A155),"")</f>
        <v>0.41999999999999998</v>
      </c>
      <c r="BW155" s="11">
        <f>IFERROR(AVERAGEIFS(RdTRABYVals!AO$2:AO$999,RdTRABYVals!$B$2:$B$999,"="&amp;$C155,RdTRABYVals!$C$2:$C$999,"="&amp;INS!$A155),"")</f>
        <v>0.42999999999999999</v>
      </c>
      <c r="BX155" s="11">
        <f>IFERROR(AVERAGEIFS(RdTRABYVals!AP$2:AP$999,RdTRABYVals!$B$2:$B$999,"="&amp;$C155,RdTRABYVals!$C$2:$C$999,"="&amp;INS!$A155),"")</f>
        <v>0.46999999999999997</v>
      </c>
      <c r="BY155" s="11">
        <f>IFERROR(AVERAGEIFS(RdTRABYVals!AQ$2:AQ$999,RdTRABYVals!$B$2:$B$999,"="&amp;$C155,RdTRABYVals!$C$2:$C$999,"="&amp;INS!$A155),"")</f>
        <v>0.39000000000000001</v>
      </c>
      <c r="BZ155" s="11">
        <f>IFERROR(AVERAGEIFS(RdTRABYVals!AR$2:AR$999,RdTRABYVals!$B$2:$B$999,"="&amp;$C155,RdTRABYVals!$C$2:$C$999,"="&amp;INS!$A155),"")</f>
        <v>0.44</v>
      </c>
      <c r="CA155" s="11">
        <f>IFERROR(AVERAGEIFS(RdTRABYVals!AS$2:AS$999,RdTRABYVals!$B$2:$B$999,"="&amp;$C155,RdTRABYVals!$C$2:$C$999,"="&amp;INS!$A155),"")</f>
        <v>0.47999999999999998</v>
      </c>
      <c r="CB155" s="11">
        <f>IFERROR(AVERAGEIFS(RdTRABYVals!AT$2:AT$999,RdTRABYVals!$B$2:$B$999,"="&amp;$C155,RdTRABYVals!$C$2:$C$999,"="&amp;INS!$A155),"")</f>
        <v>0.44</v>
      </c>
      <c r="CC155" s="11">
        <f>IFERROR(AVERAGEIFS(RdTRABYVals!AU$2:AU$999,RdTRABYVals!$B$2:$B$999,"="&amp;$C155,RdTRABYVals!$C$2:$C$999,"="&amp;INS!$A155),"")</f>
        <v>0.46000000000000002</v>
      </c>
      <c r="CD155" s="11">
        <f>IFERROR(AVERAGEIFS(RdTRABYVals!AV$2:AV$999,RdTRABYVals!$B$2:$B$999,"="&amp;$C155,RdTRABYVals!$C$2:$C$999,"="&amp;INS!$A155),"")</f>
        <v>0.47999999999999998</v>
      </c>
    </row>
    <row r="156" spans="1:82" ht="14.4">
      <c r="A156" s="7" t="s">
        <v>130</v>
      </c>
      <c r="B156" s="8"/>
      <c r="C156" s="9" t="s">
        <v>29</v>
      </c>
      <c r="D156" s="8" t="s">
        <v>167</v>
      </c>
      <c r="E156" s="8"/>
      <c r="F156" s="8" t="str">
        <f t="shared" si="31"/>
        <v>*0.364054054054054</v>
      </c>
      <c r="G156" s="8" t="str">
        <f t="shared" si="37"/>
        <v>*0.34</v>
      </c>
      <c r="H156" s="8" t="str">
        <f t="shared" si="38"/>
        <v>*0.37</v>
      </c>
      <c r="I156" s="8" t="str">
        <f t="shared" si="39"/>
        <v>*0.36</v>
      </c>
      <c r="J156" s="8" t="str">
        <f t="shared" si="40"/>
        <v>*0.36</v>
      </c>
      <c r="K156" s="8" t="str">
        <f t="shared" si="41"/>
        <v>*0.32</v>
      </c>
      <c r="L156" s="8" t="str">
        <f t="shared" si="42"/>
        <v>*0.36</v>
      </c>
      <c r="M156" s="8" t="str">
        <f t="shared" si="43"/>
        <v>*0.33</v>
      </c>
      <c r="N156" s="8" t="str">
        <f t="shared" si="44"/>
        <v>*0.37</v>
      </c>
      <c r="O156" s="8" t="str">
        <f t="shared" si="45"/>
        <v>*0.37</v>
      </c>
      <c r="P156" s="8" t="str">
        <f t="shared" si="46"/>
        <v>*0.38</v>
      </c>
      <c r="Q156" s="8" t="str">
        <f t="shared" si="47"/>
        <v>*0.4</v>
      </c>
      <c r="R156" s="8" t="str">
        <f t="shared" si="48"/>
        <v>*0.34</v>
      </c>
      <c r="S156" s="8" t="str">
        <f t="shared" si="49"/>
        <v>*0.38</v>
      </c>
      <c r="T156" s="8" t="str">
        <f t="shared" si="50"/>
        <v>*0.36</v>
      </c>
      <c r="U156" s="8" t="str">
        <f t="shared" si="51"/>
        <v>*0.38</v>
      </c>
      <c r="V156" s="8" t="str">
        <f t="shared" si="52"/>
        <v>*0.36</v>
      </c>
      <c r="W156" s="8" t="str">
        <f t="shared" si="53"/>
        <v>*0.39</v>
      </c>
      <c r="X156" s="8" t="str">
        <f t="shared" si="54"/>
        <v>*0.37</v>
      </c>
      <c r="Y156" s="8" t="str">
        <f t="shared" si="55"/>
        <v>*0.35</v>
      </c>
      <c r="Z156" s="8" t="str">
        <f t="shared" si="56"/>
        <v>*0.37</v>
      </c>
      <c r="AA156" s="8" t="str">
        <f t="shared" si="57"/>
        <v>*0.36</v>
      </c>
      <c r="AB156" s="8" t="str">
        <f t="shared" si="58"/>
        <v>*0.36</v>
      </c>
      <c r="AC156" s="8" t="str">
        <f t="shared" si="59"/>
        <v>*0.36</v>
      </c>
      <c r="AD156" s="8" t="str">
        <f t="shared" si="60"/>
        <v>*0.38</v>
      </c>
      <c r="AE156" s="8" t="str">
        <f t="shared" si="61"/>
        <v>*0.34</v>
      </c>
      <c r="AF156" s="8" t="str">
        <f t="shared" si="62"/>
        <v>*0.36</v>
      </c>
      <c r="AG156" s="8" t="str">
        <f t="shared" si="63"/>
        <v>*0.37</v>
      </c>
      <c r="AH156" s="8" t="str">
        <f t="shared" si="64"/>
        <v>*0.34</v>
      </c>
      <c r="AI156" s="8" t="str">
        <f t="shared" si="65"/>
        <v>*0.36</v>
      </c>
      <c r="AJ156" s="8" t="str">
        <f t="shared" si="66"/>
        <v>*0.37</v>
      </c>
      <c r="AK156" s="8" t="str">
        <f t="shared" si="67"/>
        <v>*0.39</v>
      </c>
      <c r="AL156" s="8" t="str">
        <f t="shared" si="68"/>
        <v>*0.33</v>
      </c>
      <c r="AM156" s="8" t="str">
        <f t="shared" si="69"/>
        <v>*0.36</v>
      </c>
      <c r="AN156" s="8" t="str">
        <f t="shared" si="33"/>
        <v>*0.38</v>
      </c>
      <c r="AO156" s="8" t="str">
        <f t="shared" si="34"/>
        <v>*0.37</v>
      </c>
      <c r="AP156" s="8" t="str">
        <f t="shared" si="35"/>
        <v>*0.39</v>
      </c>
      <c r="AQ156" s="8" t="str">
        <f t="shared" si="36"/>
        <v>*0.39</v>
      </c>
      <c r="AR156" s="8"/>
      <c r="AS156" s="10">
        <f t="shared" si="71"/>
        <v>0.364054054054054</v>
      </c>
      <c r="AT156" s="10">
        <f>IFERROR(AVERAGEIFS(RdTRABYVals!L$2:L$999,RdTRABYVals!$B$2:$B$999,"="&amp;$C156,RdTRABYVals!$C$2:$C$999,"="&amp;INS!$A156),"")</f>
        <v>0.34000000000000002</v>
      </c>
      <c r="AU156" s="10">
        <f>IFERROR(AVERAGEIFS(RdTRABYVals!M$2:M$999,RdTRABYVals!$B$2:$B$999,"="&amp;$C156,RdTRABYVals!$C$2:$C$999,"="&amp;INS!$A156),"")</f>
        <v>0.37</v>
      </c>
      <c r="AV156" s="10">
        <f>IFERROR(AVERAGEIFS(RdTRABYVals!N$2:N$999,RdTRABYVals!$B$2:$B$999,"="&amp;$C156,RdTRABYVals!$C$2:$C$999,"="&amp;INS!$A156),"")</f>
        <v>0.35999999999999999</v>
      </c>
      <c r="AW156" s="10">
        <f>IFERROR(AVERAGEIFS(RdTRABYVals!O$2:O$999,RdTRABYVals!$B$2:$B$999,"="&amp;$C156,RdTRABYVals!$C$2:$C$999,"="&amp;INS!$A156),"")</f>
        <v>0.35999999999999999</v>
      </c>
      <c r="AX156" s="10">
        <f>IFERROR(AVERAGEIFS(RdTRABYVals!P$2:P$999,RdTRABYVals!$B$2:$B$999,"="&amp;$C156,RdTRABYVals!$C$2:$C$999,"="&amp;INS!$A156),"")</f>
        <v>0.32000000000000001</v>
      </c>
      <c r="AY156" s="10">
        <f>IFERROR(AVERAGEIFS(RdTRABYVals!Q$2:Q$999,RdTRABYVals!$B$2:$B$999,"="&amp;$C156,RdTRABYVals!$C$2:$C$999,"="&amp;INS!$A156),"")</f>
        <v>0.35999999999999999</v>
      </c>
      <c r="AZ156" s="10">
        <f>IFERROR(AVERAGEIFS(RdTRABYVals!R$2:R$999,RdTRABYVals!$B$2:$B$999,"="&amp;$C156,RdTRABYVals!$C$2:$C$999,"="&amp;INS!$A156),"")</f>
        <v>0.33000000000000002</v>
      </c>
      <c r="BA156" s="10">
        <f>IFERROR(AVERAGEIFS(RdTRABYVals!S$2:S$999,RdTRABYVals!$B$2:$B$999,"="&amp;$C156,RdTRABYVals!$C$2:$C$999,"="&amp;INS!$A156),"")</f>
        <v>0.37</v>
      </c>
      <c r="BB156" s="10">
        <f>IFERROR(AVERAGEIFS(RdTRABYVals!T$2:T$999,RdTRABYVals!$B$2:$B$999,"="&amp;$C156,RdTRABYVals!$C$2:$C$999,"="&amp;INS!$A156),"")</f>
        <v>0.37</v>
      </c>
      <c r="BC156" s="10">
        <f>IFERROR(AVERAGEIFS(RdTRABYVals!U$2:U$999,RdTRABYVals!$B$2:$B$999,"="&amp;$C156,RdTRABYVals!$C$2:$C$999,"="&amp;INS!$A156),"")</f>
        <v>0.38</v>
      </c>
      <c r="BD156" s="10">
        <f>IFERROR(AVERAGEIFS(RdTRABYVals!V$2:V$999,RdTRABYVals!$B$2:$B$999,"="&amp;$C156,RdTRABYVals!$C$2:$C$999,"="&amp;INS!$A156),"")</f>
        <v>0.40000000000000002</v>
      </c>
      <c r="BE156" s="10">
        <f>IFERROR(AVERAGEIFS(RdTRABYVals!W$2:W$999,RdTRABYVals!$B$2:$B$999,"="&amp;$C156,RdTRABYVals!$C$2:$C$999,"="&amp;INS!$A156),"")</f>
        <v>0.34000000000000002</v>
      </c>
      <c r="BF156" s="10">
        <f>IFERROR(AVERAGEIFS(RdTRABYVals!X$2:X$999,RdTRABYVals!$B$2:$B$999,"="&amp;$C156,RdTRABYVals!$C$2:$C$999,"="&amp;INS!$A156),"")</f>
        <v>0.38</v>
      </c>
      <c r="BG156" s="10">
        <f>IFERROR(AVERAGEIFS(RdTRABYVals!Y$2:Y$999,RdTRABYVals!$B$2:$B$999,"="&amp;$C156,RdTRABYVals!$C$2:$C$999,"="&amp;INS!$A156),"")</f>
        <v>0.35999999999999999</v>
      </c>
      <c r="BH156" s="10">
        <f>IFERROR(AVERAGEIFS(RdTRABYVals!Z$2:Z$999,RdTRABYVals!$B$2:$B$999,"="&amp;$C156,RdTRABYVals!$C$2:$C$999,"="&amp;INS!$A156),"")</f>
        <v>0.38</v>
      </c>
      <c r="BI156" s="10">
        <f>IFERROR(AVERAGEIFS(RdTRABYVals!AA$2:AA$999,RdTRABYVals!$B$2:$B$999,"="&amp;$C156,RdTRABYVals!$C$2:$C$999,"="&amp;INS!$A156),"")</f>
        <v>0.35999999999999999</v>
      </c>
      <c r="BJ156" s="10">
        <f>IFERROR(AVERAGEIFS(RdTRABYVals!AB$2:AB$999,RdTRABYVals!$B$2:$B$999,"="&amp;$C156,RdTRABYVals!$C$2:$C$999,"="&amp;INS!$A156),"")</f>
        <v>0.39000000000000001</v>
      </c>
      <c r="BK156" s="10">
        <f>IFERROR(AVERAGEIFS(RdTRABYVals!AC$2:AC$999,RdTRABYVals!$B$2:$B$999,"="&amp;$C156,RdTRABYVals!$C$2:$C$999,"="&amp;INS!$A156),"")</f>
        <v>0.37</v>
      </c>
      <c r="BL156" s="10">
        <f>IFERROR(AVERAGEIFS(RdTRABYVals!AD$2:AD$999,RdTRABYVals!$B$2:$B$999,"="&amp;$C156,RdTRABYVals!$C$2:$C$999,"="&amp;INS!$A156),"")</f>
        <v>0.34999999999999998</v>
      </c>
      <c r="BM156" s="10">
        <f>IFERROR(AVERAGEIFS(RdTRABYVals!AE$2:AE$999,RdTRABYVals!$B$2:$B$999,"="&amp;$C156,RdTRABYVals!$C$2:$C$999,"="&amp;INS!$A156),"")</f>
        <v>0.37</v>
      </c>
      <c r="BN156" s="10">
        <f>IFERROR(AVERAGEIFS(RdTRABYVals!AF$2:AF$999,RdTRABYVals!$B$2:$B$999,"="&amp;$C156,RdTRABYVals!$C$2:$C$999,"="&amp;INS!$A156),"")</f>
        <v>0.35999999999999999</v>
      </c>
      <c r="BO156" s="10">
        <f>IFERROR(AVERAGEIFS(RdTRABYVals!AG$2:AG$999,RdTRABYVals!$B$2:$B$999,"="&amp;$C156,RdTRABYVals!$C$2:$C$999,"="&amp;INS!$A156),"")</f>
        <v>0.35999999999999999</v>
      </c>
      <c r="BP156" s="10">
        <f>IFERROR(AVERAGEIFS(RdTRABYVals!AH$2:AH$999,RdTRABYVals!$B$2:$B$999,"="&amp;$C156,RdTRABYVals!$C$2:$C$999,"="&amp;INS!$A156),"")</f>
        <v>0.35999999999999999</v>
      </c>
      <c r="BQ156" s="10">
        <f>IFERROR(AVERAGEIFS(RdTRABYVals!AI$2:AI$999,RdTRABYVals!$B$2:$B$999,"="&amp;$C156,RdTRABYVals!$C$2:$C$999,"="&amp;INS!$A156),"")</f>
        <v>0.38</v>
      </c>
      <c r="BR156" s="10">
        <f>IFERROR(AVERAGEIFS(RdTRABYVals!AJ$2:AJ$999,RdTRABYVals!$B$2:$B$999,"="&amp;$C156,RdTRABYVals!$C$2:$C$999,"="&amp;INS!$A156),"")</f>
        <v>0.34000000000000002</v>
      </c>
      <c r="BS156" s="10">
        <f>IFERROR(AVERAGEIFS(RdTRABYVals!AK$2:AK$999,RdTRABYVals!$B$2:$B$999,"="&amp;$C156,RdTRABYVals!$C$2:$C$999,"="&amp;INS!$A156),"")</f>
        <v>0.35999999999999999</v>
      </c>
      <c r="BT156" s="10">
        <f>IFERROR(AVERAGEIFS(RdTRABYVals!AL$2:AL$999,RdTRABYVals!$B$2:$B$999,"="&amp;$C156,RdTRABYVals!$C$2:$C$999,"="&amp;INS!$A156),"")</f>
        <v>0.37</v>
      </c>
      <c r="BU156" s="10">
        <f>IFERROR(AVERAGEIFS(RdTRABYVals!AM$2:AM$999,RdTRABYVals!$B$2:$B$999,"="&amp;$C156,RdTRABYVals!$C$2:$C$999,"="&amp;INS!$A156),"")</f>
        <v>0.34000000000000002</v>
      </c>
      <c r="BV156" s="10">
        <f>IFERROR(AVERAGEIFS(RdTRABYVals!AN$2:AN$999,RdTRABYVals!$B$2:$B$999,"="&amp;$C156,RdTRABYVals!$C$2:$C$999,"="&amp;INS!$A156),"")</f>
        <v>0.35999999999999999</v>
      </c>
      <c r="BW156" s="10">
        <f>IFERROR(AVERAGEIFS(RdTRABYVals!AO$2:AO$999,RdTRABYVals!$B$2:$B$999,"="&amp;$C156,RdTRABYVals!$C$2:$C$999,"="&amp;INS!$A156),"")</f>
        <v>0.37</v>
      </c>
      <c r="BX156" s="10">
        <f>IFERROR(AVERAGEIFS(RdTRABYVals!AP$2:AP$999,RdTRABYVals!$B$2:$B$999,"="&amp;$C156,RdTRABYVals!$C$2:$C$999,"="&amp;INS!$A156),"")</f>
        <v>0.39000000000000001</v>
      </c>
      <c r="BY156" s="10">
        <f>IFERROR(AVERAGEIFS(RdTRABYVals!AQ$2:AQ$999,RdTRABYVals!$B$2:$B$999,"="&amp;$C156,RdTRABYVals!$C$2:$C$999,"="&amp;INS!$A156),"")</f>
        <v>0.33000000000000002</v>
      </c>
      <c r="BZ156" s="10">
        <f>IFERROR(AVERAGEIFS(RdTRABYVals!AR$2:AR$999,RdTRABYVals!$B$2:$B$999,"="&amp;$C156,RdTRABYVals!$C$2:$C$999,"="&amp;INS!$A156),"")</f>
        <v>0.35999999999999999</v>
      </c>
      <c r="CA156" s="10">
        <f>IFERROR(AVERAGEIFS(RdTRABYVals!AS$2:AS$999,RdTRABYVals!$B$2:$B$999,"="&amp;$C156,RdTRABYVals!$C$2:$C$999,"="&amp;INS!$A156),"")</f>
        <v>0.38</v>
      </c>
      <c r="CB156" s="10">
        <f>IFERROR(AVERAGEIFS(RdTRABYVals!AT$2:AT$999,RdTRABYVals!$B$2:$B$999,"="&amp;$C156,RdTRABYVals!$C$2:$C$999,"="&amp;INS!$A156),"")</f>
        <v>0.37</v>
      </c>
      <c r="CC156" s="10">
        <f>IFERROR(AVERAGEIFS(RdTRABYVals!AU$2:AU$999,RdTRABYVals!$B$2:$B$999,"="&amp;$C156,RdTRABYVals!$C$2:$C$999,"="&amp;INS!$A156),"")</f>
        <v>0.39000000000000001</v>
      </c>
      <c r="CD156" s="10">
        <f>IFERROR(AVERAGEIFS(RdTRABYVals!AV$2:AV$999,RdTRABYVals!$B$2:$B$999,"="&amp;$C156,RdTRABYVals!$C$2:$C$999,"="&amp;INS!$A156),"")</f>
        <v>0.39000000000000001</v>
      </c>
    </row>
    <row r="157" spans="1:82" ht="14.4">
      <c r="A157" s="3" t="s">
        <v>188</v>
      </c>
      <c r="C157" s="1" t="s">
        <v>29</v>
      </c>
      <c r="D157" s="1" t="s">
        <v>173</v>
      </c>
      <c r="F157" t="str">
        <f t="shared" si="31"/>
        <v>*2.96740861379321</v>
      </c>
      <c r="G157" t="str">
        <f t="shared" si="37"/>
        <v>*3.78465476610041</v>
      </c>
      <c r="H157" t="str">
        <f t="shared" si="38"/>
        <v>*1.6329350433318</v>
      </c>
      <c r="I157" t="str">
        <f t="shared" si="39"/>
        <v>*2.34135375931972</v>
      </c>
      <c r="J157" t="str">
        <f t="shared" si="40"/>
        <v>*2.88154915179878</v>
      </c>
      <c r="K157" t="str">
        <f t="shared" si="41"/>
        <v>*2.81197837520114</v>
      </c>
      <c r="L157" t="str">
        <f t="shared" si="42"/>
        <v>*2.12619055676942</v>
      </c>
      <c r="M157" t="str">
        <f t="shared" si="43"/>
        <v>*3.78465476610041</v>
      </c>
      <c r="N157" t="str">
        <f t="shared" si="44"/>
        <v>*2.57555276776197</v>
      </c>
      <c r="O157" t="str">
        <f t="shared" si="45"/>
        <v>*2.12619055676942</v>
      </c>
      <c r="P157" t="str">
        <f t="shared" si="46"/>
        <v>*2.80700368057022</v>
      </c>
      <c r="Q157" t="str">
        <f t="shared" si="47"/>
        <v>*4.83707105871357</v>
      </c>
      <c r="R157" t="str">
        <f t="shared" si="48"/>
        <v>*3.78465476610041</v>
      </c>
      <c r="S157" t="str">
        <f t="shared" si="49"/>
        <v>*1.19538079655248</v>
      </c>
      <c r="T157" t="str">
        <f t="shared" si="50"/>
        <v>*2.92893868404264</v>
      </c>
      <c r="U157" t="str">
        <f t="shared" si="51"/>
        <v>*1.79518626524491</v>
      </c>
      <c r="V157" t="str">
        <f t="shared" si="52"/>
        <v>*2.34135375931972</v>
      </c>
      <c r="W157" t="str">
        <f t="shared" si="53"/>
        <v>*3.10429577155703</v>
      </c>
      <c r="X157" t="str">
        <f t="shared" si="54"/>
        <v>*2.67268223593195</v>
      </c>
      <c r="Y157" t="str">
        <f t="shared" si="55"/>
        <v>*2.92893868404264</v>
      </c>
      <c r="Z157" t="str">
        <f t="shared" si="56"/>
        <v>*1.47719711293057</v>
      </c>
      <c r="AA157" t="str">
        <f t="shared" si="57"/>
        <v>*2.34135375931972</v>
      </c>
      <c r="AB157" t="str">
        <f t="shared" si="58"/>
        <v>*5.08428296456748</v>
      </c>
      <c r="AC157" t="str">
        <f t="shared" si="59"/>
        <v>*1.37070805579523</v>
      </c>
      <c r="AD157" t="str">
        <f t="shared" si="60"/>
        <v>*6.44686053751459</v>
      </c>
      <c r="AE157" t="str">
        <f t="shared" si="61"/>
        <v>*3.78465476610041</v>
      </c>
      <c r="AF157" t="str">
        <f t="shared" si="62"/>
        <v>*2.34135375931972</v>
      </c>
      <c r="AG157" t="str">
        <f t="shared" si="63"/>
        <v>*3.78465476610041</v>
      </c>
      <c r="AH157" t="str">
        <f t="shared" si="64"/>
        <v>*3.8628381968994</v>
      </c>
      <c r="AI157" t="str">
        <f t="shared" si="65"/>
        <v>*2.92893868404264</v>
      </c>
      <c r="AJ157" t="str">
        <f t="shared" si="66"/>
        <v>*3.91284599986985</v>
      </c>
      <c r="AK157" t="str">
        <f t="shared" si="67"/>
        <v>*2.5353321968993</v>
      </c>
      <c r="AL157" t="str">
        <f t="shared" si="68"/>
        <v>*2.74673961869743</v>
      </c>
      <c r="AM157" t="str">
        <f t="shared" si="69"/>
        <v>*2.34135375931972</v>
      </c>
      <c r="AN157" t="str">
        <f t="shared" si="33"/>
        <v>*2.85678010930833</v>
      </c>
      <c r="AO157" t="str">
        <f t="shared" si="34"/>
        <v>*2.52854798886666</v>
      </c>
      <c r="AP157" t="str">
        <f t="shared" si="35"/>
        <v>*2.96740861379322</v>
      </c>
      <c r="AQ157" t="str">
        <f t="shared" si="36"/>
        <v>*4.02170237577564</v>
      </c>
      <c r="AS157" s="11">
        <f t="shared" si="72" ref="AS157:AS162">AVERAGE(AT157:CD157)</f>
        <v>2.9674086137932143</v>
      </c>
      <c r="AT157" s="11">
        <f>IFERROR(AVERAGEIFS(RdTRABYVals!L$2:L$999,RdTRABYVals!$B$2:$B$999,"="&amp;$C157,RdTRABYVals!$C$2:$C$999,"="&amp;INS!$A157),"")</f>
        <v>3.78465476610041</v>
      </c>
      <c r="AU157" s="11">
        <f>IFERROR(AVERAGEIFS(RdTRABYVals!M$2:M$999,RdTRABYVals!$B$2:$B$999,"="&amp;$C157,RdTRABYVals!$C$2:$C$999,"="&amp;INS!$A157),"")</f>
        <v>1.6329350433318</v>
      </c>
      <c r="AV157" s="11">
        <f>IFERROR(AVERAGEIFS(RdTRABYVals!N$2:N$999,RdTRABYVals!$B$2:$B$999,"="&amp;$C157,RdTRABYVals!$C$2:$C$999,"="&amp;INS!$A157),"")</f>
        <v>2.3413537593197198</v>
      </c>
      <c r="AW157" s="11">
        <f>IFERROR(AVERAGEIFS(RdTRABYVals!O$2:O$999,RdTRABYVals!$B$2:$B$999,"="&amp;$C157,RdTRABYVals!$C$2:$C$999,"="&amp;INS!$A157),"")</f>
        <v>2.8815491517987799</v>
      </c>
      <c r="AX157" s="11">
        <f>IFERROR(AVERAGEIFS(RdTRABYVals!P$2:P$999,RdTRABYVals!$B$2:$B$999,"="&amp;$C157,RdTRABYVals!$C$2:$C$999,"="&amp;INS!$A157),"")</f>
        <v>2.8119783752011398</v>
      </c>
      <c r="AY157" s="11">
        <f>IFERROR(AVERAGEIFS(RdTRABYVals!Q$2:Q$999,RdTRABYVals!$B$2:$B$999,"="&amp;$C157,RdTRABYVals!$C$2:$C$999,"="&amp;INS!$A157),"")</f>
        <v>2.1261905567694201</v>
      </c>
      <c r="AZ157" s="11">
        <f>IFERROR(AVERAGEIFS(RdTRABYVals!R$2:R$999,RdTRABYVals!$B$2:$B$999,"="&amp;$C157,RdTRABYVals!$C$2:$C$999,"="&amp;INS!$A157),"")</f>
        <v>3.78465476610041</v>
      </c>
      <c r="BA157" s="11">
        <f>IFERROR(AVERAGEIFS(RdTRABYVals!S$2:S$999,RdTRABYVals!$B$2:$B$999,"="&amp;$C157,RdTRABYVals!$C$2:$C$999,"="&amp;INS!$A157),"")</f>
        <v>2.5755527677619701</v>
      </c>
      <c r="BB157" s="11">
        <f>IFERROR(AVERAGEIFS(RdTRABYVals!T$2:T$999,RdTRABYVals!$B$2:$B$999,"="&amp;$C157,RdTRABYVals!$C$2:$C$999,"="&amp;INS!$A157),"")</f>
        <v>2.1261905567694201</v>
      </c>
      <c r="BC157" s="11">
        <f>IFERROR(AVERAGEIFS(RdTRABYVals!U$2:U$999,RdTRABYVals!$B$2:$B$999,"="&amp;$C157,RdTRABYVals!$C$2:$C$999,"="&amp;INS!$A157),"")</f>
        <v>2.8070036805702201</v>
      </c>
      <c r="BD157" s="11">
        <f>IFERROR(AVERAGEIFS(RdTRABYVals!V$2:V$999,RdTRABYVals!$B$2:$B$999,"="&amp;$C157,RdTRABYVals!$C$2:$C$999,"="&amp;INS!$A157),"")</f>
        <v>4.8370710587135699</v>
      </c>
      <c r="BE157" s="11">
        <f>IFERROR(AVERAGEIFS(RdTRABYVals!W$2:W$999,RdTRABYVals!$B$2:$B$999,"="&amp;$C157,RdTRABYVals!$C$2:$C$999,"="&amp;INS!$A157),"")</f>
        <v>3.78465476610041</v>
      </c>
      <c r="BF157" s="11">
        <f>IFERROR(AVERAGEIFS(RdTRABYVals!X$2:X$999,RdTRABYVals!$B$2:$B$999,"="&amp;$C157,RdTRABYVals!$C$2:$C$999,"="&amp;INS!$A157),"")</f>
        <v>1.1953807965524801</v>
      </c>
      <c r="BG157" s="11">
        <f>IFERROR(AVERAGEIFS(RdTRABYVals!Y$2:Y$999,RdTRABYVals!$B$2:$B$999,"="&amp;$C157,RdTRABYVals!$C$2:$C$999,"="&amp;INS!$A157),"")</f>
        <v>2.9289386840426399</v>
      </c>
      <c r="BH157" s="11">
        <f>IFERROR(AVERAGEIFS(RdTRABYVals!Z$2:Z$999,RdTRABYVals!$B$2:$B$999,"="&amp;$C157,RdTRABYVals!$C$2:$C$999,"="&amp;INS!$A157),"")</f>
        <v>1.79518626524491</v>
      </c>
      <c r="BI157" s="11">
        <f>IFERROR(AVERAGEIFS(RdTRABYVals!AA$2:AA$999,RdTRABYVals!$B$2:$B$999,"="&amp;$C157,RdTRABYVals!$C$2:$C$999,"="&amp;INS!$A157),"")</f>
        <v>2.3413537593197198</v>
      </c>
      <c r="BJ157" s="11">
        <f>IFERROR(AVERAGEIFS(RdTRABYVals!AB$2:AB$999,RdTRABYVals!$B$2:$B$999,"="&amp;$C157,RdTRABYVals!$C$2:$C$999,"="&amp;INS!$A157),"")</f>
        <v>3.1042957715570298</v>
      </c>
      <c r="BK157" s="11">
        <f>IFERROR(AVERAGEIFS(RdTRABYVals!AC$2:AC$999,RdTRABYVals!$B$2:$B$999,"="&amp;$C157,RdTRABYVals!$C$2:$C$999,"="&amp;INS!$A157),"")</f>
        <v>2.67268223593195</v>
      </c>
      <c r="BL157" s="11">
        <f>IFERROR(AVERAGEIFS(RdTRABYVals!AD$2:AD$999,RdTRABYVals!$B$2:$B$999,"="&amp;$C157,RdTRABYVals!$C$2:$C$999,"="&amp;INS!$A157),"")</f>
        <v>2.9289386840426399</v>
      </c>
      <c r="BM157" s="11">
        <f>IFERROR(AVERAGEIFS(RdTRABYVals!AE$2:AE$999,RdTRABYVals!$B$2:$B$999,"="&amp;$C157,RdTRABYVals!$C$2:$C$999,"="&amp;INS!$A157),"")</f>
        <v>1.4771971129305701</v>
      </c>
      <c r="BN157" s="11">
        <f>IFERROR(AVERAGEIFS(RdTRABYVals!AF$2:AF$999,RdTRABYVals!$B$2:$B$999,"="&amp;$C157,RdTRABYVals!$C$2:$C$999,"="&amp;INS!$A157),"")</f>
        <v>2.3413537593197198</v>
      </c>
      <c r="BO157" s="11">
        <f>IFERROR(AVERAGEIFS(RdTRABYVals!AG$2:AG$999,RdTRABYVals!$B$2:$B$999,"="&amp;$C157,RdTRABYVals!$C$2:$C$999,"="&amp;INS!$A157),"")</f>
        <v>5.0842829645674801</v>
      </c>
      <c r="BP157" s="11">
        <f>IFERROR(AVERAGEIFS(RdTRABYVals!AH$2:AH$999,RdTRABYVals!$B$2:$B$999,"="&amp;$C157,RdTRABYVals!$C$2:$C$999,"="&amp;INS!$A157),"")</f>
        <v>1.37070805579523</v>
      </c>
      <c r="BQ157" s="11">
        <f>IFERROR(AVERAGEIFS(RdTRABYVals!AI$2:AI$999,RdTRABYVals!$B$2:$B$999,"="&amp;$C157,RdTRABYVals!$C$2:$C$999,"="&amp;INS!$A157),"")</f>
        <v>6.4468605375145902</v>
      </c>
      <c r="BR157" s="11">
        <f>IFERROR(AVERAGEIFS(RdTRABYVals!AJ$2:AJ$999,RdTRABYVals!$B$2:$B$999,"="&amp;$C157,RdTRABYVals!$C$2:$C$999,"="&amp;INS!$A157),"")</f>
        <v>3.78465476610041</v>
      </c>
      <c r="BS157" s="11">
        <f>IFERROR(AVERAGEIFS(RdTRABYVals!AK$2:AK$999,RdTRABYVals!$B$2:$B$999,"="&amp;$C157,RdTRABYVals!$C$2:$C$999,"="&amp;INS!$A157),"")</f>
        <v>2.3413537593197198</v>
      </c>
      <c r="BT157" s="11">
        <f>IFERROR(AVERAGEIFS(RdTRABYVals!AL$2:AL$999,RdTRABYVals!$B$2:$B$999,"="&amp;$C157,RdTRABYVals!$C$2:$C$999,"="&amp;INS!$A157),"")</f>
        <v>3.78465476610041</v>
      </c>
      <c r="BU157" s="11">
        <f>IFERROR(AVERAGEIFS(RdTRABYVals!AM$2:AM$999,RdTRABYVals!$B$2:$B$999,"="&amp;$C157,RdTRABYVals!$C$2:$C$999,"="&amp;INS!$A157),"")</f>
        <v>3.8628381968993999</v>
      </c>
      <c r="BV157" s="11">
        <f>IFERROR(AVERAGEIFS(RdTRABYVals!AN$2:AN$999,RdTRABYVals!$B$2:$B$999,"="&amp;$C157,RdTRABYVals!$C$2:$C$999,"="&amp;INS!$A157),"")</f>
        <v>2.9289386840426399</v>
      </c>
      <c r="BW157" s="11">
        <f>IFERROR(AVERAGEIFS(RdTRABYVals!AO$2:AO$999,RdTRABYVals!$B$2:$B$999,"="&amp;$C157,RdTRABYVals!$C$2:$C$999,"="&amp;INS!$A157),"")</f>
        <v>3.9128459998698499</v>
      </c>
      <c r="BX157" s="11">
        <f>IFERROR(AVERAGEIFS(RdTRABYVals!AP$2:AP$999,RdTRABYVals!$B$2:$B$999,"="&amp;$C157,RdTRABYVals!$C$2:$C$999,"="&amp;INS!$A157),"")</f>
        <v>2.5353321968992999</v>
      </c>
      <c r="BY157" s="11">
        <f>IFERROR(AVERAGEIFS(RdTRABYVals!AQ$2:AQ$999,RdTRABYVals!$B$2:$B$999,"="&amp;$C157,RdTRABYVals!$C$2:$C$999,"="&amp;INS!$A157),"")</f>
        <v>2.74673961869743</v>
      </c>
      <c r="BZ157" s="11">
        <f>IFERROR(AVERAGEIFS(RdTRABYVals!AR$2:AR$999,RdTRABYVals!$B$2:$B$999,"="&amp;$C157,RdTRABYVals!$C$2:$C$999,"="&amp;INS!$A157),"")</f>
        <v>2.3413537593197198</v>
      </c>
      <c r="CA157" s="11">
        <f>IFERROR(AVERAGEIFS(RdTRABYVals!AS$2:AS$999,RdTRABYVals!$B$2:$B$999,"="&amp;$C157,RdTRABYVals!$C$2:$C$999,"="&amp;INS!$A157),"")</f>
        <v>2.85678010930833</v>
      </c>
      <c r="CB157" s="11">
        <f>IFERROR(AVERAGEIFS(RdTRABYVals!AT$2:AT$999,RdTRABYVals!$B$2:$B$999,"="&amp;$C157,RdTRABYVals!$C$2:$C$999,"="&amp;INS!$A157),"")</f>
        <v>2.5285479888666602</v>
      </c>
      <c r="CC157" s="11">
        <f>IFERROR(AVERAGEIFS(RdTRABYVals!AU$2:AU$999,RdTRABYVals!$B$2:$B$999,"="&amp;$C157,RdTRABYVals!$C$2:$C$999,"="&amp;INS!$A157),"")</f>
        <v>2.9674086137932201</v>
      </c>
      <c r="CD157" s="11">
        <f>IFERROR(AVERAGEIFS(RdTRABYVals!AV$2:AV$999,RdTRABYVals!$B$2:$B$999,"="&amp;$C157,RdTRABYVals!$C$2:$C$999,"="&amp;INS!$A157),"")</f>
        <v>4.0217023757756403</v>
      </c>
    </row>
    <row r="158" spans="1:82" ht="14.4">
      <c r="A158" s="3" t="s">
        <v>189</v>
      </c>
      <c r="C158" s="1" t="s">
        <v>29</v>
      </c>
      <c r="D158" s="1" t="s">
        <v>174</v>
      </c>
      <c r="F158" t="str">
        <f t="shared" si="31"/>
        <v>*7.43509990252581</v>
      </c>
      <c r="G158" t="str">
        <f t="shared" si="37"/>
        <v>*8.92665423656215</v>
      </c>
      <c r="H158" t="str">
        <f t="shared" si="38"/>
        <v>*4.0445924688402</v>
      </c>
      <c r="I158" t="str">
        <f t="shared" si="39"/>
        <v>*6.68627546545711</v>
      </c>
      <c r="J158" t="str">
        <f t="shared" si="40"/>
        <v>*7.58223250274475</v>
      </c>
      <c r="K158" t="str">
        <f t="shared" si="41"/>
        <v>*7.31970847104617</v>
      </c>
      <c r="L158" t="str">
        <f t="shared" si="42"/>
        <v>*5.72529696552562</v>
      </c>
      <c r="M158" t="str">
        <f t="shared" si="43"/>
        <v>*8.92665423656215</v>
      </c>
      <c r="N158" t="str">
        <f t="shared" si="44"/>
        <v>*6.37255405023165</v>
      </c>
      <c r="O158" t="str">
        <f t="shared" si="45"/>
        <v>*5.72529696552562</v>
      </c>
      <c r="P158" t="str">
        <f t="shared" si="46"/>
        <v>*7.75903455166238</v>
      </c>
      <c r="Q158" t="str">
        <f t="shared" si="47"/>
        <v>*7.43509990252581</v>
      </c>
      <c r="R158" t="str">
        <f t="shared" si="48"/>
        <v>*8.92665423656215</v>
      </c>
      <c r="S158" t="str">
        <f t="shared" si="49"/>
        <v>*3.09407815601376</v>
      </c>
      <c r="T158" t="str">
        <f t="shared" si="50"/>
        <v>*8.32841779654257</v>
      </c>
      <c r="U158" t="str">
        <f t="shared" si="51"/>
        <v>*4.91419948687786</v>
      </c>
      <c r="V158" t="str">
        <f t="shared" si="52"/>
        <v>*6.68627546545711</v>
      </c>
      <c r="W158" t="str">
        <f t="shared" si="53"/>
        <v>*7.88039699777905</v>
      </c>
      <c r="X158" t="str">
        <f t="shared" si="54"/>
        <v>*7.43509990252581</v>
      </c>
      <c r="Y158" t="str">
        <f t="shared" si="55"/>
        <v>*8.32841779654257</v>
      </c>
      <c r="Z158" t="str">
        <f t="shared" si="56"/>
        <v>*3.69339779365603</v>
      </c>
      <c r="AA158" t="str">
        <f t="shared" si="57"/>
        <v>*6.68627546545711</v>
      </c>
      <c r="AB158" t="str">
        <f t="shared" si="58"/>
        <v>*7.43509990252581</v>
      </c>
      <c r="AC158" t="str">
        <f t="shared" si="59"/>
        <v>*3.46552398628294</v>
      </c>
      <c r="AD158" t="str">
        <f t="shared" si="60"/>
        <v>*7.43509990252581</v>
      </c>
      <c r="AE158" t="str">
        <f t="shared" si="61"/>
        <v>*8.92665423656215</v>
      </c>
      <c r="AF158" t="str">
        <f t="shared" si="62"/>
        <v>*6.68627546545711</v>
      </c>
      <c r="AG158" t="str">
        <f t="shared" si="63"/>
        <v>*8.92665423656215</v>
      </c>
      <c r="AH158" t="str">
        <f t="shared" si="64"/>
        <v>*10.6567202460497</v>
      </c>
      <c r="AI158" t="str">
        <f t="shared" si="65"/>
        <v>*8.32841779654257</v>
      </c>
      <c r="AJ158" t="str">
        <f t="shared" si="66"/>
        <v>*10.84317869095</v>
      </c>
      <c r="AK158" t="str">
        <f t="shared" si="67"/>
        <v>*7.46018473684822</v>
      </c>
      <c r="AL158" t="str">
        <f t="shared" si="68"/>
        <v>*7.92001364085701</v>
      </c>
      <c r="AM158" t="str">
        <f t="shared" si="69"/>
        <v>*6.68627546545711</v>
      </c>
      <c r="AN158" t="str">
        <f t="shared" si="33"/>
        <v>*7.65218881841743</v>
      </c>
      <c r="AO158" t="str">
        <f t="shared" si="34"/>
        <v>*7.61420997423705</v>
      </c>
      <c r="AP158" t="str">
        <f t="shared" si="35"/>
        <v>*10.6531065814435</v>
      </c>
      <c r="AQ158" t="str">
        <f t="shared" si="36"/>
        <v>*11.9324797986387</v>
      </c>
      <c r="AS158" s="11">
        <f t="shared" si="72"/>
        <v>7.4350999025258071</v>
      </c>
      <c r="AT158" s="11">
        <f>IFERROR(AVERAGEIFS(RdTRABYVals!L$2:L$999,RdTRABYVals!$B$2:$B$999,"="&amp;$C158,RdTRABYVals!$C$2:$C$999,"="&amp;INS!$A158),"")</f>
        <v>8.9266542365621504</v>
      </c>
      <c r="AU158" s="11">
        <f>IFERROR(AVERAGEIFS(RdTRABYVals!M$2:M$999,RdTRABYVals!$B$2:$B$999,"="&amp;$C158,RdTRABYVals!$C$2:$C$999,"="&amp;INS!$A158),"")</f>
        <v>4.0445924688402002</v>
      </c>
      <c r="AV158" s="11">
        <f>IFERROR(AVERAGEIFS(RdTRABYVals!N$2:N$999,RdTRABYVals!$B$2:$B$999,"="&amp;$C158,RdTRABYVals!$C$2:$C$999,"="&amp;INS!$A158),"")</f>
        <v>6.6862754654571104</v>
      </c>
      <c r="AW158" s="11">
        <f>IFERROR(AVERAGEIFS(RdTRABYVals!O$2:O$999,RdTRABYVals!$B$2:$B$999,"="&amp;$C158,RdTRABYVals!$C$2:$C$999,"="&amp;INS!$A158),"")</f>
        <v>7.5822325027447501</v>
      </c>
      <c r="AX158" s="11">
        <f>IFERROR(AVERAGEIFS(RdTRABYVals!P$2:P$999,RdTRABYVals!$B$2:$B$999,"="&amp;$C158,RdTRABYVals!$C$2:$C$999,"="&amp;INS!$A158),"")</f>
        <v>7.3197084710461704</v>
      </c>
      <c r="AY158" s="11">
        <f>IFERROR(AVERAGEIFS(RdTRABYVals!Q$2:Q$999,RdTRABYVals!$B$2:$B$999,"="&amp;$C158,RdTRABYVals!$C$2:$C$999,"="&amp;INS!$A158),"")</f>
        <v>5.7252969655256196</v>
      </c>
      <c r="AZ158" s="11">
        <f>IFERROR(AVERAGEIFS(RdTRABYVals!R$2:R$999,RdTRABYVals!$B$2:$B$999,"="&amp;$C158,RdTRABYVals!$C$2:$C$999,"="&amp;INS!$A158),"")</f>
        <v>8.9266542365621504</v>
      </c>
      <c r="BA158" s="11">
        <f>IFERROR(AVERAGEIFS(RdTRABYVals!S$2:S$999,RdTRABYVals!$B$2:$B$999,"="&amp;$C158,RdTRABYVals!$C$2:$C$999,"="&amp;INS!$A158),"")</f>
        <v>6.37255405023165</v>
      </c>
      <c r="BB158" s="11">
        <f>IFERROR(AVERAGEIFS(RdTRABYVals!T$2:T$999,RdTRABYVals!$B$2:$B$999,"="&amp;$C158,RdTRABYVals!$C$2:$C$999,"="&amp;INS!$A158),"")</f>
        <v>5.7252969655256196</v>
      </c>
      <c r="BC158" s="11">
        <f>IFERROR(AVERAGEIFS(RdTRABYVals!U$2:U$999,RdTRABYVals!$B$2:$B$999,"="&amp;$C158,RdTRABYVals!$C$2:$C$999,"="&amp;INS!$A158),"")</f>
        <v>7.7590345516623804</v>
      </c>
      <c r="BD158" s="11">
        <f>IFERROR(AVERAGEIFS(RdTRABYVals!V$2:V$999,RdTRABYVals!$B$2:$B$999,"="&amp;$C158,RdTRABYVals!$C$2:$C$999,"="&amp;INS!$A158),"")</f>
        <v>7.4350999025258098</v>
      </c>
      <c r="BE158" s="11">
        <f>IFERROR(AVERAGEIFS(RdTRABYVals!W$2:W$999,RdTRABYVals!$B$2:$B$999,"="&amp;$C158,RdTRABYVals!$C$2:$C$999,"="&amp;INS!$A158),"")</f>
        <v>8.9266542365621504</v>
      </c>
      <c r="BF158" s="11">
        <f>IFERROR(AVERAGEIFS(RdTRABYVals!X$2:X$999,RdTRABYVals!$B$2:$B$999,"="&amp;$C158,RdTRABYVals!$C$2:$C$999,"="&amp;INS!$A158),"")</f>
        <v>3.0940781560137598</v>
      </c>
      <c r="BG158" s="11">
        <f>IFERROR(AVERAGEIFS(RdTRABYVals!Y$2:Y$999,RdTRABYVals!$B$2:$B$999,"="&amp;$C158,RdTRABYVals!$C$2:$C$999,"="&amp;INS!$A158),"")</f>
        <v>8.3284177965425705</v>
      </c>
      <c r="BH158" s="11">
        <f>IFERROR(AVERAGEIFS(RdTRABYVals!Z$2:Z$999,RdTRABYVals!$B$2:$B$999,"="&amp;$C158,RdTRABYVals!$C$2:$C$999,"="&amp;INS!$A158),"")</f>
        <v>4.9141994868778598</v>
      </c>
      <c r="BI158" s="11">
        <f>IFERROR(AVERAGEIFS(RdTRABYVals!AA$2:AA$999,RdTRABYVals!$B$2:$B$999,"="&amp;$C158,RdTRABYVals!$C$2:$C$999,"="&amp;INS!$A158),"")</f>
        <v>6.6862754654571104</v>
      </c>
      <c r="BJ158" s="11">
        <f>IFERROR(AVERAGEIFS(RdTRABYVals!AB$2:AB$999,RdTRABYVals!$B$2:$B$999,"="&amp;$C158,RdTRABYVals!$C$2:$C$999,"="&amp;INS!$A158),"")</f>
        <v>7.8803969977790498</v>
      </c>
      <c r="BK158" s="11">
        <f>IFERROR(AVERAGEIFS(RdTRABYVals!AC$2:AC$999,RdTRABYVals!$B$2:$B$999,"="&amp;$C158,RdTRABYVals!$C$2:$C$999,"="&amp;INS!$A158),"")</f>
        <v>7.4350999025258098</v>
      </c>
      <c r="BL158" s="11">
        <f>IFERROR(AVERAGEIFS(RdTRABYVals!AD$2:AD$999,RdTRABYVals!$B$2:$B$999,"="&amp;$C158,RdTRABYVals!$C$2:$C$999,"="&amp;INS!$A158),"")</f>
        <v>8.3284177965425705</v>
      </c>
      <c r="BM158" s="11">
        <f>IFERROR(AVERAGEIFS(RdTRABYVals!AE$2:AE$999,RdTRABYVals!$B$2:$B$999,"="&amp;$C158,RdTRABYVals!$C$2:$C$999,"="&amp;INS!$A158),"")</f>
        <v>3.6933977936560298</v>
      </c>
      <c r="BN158" s="11">
        <f>IFERROR(AVERAGEIFS(RdTRABYVals!AF$2:AF$999,RdTRABYVals!$B$2:$B$999,"="&amp;$C158,RdTRABYVals!$C$2:$C$999,"="&amp;INS!$A158),"")</f>
        <v>6.6862754654571104</v>
      </c>
      <c r="BO158" s="11">
        <f>IFERROR(AVERAGEIFS(RdTRABYVals!AG$2:AG$999,RdTRABYVals!$B$2:$B$999,"="&amp;$C158,RdTRABYVals!$C$2:$C$999,"="&amp;INS!$A158),"")</f>
        <v>7.4350999025258098</v>
      </c>
      <c r="BP158" s="11">
        <f>IFERROR(AVERAGEIFS(RdTRABYVals!AH$2:AH$999,RdTRABYVals!$B$2:$B$999,"="&amp;$C158,RdTRABYVals!$C$2:$C$999,"="&amp;INS!$A158),"")</f>
        <v>3.4655239862829399</v>
      </c>
      <c r="BQ158" s="11">
        <f>IFERROR(AVERAGEIFS(RdTRABYVals!AI$2:AI$999,RdTRABYVals!$B$2:$B$999,"="&amp;$C158,RdTRABYVals!$C$2:$C$999,"="&amp;INS!$A158),"")</f>
        <v>7.4350999025258098</v>
      </c>
      <c r="BR158" s="11">
        <f>IFERROR(AVERAGEIFS(RdTRABYVals!AJ$2:AJ$999,RdTRABYVals!$B$2:$B$999,"="&amp;$C158,RdTRABYVals!$C$2:$C$999,"="&amp;INS!$A158),"")</f>
        <v>8.9266542365621504</v>
      </c>
      <c r="BS158" s="11">
        <f>IFERROR(AVERAGEIFS(RdTRABYVals!AK$2:AK$999,RdTRABYVals!$B$2:$B$999,"="&amp;$C158,RdTRABYVals!$C$2:$C$999,"="&amp;INS!$A158),"")</f>
        <v>6.6862754654571104</v>
      </c>
      <c r="BT158" s="11">
        <f>IFERROR(AVERAGEIFS(RdTRABYVals!AL$2:AL$999,RdTRABYVals!$B$2:$B$999,"="&amp;$C158,RdTRABYVals!$C$2:$C$999,"="&amp;INS!$A158),"")</f>
        <v>8.9266542365621504</v>
      </c>
      <c r="BU158" s="11">
        <f>IFERROR(AVERAGEIFS(RdTRABYVals!AM$2:AM$999,RdTRABYVals!$B$2:$B$999,"="&amp;$C158,RdTRABYVals!$C$2:$C$999,"="&amp;INS!$A158),"")</f>
        <v>10.6567202460497</v>
      </c>
      <c r="BV158" s="11">
        <f>IFERROR(AVERAGEIFS(RdTRABYVals!AN$2:AN$999,RdTRABYVals!$B$2:$B$999,"="&amp;$C158,RdTRABYVals!$C$2:$C$999,"="&amp;INS!$A158),"")</f>
        <v>8.3284177965425705</v>
      </c>
      <c r="BW158" s="11">
        <f>IFERROR(AVERAGEIFS(RdTRABYVals!AO$2:AO$999,RdTRABYVals!$B$2:$B$999,"="&amp;$C158,RdTRABYVals!$C$2:$C$999,"="&amp;INS!$A158),"")</f>
        <v>10.843178690949999</v>
      </c>
      <c r="BX158" s="11">
        <f>IFERROR(AVERAGEIFS(RdTRABYVals!AP$2:AP$999,RdTRABYVals!$B$2:$B$999,"="&amp;$C158,RdTRABYVals!$C$2:$C$999,"="&amp;INS!$A158),"")</f>
        <v>7.4601847368482197</v>
      </c>
      <c r="BY158" s="11">
        <f>IFERROR(AVERAGEIFS(RdTRABYVals!AQ$2:AQ$999,RdTRABYVals!$B$2:$B$999,"="&amp;$C158,RdTRABYVals!$C$2:$C$999,"="&amp;INS!$A158),"")</f>
        <v>7.9200136408570101</v>
      </c>
      <c r="BZ158" s="11">
        <f>IFERROR(AVERAGEIFS(RdTRABYVals!AR$2:AR$999,RdTRABYVals!$B$2:$B$999,"="&amp;$C158,RdTRABYVals!$C$2:$C$999,"="&amp;INS!$A158),"")</f>
        <v>6.6862754654571104</v>
      </c>
      <c r="CA158" s="11">
        <f>IFERROR(AVERAGEIFS(RdTRABYVals!AS$2:AS$999,RdTRABYVals!$B$2:$B$999,"="&amp;$C158,RdTRABYVals!$C$2:$C$999,"="&amp;INS!$A158),"")</f>
        <v>7.6521888184174296</v>
      </c>
      <c r="CB158" s="11">
        <f>IFERROR(AVERAGEIFS(RdTRABYVals!AT$2:AT$999,RdTRABYVals!$B$2:$B$999,"="&amp;$C158,RdTRABYVals!$C$2:$C$999,"="&amp;INS!$A158),"")</f>
        <v>7.6142099742370499</v>
      </c>
      <c r="CC158" s="11">
        <f>IFERROR(AVERAGEIFS(RdTRABYVals!AU$2:AU$999,RdTRABYVals!$B$2:$B$999,"="&amp;$C158,RdTRABYVals!$C$2:$C$999,"="&amp;INS!$A158),"")</f>
        <v>10.653106581443501</v>
      </c>
      <c r="CD158" s="11">
        <f>IFERROR(AVERAGEIFS(RdTRABYVals!AV$2:AV$999,RdTRABYVals!$B$2:$B$999,"="&amp;$C158,RdTRABYVals!$C$2:$C$999,"="&amp;INS!$A158),"")</f>
        <v>11.932479798638701</v>
      </c>
    </row>
    <row r="159" spans="1:82" ht="14.4">
      <c r="A159" s="3" t="s">
        <v>175</v>
      </c>
      <c r="C159" s="1" t="s">
        <v>29</v>
      </c>
      <c r="D159" s="1" t="s">
        <v>175</v>
      </c>
      <c r="F159" t="str">
        <f>IF(AS159&lt;&gt;"","*"&amp;AS159,"")</f>
        <v>*5.30749370398552</v>
      </c>
      <c r="G159" t="str">
        <f t="shared" si="37"/>
        <v>*5.75186141570947</v>
      </c>
      <c r="H159" t="str">
        <f t="shared" si="38"/>
        <v>*4.21155848723695</v>
      </c>
      <c r="I159" t="str">
        <f t="shared" si="39"/>
        <v>*5.4278909733591</v>
      </c>
      <c r="J159" t="str">
        <f t="shared" si="40"/>
        <v>*4.58055345858254</v>
      </c>
      <c r="K159" t="str">
        <f t="shared" si="41"/>
        <v>*6.04042289275791</v>
      </c>
      <c r="L159" t="str">
        <f t="shared" si="42"/>
        <v>*4.69604338514518</v>
      </c>
      <c r="M159" t="str">
        <f t="shared" si="43"/>
        <v>*5.75186141570947</v>
      </c>
      <c r="N159" t="str">
        <f t="shared" si="44"/>
        <v>*3.38803729063415</v>
      </c>
      <c r="O159" t="str">
        <f t="shared" si="45"/>
        <v>*4.69604338514518</v>
      </c>
      <c r="P159" t="str">
        <f t="shared" si="46"/>
        <v>*6.26337033081879</v>
      </c>
      <c r="Q159" t="str">
        <f t="shared" si="47"/>
        <v>*3.24768028603007</v>
      </c>
      <c r="R159" t="str">
        <f t="shared" si="48"/>
        <v>*5.75186141570947</v>
      </c>
      <c r="S159" t="str">
        <f t="shared" si="49"/>
        <v>*3.52832959238045</v>
      </c>
      <c r="T159" t="str">
        <f t="shared" si="50"/>
        <v>*5.46924133039144</v>
      </c>
      <c r="U159" t="str">
        <f t="shared" si="51"/>
        <v>*6.11154300812002</v>
      </c>
      <c r="V159" t="str">
        <f t="shared" si="52"/>
        <v>*5.4278909733591</v>
      </c>
      <c r="W159" t="str">
        <f t="shared" si="53"/>
        <v>*6.27708269141914</v>
      </c>
      <c r="X159" t="str">
        <f t="shared" si="54"/>
        <v>*4.30409798394431</v>
      </c>
      <c r="Y159" t="str">
        <f t="shared" si="55"/>
        <v>*5.46924133039144</v>
      </c>
      <c r="Z159" t="str">
        <f t="shared" si="56"/>
        <v>*4.24757859076656</v>
      </c>
      <c r="AA159" t="str">
        <f t="shared" si="57"/>
        <v>*5.4278909733591</v>
      </c>
      <c r="AB159" t="str">
        <f t="shared" si="58"/>
        <v>*5.30749370398552</v>
      </c>
      <c r="AC159" t="str">
        <f t="shared" si="59"/>
        <v>*5.30749370398552</v>
      </c>
      <c r="AD159" t="str">
        <f t="shared" si="60"/>
        <v>*4.8199605723276</v>
      </c>
      <c r="AE159" t="str">
        <f t="shared" si="61"/>
        <v>*5.75186141570947</v>
      </c>
      <c r="AF159" t="str">
        <f t="shared" si="62"/>
        <v>*5.4278909733591</v>
      </c>
      <c r="AG159" t="str">
        <f t="shared" si="63"/>
        <v>*5.75186141570947</v>
      </c>
      <c r="AH159" t="str">
        <f t="shared" si="64"/>
        <v>*6.68665267928781</v>
      </c>
      <c r="AI159" t="str">
        <f t="shared" si="65"/>
        <v>*5.46924133039144</v>
      </c>
      <c r="AJ159" t="str">
        <f t="shared" si="66"/>
        <v>*6.8302387992182</v>
      </c>
      <c r="AK159" t="str">
        <f t="shared" si="67"/>
        <v>*7.16248214945863</v>
      </c>
      <c r="AL159" t="str">
        <f t="shared" si="68"/>
        <v>*3.94261664060772</v>
      </c>
      <c r="AM159" t="str">
        <f t="shared" si="69"/>
        <v>*5.4278909733591</v>
      </c>
      <c r="AN159" t="str">
        <f t="shared" si="33"/>
        <v>*4.98324162070553</v>
      </c>
      <c r="AO159" t="str">
        <f t="shared" si="34"/>
        <v>*5.30749370398552</v>
      </c>
      <c r="AP159" t="str">
        <f t="shared" si="35"/>
        <v>*5.95225805830895</v>
      </c>
      <c r="AQ159" t="str">
        <f t="shared" si="36"/>
        <v>*6.17850809609472</v>
      </c>
      <c r="AS159" s="11">
        <f t="shared" si="72"/>
        <v>5.307493703985517</v>
      </c>
      <c r="AT159" s="11">
        <f>IFERROR(AVERAGEIFS(RdTRABYVals!L$2:L$999,RdTRABYVals!$B$2:$B$999,"="&amp;$C159,RdTRABYVals!$C$2:$C$999,"="&amp;INS!$A159),"")</f>
        <v>5.7518614157094703</v>
      </c>
      <c r="AU159" s="11">
        <f>IFERROR(AVERAGEIFS(RdTRABYVals!M$2:M$999,RdTRABYVals!$B$2:$B$999,"="&amp;$C159,RdTRABYVals!$C$2:$C$999,"="&amp;INS!$A159),"")</f>
        <v>4.2115584872369496</v>
      </c>
      <c r="AV159" s="11">
        <f>IFERROR(AVERAGEIFS(RdTRABYVals!N$2:N$999,RdTRABYVals!$B$2:$B$999,"="&amp;$C159,RdTRABYVals!$C$2:$C$999,"="&amp;INS!$A159),"")</f>
        <v>5.4278909733590996</v>
      </c>
      <c r="AW159" s="11">
        <f>IFERROR(AVERAGEIFS(RdTRABYVals!O$2:O$999,RdTRABYVals!$B$2:$B$999,"="&amp;$C159,RdTRABYVals!$C$2:$C$999,"="&amp;INS!$A159),"")</f>
        <v>4.58055345858254</v>
      </c>
      <c r="AX159" s="11">
        <f>IFERROR(AVERAGEIFS(RdTRABYVals!P$2:P$999,RdTRABYVals!$B$2:$B$999,"="&amp;$C159,RdTRABYVals!$C$2:$C$999,"="&amp;INS!$A159),"")</f>
        <v>6.0404228927579098</v>
      </c>
      <c r="AY159" s="11">
        <f>IFERROR(AVERAGEIFS(RdTRABYVals!Q$2:Q$999,RdTRABYVals!$B$2:$B$999,"="&amp;$C159,RdTRABYVals!$C$2:$C$999,"="&amp;INS!$A159),"")</f>
        <v>4.6960433851451802</v>
      </c>
      <c r="AZ159" s="11">
        <f>IFERROR(AVERAGEIFS(RdTRABYVals!R$2:R$999,RdTRABYVals!$B$2:$B$999,"="&amp;$C159,RdTRABYVals!$C$2:$C$999,"="&amp;INS!$A159),"")</f>
        <v>5.7518614157094703</v>
      </c>
      <c r="BA159" s="11">
        <f>IFERROR(AVERAGEIFS(RdTRABYVals!S$2:S$999,RdTRABYVals!$B$2:$B$999,"="&amp;$C159,RdTRABYVals!$C$2:$C$999,"="&amp;INS!$A159),"")</f>
        <v>3.3880372906341498</v>
      </c>
      <c r="BB159" s="11">
        <f>IFERROR(AVERAGEIFS(RdTRABYVals!T$2:T$999,RdTRABYVals!$B$2:$B$999,"="&amp;$C159,RdTRABYVals!$C$2:$C$999,"="&amp;INS!$A159),"")</f>
        <v>4.6960433851451802</v>
      </c>
      <c r="BC159" s="11">
        <f>IFERROR(AVERAGEIFS(RdTRABYVals!U$2:U$999,RdTRABYVals!$B$2:$B$999,"="&amp;$C159,RdTRABYVals!$C$2:$C$999,"="&amp;INS!$A159),"")</f>
        <v>6.2633703308187902</v>
      </c>
      <c r="BD159" s="11">
        <f>IFERROR(AVERAGEIFS(RdTRABYVals!V$2:V$999,RdTRABYVals!$B$2:$B$999,"="&amp;$C159,RdTRABYVals!$C$2:$C$999,"="&amp;INS!$A159),"")</f>
        <v>3.2476802860300702</v>
      </c>
      <c r="BE159" s="11">
        <f>IFERROR(AVERAGEIFS(RdTRABYVals!W$2:W$999,RdTRABYVals!$B$2:$B$999,"="&amp;$C159,RdTRABYVals!$C$2:$C$999,"="&amp;INS!$A159),"")</f>
        <v>5.7518614157094703</v>
      </c>
      <c r="BF159" s="11">
        <f>IFERROR(AVERAGEIFS(RdTRABYVals!X$2:X$999,RdTRABYVals!$B$2:$B$999,"="&amp;$C159,RdTRABYVals!$C$2:$C$999,"="&amp;INS!$A159),"")</f>
        <v>3.5283295923804499</v>
      </c>
      <c r="BG159" s="11">
        <f>IFERROR(AVERAGEIFS(RdTRABYVals!Y$2:Y$999,RdTRABYVals!$B$2:$B$999,"="&amp;$C159,RdTRABYVals!$C$2:$C$999,"="&amp;INS!$A159),"")</f>
        <v>5.4692413303914398</v>
      </c>
      <c r="BH159" s="11">
        <f>IFERROR(AVERAGEIFS(RdTRABYVals!Z$2:Z$999,RdTRABYVals!$B$2:$B$999,"="&amp;$C159,RdTRABYVals!$C$2:$C$999,"="&amp;INS!$A159),"")</f>
        <v>6.1115430081200204</v>
      </c>
      <c r="BI159" s="11">
        <f>IFERROR(AVERAGEIFS(RdTRABYVals!AA$2:AA$999,RdTRABYVals!$B$2:$B$999,"="&amp;$C159,RdTRABYVals!$C$2:$C$999,"="&amp;INS!$A159),"")</f>
        <v>5.4278909733590996</v>
      </c>
      <c r="BJ159" s="11">
        <f>IFERROR(AVERAGEIFS(RdTRABYVals!AB$2:AB$999,RdTRABYVals!$B$2:$B$999,"="&amp;$C159,RdTRABYVals!$C$2:$C$999,"="&amp;INS!$A159),"")</f>
        <v>6.2770826914191398</v>
      </c>
      <c r="BK159" s="11">
        <f>IFERROR(AVERAGEIFS(RdTRABYVals!AC$2:AC$999,RdTRABYVals!$B$2:$B$999,"="&amp;$C159,RdTRABYVals!$C$2:$C$999,"="&amp;INS!$A159),"")</f>
        <v>4.3040979839443096</v>
      </c>
      <c r="BL159" s="11">
        <f>IFERROR(AVERAGEIFS(RdTRABYVals!AD$2:AD$999,RdTRABYVals!$B$2:$B$999,"="&amp;$C159,RdTRABYVals!$C$2:$C$999,"="&amp;INS!$A159),"")</f>
        <v>5.4692413303914398</v>
      </c>
      <c r="BM159" s="11">
        <f>IFERROR(AVERAGEIFS(RdTRABYVals!AE$2:AE$999,RdTRABYVals!$B$2:$B$999,"="&amp;$C159,RdTRABYVals!$C$2:$C$999,"="&amp;INS!$A159),"")</f>
        <v>4.24757859076656</v>
      </c>
      <c r="BN159" s="11">
        <f>IFERROR(AVERAGEIFS(RdTRABYVals!AF$2:AF$999,RdTRABYVals!$B$2:$B$999,"="&amp;$C159,RdTRABYVals!$C$2:$C$999,"="&amp;INS!$A159),"")</f>
        <v>5.4278909733590996</v>
      </c>
      <c r="BO159" s="11">
        <f>IFERROR(AVERAGEIFS(RdTRABYVals!AG$2:AG$999,RdTRABYVals!$B$2:$B$999,"="&amp;$C159,RdTRABYVals!$C$2:$C$999,"="&amp;INS!$A159),"")</f>
        <v>5.3074937039855197</v>
      </c>
      <c r="BP159" s="11">
        <f>IFERROR(AVERAGEIFS(RdTRABYVals!AH$2:AH$999,RdTRABYVals!$B$2:$B$999,"="&amp;$C159,RdTRABYVals!$C$2:$C$999,"="&amp;INS!$A159),"")</f>
        <v>5.3074937039855197</v>
      </c>
      <c r="BQ159" s="11">
        <f>IFERROR(AVERAGEIFS(RdTRABYVals!AI$2:AI$999,RdTRABYVals!$B$2:$B$999,"="&amp;$C159,RdTRABYVals!$C$2:$C$999,"="&amp;INS!$A159),"")</f>
        <v>4.8199605723275996</v>
      </c>
      <c r="BR159" s="11">
        <f>IFERROR(AVERAGEIFS(RdTRABYVals!AJ$2:AJ$999,RdTRABYVals!$B$2:$B$999,"="&amp;$C159,RdTRABYVals!$C$2:$C$999,"="&amp;INS!$A159),"")</f>
        <v>5.7518614157094703</v>
      </c>
      <c r="BS159" s="11">
        <f>IFERROR(AVERAGEIFS(RdTRABYVals!AK$2:AK$999,RdTRABYVals!$B$2:$B$999,"="&amp;$C159,RdTRABYVals!$C$2:$C$999,"="&amp;INS!$A159),"")</f>
        <v>5.4278909733590996</v>
      </c>
      <c r="BT159" s="11">
        <f>IFERROR(AVERAGEIFS(RdTRABYVals!AL$2:AL$999,RdTRABYVals!$B$2:$B$999,"="&amp;$C159,RdTRABYVals!$C$2:$C$999,"="&amp;INS!$A159),"")</f>
        <v>5.7518614157094703</v>
      </c>
      <c r="BU159" s="11">
        <f>IFERROR(AVERAGEIFS(RdTRABYVals!AM$2:AM$999,RdTRABYVals!$B$2:$B$999,"="&amp;$C159,RdTRABYVals!$C$2:$C$999,"="&amp;INS!$A159),"")</f>
        <v>6.6866526792878096</v>
      </c>
      <c r="BV159" s="11">
        <f>IFERROR(AVERAGEIFS(RdTRABYVals!AN$2:AN$999,RdTRABYVals!$B$2:$B$999,"="&amp;$C159,RdTRABYVals!$C$2:$C$999,"="&amp;INS!$A159),"")</f>
        <v>5.4692413303914398</v>
      </c>
      <c r="BW159" s="11">
        <f>IFERROR(AVERAGEIFS(RdTRABYVals!AO$2:AO$999,RdTRABYVals!$B$2:$B$999,"="&amp;$C159,RdTRABYVals!$C$2:$C$999,"="&amp;INS!$A159),"")</f>
        <v>6.8302387992181997</v>
      </c>
      <c r="BX159" s="11">
        <f>IFERROR(AVERAGEIFS(RdTRABYVals!AP$2:AP$999,RdTRABYVals!$B$2:$B$999,"="&amp;$C159,RdTRABYVals!$C$2:$C$999,"="&amp;INS!$A159),"")</f>
        <v>7.1624821494586302</v>
      </c>
      <c r="BY159" s="11">
        <f>IFERROR(AVERAGEIFS(RdTRABYVals!AQ$2:AQ$999,RdTRABYVals!$B$2:$B$999,"="&amp;$C159,RdTRABYVals!$C$2:$C$999,"="&amp;INS!$A159),"")</f>
        <v>3.9426166406077199</v>
      </c>
      <c r="BZ159" s="11">
        <f>IFERROR(AVERAGEIFS(RdTRABYVals!AR$2:AR$999,RdTRABYVals!$B$2:$B$999,"="&amp;$C159,RdTRABYVals!$C$2:$C$999,"="&amp;INS!$A159),"")</f>
        <v>5.4278909733590996</v>
      </c>
      <c r="CA159" s="11">
        <f>IFERROR(AVERAGEIFS(RdTRABYVals!AS$2:AS$999,RdTRABYVals!$B$2:$B$999,"="&amp;$C159,RdTRABYVals!$C$2:$C$999,"="&amp;INS!$A159),"")</f>
        <v>4.9832416207055301</v>
      </c>
      <c r="CB159" s="11">
        <f>IFERROR(AVERAGEIFS(RdTRABYVals!AT$2:AT$999,RdTRABYVals!$B$2:$B$999,"="&amp;$C159,RdTRABYVals!$C$2:$C$999,"="&amp;INS!$A159),"")</f>
        <v>5.3074937039855197</v>
      </c>
      <c r="CC159" s="11">
        <f>IFERROR(AVERAGEIFS(RdTRABYVals!AU$2:AU$999,RdTRABYVals!$B$2:$B$999,"="&amp;$C159,RdTRABYVals!$C$2:$C$999,"="&amp;INS!$A159),"")</f>
        <v>5.9522580583089502</v>
      </c>
      <c r="CD159" s="11">
        <f>IFERROR(AVERAGEIFS(RdTRABYVals!AV$2:AV$999,RdTRABYVals!$B$2:$B$999,"="&amp;$C159,RdTRABYVals!$C$2:$C$999,"="&amp;INS!$A159),"")</f>
        <v>6.1785080960947196</v>
      </c>
    </row>
    <row r="160" spans="1:82" ht="14.4">
      <c r="A160" s="3" t="s">
        <v>191</v>
      </c>
      <c r="C160" s="1" t="s">
        <v>29</v>
      </c>
      <c r="D160" s="1" t="s">
        <v>176</v>
      </c>
      <c r="F160" t="str">
        <f>IF(AS160&lt;&gt;"","*"&amp;AS160,"")</f>
        <v>*0.930068650746568</v>
      </c>
      <c r="G160" t="str">
        <f t="shared" si="37"/>
        <v>*0.973559859892464</v>
      </c>
      <c r="H160" t="str">
        <f t="shared" si="38"/>
        <v>*0.811373625630562</v>
      </c>
      <c r="I160" t="str">
        <f t="shared" si="39"/>
        <v>*0.915337205388815</v>
      </c>
      <c r="J160" t="str">
        <f t="shared" si="40"/>
        <v>*1.0123218618433</v>
      </c>
      <c r="K160" t="str">
        <f t="shared" si="41"/>
        <v>*1.27346642048685</v>
      </c>
      <c r="L160" t="str">
        <f t="shared" si="42"/>
        <v>*0.780257481359993</v>
      </c>
      <c r="M160" t="str">
        <f t="shared" si="43"/>
        <v>*0.973559859892464</v>
      </c>
      <c r="N160" t="str">
        <f t="shared" si="44"/>
        <v>*0.737698537356573</v>
      </c>
      <c r="O160" t="str">
        <f t="shared" si="45"/>
        <v>*0.780257481359993</v>
      </c>
      <c r="P160" t="str">
        <f t="shared" si="46"/>
        <v>*1.14629453110492</v>
      </c>
      <c r="Q160" t="str">
        <f t="shared" si="47"/>
        <v>*0.573042976191662</v>
      </c>
      <c r="R160" t="str">
        <f t="shared" si="48"/>
        <v>*0.973559859892464</v>
      </c>
      <c r="S160" t="str">
        <f t="shared" si="49"/>
        <v>*0.429169522436576</v>
      </c>
      <c r="T160" t="str">
        <f t="shared" si="50"/>
        <v>*1.00036199998741</v>
      </c>
      <c r="U160" t="str">
        <f t="shared" si="51"/>
        <v>*0.792855124472865</v>
      </c>
      <c r="V160" t="str">
        <f t="shared" si="52"/>
        <v>*0.915337205388815</v>
      </c>
      <c r="W160" t="str">
        <f t="shared" si="53"/>
        <v>*1.13667696274644</v>
      </c>
      <c r="X160" t="str">
        <f t="shared" si="54"/>
        <v>*0.863477232926517</v>
      </c>
      <c r="Y160" t="str">
        <f t="shared" si="55"/>
        <v>*1.00036199998741</v>
      </c>
      <c r="Z160" t="str">
        <f t="shared" si="56"/>
        <v>*0.819842260645274</v>
      </c>
      <c r="AA160" t="str">
        <f t="shared" si="57"/>
        <v>*0.915337205388815</v>
      </c>
      <c r="AB160" t="str">
        <f t="shared" si="58"/>
        <v>*0.603907354334835</v>
      </c>
      <c r="AC160" t="str">
        <f t="shared" si="59"/>
        <v>*0.608071860629824</v>
      </c>
      <c r="AD160" t="str">
        <f t="shared" si="60"/>
        <v>*0.904148956629167</v>
      </c>
      <c r="AE160" t="str">
        <f t="shared" si="61"/>
        <v>*0.973559859892464</v>
      </c>
      <c r="AF160" t="str">
        <f t="shared" si="62"/>
        <v>*0.915337205388815</v>
      </c>
      <c r="AG160" t="str">
        <f t="shared" si="63"/>
        <v>*0.973559859892464</v>
      </c>
      <c r="AH160" t="str">
        <f t="shared" si="64"/>
        <v>*1.37401295407612</v>
      </c>
      <c r="AI160" t="str">
        <f t="shared" si="65"/>
        <v>*1.00036199998741</v>
      </c>
      <c r="AJ160" t="str">
        <f t="shared" si="66"/>
        <v>*1.38852861321823</v>
      </c>
      <c r="AK160" t="str">
        <f t="shared" si="67"/>
        <v>*1.27793641197648</v>
      </c>
      <c r="AL160" t="str">
        <f t="shared" si="68"/>
        <v>*0.74863034153162</v>
      </c>
      <c r="AM160" t="str">
        <f t="shared" si="69"/>
        <v>*0.915337205388815</v>
      </c>
      <c r="AN160" t="str">
        <f t="shared" si="33"/>
        <v>*0.930068650746569</v>
      </c>
      <c r="AO160" t="str">
        <f t="shared" si="34"/>
        <v>*0.859690987987936</v>
      </c>
      <c r="AP160" t="str">
        <f t="shared" si="35"/>
        <v>*0.930068650746569</v>
      </c>
      <c r="AQ160" t="str">
        <f t="shared" si="36"/>
        <v>*1.18516995081553</v>
      </c>
      <c r="AS160" s="11">
        <f t="shared" si="72"/>
        <v>0.9300686507465683</v>
      </c>
      <c r="AT160" s="11">
        <f>IFERROR(AVERAGEIFS(RdTRABYVals!L$2:L$999,RdTRABYVals!$B$2:$B$999,"="&amp;$C160,RdTRABYVals!$C$2:$C$999,"="&amp;INS!$A160),"")</f>
        <v>0.97355985989246396</v>
      </c>
      <c r="AU160" s="11">
        <f>IFERROR(AVERAGEIFS(RdTRABYVals!M$2:M$999,RdTRABYVals!$B$2:$B$999,"="&amp;$C160,RdTRABYVals!$C$2:$C$999,"="&amp;INS!$A160),"")</f>
        <v>0.81137362563056203</v>
      </c>
      <c r="AV160" s="11">
        <f>IFERROR(AVERAGEIFS(RdTRABYVals!N$2:N$999,RdTRABYVals!$B$2:$B$999,"="&amp;$C160,RdTRABYVals!$C$2:$C$999,"="&amp;INS!$A160),"")</f>
        <v>0.91533720538881502</v>
      </c>
      <c r="AW160" s="11">
        <f>IFERROR(AVERAGEIFS(RdTRABYVals!O$2:O$999,RdTRABYVals!$B$2:$B$999,"="&amp;$C160,RdTRABYVals!$C$2:$C$999,"="&amp;INS!$A160),"")</f>
        <v>1.0123218618433001</v>
      </c>
      <c r="AX160" s="11">
        <f>IFERROR(AVERAGEIFS(RdTRABYVals!P$2:P$999,RdTRABYVals!$B$2:$B$999,"="&amp;$C160,RdTRABYVals!$C$2:$C$999,"="&amp;INS!$A160),"")</f>
        <v>1.27346642048685</v>
      </c>
      <c r="AY160" s="11">
        <f>IFERROR(AVERAGEIFS(RdTRABYVals!Q$2:Q$999,RdTRABYVals!$B$2:$B$999,"="&amp;$C160,RdTRABYVals!$C$2:$C$999,"="&amp;INS!$A160),"")</f>
        <v>0.78025748135999295</v>
      </c>
      <c r="AZ160" s="11">
        <f>IFERROR(AVERAGEIFS(RdTRABYVals!R$2:R$999,RdTRABYVals!$B$2:$B$999,"="&amp;$C160,RdTRABYVals!$C$2:$C$999,"="&amp;INS!$A160),"")</f>
        <v>0.97355985989246396</v>
      </c>
      <c r="BA160" s="11">
        <f>IFERROR(AVERAGEIFS(RdTRABYVals!S$2:S$999,RdTRABYVals!$B$2:$B$999,"="&amp;$C160,RdTRABYVals!$C$2:$C$999,"="&amp;INS!$A160),"")</f>
        <v>0.73769853735657298</v>
      </c>
      <c r="BB160" s="11">
        <f>IFERROR(AVERAGEIFS(RdTRABYVals!T$2:T$999,RdTRABYVals!$B$2:$B$999,"="&amp;$C160,RdTRABYVals!$C$2:$C$999,"="&amp;INS!$A160),"")</f>
        <v>0.78025748135999295</v>
      </c>
      <c r="BC160" s="11">
        <f>IFERROR(AVERAGEIFS(RdTRABYVals!U$2:U$999,RdTRABYVals!$B$2:$B$999,"="&amp;$C160,RdTRABYVals!$C$2:$C$999,"="&amp;INS!$A160),"")</f>
        <v>1.14629453110492</v>
      </c>
      <c r="BD160" s="11">
        <f>IFERROR(AVERAGEIFS(RdTRABYVals!V$2:V$999,RdTRABYVals!$B$2:$B$999,"="&amp;$C160,RdTRABYVals!$C$2:$C$999,"="&amp;INS!$A160),"")</f>
        <v>0.573042976191662</v>
      </c>
      <c r="BE160" s="11">
        <f>IFERROR(AVERAGEIFS(RdTRABYVals!W$2:W$999,RdTRABYVals!$B$2:$B$999,"="&amp;$C160,RdTRABYVals!$C$2:$C$999,"="&amp;INS!$A160),"")</f>
        <v>0.97355985989246396</v>
      </c>
      <c r="BF160" s="11">
        <f>IFERROR(AVERAGEIFS(RdTRABYVals!X$2:X$999,RdTRABYVals!$B$2:$B$999,"="&amp;$C160,RdTRABYVals!$C$2:$C$999,"="&amp;INS!$A160),"")</f>
        <v>0.42916952243657602</v>
      </c>
      <c r="BG160" s="11">
        <f>IFERROR(AVERAGEIFS(RdTRABYVals!Y$2:Y$999,RdTRABYVals!$B$2:$B$999,"="&amp;$C160,RdTRABYVals!$C$2:$C$999,"="&amp;INS!$A160),"")</f>
        <v>1.00036199998741</v>
      </c>
      <c r="BH160" s="11">
        <f>IFERROR(AVERAGEIFS(RdTRABYVals!Z$2:Z$999,RdTRABYVals!$B$2:$B$999,"="&amp;$C160,RdTRABYVals!$C$2:$C$999,"="&amp;INS!$A160),"")</f>
        <v>0.79285512447286499</v>
      </c>
      <c r="BI160" s="11">
        <f>IFERROR(AVERAGEIFS(RdTRABYVals!AA$2:AA$999,RdTRABYVals!$B$2:$B$999,"="&amp;$C160,RdTRABYVals!$C$2:$C$999,"="&amp;INS!$A160),"")</f>
        <v>0.91533720538881502</v>
      </c>
      <c r="BJ160" s="11">
        <f>IFERROR(AVERAGEIFS(RdTRABYVals!AB$2:AB$999,RdTRABYVals!$B$2:$B$999,"="&amp;$C160,RdTRABYVals!$C$2:$C$999,"="&amp;INS!$A160),"")</f>
        <v>1.1366769627464399</v>
      </c>
      <c r="BK160" s="11">
        <f>IFERROR(AVERAGEIFS(RdTRABYVals!AC$2:AC$999,RdTRABYVals!$B$2:$B$999,"="&amp;$C160,RdTRABYVals!$C$2:$C$999,"="&amp;INS!$A160),"")</f>
        <v>0.86347723292651701</v>
      </c>
      <c r="BL160" s="11">
        <f>IFERROR(AVERAGEIFS(RdTRABYVals!AD$2:AD$999,RdTRABYVals!$B$2:$B$999,"="&amp;$C160,RdTRABYVals!$C$2:$C$999,"="&amp;INS!$A160),"")</f>
        <v>1.00036199998741</v>
      </c>
      <c r="BM160" s="11">
        <f>IFERROR(AVERAGEIFS(RdTRABYVals!AE$2:AE$999,RdTRABYVals!$B$2:$B$999,"="&amp;$C160,RdTRABYVals!$C$2:$C$999,"="&amp;INS!$A160),"")</f>
        <v>0.81984226064527399</v>
      </c>
      <c r="BN160" s="11">
        <f>IFERROR(AVERAGEIFS(RdTRABYVals!AF$2:AF$999,RdTRABYVals!$B$2:$B$999,"="&amp;$C160,RdTRABYVals!$C$2:$C$999,"="&amp;INS!$A160),"")</f>
        <v>0.91533720538881502</v>
      </c>
      <c r="BO160" s="11">
        <f>IFERROR(AVERAGEIFS(RdTRABYVals!AG$2:AG$999,RdTRABYVals!$B$2:$B$999,"="&amp;$C160,RdTRABYVals!$C$2:$C$999,"="&amp;INS!$A160),"")</f>
        <v>0.603907354334835</v>
      </c>
      <c r="BP160" s="11">
        <f>IFERROR(AVERAGEIFS(RdTRABYVals!AH$2:AH$999,RdTRABYVals!$B$2:$B$999,"="&amp;$C160,RdTRABYVals!$C$2:$C$999,"="&amp;INS!$A160),"")</f>
        <v>0.60807186062982399</v>
      </c>
      <c r="BQ160" s="11">
        <f>IFERROR(AVERAGEIFS(RdTRABYVals!AI$2:AI$999,RdTRABYVals!$B$2:$B$999,"="&amp;$C160,RdTRABYVals!$C$2:$C$999,"="&amp;INS!$A160),"")</f>
        <v>0.90414895662916706</v>
      </c>
      <c r="BR160" s="11">
        <f>IFERROR(AVERAGEIFS(RdTRABYVals!AJ$2:AJ$999,RdTRABYVals!$B$2:$B$999,"="&amp;$C160,RdTRABYVals!$C$2:$C$999,"="&amp;INS!$A160),"")</f>
        <v>0.97355985989246396</v>
      </c>
      <c r="BS160" s="11">
        <f>IFERROR(AVERAGEIFS(RdTRABYVals!AK$2:AK$999,RdTRABYVals!$B$2:$B$999,"="&amp;$C160,RdTRABYVals!$C$2:$C$999,"="&amp;INS!$A160),"")</f>
        <v>0.91533720538881502</v>
      </c>
      <c r="BT160" s="11">
        <f>IFERROR(AVERAGEIFS(RdTRABYVals!AL$2:AL$999,RdTRABYVals!$B$2:$B$999,"="&amp;$C160,RdTRABYVals!$C$2:$C$999,"="&amp;INS!$A160),"")</f>
        <v>0.97355985989246396</v>
      </c>
      <c r="BU160" s="11">
        <f>IFERROR(AVERAGEIFS(RdTRABYVals!AM$2:AM$999,RdTRABYVals!$B$2:$B$999,"="&amp;$C160,RdTRABYVals!$C$2:$C$999,"="&amp;INS!$A160),"")</f>
        <v>1.3740129540761199</v>
      </c>
      <c r="BV160" s="11">
        <f>IFERROR(AVERAGEIFS(RdTRABYVals!AN$2:AN$999,RdTRABYVals!$B$2:$B$999,"="&amp;$C160,RdTRABYVals!$C$2:$C$999,"="&amp;INS!$A160),"")</f>
        <v>1.00036199998741</v>
      </c>
      <c r="BW160" s="11">
        <f>IFERROR(AVERAGEIFS(RdTRABYVals!AO$2:AO$999,RdTRABYVals!$B$2:$B$999,"="&amp;$C160,RdTRABYVals!$C$2:$C$999,"="&amp;INS!$A160),"")</f>
        <v>1.38852861321823</v>
      </c>
      <c r="BX160" s="11">
        <f>IFERROR(AVERAGEIFS(RdTRABYVals!AP$2:AP$999,RdTRABYVals!$B$2:$B$999,"="&amp;$C160,RdTRABYVals!$C$2:$C$999,"="&amp;INS!$A160),"")</f>
        <v>1.27793641197648</v>
      </c>
      <c r="BY160" s="11">
        <f>IFERROR(AVERAGEIFS(RdTRABYVals!AQ$2:AQ$999,RdTRABYVals!$B$2:$B$999,"="&amp;$C160,RdTRABYVals!$C$2:$C$999,"="&amp;INS!$A160),"")</f>
        <v>0.74863034153162</v>
      </c>
      <c r="BZ160" s="11">
        <f>IFERROR(AVERAGEIFS(RdTRABYVals!AR$2:AR$999,RdTRABYVals!$B$2:$B$999,"="&amp;$C160,RdTRABYVals!$C$2:$C$999,"="&amp;INS!$A160),"")</f>
        <v>0.91533720538881502</v>
      </c>
      <c r="CA160" s="11">
        <f>IFERROR(AVERAGEIFS(RdTRABYVals!AS$2:AS$999,RdTRABYVals!$B$2:$B$999,"="&amp;$C160,RdTRABYVals!$C$2:$C$999,"="&amp;INS!$A160),"")</f>
        <v>0.93006865074656897</v>
      </c>
      <c r="CB160" s="11">
        <f>IFERROR(AVERAGEIFS(RdTRABYVals!AT$2:AT$999,RdTRABYVals!$B$2:$B$999,"="&amp;$C160,RdTRABYVals!$C$2:$C$999,"="&amp;INS!$A160),"")</f>
        <v>0.85969098798793597</v>
      </c>
      <c r="CC160" s="11">
        <f>IFERROR(AVERAGEIFS(RdTRABYVals!AU$2:AU$999,RdTRABYVals!$B$2:$B$999,"="&amp;$C160,RdTRABYVals!$C$2:$C$999,"="&amp;INS!$A160),"")</f>
        <v>0.93006865074656897</v>
      </c>
      <c r="CD160" s="11">
        <f>IFERROR(AVERAGEIFS(RdTRABYVals!AV$2:AV$999,RdTRABYVals!$B$2:$B$999,"="&amp;$C160,RdTRABYVals!$C$2:$C$999,"="&amp;INS!$A160),"")</f>
        <v>1.18516995081553</v>
      </c>
    </row>
    <row r="161" spans="1:82" ht="14.4">
      <c r="A161" s="3" t="s">
        <v>190</v>
      </c>
      <c r="C161" s="1" t="s">
        <v>29</v>
      </c>
      <c r="D161" s="1" t="s">
        <v>177</v>
      </c>
      <c r="F161" t="str">
        <f>IF(AS161&lt;&gt;"","*"&amp;AS161,"")</f>
        <v>*1.78462470960734</v>
      </c>
      <c r="G161" t="str">
        <f t="shared" si="37"/>
        <v>*1.73998237754697</v>
      </c>
      <c r="H161" t="str">
        <f t="shared" si="38"/>
        <v>*1.35989638200162</v>
      </c>
      <c r="I161" t="str">
        <f t="shared" si="39"/>
        <v>*1.87469109311297</v>
      </c>
      <c r="J161" t="str">
        <f t="shared" si="40"/>
        <v>*1.80149697409103</v>
      </c>
      <c r="K161" t="str">
        <f t="shared" si="41"/>
        <v>*2.32270460413711</v>
      </c>
      <c r="L161" t="str">
        <f t="shared" si="42"/>
        <v>*1.43120673995403</v>
      </c>
      <c r="M161" t="str">
        <f t="shared" si="43"/>
        <v>*1.73998237754697</v>
      </c>
      <c r="N161" t="str">
        <f t="shared" si="44"/>
        <v>*1.2922833793589</v>
      </c>
      <c r="O161" t="str">
        <f t="shared" si="45"/>
        <v>*1.43120673995403</v>
      </c>
      <c r="P161" t="str">
        <f t="shared" si="46"/>
        <v>*2.34402293807797</v>
      </c>
      <c r="Q161" t="str">
        <f t="shared" si="47"/>
        <v>*1.05752896784242</v>
      </c>
      <c r="R161" t="str">
        <f t="shared" si="48"/>
        <v>*1.73998237754697</v>
      </c>
      <c r="S161" t="str">
        <f t="shared" si="49"/>
        <v>*0.958318568850047</v>
      </c>
      <c r="T161" t="str">
        <f t="shared" si="50"/>
        <v>*1.84860683206827</v>
      </c>
      <c r="U161" t="str">
        <f t="shared" si="51"/>
        <v>*1.4623659611783</v>
      </c>
      <c r="V161" t="str">
        <f t="shared" si="52"/>
        <v>*1.87469109311297</v>
      </c>
      <c r="W161" t="str">
        <f t="shared" si="53"/>
        <v>*2.02854402404352</v>
      </c>
      <c r="X161" t="str">
        <f t="shared" si="54"/>
        <v>*2.42415951153383</v>
      </c>
      <c r="Y161" t="str">
        <f t="shared" si="55"/>
        <v>*1.84860683206827</v>
      </c>
      <c r="Z161" t="str">
        <f t="shared" si="56"/>
        <v>*1.37564514461948</v>
      </c>
      <c r="AA161" t="str">
        <f t="shared" si="57"/>
        <v>*1.87469109311297</v>
      </c>
      <c r="AB161" t="str">
        <f t="shared" si="58"/>
        <v>*0.847185421395359</v>
      </c>
      <c r="AC161" t="str">
        <f t="shared" si="59"/>
        <v>*1.02963643380506</v>
      </c>
      <c r="AD161" t="str">
        <f t="shared" si="60"/>
        <v>*1.82810804407939</v>
      </c>
      <c r="AE161" t="str">
        <f t="shared" si="61"/>
        <v>*1.73998237754697</v>
      </c>
      <c r="AF161" t="str">
        <f t="shared" si="62"/>
        <v>*1.87469109311297</v>
      </c>
      <c r="AG161" t="str">
        <f t="shared" si="63"/>
        <v>*1.73998237754697</v>
      </c>
      <c r="AH161" t="str">
        <f t="shared" si="64"/>
        <v>*2.49448897672972</v>
      </c>
      <c r="AI161" t="str">
        <f t="shared" si="65"/>
        <v>*1.84860683206827</v>
      </c>
      <c r="AJ161" t="str">
        <f t="shared" si="66"/>
        <v>*2.5874255181935</v>
      </c>
      <c r="AK161" t="str">
        <f t="shared" si="67"/>
        <v>*2.52300226166405</v>
      </c>
      <c r="AL161" t="str">
        <f t="shared" si="68"/>
        <v>*1.58007398256926</v>
      </c>
      <c r="AM161" t="str">
        <f t="shared" si="69"/>
        <v>*1.87469109311297</v>
      </c>
      <c r="AN161" t="str">
        <f t="shared" si="33"/>
        <v>*1.73442378937474</v>
      </c>
      <c r="AO161" t="str">
        <f t="shared" si="34"/>
        <v>*1.79878355915983</v>
      </c>
      <c r="AP161" t="str">
        <f t="shared" si="35"/>
        <v>*2.23209622710876</v>
      </c>
      <c r="AQ161" t="str">
        <f t="shared" si="36"/>
        <v>*2.46732225624525</v>
      </c>
      <c r="AS161" s="11">
        <f t="shared" si="72"/>
        <v>1.7846247096073438</v>
      </c>
      <c r="AT161" s="11">
        <f>IFERROR(AVERAGEIFS(RdTRABYVals!L$2:L$999,RdTRABYVals!$B$2:$B$999,"="&amp;$C161,RdTRABYVals!$C$2:$C$999,"="&amp;INS!$A161),"")</f>
        <v>1.73998237754697</v>
      </c>
      <c r="AU161" s="11">
        <f>IFERROR(AVERAGEIFS(RdTRABYVals!M$2:M$999,RdTRABYVals!$B$2:$B$999,"="&amp;$C161,RdTRABYVals!$C$2:$C$999,"="&amp;INS!$A161),"")</f>
        <v>1.3598963820016201</v>
      </c>
      <c r="AV161" s="11">
        <f>IFERROR(AVERAGEIFS(RdTRABYVals!N$2:N$999,RdTRABYVals!$B$2:$B$999,"="&amp;$C161,RdTRABYVals!$C$2:$C$999,"="&amp;INS!$A161),"")</f>
        <v>1.8746910931129701</v>
      </c>
      <c r="AW161" s="11">
        <f>IFERROR(AVERAGEIFS(RdTRABYVals!O$2:O$999,RdTRABYVals!$B$2:$B$999,"="&amp;$C161,RdTRABYVals!$C$2:$C$999,"="&amp;INS!$A161),"")</f>
        <v>1.80149697409103</v>
      </c>
      <c r="AX161" s="11">
        <f>IFERROR(AVERAGEIFS(RdTRABYVals!P$2:P$999,RdTRABYVals!$B$2:$B$999,"="&amp;$C161,RdTRABYVals!$C$2:$C$999,"="&amp;INS!$A161),"")</f>
        <v>2.32270460413711</v>
      </c>
      <c r="AY161" s="11">
        <f>IFERROR(AVERAGEIFS(RdTRABYVals!Q$2:Q$999,RdTRABYVals!$B$2:$B$999,"="&amp;$C161,RdTRABYVals!$C$2:$C$999,"="&amp;INS!$A161),"")</f>
        <v>1.43120673995403</v>
      </c>
      <c r="AZ161" s="11">
        <f>IFERROR(AVERAGEIFS(RdTRABYVals!R$2:R$999,RdTRABYVals!$B$2:$B$999,"="&amp;$C161,RdTRABYVals!$C$2:$C$999,"="&amp;INS!$A161),"")</f>
        <v>1.73998237754697</v>
      </c>
      <c r="BA161" s="11">
        <f>IFERROR(AVERAGEIFS(RdTRABYVals!S$2:S$999,RdTRABYVals!$B$2:$B$999,"="&amp;$C161,RdTRABYVals!$C$2:$C$999,"="&amp;INS!$A161),"")</f>
        <v>1.2922833793588999</v>
      </c>
      <c r="BB161" s="11">
        <f>IFERROR(AVERAGEIFS(RdTRABYVals!T$2:T$999,RdTRABYVals!$B$2:$B$999,"="&amp;$C161,RdTRABYVals!$C$2:$C$999,"="&amp;INS!$A161),"")</f>
        <v>1.43120673995403</v>
      </c>
      <c r="BC161" s="11">
        <f>IFERROR(AVERAGEIFS(RdTRABYVals!U$2:U$999,RdTRABYVals!$B$2:$B$999,"="&amp;$C161,RdTRABYVals!$C$2:$C$999,"="&amp;INS!$A161),"")</f>
        <v>2.3440229380779698</v>
      </c>
      <c r="BD161" s="11">
        <f>IFERROR(AVERAGEIFS(RdTRABYVals!V$2:V$999,RdTRABYVals!$B$2:$B$999,"="&amp;$C161,RdTRABYVals!$C$2:$C$999,"="&amp;INS!$A161),"")</f>
        <v>1.05752896784242</v>
      </c>
      <c r="BE161" s="11">
        <f>IFERROR(AVERAGEIFS(RdTRABYVals!W$2:W$999,RdTRABYVals!$B$2:$B$999,"="&amp;$C161,RdTRABYVals!$C$2:$C$999,"="&amp;INS!$A161),"")</f>
        <v>1.73998237754697</v>
      </c>
      <c r="BF161" s="11">
        <f>IFERROR(AVERAGEIFS(RdTRABYVals!X$2:X$999,RdTRABYVals!$B$2:$B$999,"="&amp;$C161,RdTRABYVals!$C$2:$C$999,"="&amp;INS!$A161),"")</f>
        <v>0.95831856885004696</v>
      </c>
      <c r="BG161" s="11">
        <f>IFERROR(AVERAGEIFS(RdTRABYVals!Y$2:Y$999,RdTRABYVals!$B$2:$B$999,"="&amp;$C161,RdTRABYVals!$C$2:$C$999,"="&amp;INS!$A161),"")</f>
        <v>1.84860683206827</v>
      </c>
      <c r="BH161" s="11">
        <f>IFERROR(AVERAGEIFS(RdTRABYVals!Z$2:Z$999,RdTRABYVals!$B$2:$B$999,"="&amp;$C161,RdTRABYVals!$C$2:$C$999,"="&amp;INS!$A161),"")</f>
        <v>1.4623659611783</v>
      </c>
      <c r="BI161" s="11">
        <f>IFERROR(AVERAGEIFS(RdTRABYVals!AA$2:AA$999,RdTRABYVals!$B$2:$B$999,"="&amp;$C161,RdTRABYVals!$C$2:$C$999,"="&amp;INS!$A161),"")</f>
        <v>1.8746910931129701</v>
      </c>
      <c r="BJ161" s="11">
        <f>IFERROR(AVERAGEIFS(RdTRABYVals!AB$2:AB$999,RdTRABYVals!$B$2:$B$999,"="&amp;$C161,RdTRABYVals!$C$2:$C$999,"="&amp;INS!$A161),"")</f>
        <v>2.0285440240435202</v>
      </c>
      <c r="BK161" s="11">
        <f>IFERROR(AVERAGEIFS(RdTRABYVals!AC$2:AC$999,RdTRABYVals!$B$2:$B$999,"="&amp;$C161,RdTRABYVals!$C$2:$C$999,"="&amp;INS!$A161),"")</f>
        <v>2.4241595115338299</v>
      </c>
      <c r="BL161" s="11">
        <f>IFERROR(AVERAGEIFS(RdTRABYVals!AD$2:AD$999,RdTRABYVals!$B$2:$B$999,"="&amp;$C161,RdTRABYVals!$C$2:$C$999,"="&amp;INS!$A161),"")</f>
        <v>1.84860683206827</v>
      </c>
      <c r="BM161" s="11">
        <f>IFERROR(AVERAGEIFS(RdTRABYVals!AE$2:AE$999,RdTRABYVals!$B$2:$B$999,"="&amp;$C161,RdTRABYVals!$C$2:$C$999,"="&amp;INS!$A161),"")</f>
        <v>1.37564514461948</v>
      </c>
      <c r="BN161" s="11">
        <f>IFERROR(AVERAGEIFS(RdTRABYVals!AF$2:AF$999,RdTRABYVals!$B$2:$B$999,"="&amp;$C161,RdTRABYVals!$C$2:$C$999,"="&amp;INS!$A161),"")</f>
        <v>1.8746910931129701</v>
      </c>
      <c r="BO161" s="11">
        <f>IFERROR(AVERAGEIFS(RdTRABYVals!AG$2:AG$999,RdTRABYVals!$B$2:$B$999,"="&amp;$C161,RdTRABYVals!$C$2:$C$999,"="&amp;INS!$A161),"")</f>
        <v>0.84718542139535902</v>
      </c>
      <c r="BP161" s="11">
        <f>IFERROR(AVERAGEIFS(RdTRABYVals!AH$2:AH$999,RdTRABYVals!$B$2:$B$999,"="&amp;$C161,RdTRABYVals!$C$2:$C$999,"="&amp;INS!$A161),"")</f>
        <v>1.0296364338050601</v>
      </c>
      <c r="BQ161" s="11">
        <f>IFERROR(AVERAGEIFS(RdTRABYVals!AI$2:AI$999,RdTRABYVals!$B$2:$B$999,"="&amp;$C161,RdTRABYVals!$C$2:$C$999,"="&amp;INS!$A161),"")</f>
        <v>1.82810804407939</v>
      </c>
      <c r="BR161" s="11">
        <f>IFERROR(AVERAGEIFS(RdTRABYVals!AJ$2:AJ$999,RdTRABYVals!$B$2:$B$999,"="&amp;$C161,RdTRABYVals!$C$2:$C$999,"="&amp;INS!$A161),"")</f>
        <v>1.73998237754697</v>
      </c>
      <c r="BS161" s="11">
        <f>IFERROR(AVERAGEIFS(RdTRABYVals!AK$2:AK$999,RdTRABYVals!$B$2:$B$999,"="&amp;$C161,RdTRABYVals!$C$2:$C$999,"="&amp;INS!$A161),"")</f>
        <v>1.8746910931129701</v>
      </c>
      <c r="BT161" s="11">
        <f>IFERROR(AVERAGEIFS(RdTRABYVals!AL$2:AL$999,RdTRABYVals!$B$2:$B$999,"="&amp;$C161,RdTRABYVals!$C$2:$C$999,"="&amp;INS!$A161),"")</f>
        <v>1.73998237754697</v>
      </c>
      <c r="BU161" s="11">
        <f>IFERROR(AVERAGEIFS(RdTRABYVals!AM$2:AM$999,RdTRABYVals!$B$2:$B$999,"="&amp;$C161,RdTRABYVals!$C$2:$C$999,"="&amp;INS!$A161),"")</f>
        <v>2.4944889767297198</v>
      </c>
      <c r="BV161" s="11">
        <f>IFERROR(AVERAGEIFS(RdTRABYVals!AN$2:AN$999,RdTRABYVals!$B$2:$B$999,"="&amp;$C161,RdTRABYVals!$C$2:$C$999,"="&amp;INS!$A161),"")</f>
        <v>1.84860683206827</v>
      </c>
      <c r="BW161" s="11">
        <f>IFERROR(AVERAGEIFS(RdTRABYVals!AO$2:AO$999,RdTRABYVals!$B$2:$B$999,"="&amp;$C161,RdTRABYVals!$C$2:$C$999,"="&amp;INS!$A161),"")</f>
        <v>2.5874255181935002</v>
      </c>
      <c r="BX161" s="11">
        <f>IFERROR(AVERAGEIFS(RdTRABYVals!AP$2:AP$999,RdTRABYVals!$B$2:$B$999,"="&amp;$C161,RdTRABYVals!$C$2:$C$999,"="&amp;INS!$A161),"")</f>
        <v>2.5230022616640499</v>
      </c>
      <c r="BY161" s="11">
        <f>IFERROR(AVERAGEIFS(RdTRABYVals!AQ$2:AQ$999,RdTRABYVals!$B$2:$B$999,"="&amp;$C161,RdTRABYVals!$C$2:$C$999,"="&amp;INS!$A161),"")</f>
        <v>1.58007398256926</v>
      </c>
      <c r="BZ161" s="11">
        <f>IFERROR(AVERAGEIFS(RdTRABYVals!AR$2:AR$999,RdTRABYVals!$B$2:$B$999,"="&amp;$C161,RdTRABYVals!$C$2:$C$999,"="&amp;INS!$A161),"")</f>
        <v>1.8746910931129701</v>
      </c>
      <c r="CA161" s="11">
        <f>IFERROR(AVERAGEIFS(RdTRABYVals!AS$2:AS$999,RdTRABYVals!$B$2:$B$999,"="&amp;$C161,RdTRABYVals!$C$2:$C$999,"="&amp;INS!$A161),"")</f>
        <v>1.7344237893747401</v>
      </c>
      <c r="CB161" s="11">
        <f>IFERROR(AVERAGEIFS(RdTRABYVals!AT$2:AT$999,RdTRABYVals!$B$2:$B$999,"="&amp;$C161,RdTRABYVals!$C$2:$C$999,"="&amp;INS!$A161),"")</f>
        <v>1.79878355915983</v>
      </c>
      <c r="CC161" s="11">
        <f>IFERROR(AVERAGEIFS(RdTRABYVals!AU$2:AU$999,RdTRABYVals!$B$2:$B$999,"="&amp;$C161,RdTRABYVals!$C$2:$C$999,"="&amp;INS!$A161),"")</f>
        <v>2.2320962271087601</v>
      </c>
      <c r="CD161" s="11">
        <f>IFERROR(AVERAGEIFS(RdTRABYVals!AV$2:AV$999,RdTRABYVals!$B$2:$B$999,"="&amp;$C161,RdTRABYVals!$C$2:$C$999,"="&amp;INS!$A161),"")</f>
        <v>2.4673222562452501</v>
      </c>
    </row>
    <row r="162" spans="1:82" ht="14.4">
      <c r="A162" s="3" t="s">
        <v>178</v>
      </c>
      <c r="C162" s="1" t="s">
        <v>29</v>
      </c>
      <c r="D162" s="1" t="s">
        <v>178</v>
      </c>
      <c r="F162" t="str">
        <f>IF(AS162&lt;&gt;"","*"&amp;AS162,"")</f>
        <v>*3.42128036960934</v>
      </c>
      <c r="G162" t="str">
        <f t="shared" si="37"/>
        <v>*3.42128036960934</v>
      </c>
      <c r="H162" t="str">
        <f t="shared" si="38"/>
        <v>*3.42128036960934</v>
      </c>
      <c r="I162" t="str">
        <f t="shared" si="39"/>
        <v>*3.42128036960934</v>
      </c>
      <c r="J162" t="str">
        <f t="shared" si="40"/>
        <v>*3.4575392165452</v>
      </c>
      <c r="K162" t="str">
        <f t="shared" si="41"/>
        <v>*3.42128036960934</v>
      </c>
      <c r="L162" t="str">
        <f t="shared" si="42"/>
        <v>*3.1446749389572</v>
      </c>
      <c r="M162" t="str">
        <f t="shared" si="43"/>
        <v>*3.42128036960934</v>
      </c>
      <c r="N162" t="str">
        <f t="shared" si="44"/>
        <v>*2.92218335580342</v>
      </c>
      <c r="O162" t="str">
        <f t="shared" si="45"/>
        <v>*3.1446749389572</v>
      </c>
      <c r="P162" t="str">
        <f t="shared" si="46"/>
        <v>*3.42128036960934</v>
      </c>
      <c r="Q162" t="str">
        <f t="shared" si="47"/>
        <v>*3.42128036960934</v>
      </c>
      <c r="R162" t="str">
        <f t="shared" si="48"/>
        <v>*3.42128036960934</v>
      </c>
      <c r="S162" t="str">
        <f t="shared" si="49"/>
        <v>*1.84588163669965</v>
      </c>
      <c r="T162" t="str">
        <f t="shared" si="50"/>
        <v>*3.77016283693289</v>
      </c>
      <c r="U162" t="str">
        <f t="shared" si="51"/>
        <v>*3.63781989162654</v>
      </c>
      <c r="V162" t="str">
        <f t="shared" si="52"/>
        <v>*3.42128036960934</v>
      </c>
      <c r="W162" t="str">
        <f t="shared" si="53"/>
        <v>*3.42128036960934</v>
      </c>
      <c r="X162" t="str">
        <f t="shared" si="54"/>
        <v>*3.42128036960934</v>
      </c>
      <c r="Y162" t="str">
        <f t="shared" si="55"/>
        <v>*3.77016283693289</v>
      </c>
      <c r="Z162" t="str">
        <f t="shared" si="56"/>
        <v>*2.35977053913503</v>
      </c>
      <c r="AA162" t="str">
        <f t="shared" si="57"/>
        <v>*3.42128036960934</v>
      </c>
      <c r="AB162" t="str">
        <f t="shared" si="58"/>
        <v>*3.42128036960934</v>
      </c>
      <c r="AC162" t="str">
        <f t="shared" si="59"/>
        <v>*3.42128036960934</v>
      </c>
      <c r="AD162" t="str">
        <f t="shared" si="60"/>
        <v>*3.42128036960934</v>
      </c>
      <c r="AE162" t="str">
        <f t="shared" si="61"/>
        <v>*3.42128036960934</v>
      </c>
      <c r="AF162" t="str">
        <f t="shared" si="62"/>
        <v>*3.42128036960934</v>
      </c>
      <c r="AG162" t="str">
        <f t="shared" si="63"/>
        <v>*3.42128036960934</v>
      </c>
      <c r="AH162" t="str">
        <f t="shared" si="64"/>
        <v>*4.4146101066077</v>
      </c>
      <c r="AI162" t="str">
        <f t="shared" si="65"/>
        <v>*3.77016283693289</v>
      </c>
      <c r="AJ162" t="str">
        <f t="shared" si="66"/>
        <v>*3.42128036960934</v>
      </c>
      <c r="AK162" t="str">
        <f t="shared" si="67"/>
        <v>*4.01944799297696</v>
      </c>
      <c r="AL162" t="str">
        <f t="shared" si="68"/>
        <v>*3.42128036960934</v>
      </c>
      <c r="AM162" t="str">
        <f t="shared" si="69"/>
        <v>*3.42128036960934</v>
      </c>
      <c r="AN162" t="str">
        <f t="shared" si="33"/>
        <v>*3.33700388088753</v>
      </c>
      <c r="AO162" t="str">
        <f t="shared" si="34"/>
        <v>*3.23807958257789</v>
      </c>
      <c r="AP162" t="str">
        <f t="shared" si="35"/>
        <v>*3.42128036960934</v>
      </c>
      <c r="AQ162" t="str">
        <f t="shared" si="36"/>
        <v>*4.48703095256709</v>
      </c>
      <c r="AS162" s="11">
        <f t="shared" si="72"/>
        <v>3.4212803696093395</v>
      </c>
      <c r="AT162" s="11">
        <f>IFERROR(AVERAGEIFS(RdTRABYVals!L$2:L$999,RdTRABYVals!$B$2:$B$999,"="&amp;$C162,RdTRABYVals!$C$2:$C$999,"="&amp;INS!$A162),"")</f>
        <v>3.4212803696093399</v>
      </c>
      <c r="AU162" s="11">
        <f>IFERROR(AVERAGEIFS(RdTRABYVals!M$2:M$999,RdTRABYVals!$B$2:$B$999,"="&amp;$C162,RdTRABYVals!$C$2:$C$999,"="&amp;INS!$A162),"")</f>
        <v>3.4212803696093399</v>
      </c>
      <c r="AV162" s="11">
        <f>IFERROR(AVERAGEIFS(RdTRABYVals!N$2:N$999,RdTRABYVals!$B$2:$B$999,"="&amp;$C162,RdTRABYVals!$C$2:$C$999,"="&amp;INS!$A162),"")</f>
        <v>3.4212803696093399</v>
      </c>
      <c r="AW162" s="11">
        <f>IFERROR(AVERAGEIFS(RdTRABYVals!O$2:O$999,RdTRABYVals!$B$2:$B$999,"="&amp;$C162,RdTRABYVals!$C$2:$C$999,"="&amp;INS!$A162),"")</f>
        <v>3.4575392165452001</v>
      </c>
      <c r="AX162" s="11">
        <f>IFERROR(AVERAGEIFS(RdTRABYVals!P$2:P$999,RdTRABYVals!$B$2:$B$999,"="&amp;$C162,RdTRABYVals!$C$2:$C$999,"="&amp;INS!$A162),"")</f>
        <v>3.4212803696093399</v>
      </c>
      <c r="AY162" s="11">
        <f>IFERROR(AVERAGEIFS(RdTRABYVals!Q$2:Q$999,RdTRABYVals!$B$2:$B$999,"="&amp;$C162,RdTRABYVals!$C$2:$C$999,"="&amp;INS!$A162),"")</f>
        <v>3.1446749389572002</v>
      </c>
      <c r="AZ162" s="11">
        <f>IFERROR(AVERAGEIFS(RdTRABYVals!R$2:R$999,RdTRABYVals!$B$2:$B$999,"="&amp;$C162,RdTRABYVals!$C$2:$C$999,"="&amp;INS!$A162),"")</f>
        <v>3.4212803696093399</v>
      </c>
      <c r="BA162" s="11">
        <f>IFERROR(AVERAGEIFS(RdTRABYVals!S$2:S$999,RdTRABYVals!$B$2:$B$999,"="&amp;$C162,RdTRABYVals!$C$2:$C$999,"="&amp;INS!$A162),"")</f>
        <v>2.92218335580342</v>
      </c>
      <c r="BB162" s="11">
        <f>IFERROR(AVERAGEIFS(RdTRABYVals!T$2:T$999,RdTRABYVals!$B$2:$B$999,"="&amp;$C162,RdTRABYVals!$C$2:$C$999,"="&amp;INS!$A162),"")</f>
        <v>3.1446749389572002</v>
      </c>
      <c r="BC162" s="11">
        <f>IFERROR(AVERAGEIFS(RdTRABYVals!U$2:U$999,RdTRABYVals!$B$2:$B$999,"="&amp;$C162,RdTRABYVals!$C$2:$C$999,"="&amp;INS!$A162),"")</f>
        <v>3.4212803696093399</v>
      </c>
      <c r="BD162" s="11">
        <f>IFERROR(AVERAGEIFS(RdTRABYVals!V$2:V$999,RdTRABYVals!$B$2:$B$999,"="&amp;$C162,RdTRABYVals!$C$2:$C$999,"="&amp;INS!$A162),"")</f>
        <v>3.4212803696093399</v>
      </c>
      <c r="BE162" s="11">
        <f>IFERROR(AVERAGEIFS(RdTRABYVals!W$2:W$999,RdTRABYVals!$B$2:$B$999,"="&amp;$C162,RdTRABYVals!$C$2:$C$999,"="&amp;INS!$A162),"")</f>
        <v>3.4212803696093399</v>
      </c>
      <c r="BF162" s="11">
        <f>IFERROR(AVERAGEIFS(RdTRABYVals!X$2:X$999,RdTRABYVals!$B$2:$B$999,"="&amp;$C162,RdTRABYVals!$C$2:$C$999,"="&amp;INS!$A162),"")</f>
        <v>1.84588163669965</v>
      </c>
      <c r="BG162" s="11">
        <f>IFERROR(AVERAGEIFS(RdTRABYVals!Y$2:Y$999,RdTRABYVals!$B$2:$B$999,"="&amp;$C162,RdTRABYVals!$C$2:$C$999,"="&amp;INS!$A162),"")</f>
        <v>3.7701628369328901</v>
      </c>
      <c r="BH162" s="11">
        <f>IFERROR(AVERAGEIFS(RdTRABYVals!Z$2:Z$999,RdTRABYVals!$B$2:$B$999,"="&amp;$C162,RdTRABYVals!$C$2:$C$999,"="&amp;INS!$A162),"")</f>
        <v>3.6378198916265401</v>
      </c>
      <c r="BI162" s="11">
        <f>IFERROR(AVERAGEIFS(RdTRABYVals!AA$2:AA$999,RdTRABYVals!$B$2:$B$999,"="&amp;$C162,RdTRABYVals!$C$2:$C$999,"="&amp;INS!$A162),"")</f>
        <v>3.4212803696093399</v>
      </c>
      <c r="BJ162" s="11">
        <f>IFERROR(AVERAGEIFS(RdTRABYVals!AB$2:AB$999,RdTRABYVals!$B$2:$B$999,"="&amp;$C162,RdTRABYVals!$C$2:$C$999,"="&amp;INS!$A162),"")</f>
        <v>3.4212803696093399</v>
      </c>
      <c r="BK162" s="11">
        <f>IFERROR(AVERAGEIFS(RdTRABYVals!AC$2:AC$999,RdTRABYVals!$B$2:$B$999,"="&amp;$C162,RdTRABYVals!$C$2:$C$999,"="&amp;INS!$A162),"")</f>
        <v>3.4212803696093399</v>
      </c>
      <c r="BL162" s="11">
        <f>IFERROR(AVERAGEIFS(RdTRABYVals!AD$2:AD$999,RdTRABYVals!$B$2:$B$999,"="&amp;$C162,RdTRABYVals!$C$2:$C$999,"="&amp;INS!$A162),"")</f>
        <v>3.7701628369328901</v>
      </c>
      <c r="BM162" s="11">
        <f>IFERROR(AVERAGEIFS(RdTRABYVals!AE$2:AE$999,RdTRABYVals!$B$2:$B$999,"="&amp;$C162,RdTRABYVals!$C$2:$C$999,"="&amp;INS!$A162),"")</f>
        <v>2.3597705391350301</v>
      </c>
      <c r="BN162" s="11">
        <f>IFERROR(AVERAGEIFS(RdTRABYVals!AF$2:AF$999,RdTRABYVals!$B$2:$B$999,"="&amp;$C162,RdTRABYVals!$C$2:$C$999,"="&amp;INS!$A162),"")</f>
        <v>3.4212803696093399</v>
      </c>
      <c r="BO162" s="11">
        <f>IFERROR(AVERAGEIFS(RdTRABYVals!AG$2:AG$999,RdTRABYVals!$B$2:$B$999,"="&amp;$C162,RdTRABYVals!$C$2:$C$999,"="&amp;INS!$A162),"")</f>
        <v>3.4212803696093399</v>
      </c>
      <c r="BP162" s="11">
        <f>IFERROR(AVERAGEIFS(RdTRABYVals!AH$2:AH$999,RdTRABYVals!$B$2:$B$999,"="&amp;$C162,RdTRABYVals!$C$2:$C$999,"="&amp;INS!$A162),"")</f>
        <v>3.4212803696093399</v>
      </c>
      <c r="BQ162" s="11">
        <f>IFERROR(AVERAGEIFS(RdTRABYVals!AI$2:AI$999,RdTRABYVals!$B$2:$B$999,"="&amp;$C162,RdTRABYVals!$C$2:$C$999,"="&amp;INS!$A162),"")</f>
        <v>3.4212803696093399</v>
      </c>
      <c r="BR162" s="11">
        <f>IFERROR(AVERAGEIFS(RdTRABYVals!AJ$2:AJ$999,RdTRABYVals!$B$2:$B$999,"="&amp;$C162,RdTRABYVals!$C$2:$C$999,"="&amp;INS!$A162),"")</f>
        <v>3.4212803696093399</v>
      </c>
      <c r="BS162" s="11">
        <f>IFERROR(AVERAGEIFS(RdTRABYVals!AK$2:AK$999,RdTRABYVals!$B$2:$B$999,"="&amp;$C162,RdTRABYVals!$C$2:$C$999,"="&amp;INS!$A162),"")</f>
        <v>3.4212803696093399</v>
      </c>
      <c r="BT162" s="11">
        <f>IFERROR(AVERAGEIFS(RdTRABYVals!AL$2:AL$999,RdTRABYVals!$B$2:$B$999,"="&amp;$C162,RdTRABYVals!$C$2:$C$999,"="&amp;INS!$A162),"")</f>
        <v>3.4212803696093399</v>
      </c>
      <c r="BU162" s="11">
        <f>IFERROR(AVERAGEIFS(RdTRABYVals!AM$2:AM$999,RdTRABYVals!$B$2:$B$999,"="&amp;$C162,RdTRABYVals!$C$2:$C$999,"="&amp;INS!$A162),"")</f>
        <v>4.4146101066077001</v>
      </c>
      <c r="BV162" s="11">
        <f>IFERROR(AVERAGEIFS(RdTRABYVals!AN$2:AN$999,RdTRABYVals!$B$2:$B$999,"="&amp;$C162,RdTRABYVals!$C$2:$C$999,"="&amp;INS!$A162),"")</f>
        <v>3.7701628369328901</v>
      </c>
      <c r="BW162" s="11">
        <f>IFERROR(AVERAGEIFS(RdTRABYVals!AO$2:AO$999,RdTRABYVals!$B$2:$B$999,"="&amp;$C162,RdTRABYVals!$C$2:$C$999,"="&amp;INS!$A162),"")</f>
        <v>3.4212803696093399</v>
      </c>
      <c r="BX162" s="11">
        <f>IFERROR(AVERAGEIFS(RdTRABYVals!AP$2:AP$999,RdTRABYVals!$B$2:$B$999,"="&amp;$C162,RdTRABYVals!$C$2:$C$999,"="&amp;INS!$A162),"")</f>
        <v>4.0194479929769598</v>
      </c>
      <c r="BY162" s="11">
        <f>IFERROR(AVERAGEIFS(RdTRABYVals!AQ$2:AQ$999,RdTRABYVals!$B$2:$B$999,"="&amp;$C162,RdTRABYVals!$C$2:$C$999,"="&amp;INS!$A162),"")</f>
        <v>3.4212803696093399</v>
      </c>
      <c r="BZ162" s="11">
        <f>IFERROR(AVERAGEIFS(RdTRABYVals!AR$2:AR$999,RdTRABYVals!$B$2:$B$999,"="&amp;$C162,RdTRABYVals!$C$2:$C$999,"="&amp;INS!$A162),"")</f>
        <v>3.4212803696093399</v>
      </c>
      <c r="CA162" s="11">
        <f>IFERROR(AVERAGEIFS(RdTRABYVals!AS$2:AS$999,RdTRABYVals!$B$2:$B$999,"="&amp;$C162,RdTRABYVals!$C$2:$C$999,"="&amp;INS!$A162),"")</f>
        <v>3.3370038808875302</v>
      </c>
      <c r="CB162" s="11">
        <f>IFERROR(AVERAGEIFS(RdTRABYVals!AT$2:AT$999,RdTRABYVals!$B$2:$B$999,"="&amp;$C162,RdTRABYVals!$C$2:$C$999,"="&amp;INS!$A162),"")</f>
        <v>3.2380795825778899</v>
      </c>
      <c r="CC162" s="11">
        <f>IFERROR(AVERAGEIFS(RdTRABYVals!AU$2:AU$999,RdTRABYVals!$B$2:$B$999,"="&amp;$C162,RdTRABYVals!$C$2:$C$999,"="&amp;INS!$A162),"")</f>
        <v>3.4212803696093399</v>
      </c>
      <c r="CD162" s="11">
        <f>IFERROR(AVERAGEIFS(RdTRABYVals!AV$2:AV$999,RdTRABYVals!$B$2:$B$999,"="&amp;$C162,RdTRABYVals!$C$2:$C$999,"="&amp;INS!$A162),"")</f>
        <v>4.4870309525670899</v>
      </c>
    </row>
    <row r="166" spans="5:36" ht="14.4">
      <c r="E166" s="14" t="s">
        <v>192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</row>
    <row r="167" spans="5:36" ht="14.4">
      <c r="E167" s="14" t="s">
        <v>193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</row>
    <row r="168" spans="5:36" ht="14.4">
      <c r="E168" s="14" t="s">
        <v>194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</row>
    <row r="169" spans="5:36" ht="14.4">
      <c r="E169" s="14" t="s">
        <v>195</v>
      </c>
      <c r="F169" s="13" t="s">
        <v>0</v>
      </c>
      <c r="G169" s="13" t="s">
        <v>1</v>
      </c>
      <c r="H169" s="13" t="s">
        <v>31</v>
      </c>
      <c r="I169" s="13" t="s">
        <v>2</v>
      </c>
      <c r="J169" s="13" t="s">
        <v>3</v>
      </c>
      <c r="K169" s="13" t="s">
        <v>4</v>
      </c>
      <c r="L169" s="13" t="s">
        <v>5</v>
      </c>
      <c r="M169" s="13" t="s">
        <v>6</v>
      </c>
      <c r="N169" s="13" t="s">
        <v>7</v>
      </c>
      <c r="O169" s="13" t="s">
        <v>48</v>
      </c>
      <c r="P169" s="13" t="s">
        <v>8</v>
      </c>
      <c r="Q169" s="13" t="s">
        <v>9</v>
      </c>
      <c r="R169" s="13" t="s">
        <v>10</v>
      </c>
      <c r="S169" s="13" t="s">
        <v>32</v>
      </c>
      <c r="T169" s="13" t="s">
        <v>11</v>
      </c>
      <c r="U169" s="13" t="s">
        <v>12</v>
      </c>
      <c r="V169" s="13" t="s">
        <v>13</v>
      </c>
      <c r="W169" s="13" t="s">
        <v>27</v>
      </c>
      <c r="X169" s="13" t="s">
        <v>14</v>
      </c>
      <c r="Y169" s="13" t="s">
        <v>15</v>
      </c>
      <c r="Z169" s="13" t="s">
        <v>16</v>
      </c>
      <c r="AA169" s="13" t="s">
        <v>196</v>
      </c>
      <c r="AB169" s="13" t="s">
        <v>18</v>
      </c>
      <c r="AC169" s="13" t="s">
        <v>19</v>
      </c>
      <c r="AD169" s="13" t="s">
        <v>20</v>
      </c>
      <c r="AE169" s="13" t="s">
        <v>21</v>
      </c>
      <c r="AF169" s="13" t="s">
        <v>22</v>
      </c>
      <c r="AG169" s="13" t="s">
        <v>23</v>
      </c>
      <c r="AH169" s="13" t="s">
        <v>24</v>
      </c>
      <c r="AI169" s="13" t="s">
        <v>25</v>
      </c>
      <c r="AJ169" s="13" t="s">
        <v>26</v>
      </c>
    </row>
    <row r="170" spans="5:36" ht="14.4">
      <c r="E170" s="14" t="s">
        <v>197</v>
      </c>
      <c r="F170" s="15">
        <v>99.402546795980896</v>
      </c>
      <c r="G170" s="15">
        <v>94.8629474417137</v>
      </c>
      <c r="H170" s="15">
        <v>25.200557497582899</v>
      </c>
      <c r="I170" s="15">
        <v>56.9055828568452</v>
      </c>
      <c r="J170" s="15">
        <v>7.1633923186903701</v>
      </c>
      <c r="K170" s="15">
        <v>51.750336740751898</v>
      </c>
      <c r="L170" s="15">
        <v>588.44508186921701</v>
      </c>
      <c r="M170" s="15">
        <v>42.400657145145701</v>
      </c>
      <c r="N170" s="15">
        <v>7.0311032206458997</v>
      </c>
      <c r="O170" s="15">
        <v>42.352743062195501</v>
      </c>
      <c r="P170" s="15">
        <v>284.88201077386998</v>
      </c>
      <c r="Q170" s="15">
        <v>37.546964151587296</v>
      </c>
      <c r="R170" s="15">
        <v>472.12750180610101</v>
      </c>
      <c r="S170" s="15">
        <v>21.7082735292766</v>
      </c>
      <c r="T170" s="15">
        <v>39.447662330842597</v>
      </c>
      <c r="U170" s="15">
        <v>36.627501524971898</v>
      </c>
      <c r="V170" s="15">
        <v>2.8618024824944799</v>
      </c>
      <c r="W170" s="15">
        <v>411.03661416515899</v>
      </c>
      <c r="X170" s="15">
        <v>8.3732047346087803</v>
      </c>
      <c r="Y170" s="15">
        <v>20.294621547723398</v>
      </c>
      <c r="Z170" s="15">
        <v>8.7311008130079895</v>
      </c>
      <c r="AA170" s="15">
        <v>1.62898455921812</v>
      </c>
      <c r="AB170" s="15">
        <v>113.178778094089</v>
      </c>
      <c r="AC170" s="15">
        <v>32.093517909219301</v>
      </c>
      <c r="AD170" s="15">
        <v>147.082338398541</v>
      </c>
      <c r="AE170" s="15">
        <v>67.141128669717205</v>
      </c>
      <c r="AF170" s="15">
        <v>33.8535283695565</v>
      </c>
      <c r="AG170" s="15">
        <v>71.552388024481502</v>
      </c>
      <c r="AH170" s="15">
        <v>19.023498751122201</v>
      </c>
      <c r="AI170" s="15">
        <v>15.968717561198201</v>
      </c>
      <c r="AJ170" s="15">
        <v>414.740894086259</v>
      </c>
    </row>
    <row r="171" spans="5:36" ht="14.4">
      <c r="E171" s="14" t="s">
        <v>198</v>
      </c>
      <c r="F171" s="15">
        <v>4656.92</v>
      </c>
      <c r="G171" s="15">
        <v>5338.65</v>
      </c>
      <c r="H171" s="15">
        <v>2599.36</v>
      </c>
      <c r="I171" s="15">
        <v>4075.83</v>
      </c>
      <c r="J171" s="15">
        <v>534.83000000000004</v>
      </c>
      <c r="K171" s="15">
        <v>4496</v>
      </c>
      <c r="L171" s="15">
        <v>41660.21</v>
      </c>
      <c r="M171" s="15">
        <v>2247.0139999999801</v>
      </c>
      <c r="N171" s="15">
        <v>422.12</v>
      </c>
      <c r="O171" s="15">
        <v>5216.87</v>
      </c>
      <c r="P171" s="15">
        <v>22143.84</v>
      </c>
      <c r="Q171" s="15">
        <v>2856</v>
      </c>
      <c r="R171" s="15">
        <v>31389.03</v>
      </c>
      <c r="S171" s="15">
        <v>1492.20</v>
      </c>
      <c r="T171" s="15">
        <v>2983.98</v>
      </c>
      <c r="U171" s="15">
        <v>1899.91</v>
      </c>
      <c r="V171" s="15">
        <v>204.60</v>
      </c>
      <c r="W171" s="15">
        <v>37418.56</v>
      </c>
      <c r="X171" s="15">
        <v>1725.52</v>
      </c>
      <c r="Y171" s="15">
        <v>337</v>
      </c>
      <c r="Z171" s="15">
        <v>506.86</v>
      </c>
      <c r="AA171" s="15">
        <v>240.96</v>
      </c>
      <c r="AB171" s="15">
        <v>7735.91</v>
      </c>
      <c r="AC171" s="15">
        <v>2276.12</v>
      </c>
      <c r="AD171" s="15">
        <v>17239.990000000002</v>
      </c>
      <c r="AE171" s="15">
        <v>4692</v>
      </c>
      <c r="AF171" s="15">
        <v>5264.04</v>
      </c>
      <c r="AG171" s="15">
        <v>4354.92</v>
      </c>
      <c r="AH171" s="15">
        <v>1082</v>
      </c>
      <c r="AI171" s="15">
        <v>1669.09</v>
      </c>
      <c r="AJ171" s="15">
        <v>28335.33</v>
      </c>
    </row>
    <row r="172" spans="5:36" ht="14.4">
      <c r="E172" s="14"/>
      <c r="F172" s="16">
        <v>21.345126563475624</v>
      </c>
      <c r="G172" s="16">
        <v>17.769089084640072</v>
      </c>
      <c r="H172" s="16">
        <v>9.6949085534835113</v>
      </c>
      <c r="I172" s="16">
        <v>13.961716474152553</v>
      </c>
      <c r="J172" s="16">
        <v>13.393774318363535</v>
      </c>
      <c r="K172" s="16">
        <v>11.510306214580048</v>
      </c>
      <c r="L172" s="16">
        <v>14.124870754833378</v>
      </c>
      <c r="M172" s="16">
        <v>18.869778802066243</v>
      </c>
      <c r="N172" s="16">
        <v>16.656645552558274</v>
      </c>
      <c r="O172" s="16">
        <v>8.1184202524110241</v>
      </c>
      <c r="P172" s="16">
        <v>12.865068153214166</v>
      </c>
      <c r="Q172" s="16">
        <v>13.146696131508156</v>
      </c>
      <c r="R172" s="16">
        <v>15.041162527357521</v>
      </c>
      <c r="S172" s="16">
        <v>14.547831074438143</v>
      </c>
      <c r="T172" s="16">
        <v>13.219814586841265</v>
      </c>
      <c r="U172" s="16">
        <v>19.278545575828275</v>
      </c>
      <c r="V172" s="16">
        <v>13.987304411018965</v>
      </c>
      <c r="W172" s="16">
        <v>10.984832504649003</v>
      </c>
      <c r="X172" s="16">
        <v>4.8525689268213528</v>
      </c>
      <c r="Y172" s="16">
        <v>60.221428924995244</v>
      </c>
      <c r="Z172" s="16">
        <v>17.225862788556977</v>
      </c>
      <c r="AA172" s="16">
        <v>6.7603940870605905</v>
      </c>
      <c r="AB172" s="16">
        <v>14.630312153849903</v>
      </c>
      <c r="AC172" s="16">
        <v>14.100099251893266</v>
      </c>
      <c r="AD172" s="16">
        <v>8.5314630924113626</v>
      </c>
      <c r="AE172" s="16">
        <v>14.309703467544161</v>
      </c>
      <c r="AF172" s="16">
        <v>6.4310925391061806</v>
      </c>
      <c r="AG172" s="16">
        <v>16.430241663332851</v>
      </c>
      <c r="AH172" s="16">
        <v>17.581791821739557</v>
      </c>
      <c r="AI172" s="16">
        <v>9.5673196539420893</v>
      </c>
      <c r="AJ172" s="16">
        <v>14.636882439211366</v>
      </c>
    </row>
  </sheetData>
  <pageMargins left="0.7" right="0.7" top="0.75" bottom="0.75" header="0.3" footer="0.3"/>
  <pageSetup orientation="portrait" paperSize="9" r:id="rId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O69"/>
  <sheetViews>
    <sheetView workbookViewId="0" topLeftCell="A29">
      <selection pane="topLeft" activeCell="E34" sqref="E34:AO57"/>
    </sheetView>
  </sheetViews>
  <sheetFormatPr defaultRowHeight="13.2"/>
  <cols>
    <col min="1" max="1" width="25.5714285714286" customWidth="1"/>
    <col min="2" max="2" width="21.8571428571429" bestFit="1" customWidth="1"/>
  </cols>
  <sheetData>
    <row r="2" spans="2:41" ht="15" thickBot="1">
      <c r="B2" s="20" t="s">
        <v>199</v>
      </c>
      <c r="C2" s="20" t="s">
        <v>200</v>
      </c>
      <c r="D2" s="20" t="s">
        <v>201</v>
      </c>
      <c r="E2" s="21" t="s">
        <v>41</v>
      </c>
      <c r="F2" s="21" t="s">
        <v>0</v>
      </c>
      <c r="G2" s="21" t="s">
        <v>45</v>
      </c>
      <c r="H2" s="21" t="s">
        <v>1</v>
      </c>
      <c r="I2" s="21" t="s">
        <v>31</v>
      </c>
      <c r="J2" s="21" t="s">
        <v>2</v>
      </c>
      <c r="K2" s="21" t="s">
        <v>3</v>
      </c>
      <c r="L2" s="21" t="s">
        <v>4</v>
      </c>
      <c r="M2" s="21" t="s">
        <v>5</v>
      </c>
      <c r="N2" s="21" t="s">
        <v>6</v>
      </c>
      <c r="O2" s="21" t="s">
        <v>7</v>
      </c>
      <c r="P2" s="21" t="s">
        <v>48</v>
      </c>
      <c r="Q2" s="21" t="s">
        <v>8</v>
      </c>
      <c r="R2" s="21" t="s">
        <v>9</v>
      </c>
      <c r="S2" s="21" t="s">
        <v>10</v>
      </c>
      <c r="T2" s="21" t="s">
        <v>32</v>
      </c>
      <c r="U2" s="21" t="s">
        <v>11</v>
      </c>
      <c r="V2" s="21" t="s">
        <v>12</v>
      </c>
      <c r="W2" s="21" t="s">
        <v>13</v>
      </c>
      <c r="X2" s="21" t="s">
        <v>27</v>
      </c>
      <c r="Y2" s="21" t="s">
        <v>46</v>
      </c>
      <c r="Z2" s="21" t="s">
        <v>14</v>
      </c>
      <c r="AA2" s="21" t="s">
        <v>15</v>
      </c>
      <c r="AB2" s="21" t="s">
        <v>16</v>
      </c>
      <c r="AC2" s="21" t="s">
        <v>42</v>
      </c>
      <c r="AD2" s="21" t="s">
        <v>33</v>
      </c>
      <c r="AE2" s="21" t="s">
        <v>17</v>
      </c>
      <c r="AF2" s="21" t="s">
        <v>18</v>
      </c>
      <c r="AG2" s="21" t="s">
        <v>19</v>
      </c>
      <c r="AH2" s="21" t="s">
        <v>20</v>
      </c>
      <c r="AI2" s="21" t="s">
        <v>21</v>
      </c>
      <c r="AJ2" s="21" t="s">
        <v>22</v>
      </c>
      <c r="AK2" s="21" t="s">
        <v>43</v>
      </c>
      <c r="AL2" s="21" t="s">
        <v>23</v>
      </c>
      <c r="AM2" s="21" t="s">
        <v>24</v>
      </c>
      <c r="AN2" s="21" t="s">
        <v>25</v>
      </c>
      <c r="AO2" s="21" t="s">
        <v>26</v>
      </c>
    </row>
    <row r="3" spans="1:41" ht="14.4">
      <c r="A3" t="s">
        <v>211</v>
      </c>
      <c r="B3" s="14" t="s">
        <v>57</v>
      </c>
      <c r="C3" s="14" t="s">
        <v>202</v>
      </c>
      <c r="D3" s="14" t="s">
        <v>206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0.90</v>
      </c>
      <c r="K3" s="15">
        <v>0</v>
      </c>
      <c r="L3" s="15">
        <v>0</v>
      </c>
      <c r="M3" s="15">
        <v>9.1999999999999993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97.21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0.12</v>
      </c>
      <c r="AG3" s="15">
        <v>0</v>
      </c>
      <c r="AH3" s="15">
        <v>0</v>
      </c>
      <c r="AI3" s="15">
        <v>0</v>
      </c>
      <c r="AJ3" s="15">
        <v>0</v>
      </c>
      <c r="AK3" s="15">
        <v>1.0558825338492195</v>
      </c>
      <c r="AL3" s="15">
        <v>2.42</v>
      </c>
      <c r="AM3" s="15">
        <v>0</v>
      </c>
      <c r="AN3" s="15">
        <v>0</v>
      </c>
      <c r="AO3" s="15">
        <v>0.18</v>
      </c>
    </row>
    <row r="4" spans="2:41" ht="14.4">
      <c r="B4" s="14" t="s">
        <v>58</v>
      </c>
      <c r="C4" s="14" t="s">
        <v>202</v>
      </c>
      <c r="D4" s="14" t="s">
        <v>206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2.34</v>
      </c>
      <c r="K4" s="15">
        <v>0</v>
      </c>
      <c r="L4" s="15">
        <v>0</v>
      </c>
      <c r="M4" s="15">
        <v>23.90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252.71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0.32</v>
      </c>
      <c r="AG4" s="15">
        <v>0</v>
      </c>
      <c r="AH4" s="15">
        <v>0</v>
      </c>
      <c r="AI4" s="15">
        <v>0</v>
      </c>
      <c r="AJ4" s="15">
        <v>0</v>
      </c>
      <c r="AK4" s="15">
        <v>2.7449035606319954</v>
      </c>
      <c r="AL4" s="15">
        <v>8.90</v>
      </c>
      <c r="AM4" s="15">
        <v>0</v>
      </c>
      <c r="AN4" s="15">
        <v>0</v>
      </c>
      <c r="AO4" s="15">
        <v>0.48</v>
      </c>
    </row>
    <row r="5" spans="2:41" ht="14.4">
      <c r="B5" s="14" t="s">
        <v>59</v>
      </c>
      <c r="C5" s="14" t="s">
        <v>202</v>
      </c>
      <c r="D5" s="14" t="s">
        <v>206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2.29</v>
      </c>
      <c r="K5" s="15">
        <v>0</v>
      </c>
      <c r="L5" s="15">
        <v>0</v>
      </c>
      <c r="M5" s="15">
        <v>23.34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246.79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0.32</v>
      </c>
      <c r="AG5" s="15">
        <v>0</v>
      </c>
      <c r="AH5" s="15">
        <v>0</v>
      </c>
      <c r="AI5" s="15">
        <v>0</v>
      </c>
      <c r="AJ5" s="15">
        <v>0</v>
      </c>
      <c r="AK5" s="15">
        <v>2.6806012810271462</v>
      </c>
      <c r="AL5" s="15">
        <v>8.94</v>
      </c>
      <c r="AM5" s="15">
        <v>0</v>
      </c>
      <c r="AN5" s="15">
        <v>0</v>
      </c>
      <c r="AO5" s="15">
        <v>0.47</v>
      </c>
    </row>
    <row r="6" spans="2:41" ht="14.4">
      <c r="B6" s="14" t="s">
        <v>60</v>
      </c>
      <c r="C6" s="14" t="s">
        <v>202</v>
      </c>
      <c r="D6" s="14" t="s">
        <v>206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1.05</v>
      </c>
      <c r="K6" s="15">
        <v>0</v>
      </c>
      <c r="L6" s="15">
        <v>0</v>
      </c>
      <c r="M6" s="15">
        <v>10.72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113.31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0.15</v>
      </c>
      <c r="AG6" s="15">
        <v>0</v>
      </c>
      <c r="AH6" s="15">
        <v>0</v>
      </c>
      <c r="AI6" s="15">
        <v>0</v>
      </c>
      <c r="AJ6" s="15">
        <v>0</v>
      </c>
      <c r="AK6" s="15">
        <v>1.2307586658826775</v>
      </c>
      <c r="AL6" s="15">
        <v>4.74</v>
      </c>
      <c r="AM6" s="15">
        <v>0</v>
      </c>
      <c r="AN6" s="15">
        <v>0</v>
      </c>
      <c r="AO6" s="15">
        <v>0.21</v>
      </c>
    </row>
    <row r="7" spans="2:41" ht="14.4">
      <c r="B7" s="14" t="s">
        <v>61</v>
      </c>
      <c r="C7" s="14" t="s">
        <v>203</v>
      </c>
      <c r="D7" s="14" t="s">
        <v>206</v>
      </c>
      <c r="E7" s="15">
        <v>9.5478683417426282</v>
      </c>
      <c r="F7" s="15">
        <v>509.07</v>
      </c>
      <c r="G7" s="15">
        <v>56.753139695839572</v>
      </c>
      <c r="H7" s="15">
        <v>509.08</v>
      </c>
      <c r="I7" s="15">
        <v>212.83</v>
      </c>
      <c r="J7" s="15">
        <v>259.88</v>
      </c>
      <c r="K7" s="15">
        <v>34.71</v>
      </c>
      <c r="L7" s="15">
        <v>218.49</v>
      </c>
      <c r="M7" s="15">
        <v>3483.21</v>
      </c>
      <c r="N7" s="15">
        <v>93.82</v>
      </c>
      <c r="O7" s="15">
        <v>51.42</v>
      </c>
      <c r="P7" s="15">
        <v>41.98</v>
      </c>
      <c r="Q7" s="15">
        <v>2108.62</v>
      </c>
      <c r="R7" s="15">
        <v>228.80</v>
      </c>
      <c r="S7" s="15">
        <v>2771.18</v>
      </c>
      <c r="T7" s="15">
        <v>75.959999999999994</v>
      </c>
      <c r="U7" s="15">
        <v>124.01</v>
      </c>
      <c r="V7" s="15">
        <v>115.16</v>
      </c>
      <c r="W7" s="15">
        <v>16.91</v>
      </c>
      <c r="X7" s="15">
        <v>2443.14</v>
      </c>
      <c r="Y7" s="15">
        <v>15.390674570464421</v>
      </c>
      <c r="Z7" s="15">
        <v>177.92</v>
      </c>
      <c r="AA7" s="15">
        <v>57.92</v>
      </c>
      <c r="AB7" s="15">
        <v>70.72</v>
      </c>
      <c r="AC7" s="15">
        <v>2.6764694270050571</v>
      </c>
      <c r="AD7" s="15">
        <v>16.14</v>
      </c>
      <c r="AE7" s="15">
        <v>7.97</v>
      </c>
      <c r="AF7" s="15">
        <v>361.29</v>
      </c>
      <c r="AG7" s="15">
        <v>211.50</v>
      </c>
      <c r="AH7" s="15">
        <v>694.30</v>
      </c>
      <c r="AI7" s="15">
        <v>425.20</v>
      </c>
      <c r="AJ7" s="15">
        <v>298.81</v>
      </c>
      <c r="AK7" s="15">
        <v>70.522924088572864</v>
      </c>
      <c r="AL7" s="15">
        <v>270.85000000000002</v>
      </c>
      <c r="AM7" s="15">
        <v>69.86</v>
      </c>
      <c r="AN7" s="15">
        <v>82.80</v>
      </c>
      <c r="AO7" s="15">
        <v>2069.75</v>
      </c>
    </row>
    <row r="8" spans="2:41" ht="14.4">
      <c r="B8" s="14" t="s">
        <v>62</v>
      </c>
      <c r="C8" s="14" t="s">
        <v>203</v>
      </c>
      <c r="D8" s="14" t="s">
        <v>206</v>
      </c>
      <c r="E8" s="15">
        <v>10.216537539568341</v>
      </c>
      <c r="F8" s="15">
        <v>872.35</v>
      </c>
      <c r="G8" s="15">
        <v>131.07166004266901</v>
      </c>
      <c r="H8" s="15">
        <v>1128.43</v>
      </c>
      <c r="I8" s="15">
        <v>303.18</v>
      </c>
      <c r="J8" s="15">
        <v>198.78</v>
      </c>
      <c r="K8" s="15">
        <v>8.8800000000000008</v>
      </c>
      <c r="L8" s="15">
        <v>407.23</v>
      </c>
      <c r="M8" s="15">
        <v>3109.20</v>
      </c>
      <c r="N8" s="15">
        <v>189.54</v>
      </c>
      <c r="O8" s="15">
        <v>26.14</v>
      </c>
      <c r="P8" s="15">
        <v>44.92</v>
      </c>
      <c r="Q8" s="15">
        <v>4274.0600000000004</v>
      </c>
      <c r="R8" s="15">
        <v>134.11000000000001</v>
      </c>
      <c r="S8" s="15">
        <v>6576.88</v>
      </c>
      <c r="T8" s="15">
        <v>175.43</v>
      </c>
      <c r="U8" s="15">
        <v>204.45</v>
      </c>
      <c r="V8" s="15">
        <v>173.67</v>
      </c>
      <c r="W8" s="15">
        <v>8.60</v>
      </c>
      <c r="X8" s="15">
        <v>4903.8100000000004</v>
      </c>
      <c r="Y8" s="15">
        <v>35.544839914383537</v>
      </c>
      <c r="Z8" s="15">
        <v>161.85</v>
      </c>
      <c r="AA8" s="15">
        <v>64.53</v>
      </c>
      <c r="AB8" s="15">
        <v>39.799999999999997</v>
      </c>
      <c r="AC8" s="15">
        <v>2.8639115450468595</v>
      </c>
      <c r="AD8" s="15">
        <v>23</v>
      </c>
      <c r="AE8" s="15">
        <v>24.59</v>
      </c>
      <c r="AF8" s="15">
        <v>386.22</v>
      </c>
      <c r="AG8" s="15">
        <v>197.84</v>
      </c>
      <c r="AH8" s="15">
        <v>1310</v>
      </c>
      <c r="AI8" s="15">
        <v>681.17</v>
      </c>
      <c r="AJ8" s="15">
        <v>489.17</v>
      </c>
      <c r="AK8" s="15">
        <v>162.87304598286386</v>
      </c>
      <c r="AL8" s="15">
        <v>151.06</v>
      </c>
      <c r="AM8" s="15">
        <v>126.18</v>
      </c>
      <c r="AN8" s="15">
        <v>144.02000000000001</v>
      </c>
      <c r="AO8" s="15">
        <v>2530.87</v>
      </c>
    </row>
    <row r="9" spans="2:41" ht="14.4">
      <c r="B9" s="14" t="s">
        <v>63</v>
      </c>
      <c r="C9" s="14" t="s">
        <v>203</v>
      </c>
      <c r="D9" s="14" t="s">
        <v>206</v>
      </c>
      <c r="E9" s="15">
        <v>8.1422983952926664</v>
      </c>
      <c r="F9" s="15">
        <v>851.92</v>
      </c>
      <c r="G9" s="15">
        <v>128.00089379530326</v>
      </c>
      <c r="H9" s="15">
        <v>1102.01</v>
      </c>
      <c r="I9" s="15">
        <v>296.08</v>
      </c>
      <c r="J9" s="15">
        <v>194.12</v>
      </c>
      <c r="K9" s="15">
        <v>8.67</v>
      </c>
      <c r="L9" s="15">
        <v>397.69</v>
      </c>
      <c r="M9" s="15">
        <v>3036.41</v>
      </c>
      <c r="N9" s="15">
        <v>185.11</v>
      </c>
      <c r="O9" s="15">
        <v>25.53</v>
      </c>
      <c r="P9" s="15">
        <v>35.799999999999997</v>
      </c>
      <c r="Q9" s="15">
        <v>3269.74</v>
      </c>
      <c r="R9" s="15">
        <v>130.97</v>
      </c>
      <c r="S9" s="15">
        <v>6422.89</v>
      </c>
      <c r="T9" s="15">
        <v>171.32</v>
      </c>
      <c r="U9" s="15">
        <v>199.67</v>
      </c>
      <c r="V9" s="15">
        <v>79.540000000000006</v>
      </c>
      <c r="W9" s="15">
        <v>8.39</v>
      </c>
      <c r="X9" s="15">
        <v>4788.99</v>
      </c>
      <c r="Y9" s="15">
        <v>34.712090144970574</v>
      </c>
      <c r="Z9" s="15">
        <v>158.06</v>
      </c>
      <c r="AA9" s="15">
        <v>63.08</v>
      </c>
      <c r="AB9" s="15">
        <v>38.869999999999997</v>
      </c>
      <c r="AC9" s="15">
        <v>2.2824584441824927</v>
      </c>
      <c r="AD9" s="15">
        <v>22.46</v>
      </c>
      <c r="AE9" s="15">
        <v>24.02</v>
      </c>
      <c r="AF9" s="15">
        <v>377.18</v>
      </c>
      <c r="AG9" s="15">
        <v>170.98</v>
      </c>
      <c r="AH9" s="15">
        <v>1279.33</v>
      </c>
      <c r="AI9" s="15">
        <v>665.22</v>
      </c>
      <c r="AJ9" s="15">
        <v>477.71</v>
      </c>
      <c r="AK9" s="15">
        <v>159.05723215974595</v>
      </c>
      <c r="AL9" s="15">
        <v>151.77000000000001</v>
      </c>
      <c r="AM9" s="15">
        <v>123.23</v>
      </c>
      <c r="AN9" s="15">
        <v>140.65</v>
      </c>
      <c r="AO9" s="15">
        <v>2471.61</v>
      </c>
    </row>
    <row r="10" spans="2:41" ht="14.4">
      <c r="B10" s="14" t="s">
        <v>64</v>
      </c>
      <c r="C10" s="14" t="s">
        <v>203</v>
      </c>
      <c r="D10" s="14" t="s">
        <v>206</v>
      </c>
      <c r="E10" s="15">
        <v>4.8012267911907314</v>
      </c>
      <c r="F10" s="15">
        <v>391.14</v>
      </c>
      <c r="G10" s="15">
        <v>58.770431391189327</v>
      </c>
      <c r="H10" s="15">
        <v>505.96</v>
      </c>
      <c r="I10" s="15">
        <v>135.94</v>
      </c>
      <c r="J10" s="15">
        <v>89.13</v>
      </c>
      <c r="K10" s="15">
        <v>3.98</v>
      </c>
      <c r="L10" s="15">
        <v>182.59</v>
      </c>
      <c r="M10" s="15">
        <v>1394.08</v>
      </c>
      <c r="N10" s="15">
        <v>84.99</v>
      </c>
      <c r="O10" s="15">
        <v>11.72</v>
      </c>
      <c r="P10" s="15">
        <v>21.11</v>
      </c>
      <c r="Q10" s="15">
        <v>1814.42</v>
      </c>
      <c r="R10" s="15">
        <v>60.13</v>
      </c>
      <c r="S10" s="15">
        <v>2948.89</v>
      </c>
      <c r="T10" s="15">
        <v>78.66</v>
      </c>
      <c r="U10" s="15">
        <v>91.67</v>
      </c>
      <c r="V10" s="15">
        <v>127.95</v>
      </c>
      <c r="W10" s="15">
        <v>3.85</v>
      </c>
      <c r="X10" s="15">
        <v>2198.73</v>
      </c>
      <c r="Y10" s="15">
        <v>15.937736462779508</v>
      </c>
      <c r="Z10" s="15">
        <v>72.569999999999993</v>
      </c>
      <c r="AA10" s="15">
        <v>30.38</v>
      </c>
      <c r="AB10" s="15">
        <v>17.85</v>
      </c>
      <c r="AC10" s="15">
        <v>1.3458854121981123</v>
      </c>
      <c r="AD10" s="15">
        <v>10.31</v>
      </c>
      <c r="AE10" s="15">
        <v>11.03</v>
      </c>
      <c r="AF10" s="15">
        <v>173.31</v>
      </c>
      <c r="AG10" s="15">
        <v>110.94</v>
      </c>
      <c r="AH10" s="15">
        <v>587.37</v>
      </c>
      <c r="AI10" s="15">
        <v>305.42</v>
      </c>
      <c r="AJ10" s="15">
        <v>219.33</v>
      </c>
      <c r="AK10" s="15">
        <v>73.029663096460538</v>
      </c>
      <c r="AL10" s="15">
        <v>66.63</v>
      </c>
      <c r="AM10" s="15">
        <v>56.58</v>
      </c>
      <c r="AN10" s="15">
        <v>64.58</v>
      </c>
      <c r="AO10" s="15">
        <v>1134.77</v>
      </c>
    </row>
    <row r="11" spans="2:41" ht="14.4">
      <c r="B11" s="14" t="s">
        <v>77</v>
      </c>
      <c r="C11" s="14" t="s">
        <v>204</v>
      </c>
      <c r="D11" s="14" t="s">
        <v>206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0.44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19.82</v>
      </c>
      <c r="AM11" s="15">
        <v>0</v>
      </c>
      <c r="AN11" s="15">
        <v>0</v>
      </c>
      <c r="AO11" s="15">
        <v>0</v>
      </c>
    </row>
    <row r="12" spans="2:41" ht="14.4">
      <c r="B12" s="14" t="s">
        <v>78</v>
      </c>
      <c r="C12" s="14" t="s">
        <v>204</v>
      </c>
      <c r="D12" s="14" t="s">
        <v>206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1.1399999999999999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72.78</v>
      </c>
      <c r="AM12" s="15">
        <v>0</v>
      </c>
      <c r="AN12" s="15">
        <v>0</v>
      </c>
      <c r="AO12" s="15">
        <v>0</v>
      </c>
    </row>
    <row r="13" spans="2:41" ht="14.4">
      <c r="B13" s="14" t="s">
        <v>79</v>
      </c>
      <c r="C13" s="14" t="s">
        <v>204</v>
      </c>
      <c r="D13" s="14" t="s">
        <v>206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1.1100000000000001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73.12</v>
      </c>
      <c r="AM13" s="15">
        <v>0</v>
      </c>
      <c r="AN13" s="15">
        <v>0</v>
      </c>
      <c r="AO13" s="15">
        <v>0</v>
      </c>
    </row>
    <row r="14" spans="2:41" ht="14.4">
      <c r="B14" s="14" t="s">
        <v>80</v>
      </c>
      <c r="C14" s="14" t="s">
        <v>204</v>
      </c>
      <c r="D14" s="14" t="s">
        <v>206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0.51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38.770000000000003</v>
      </c>
      <c r="AM14" s="15">
        <v>0</v>
      </c>
      <c r="AN14" s="15">
        <v>0</v>
      </c>
      <c r="AO14" s="15">
        <v>0</v>
      </c>
    </row>
    <row r="15" spans="2:41" ht="14.4">
      <c r="B15" s="14" t="s">
        <v>81</v>
      </c>
      <c r="C15" s="14" t="s">
        <v>204</v>
      </c>
      <c r="D15" s="14" t="s">
        <v>206</v>
      </c>
      <c r="E15" s="15">
        <v>7.4709744401183817</v>
      </c>
      <c r="F15" s="15">
        <v>192.76</v>
      </c>
      <c r="G15" s="15">
        <v>11.081003780669596</v>
      </c>
      <c r="H15" s="15">
        <v>149.02000000000001</v>
      </c>
      <c r="I15" s="15">
        <v>52.89</v>
      </c>
      <c r="J15" s="15">
        <v>805.57</v>
      </c>
      <c r="K15" s="15">
        <v>23.27</v>
      </c>
      <c r="L15" s="15">
        <v>134.50</v>
      </c>
      <c r="M15" s="15">
        <v>3124.93</v>
      </c>
      <c r="N15" s="15">
        <v>110.06</v>
      </c>
      <c r="O15" s="15">
        <v>56.61</v>
      </c>
      <c r="P15" s="15">
        <v>233.41</v>
      </c>
      <c r="Q15" s="15">
        <v>1144.80</v>
      </c>
      <c r="R15" s="15">
        <v>313.37</v>
      </c>
      <c r="S15" s="15">
        <v>509.92</v>
      </c>
      <c r="T15" s="15">
        <v>27.39</v>
      </c>
      <c r="U15" s="15">
        <v>66.040000000000006</v>
      </c>
      <c r="V15" s="15">
        <v>102.17</v>
      </c>
      <c r="W15" s="15">
        <v>30.63</v>
      </c>
      <c r="X15" s="15">
        <v>470.76</v>
      </c>
      <c r="Y15" s="15">
        <v>3.0143481281586237</v>
      </c>
      <c r="Z15" s="15">
        <v>158.56</v>
      </c>
      <c r="AA15" s="15">
        <v>27.25</v>
      </c>
      <c r="AB15" s="15">
        <v>64.510000000000005</v>
      </c>
      <c r="AC15" s="15">
        <v>3.6577774362493378</v>
      </c>
      <c r="AD15" s="15">
        <v>7.74</v>
      </c>
      <c r="AE15" s="15">
        <v>3.28</v>
      </c>
      <c r="AF15" s="15">
        <v>969.70</v>
      </c>
      <c r="AG15" s="15">
        <v>483.99</v>
      </c>
      <c r="AH15" s="15">
        <v>400.48</v>
      </c>
      <c r="AI15" s="15">
        <v>47.07</v>
      </c>
      <c r="AJ15" s="15">
        <v>88.69</v>
      </c>
      <c r="AK15" s="15">
        <v>20.057508223494811</v>
      </c>
      <c r="AL15" s="15">
        <v>1515.46</v>
      </c>
      <c r="AM15" s="15">
        <v>23.40</v>
      </c>
      <c r="AN15" s="15">
        <v>48.16</v>
      </c>
      <c r="AO15" s="15">
        <v>2029.67</v>
      </c>
    </row>
    <row r="16" spans="2:41" ht="14.4">
      <c r="B16" s="14" t="s">
        <v>82</v>
      </c>
      <c r="C16" s="14" t="s">
        <v>204</v>
      </c>
      <c r="D16" s="14" t="s">
        <v>206</v>
      </c>
      <c r="E16" s="15">
        <v>41.399716208979555</v>
      </c>
      <c r="F16" s="15">
        <v>488.15</v>
      </c>
      <c r="G16" s="15">
        <v>71.502614391951241</v>
      </c>
      <c r="H16" s="15">
        <v>430.66</v>
      </c>
      <c r="I16" s="15">
        <v>373.82</v>
      </c>
      <c r="J16" s="15">
        <v>1067.5999999999999</v>
      </c>
      <c r="K16" s="15">
        <v>179.24</v>
      </c>
      <c r="L16" s="15">
        <v>647.79999999999995</v>
      </c>
      <c r="M16" s="15">
        <v>9395.2999999999993</v>
      </c>
      <c r="N16" s="15">
        <v>631.03</v>
      </c>
      <c r="O16" s="15">
        <v>127.94</v>
      </c>
      <c r="P16" s="15">
        <v>1293.42</v>
      </c>
      <c r="Q16" s="15">
        <v>3931.95</v>
      </c>
      <c r="R16" s="15">
        <v>929.39</v>
      </c>
      <c r="S16" s="15">
        <v>2494.9299999999998</v>
      </c>
      <c r="T16" s="15">
        <v>176.74</v>
      </c>
      <c r="U16" s="15">
        <v>431.55</v>
      </c>
      <c r="V16" s="15">
        <v>603.86</v>
      </c>
      <c r="W16" s="15">
        <v>69.23</v>
      </c>
      <c r="X16" s="15">
        <v>2383.06</v>
      </c>
      <c r="Y16" s="15">
        <v>19.45074436548942</v>
      </c>
      <c r="Z16" s="15">
        <v>345.81</v>
      </c>
      <c r="AA16" s="15">
        <v>34</v>
      </c>
      <c r="AB16" s="15">
        <v>141.06</v>
      </c>
      <c r="AC16" s="15">
        <v>20.269236500551042</v>
      </c>
      <c r="AD16" s="15">
        <v>54.68</v>
      </c>
      <c r="AE16" s="15">
        <v>20.66</v>
      </c>
      <c r="AF16" s="15">
        <v>1653</v>
      </c>
      <c r="AG16" s="15">
        <v>413.44</v>
      </c>
      <c r="AH16" s="15">
        <v>2314.36</v>
      </c>
      <c r="AI16" s="15">
        <v>243.49</v>
      </c>
      <c r="AJ16" s="15">
        <v>560.16999999999996</v>
      </c>
      <c r="AK16" s="15">
        <v>129.42548387807494</v>
      </c>
      <c r="AL16" s="15">
        <v>951.22</v>
      </c>
      <c r="AM16" s="15">
        <v>168.48</v>
      </c>
      <c r="AN16" s="15">
        <v>222.29</v>
      </c>
      <c r="AO16" s="15">
        <v>5885.71</v>
      </c>
    </row>
    <row r="17" spans="2:41" ht="14.4">
      <c r="B17" s="14" t="s">
        <v>83</v>
      </c>
      <c r="C17" s="14" t="s">
        <v>204</v>
      </c>
      <c r="D17" s="14" t="s">
        <v>206</v>
      </c>
      <c r="E17" s="15">
        <v>97.517005603815889</v>
      </c>
      <c r="F17" s="15">
        <v>1132.6600000000001</v>
      </c>
      <c r="G17" s="15">
        <v>266.87458758512247</v>
      </c>
      <c r="H17" s="15">
        <v>1284.54</v>
      </c>
      <c r="I17" s="15">
        <v>958.71</v>
      </c>
      <c r="J17" s="15">
        <v>972.29</v>
      </c>
      <c r="K17" s="15">
        <v>195.71</v>
      </c>
      <c r="L17" s="15">
        <v>2212.25</v>
      </c>
      <c r="M17" s="15">
        <v>13429.25</v>
      </c>
      <c r="N17" s="15">
        <v>669.17</v>
      </c>
      <c r="O17" s="15">
        <v>65.400000000000006</v>
      </c>
      <c r="P17" s="15">
        <v>3046.65</v>
      </c>
      <c r="Q17" s="15">
        <v>3981.04</v>
      </c>
      <c r="R17" s="15">
        <v>642.52</v>
      </c>
      <c r="S17" s="15">
        <v>8331.68</v>
      </c>
      <c r="T17" s="15">
        <v>659.66</v>
      </c>
      <c r="U17" s="15">
        <v>1668.32</v>
      </c>
      <c r="V17" s="15">
        <v>450.26</v>
      </c>
      <c r="W17" s="15">
        <v>35.39</v>
      </c>
      <c r="X17" s="15">
        <v>16337.15</v>
      </c>
      <c r="Y17" s="15">
        <v>72.597476678390564</v>
      </c>
      <c r="Z17" s="15">
        <v>495.70</v>
      </c>
      <c r="AA17" s="15">
        <v>45.08</v>
      </c>
      <c r="AB17" s="15">
        <v>55.23</v>
      </c>
      <c r="AC17" s="15">
        <v>47.744173883505617</v>
      </c>
      <c r="AD17" s="15">
        <v>140.24</v>
      </c>
      <c r="AE17" s="15">
        <v>140.15</v>
      </c>
      <c r="AF17" s="15">
        <v>2806</v>
      </c>
      <c r="AG17" s="15">
        <v>457.83</v>
      </c>
      <c r="AH17" s="15">
        <v>6764.32</v>
      </c>
      <c r="AI17" s="15">
        <v>2169.2600000000002</v>
      </c>
      <c r="AJ17" s="15">
        <v>2666.51</v>
      </c>
      <c r="AK17" s="15">
        <v>483.06447151188695</v>
      </c>
      <c r="AL17" s="15">
        <v>579.42999999999995</v>
      </c>
      <c r="AM17" s="15">
        <v>438.73</v>
      </c>
      <c r="AN17" s="15">
        <v>813.03</v>
      </c>
      <c r="AO17" s="15">
        <v>9544.6200000000008</v>
      </c>
    </row>
    <row r="18" spans="2:41" ht="14.4">
      <c r="B18" s="14" t="s">
        <v>84</v>
      </c>
      <c r="C18" s="14" t="s">
        <v>204</v>
      </c>
      <c r="D18" s="14" t="s">
        <v>206</v>
      </c>
      <c r="E18" s="15">
        <v>15.770314496578237</v>
      </c>
      <c r="F18" s="15">
        <v>218.87</v>
      </c>
      <c r="G18" s="15">
        <v>32.061684907559894</v>
      </c>
      <c r="H18" s="15">
        <v>193.10</v>
      </c>
      <c r="I18" s="15">
        <v>167.61</v>
      </c>
      <c r="J18" s="15">
        <v>478.68</v>
      </c>
      <c r="K18" s="15">
        <v>80.37</v>
      </c>
      <c r="L18" s="15">
        <v>290.45</v>
      </c>
      <c r="M18" s="15">
        <v>4212.6000000000004</v>
      </c>
      <c r="N18" s="15">
        <v>282.94</v>
      </c>
      <c r="O18" s="15">
        <v>57.36</v>
      </c>
      <c r="P18" s="15">
        <v>492.70</v>
      </c>
      <c r="Q18" s="15">
        <v>1619.21</v>
      </c>
      <c r="R18" s="15">
        <v>416.71</v>
      </c>
      <c r="S18" s="15">
        <v>1118.6600000000001</v>
      </c>
      <c r="T18" s="15">
        <v>79.25</v>
      </c>
      <c r="U18" s="15">
        <v>193.50</v>
      </c>
      <c r="V18" s="15">
        <v>246.68</v>
      </c>
      <c r="W18" s="15">
        <v>31.04</v>
      </c>
      <c r="X18" s="15">
        <v>1068.50</v>
      </c>
      <c r="Y18" s="15">
        <v>8.7216900020653867</v>
      </c>
      <c r="Z18" s="15">
        <v>155.05000000000001</v>
      </c>
      <c r="AA18" s="15">
        <v>14.76</v>
      </c>
      <c r="AB18" s="15">
        <v>63.25</v>
      </c>
      <c r="AC18" s="15">
        <v>7.7211213865731922</v>
      </c>
      <c r="AD18" s="15">
        <v>24.52</v>
      </c>
      <c r="AE18" s="15">
        <v>9.26</v>
      </c>
      <c r="AF18" s="15">
        <v>741.30</v>
      </c>
      <c r="AG18" s="15">
        <v>229.60</v>
      </c>
      <c r="AH18" s="15">
        <v>1037.83</v>
      </c>
      <c r="AI18" s="15">
        <v>109.17</v>
      </c>
      <c r="AJ18" s="15">
        <v>251.16</v>
      </c>
      <c r="AK18" s="15">
        <v>58.034228795617508</v>
      </c>
      <c r="AL18" s="15">
        <v>419.60</v>
      </c>
      <c r="AM18" s="15">
        <v>75.540000000000006</v>
      </c>
      <c r="AN18" s="15">
        <v>99.67</v>
      </c>
      <c r="AO18" s="15">
        <v>2638.99</v>
      </c>
    </row>
    <row r="19" spans="2:41" ht="14.4">
      <c r="B19" s="14" t="s">
        <v>65</v>
      </c>
      <c r="C19" s="14" t="s">
        <v>205</v>
      </c>
      <c r="D19" s="14" t="s">
        <v>206</v>
      </c>
      <c r="E19" s="15">
        <v>0</v>
      </c>
      <c r="F19" s="15">
        <v>0</v>
      </c>
      <c r="G19" s="15">
        <v>0</v>
      </c>
      <c r="H19" s="15">
        <v>4.91</v>
      </c>
      <c r="I19" s="15">
        <v>13.46</v>
      </c>
      <c r="J19" s="15">
        <v>0</v>
      </c>
      <c r="K19" s="15">
        <v>0</v>
      </c>
      <c r="L19" s="15">
        <v>0</v>
      </c>
      <c r="M19" s="15">
        <v>55.87</v>
      </c>
      <c r="N19" s="15">
        <v>0.0019167789818072382</v>
      </c>
      <c r="O19" s="15">
        <v>0</v>
      </c>
      <c r="P19" s="15">
        <v>1.25</v>
      </c>
      <c r="Q19" s="15">
        <v>0</v>
      </c>
      <c r="R19" s="15">
        <v>0</v>
      </c>
      <c r="S19" s="15">
        <v>29.30</v>
      </c>
      <c r="T19" s="15">
        <v>6.54</v>
      </c>
      <c r="U19" s="15">
        <v>0.65</v>
      </c>
      <c r="V19" s="15">
        <v>0.12</v>
      </c>
      <c r="W19" s="15">
        <v>0</v>
      </c>
      <c r="X19" s="15">
        <v>289.50</v>
      </c>
      <c r="Y19" s="15">
        <v>1.3117340122350234</v>
      </c>
      <c r="Z19" s="15">
        <v>0</v>
      </c>
      <c r="AA19" s="15">
        <v>0</v>
      </c>
      <c r="AB19" s="15">
        <v>2.13</v>
      </c>
      <c r="AC19" s="15">
        <v>0</v>
      </c>
      <c r="AD19" s="15">
        <v>1.52</v>
      </c>
      <c r="AE19" s="15">
        <v>0</v>
      </c>
      <c r="AF19" s="15">
        <v>28.89</v>
      </c>
      <c r="AG19" s="15">
        <v>0</v>
      </c>
      <c r="AH19" s="15">
        <v>339.28</v>
      </c>
      <c r="AI19" s="15">
        <v>5.20</v>
      </c>
      <c r="AJ19" s="15">
        <v>29.09</v>
      </c>
      <c r="AK19" s="15">
        <v>33.504479861051095</v>
      </c>
      <c r="AL19" s="15">
        <v>0</v>
      </c>
      <c r="AM19" s="15">
        <v>0</v>
      </c>
      <c r="AN19" s="15">
        <v>7.38</v>
      </c>
      <c r="AO19" s="15">
        <v>3.56</v>
      </c>
    </row>
    <row r="20" spans="2:41" ht="14.4">
      <c r="B20" s="14" t="s">
        <v>66</v>
      </c>
      <c r="C20" s="14" t="s">
        <v>205</v>
      </c>
      <c r="D20" s="14" t="s">
        <v>206</v>
      </c>
      <c r="E20" s="15">
        <v>0</v>
      </c>
      <c r="F20" s="15">
        <v>0</v>
      </c>
      <c r="G20" s="15">
        <v>0</v>
      </c>
      <c r="H20" s="15">
        <v>12.76</v>
      </c>
      <c r="I20" s="15">
        <v>34.979999999999997</v>
      </c>
      <c r="J20" s="15">
        <v>0</v>
      </c>
      <c r="K20" s="15">
        <v>0</v>
      </c>
      <c r="L20" s="15">
        <v>0</v>
      </c>
      <c r="M20" s="15">
        <v>145.24</v>
      </c>
      <c r="N20" s="15">
        <v>0.0049828705802341736</v>
      </c>
      <c r="O20" s="15">
        <v>0</v>
      </c>
      <c r="P20" s="15">
        <v>2.48</v>
      </c>
      <c r="Q20" s="15">
        <v>0</v>
      </c>
      <c r="R20" s="15">
        <v>0</v>
      </c>
      <c r="S20" s="15">
        <v>76.17</v>
      </c>
      <c r="T20" s="15">
        <v>17.010000000000002</v>
      </c>
      <c r="U20" s="15">
        <v>1.70</v>
      </c>
      <c r="V20" s="15">
        <v>0.23</v>
      </c>
      <c r="W20" s="15">
        <v>0</v>
      </c>
      <c r="X20" s="15">
        <v>752.55</v>
      </c>
      <c r="Y20" s="15">
        <v>3.4117118575103591</v>
      </c>
      <c r="Z20" s="15">
        <v>0</v>
      </c>
      <c r="AA20" s="15">
        <v>0</v>
      </c>
      <c r="AB20" s="15">
        <v>5.54</v>
      </c>
      <c r="AC20" s="15">
        <v>0</v>
      </c>
      <c r="AD20" s="15">
        <v>3.95</v>
      </c>
      <c r="AE20" s="15">
        <v>0</v>
      </c>
      <c r="AF20" s="15">
        <v>75.099999999999994</v>
      </c>
      <c r="AG20" s="15">
        <v>0</v>
      </c>
      <c r="AH20" s="15">
        <v>881.96</v>
      </c>
      <c r="AI20" s="15">
        <v>13.52</v>
      </c>
      <c r="AJ20" s="15">
        <v>75.63</v>
      </c>
      <c r="AK20" s="15">
        <v>87.142385693651249</v>
      </c>
      <c r="AL20" s="15">
        <v>0</v>
      </c>
      <c r="AM20" s="15">
        <v>0</v>
      </c>
      <c r="AN20" s="15">
        <v>19.18</v>
      </c>
      <c r="AO20" s="15">
        <v>9.25</v>
      </c>
    </row>
    <row r="21" spans="2:41" ht="14.4">
      <c r="B21" s="14" t="s">
        <v>67</v>
      </c>
      <c r="C21" s="14" t="s">
        <v>205</v>
      </c>
      <c r="D21" s="14" t="s">
        <v>206</v>
      </c>
      <c r="E21" s="15">
        <v>0</v>
      </c>
      <c r="F21" s="15">
        <v>0</v>
      </c>
      <c r="G21" s="15">
        <v>0</v>
      </c>
      <c r="H21" s="15">
        <v>12.46</v>
      </c>
      <c r="I21" s="15">
        <v>34.17</v>
      </c>
      <c r="J21" s="15">
        <v>0</v>
      </c>
      <c r="K21" s="15">
        <v>0</v>
      </c>
      <c r="L21" s="15">
        <v>0</v>
      </c>
      <c r="M21" s="15">
        <v>141.84</v>
      </c>
      <c r="N21" s="15">
        <v>0.0048662239266071003</v>
      </c>
      <c r="O21" s="15">
        <v>0</v>
      </c>
      <c r="P21" s="15">
        <v>1.98</v>
      </c>
      <c r="Q21" s="15">
        <v>0</v>
      </c>
      <c r="R21" s="15">
        <v>0</v>
      </c>
      <c r="S21" s="15">
        <v>74.38</v>
      </c>
      <c r="T21" s="15">
        <v>16.61</v>
      </c>
      <c r="U21" s="15">
        <v>1.66</v>
      </c>
      <c r="V21" s="15">
        <v>0.10</v>
      </c>
      <c r="W21" s="15">
        <v>0</v>
      </c>
      <c r="X21" s="15">
        <v>734.93</v>
      </c>
      <c r="Y21" s="15">
        <v>3.3314834775571462</v>
      </c>
      <c r="Z21" s="15">
        <v>0</v>
      </c>
      <c r="AA21" s="15">
        <v>0</v>
      </c>
      <c r="AB21" s="15">
        <v>5.41</v>
      </c>
      <c r="AC21" s="15">
        <v>0</v>
      </c>
      <c r="AD21" s="15">
        <v>3.86</v>
      </c>
      <c r="AE21" s="15">
        <v>0</v>
      </c>
      <c r="AF21" s="15">
        <v>73.34</v>
      </c>
      <c r="AG21" s="15">
        <v>0</v>
      </c>
      <c r="AH21" s="15">
        <v>861.31</v>
      </c>
      <c r="AI21" s="15">
        <v>13.21</v>
      </c>
      <c r="AJ21" s="15">
        <v>73.86</v>
      </c>
      <c r="AK21" s="15">
        <v>85.093182032424878</v>
      </c>
      <c r="AL21" s="15">
        <v>0</v>
      </c>
      <c r="AM21" s="15">
        <v>0</v>
      </c>
      <c r="AN21" s="15">
        <v>18.73</v>
      </c>
      <c r="AO21" s="15">
        <v>9.0399999999999991</v>
      </c>
    </row>
    <row r="22" spans="2:41" ht="14.4">
      <c r="B22" s="14" t="s">
        <v>68</v>
      </c>
      <c r="C22" s="14" t="s">
        <v>205</v>
      </c>
      <c r="D22" s="14" t="s">
        <v>206</v>
      </c>
      <c r="E22" s="15">
        <v>0</v>
      </c>
      <c r="F22" s="15">
        <v>0</v>
      </c>
      <c r="G22" s="15">
        <v>0</v>
      </c>
      <c r="H22" s="15">
        <v>5.72</v>
      </c>
      <c r="I22" s="15">
        <v>15.69</v>
      </c>
      <c r="J22" s="15">
        <v>0</v>
      </c>
      <c r="K22" s="15">
        <v>0</v>
      </c>
      <c r="L22" s="15">
        <v>0</v>
      </c>
      <c r="M22" s="15">
        <v>65.12</v>
      </c>
      <c r="N22" s="15">
        <v>0.0022341264953514833</v>
      </c>
      <c r="O22" s="15">
        <v>0</v>
      </c>
      <c r="P22" s="15">
        <v>1.17</v>
      </c>
      <c r="Q22" s="15">
        <v>0</v>
      </c>
      <c r="R22" s="15">
        <v>0</v>
      </c>
      <c r="S22" s="15">
        <v>34.15</v>
      </c>
      <c r="T22" s="15">
        <v>7.63</v>
      </c>
      <c r="U22" s="15">
        <v>0.76</v>
      </c>
      <c r="V22" s="15">
        <v>0.17</v>
      </c>
      <c r="W22" s="15">
        <v>0</v>
      </c>
      <c r="X22" s="15">
        <v>337.42</v>
      </c>
      <c r="Y22" s="15">
        <v>1.530356347607527</v>
      </c>
      <c r="Z22" s="15">
        <v>0</v>
      </c>
      <c r="AA22" s="15">
        <v>0</v>
      </c>
      <c r="AB22" s="15">
        <v>2.4900000000000002</v>
      </c>
      <c r="AC22" s="15">
        <v>0</v>
      </c>
      <c r="AD22" s="15">
        <v>1.77</v>
      </c>
      <c r="AE22" s="15">
        <v>0</v>
      </c>
      <c r="AF22" s="15">
        <v>33.67</v>
      </c>
      <c r="AG22" s="15">
        <v>0</v>
      </c>
      <c r="AH22" s="15">
        <v>395.45</v>
      </c>
      <c r="AI22" s="15">
        <v>6.06</v>
      </c>
      <c r="AJ22" s="15">
        <v>33.909999999999997</v>
      </c>
      <c r="AK22" s="15">
        <v>39.088559837892944</v>
      </c>
      <c r="AL22" s="15">
        <v>0</v>
      </c>
      <c r="AM22" s="15">
        <v>0</v>
      </c>
      <c r="AN22" s="15">
        <v>8.60</v>
      </c>
      <c r="AO22" s="15">
        <v>4.1500000000000004</v>
      </c>
    </row>
    <row r="23" spans="2:41" ht="14.4">
      <c r="B23" s="14" t="s">
        <v>85</v>
      </c>
      <c r="C23" s="14" t="s">
        <v>204</v>
      </c>
      <c r="D23" s="14" t="s">
        <v>206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0.68</v>
      </c>
      <c r="M23" s="15">
        <v>0</v>
      </c>
      <c r="N23" s="15">
        <v>0.02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0.14000000000000001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7.67</v>
      </c>
      <c r="AG23" s="15">
        <v>0</v>
      </c>
      <c r="AH23" s="15">
        <v>51.21</v>
      </c>
      <c r="AI23" s="15">
        <v>1.1000000000000001</v>
      </c>
      <c r="AJ23" s="15">
        <v>0</v>
      </c>
      <c r="AK23" s="15">
        <v>0</v>
      </c>
      <c r="AL23" s="15">
        <v>1.88</v>
      </c>
      <c r="AM23" s="15">
        <v>0</v>
      </c>
      <c r="AN23" s="15">
        <v>0</v>
      </c>
      <c r="AO23" s="15">
        <v>0.27</v>
      </c>
    </row>
    <row r="24" spans="2:41" ht="14.4">
      <c r="B24" s="14" t="s">
        <v>86</v>
      </c>
      <c r="C24" s="14" t="s">
        <v>204</v>
      </c>
      <c r="D24" s="14" t="s">
        <v>206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1.78</v>
      </c>
      <c r="M24" s="15">
        <v>0</v>
      </c>
      <c r="N24" s="15">
        <v>0.14000000000000001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0.14000000000000001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19.93</v>
      </c>
      <c r="AG24" s="15">
        <v>0</v>
      </c>
      <c r="AH24" s="15">
        <v>133.11000000000001</v>
      </c>
      <c r="AI24" s="15">
        <v>2.85</v>
      </c>
      <c r="AJ24" s="15">
        <v>0</v>
      </c>
      <c r="AK24" s="15">
        <v>0</v>
      </c>
      <c r="AL24" s="15">
        <v>6.91</v>
      </c>
      <c r="AM24" s="15">
        <v>0</v>
      </c>
      <c r="AN24" s="15">
        <v>0</v>
      </c>
      <c r="AO24" s="15">
        <v>0.71</v>
      </c>
    </row>
    <row r="25" spans="2:41" ht="14.4">
      <c r="B25" s="14" t="s">
        <v>87</v>
      </c>
      <c r="C25" s="14" t="s">
        <v>204</v>
      </c>
      <c r="D25" s="14" t="s">
        <v>206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1.74</v>
      </c>
      <c r="M25" s="15">
        <v>0</v>
      </c>
      <c r="N25" s="15">
        <v>0.12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0.14000000000000001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19.46</v>
      </c>
      <c r="AG25" s="15">
        <v>0</v>
      </c>
      <c r="AH25" s="15">
        <v>130</v>
      </c>
      <c r="AI25" s="15">
        <v>2.78</v>
      </c>
      <c r="AJ25" s="15">
        <v>0</v>
      </c>
      <c r="AK25" s="15">
        <v>0</v>
      </c>
      <c r="AL25" s="15">
        <v>6.94</v>
      </c>
      <c r="AM25" s="15">
        <v>0</v>
      </c>
      <c r="AN25" s="15">
        <v>0</v>
      </c>
      <c r="AO25" s="15">
        <v>0.70</v>
      </c>
    </row>
    <row r="26" spans="2:41" ht="14.4">
      <c r="B26" s="14" t="s">
        <v>88</v>
      </c>
      <c r="C26" s="14" t="s">
        <v>204</v>
      </c>
      <c r="D26" s="14" t="s">
        <v>206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0.80</v>
      </c>
      <c r="M26" s="15">
        <v>0</v>
      </c>
      <c r="N26" s="15">
        <v>0.06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0.14000000000000001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8.94</v>
      </c>
      <c r="AG26" s="15">
        <v>0</v>
      </c>
      <c r="AH26" s="15">
        <v>59.68</v>
      </c>
      <c r="AI26" s="15">
        <v>1.28</v>
      </c>
      <c r="AJ26" s="15">
        <v>0</v>
      </c>
      <c r="AK26" s="15">
        <v>0</v>
      </c>
      <c r="AL26" s="15">
        <v>3.68</v>
      </c>
      <c r="AM26" s="15">
        <v>0</v>
      </c>
      <c r="AN26" s="15">
        <v>0</v>
      </c>
      <c r="AO26" s="15">
        <v>0.32</v>
      </c>
    </row>
    <row r="28" spans="2:41" ht="14.4">
      <c r="B28" s="14" t="s">
        <v>207</v>
      </c>
      <c r="E28" s="19">
        <f>E3+E7+E11+E15+E19+E23</f>
        <v>17.018842781861011</v>
      </c>
      <c r="F28" s="19">
        <f t="shared" si="0" ref="F28:AO31">F3+F7+F11+F15+F19+F23</f>
        <v>701.82999999999993</v>
      </c>
      <c r="G28" s="19">
        <f t="shared" si="0"/>
        <v>67.834143476509169</v>
      </c>
      <c r="H28" s="19">
        <f t="shared" si="0"/>
        <v>663.00999999999999</v>
      </c>
      <c r="I28" s="19">
        <f t="shared" si="0"/>
        <v>279.18000000000001</v>
      </c>
      <c r="J28" s="19">
        <f t="shared" si="0"/>
        <v>1066.79</v>
      </c>
      <c r="K28" s="19">
        <f t="shared" si="0"/>
        <v>57.980000000000004</v>
      </c>
      <c r="L28" s="19">
        <f t="shared" si="0"/>
        <v>353.67000000000002</v>
      </c>
      <c r="M28" s="19">
        <f t="shared" si="0"/>
        <v>6673.21</v>
      </c>
      <c r="N28" s="19">
        <f t="shared" si="0"/>
        <v>203.90191677898181</v>
      </c>
      <c r="O28" s="19">
        <f t="shared" si="0"/>
        <v>108.03</v>
      </c>
      <c r="P28" s="19">
        <f t="shared" si="0"/>
        <v>276.63999999999999</v>
      </c>
      <c r="Q28" s="19">
        <f t="shared" si="0"/>
        <v>3253.4200000000001</v>
      </c>
      <c r="R28" s="19">
        <f t="shared" si="0"/>
        <v>542.17000000000007</v>
      </c>
      <c r="S28" s="19">
        <f t="shared" si="0"/>
        <v>3310.4000000000001</v>
      </c>
      <c r="T28" s="19">
        <f t="shared" si="0"/>
        <v>109.89</v>
      </c>
      <c r="U28" s="19">
        <f t="shared" si="0"/>
        <v>190.70000000000002</v>
      </c>
      <c r="V28" s="19">
        <f t="shared" si="0"/>
        <v>217.44999999999999</v>
      </c>
      <c r="W28" s="19">
        <f t="shared" si="0"/>
        <v>47.68</v>
      </c>
      <c r="X28" s="19">
        <f t="shared" si="0"/>
        <v>3300.6099999999997</v>
      </c>
      <c r="Y28" s="19">
        <f t="shared" si="0"/>
        <v>19.716756710858071</v>
      </c>
      <c r="Z28" s="19">
        <f t="shared" si="0"/>
        <v>336.48000000000002</v>
      </c>
      <c r="AA28" s="19">
        <f t="shared" si="0"/>
        <v>85.170000000000002</v>
      </c>
      <c r="AB28" s="19">
        <f t="shared" si="0"/>
        <v>137.36000000000001</v>
      </c>
      <c r="AC28" s="19">
        <f t="shared" si="0"/>
        <v>6.3342468632543945</v>
      </c>
      <c r="AD28" s="19">
        <f t="shared" si="0"/>
        <v>25.400000000000002</v>
      </c>
      <c r="AE28" s="19">
        <f t="shared" si="0"/>
        <v>11.25</v>
      </c>
      <c r="AF28" s="19">
        <f t="shared" si="0"/>
        <v>1367.6700000000003</v>
      </c>
      <c r="AG28" s="19">
        <f t="shared" si="0"/>
        <v>695.49000000000001</v>
      </c>
      <c r="AH28" s="19">
        <f t="shared" si="0"/>
        <v>1485.27</v>
      </c>
      <c r="AI28" s="19">
        <f t="shared" si="0"/>
        <v>478.56999999999999</v>
      </c>
      <c r="AJ28" s="19">
        <f t="shared" si="0"/>
        <v>416.58999999999997</v>
      </c>
      <c r="AK28" s="19">
        <f t="shared" si="0"/>
        <v>125.14079470696798</v>
      </c>
      <c r="AL28" s="19">
        <f t="shared" si="0"/>
        <v>1810.4300000000003</v>
      </c>
      <c r="AM28" s="19">
        <f t="shared" si="0"/>
        <v>93.259999999999991</v>
      </c>
      <c r="AN28" s="19">
        <f t="shared" si="0"/>
        <v>138.33999999999997</v>
      </c>
      <c r="AO28" s="19">
        <f t="shared" si="0"/>
        <v>4103.4300000000012</v>
      </c>
    </row>
    <row r="29" spans="2:41" ht="14.4">
      <c r="B29" s="14" t="s">
        <v>208</v>
      </c>
      <c r="E29" s="19">
        <f>E4+E8+E12+E16+E20+E24</f>
        <v>51.616253748547898</v>
      </c>
      <c r="F29" s="19">
        <f t="shared" si="1" ref="F29:T29">F4+F8+F12+F16+F20+F24</f>
        <v>1360.5</v>
      </c>
      <c r="G29" s="19">
        <f t="shared" si="1"/>
        <v>202.57427443462024</v>
      </c>
      <c r="H29" s="19">
        <f t="shared" si="1"/>
        <v>1571.8500000000001</v>
      </c>
      <c r="I29" s="19">
        <f t="shared" si="1"/>
        <v>711.98000000000002</v>
      </c>
      <c r="J29" s="19">
        <f t="shared" si="1"/>
        <v>1269.8599999999999</v>
      </c>
      <c r="K29" s="19">
        <f t="shared" si="1"/>
        <v>188.12</v>
      </c>
      <c r="L29" s="19">
        <f t="shared" si="1"/>
        <v>1056.8099999999999</v>
      </c>
      <c r="M29" s="19">
        <f t="shared" si="1"/>
        <v>12673.639999999999</v>
      </c>
      <c r="N29" s="19">
        <f t="shared" si="1"/>
        <v>820.71498287058012</v>
      </c>
      <c r="O29" s="19">
        <f t="shared" si="1"/>
        <v>154.07999999999998</v>
      </c>
      <c r="P29" s="19">
        <f t="shared" si="1"/>
        <v>1340.8200000000002</v>
      </c>
      <c r="Q29" s="19">
        <f t="shared" si="1"/>
        <v>8206.0100000000002</v>
      </c>
      <c r="R29" s="19">
        <f t="shared" si="1"/>
        <v>1063.5</v>
      </c>
      <c r="S29" s="19">
        <f t="shared" si="1"/>
        <v>9147.9799999999996</v>
      </c>
      <c r="T29" s="19">
        <f t="shared" si="1"/>
        <v>369.18000000000001</v>
      </c>
      <c r="U29" s="19">
        <f t="shared" si="0"/>
        <v>637.70000000000005</v>
      </c>
      <c r="V29" s="19">
        <f t="shared" si="0"/>
        <v>777.75999999999999</v>
      </c>
      <c r="W29" s="19">
        <f t="shared" si="0"/>
        <v>77.969999999999999</v>
      </c>
      <c r="X29" s="19">
        <f t="shared" si="0"/>
        <v>8292.1299999999992</v>
      </c>
      <c r="Y29" s="19">
        <f t="shared" si="0"/>
        <v>58.407296137383319</v>
      </c>
      <c r="Z29" s="19">
        <f t="shared" si="0"/>
        <v>507.65999999999997</v>
      </c>
      <c r="AA29" s="19">
        <f t="shared" si="0"/>
        <v>98.530000000000001</v>
      </c>
      <c r="AB29" s="19">
        <f t="shared" si="0"/>
        <v>186.40000000000001</v>
      </c>
      <c r="AC29" s="19">
        <f t="shared" si="0"/>
        <v>23.133148045597903</v>
      </c>
      <c r="AD29" s="19">
        <f t="shared" si="0"/>
        <v>81.63000000000001</v>
      </c>
      <c r="AE29" s="19">
        <f t="shared" si="0"/>
        <v>45.25</v>
      </c>
      <c r="AF29" s="19">
        <f t="shared" si="0"/>
        <v>2134.5699999999997</v>
      </c>
      <c r="AG29" s="19">
        <f t="shared" si="0"/>
        <v>611.27999999999997</v>
      </c>
      <c r="AH29" s="19">
        <f t="shared" si="0"/>
        <v>4639.4299999999994</v>
      </c>
      <c r="AI29" s="19">
        <f t="shared" si="0"/>
        <v>941.02999999999997</v>
      </c>
      <c r="AJ29" s="19">
        <f t="shared" si="0"/>
        <v>1124.9699999999998</v>
      </c>
      <c r="AK29" s="19">
        <f t="shared" si="0"/>
        <v>382.18581911522205</v>
      </c>
      <c r="AL29" s="19">
        <f t="shared" si="0"/>
        <v>1190.8700000000001</v>
      </c>
      <c r="AM29" s="19">
        <f t="shared" si="0"/>
        <v>294.65999999999997</v>
      </c>
      <c r="AN29" s="19">
        <f t="shared" si="0"/>
        <v>385.49000000000001</v>
      </c>
      <c r="AO29" s="19">
        <f t="shared" si="0"/>
        <v>8427.0199999999986</v>
      </c>
    </row>
    <row r="30" spans="2:41" ht="14.4">
      <c r="B30" s="14" t="s">
        <v>209</v>
      </c>
      <c r="E30" s="19">
        <f>E5+E9+E13+E17+E21+E25</f>
        <v>105.65930399910856</v>
      </c>
      <c r="F30" s="19">
        <f t="shared" si="0"/>
        <v>1984.5799999999999</v>
      </c>
      <c r="G30" s="19">
        <f t="shared" si="0"/>
        <v>394.87548138042575</v>
      </c>
      <c r="H30" s="19">
        <f t="shared" si="0"/>
        <v>2399.0100000000002</v>
      </c>
      <c r="I30" s="19">
        <f t="shared" si="0"/>
        <v>1288.96</v>
      </c>
      <c r="J30" s="19">
        <f t="shared" si="0"/>
        <v>1169.8099999999999</v>
      </c>
      <c r="K30" s="19">
        <f t="shared" si="0"/>
        <v>204.38</v>
      </c>
      <c r="L30" s="19">
        <f t="shared" si="0"/>
        <v>2611.6799999999998</v>
      </c>
      <c r="M30" s="19">
        <f t="shared" si="0"/>
        <v>16630.84</v>
      </c>
      <c r="N30" s="19">
        <f t="shared" si="0"/>
        <v>854.40486622392655</v>
      </c>
      <c r="O30" s="19">
        <f t="shared" si="0"/>
        <v>90.930000000000007</v>
      </c>
      <c r="P30" s="19">
        <f t="shared" si="0"/>
        <v>3084.4300000000003</v>
      </c>
      <c r="Q30" s="19">
        <f t="shared" si="0"/>
        <v>7250.7799999999997</v>
      </c>
      <c r="R30" s="19">
        <f t="shared" si="0"/>
        <v>773.49000000000001</v>
      </c>
      <c r="S30" s="19">
        <f t="shared" si="0"/>
        <v>14828.949999999999</v>
      </c>
      <c r="T30" s="19">
        <f t="shared" si="0"/>
        <v>847.59000000000003</v>
      </c>
      <c r="U30" s="19">
        <f t="shared" si="0"/>
        <v>1869.6500000000001</v>
      </c>
      <c r="V30" s="19">
        <f t="shared" si="0"/>
        <v>529.89999999999998</v>
      </c>
      <c r="W30" s="19">
        <f t="shared" si="0"/>
        <v>43.920000000000002</v>
      </c>
      <c r="X30" s="19">
        <f t="shared" si="0"/>
        <v>22107.860000000001</v>
      </c>
      <c r="Y30" s="19">
        <f t="shared" si="0"/>
        <v>110.64105030091828</v>
      </c>
      <c r="Z30" s="19">
        <f t="shared" si="0"/>
        <v>653.75999999999999</v>
      </c>
      <c r="AA30" s="19">
        <f t="shared" si="0"/>
        <v>108.16</v>
      </c>
      <c r="AB30" s="19">
        <f t="shared" si="0"/>
        <v>99.509999999999991</v>
      </c>
      <c r="AC30" s="19">
        <f t="shared" si="0"/>
        <v>50.026632327688112</v>
      </c>
      <c r="AD30" s="19">
        <f t="shared" si="0"/>
        <v>166.56000000000003</v>
      </c>
      <c r="AE30" s="19">
        <f t="shared" si="0"/>
        <v>164.17000000000002</v>
      </c>
      <c r="AF30" s="19">
        <f t="shared" si="0"/>
        <v>3276.3000000000002</v>
      </c>
      <c r="AG30" s="19">
        <f t="shared" si="0"/>
        <v>628.80999999999995</v>
      </c>
      <c r="AH30" s="19">
        <f t="shared" si="0"/>
        <v>9034.9599999999991</v>
      </c>
      <c r="AI30" s="19">
        <f t="shared" si="0"/>
        <v>2850.4700000000007</v>
      </c>
      <c r="AJ30" s="19">
        <f t="shared" si="0"/>
        <v>3218.0800000000004</v>
      </c>
      <c r="AK30" s="19">
        <f t="shared" si="0"/>
        <v>729.89548698508497</v>
      </c>
      <c r="AL30" s="19">
        <f t="shared" si="0"/>
        <v>820.20000000000005</v>
      </c>
      <c r="AM30" s="19">
        <f t="shared" si="0"/>
        <v>561.96000000000004</v>
      </c>
      <c r="AN30" s="19">
        <f t="shared" si="0"/>
        <v>972.40999999999997</v>
      </c>
      <c r="AO30" s="19">
        <f t="shared" si="0"/>
        <v>12026.440000000002</v>
      </c>
    </row>
    <row r="31" spans="2:41" ht="14.4">
      <c r="B31" s="14" t="s">
        <v>210</v>
      </c>
      <c r="E31" s="19">
        <f>E6+E10+E14+E18+E22+E26</f>
        <v>20.571541287768969</v>
      </c>
      <c r="F31" s="19">
        <f t="shared" si="0"/>
        <v>610.00999999999999</v>
      </c>
      <c r="G31" s="19">
        <f t="shared" si="0"/>
        <v>90.832116298749213</v>
      </c>
      <c r="H31" s="19">
        <f t="shared" si="0"/>
        <v>704.77999999999997</v>
      </c>
      <c r="I31" s="19">
        <f t="shared" si="0"/>
        <v>319.24000000000001</v>
      </c>
      <c r="J31" s="19">
        <f t="shared" si="0"/>
        <v>569.37</v>
      </c>
      <c r="K31" s="19">
        <f t="shared" si="0"/>
        <v>84.350000000000009</v>
      </c>
      <c r="L31" s="19">
        <f t="shared" si="0"/>
        <v>473.83999999999997</v>
      </c>
      <c r="M31" s="19">
        <f t="shared" si="0"/>
        <v>5682.5200000000004</v>
      </c>
      <c r="N31" s="19">
        <f t="shared" si="0"/>
        <v>367.99223412649536</v>
      </c>
      <c r="O31" s="19">
        <f t="shared" si="0"/>
        <v>69.079999999999998</v>
      </c>
      <c r="P31" s="19">
        <f t="shared" si="0"/>
        <v>514.9799999999999</v>
      </c>
      <c r="Q31" s="19">
        <f t="shared" si="0"/>
        <v>3433.6300000000001</v>
      </c>
      <c r="R31" s="19">
        <f t="shared" si="0"/>
        <v>476.83999999999997</v>
      </c>
      <c r="S31" s="19">
        <f t="shared" si="0"/>
        <v>4101.6999999999998</v>
      </c>
      <c r="T31" s="19">
        <f t="shared" si="0"/>
        <v>165.53999999999999</v>
      </c>
      <c r="U31" s="19">
        <f t="shared" si="0"/>
        <v>285.93000000000001</v>
      </c>
      <c r="V31" s="19">
        <f t="shared" si="0"/>
        <v>374.80000000000001</v>
      </c>
      <c r="W31" s="19">
        <f t="shared" si="0"/>
        <v>35.030000000000001</v>
      </c>
      <c r="X31" s="19">
        <f t="shared" si="0"/>
        <v>3717.96</v>
      </c>
      <c r="Y31" s="19">
        <f t="shared" si="0"/>
        <v>26.189782812452421</v>
      </c>
      <c r="Z31" s="19">
        <f t="shared" si="0"/>
        <v>227.62</v>
      </c>
      <c r="AA31" s="19">
        <f t="shared" si="0"/>
        <v>45.140000000000001</v>
      </c>
      <c r="AB31" s="19">
        <f t="shared" si="0"/>
        <v>83.589999999999989</v>
      </c>
      <c r="AC31" s="19">
        <f t="shared" si="0"/>
        <v>9.0670067987713043</v>
      </c>
      <c r="AD31" s="19">
        <f t="shared" si="0"/>
        <v>36.600000000000001</v>
      </c>
      <c r="AE31" s="19">
        <f t="shared" si="0"/>
        <v>20.289999999999999</v>
      </c>
      <c r="AF31" s="19">
        <f t="shared" si="0"/>
        <v>957.37</v>
      </c>
      <c r="AG31" s="19">
        <f t="shared" si="0"/>
        <v>340.53999999999996</v>
      </c>
      <c r="AH31" s="19">
        <f t="shared" si="0"/>
        <v>2080.3299999999999</v>
      </c>
      <c r="AI31" s="19">
        <f t="shared" si="0"/>
        <v>421.93000000000001</v>
      </c>
      <c r="AJ31" s="19">
        <f t="shared" si="0"/>
        <v>504.39999999999998</v>
      </c>
      <c r="AK31" s="19">
        <f t="shared" si="0"/>
        <v>171.38321039585367</v>
      </c>
      <c r="AL31" s="19">
        <f t="shared" si="0"/>
        <v>533.41999999999996</v>
      </c>
      <c r="AM31" s="19">
        <f t="shared" si="0"/>
        <v>132.12</v>
      </c>
      <c r="AN31" s="19">
        <f t="shared" si="0"/>
        <v>172.84999999999999</v>
      </c>
      <c r="AO31" s="19">
        <f t="shared" si="0"/>
        <v>3778.4400000000001</v>
      </c>
    </row>
    <row r="32" spans="2:41" ht="14.4">
      <c r="B32" s="14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</row>
    <row r="33" spans="1:2" ht="14.4">
      <c r="A33" t="s">
        <v>212</v>
      </c>
      <c r="B33" s="14" t="s">
        <v>30</v>
      </c>
    </row>
    <row r="34" spans="2:41" ht="14.4">
      <c r="B34" s="14" t="s">
        <v>57</v>
      </c>
      <c r="C34" s="14"/>
      <c r="D34" s="14"/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16.1625</v>
      </c>
      <c r="K34" s="15">
        <v>0</v>
      </c>
      <c r="L34" s="15">
        <v>0</v>
      </c>
      <c r="M34" s="15">
        <v>30.598700000000001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12.0975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6.6436000000000002</v>
      </c>
      <c r="AG34" s="15">
        <v>0</v>
      </c>
      <c r="AH34" s="15">
        <v>0</v>
      </c>
      <c r="AI34" s="15">
        <v>0</v>
      </c>
      <c r="AJ34" s="15">
        <v>0</v>
      </c>
      <c r="AK34" s="15">
        <v>12.0975</v>
      </c>
      <c r="AL34" s="15">
        <v>5.2009800000000004</v>
      </c>
      <c r="AM34" s="15">
        <v>0</v>
      </c>
      <c r="AN34" s="15">
        <v>0</v>
      </c>
      <c r="AO34" s="15">
        <v>0</v>
      </c>
    </row>
    <row r="35" spans="2:41" ht="14.4">
      <c r="B35" s="14" t="s">
        <v>58</v>
      </c>
      <c r="C35" s="14"/>
      <c r="D35" s="14"/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16.1625</v>
      </c>
      <c r="K35" s="15">
        <v>0</v>
      </c>
      <c r="L35" s="15">
        <v>0</v>
      </c>
      <c r="M35" s="15">
        <v>29.8109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12.3414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7.1553800000000001</v>
      </c>
      <c r="AG35" s="15">
        <v>0</v>
      </c>
      <c r="AH35" s="15">
        <v>0</v>
      </c>
      <c r="AI35" s="15">
        <v>0</v>
      </c>
      <c r="AJ35" s="15">
        <v>0</v>
      </c>
      <c r="AK35" s="15">
        <v>12.3414</v>
      </c>
      <c r="AL35" s="15">
        <v>5.2818100000000001</v>
      </c>
      <c r="AM35" s="15">
        <v>0</v>
      </c>
      <c r="AN35" s="15">
        <v>0</v>
      </c>
      <c r="AO35" s="15">
        <v>0</v>
      </c>
    </row>
    <row r="36" spans="2:41" ht="14.4">
      <c r="B36" s="14" t="s">
        <v>59</v>
      </c>
      <c r="C36" s="14"/>
      <c r="D36" s="14"/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16.1625</v>
      </c>
      <c r="K36" s="15">
        <v>0</v>
      </c>
      <c r="L36" s="15">
        <v>0</v>
      </c>
      <c r="M36" s="15">
        <v>29.791899999999998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15.1212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6.6436000000000002</v>
      </c>
      <c r="AG36" s="15">
        <v>0</v>
      </c>
      <c r="AH36" s="15">
        <v>0</v>
      </c>
      <c r="AI36" s="15">
        <v>0</v>
      </c>
      <c r="AJ36" s="15">
        <v>0</v>
      </c>
      <c r="AK36" s="15">
        <v>15.1212</v>
      </c>
      <c r="AL36" s="15">
        <v>5.2904600000000004</v>
      </c>
      <c r="AM36" s="15">
        <v>0</v>
      </c>
      <c r="AN36" s="15">
        <v>0</v>
      </c>
      <c r="AO36" s="15">
        <v>0</v>
      </c>
    </row>
    <row r="37" spans="2:41" ht="14.4">
      <c r="B37" s="14" t="s">
        <v>60</v>
      </c>
      <c r="C37" s="14"/>
      <c r="D37" s="14"/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16.1625</v>
      </c>
      <c r="K37" s="15">
        <v>0</v>
      </c>
      <c r="L37" s="15">
        <v>0</v>
      </c>
      <c r="M37" s="15">
        <v>30.252400000000002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12.7515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8.0601900000000004</v>
      </c>
      <c r="AG37" s="15">
        <v>0</v>
      </c>
      <c r="AH37" s="15">
        <v>0</v>
      </c>
      <c r="AI37" s="15">
        <v>0</v>
      </c>
      <c r="AJ37" s="15">
        <v>0</v>
      </c>
      <c r="AK37" s="15">
        <v>12.7515</v>
      </c>
      <c r="AL37" s="15">
        <v>5.4882900000000001</v>
      </c>
      <c r="AM37" s="15">
        <v>0</v>
      </c>
      <c r="AN37" s="15">
        <v>0</v>
      </c>
      <c r="AO37" s="15">
        <v>0</v>
      </c>
    </row>
    <row r="38" spans="2:41" ht="14.4">
      <c r="B38" s="14" t="s">
        <v>61</v>
      </c>
      <c r="C38" s="14"/>
      <c r="D38" s="14"/>
      <c r="E38" s="15">
        <v>23.029800000000002</v>
      </c>
      <c r="F38" s="15">
        <v>28.644600000000001</v>
      </c>
      <c r="G38" s="15">
        <v>20.534800000000001</v>
      </c>
      <c r="H38" s="15">
        <v>22.2029</v>
      </c>
      <c r="I38" s="15">
        <v>11.162800000000001</v>
      </c>
      <c r="J38" s="15">
        <v>19.091899999999999</v>
      </c>
      <c r="K38" s="15">
        <v>17.9343</v>
      </c>
      <c r="L38" s="15">
        <v>20.240100000000002</v>
      </c>
      <c r="M38" s="15">
        <v>24.641500000000001</v>
      </c>
      <c r="N38" s="15">
        <v>32.213500000000003</v>
      </c>
      <c r="O38" s="15">
        <v>22.435199999999998</v>
      </c>
      <c r="P38" s="15">
        <v>23.029800000000002</v>
      </c>
      <c r="Q38" s="15">
        <v>19.0031</v>
      </c>
      <c r="R38" s="15">
        <v>23.7821</v>
      </c>
      <c r="S38" s="15">
        <v>18.8005</v>
      </c>
      <c r="T38" s="15">
        <v>20.534800000000001</v>
      </c>
      <c r="U38" s="15">
        <v>25.579000000000001</v>
      </c>
      <c r="V38" s="15">
        <v>22.860800000000001</v>
      </c>
      <c r="W38" s="15">
        <v>16.421800000000001</v>
      </c>
      <c r="X38" s="15">
        <v>16.1706</v>
      </c>
      <c r="Y38" s="15">
        <v>20.534800000000001</v>
      </c>
      <c r="Z38" s="15">
        <v>7.6256599999999999</v>
      </c>
      <c r="AA38" s="15">
        <v>67.863</v>
      </c>
      <c r="AB38" s="15">
        <v>24.470099999999999</v>
      </c>
      <c r="AC38" s="15">
        <v>23.029800000000002</v>
      </c>
      <c r="AD38" s="15">
        <v>30.495</v>
      </c>
      <c r="AE38" s="15">
        <v>3.3300399999999999</v>
      </c>
      <c r="AF38" s="15">
        <v>33.462699999999998</v>
      </c>
      <c r="AG38" s="15">
        <v>23.327100000000002</v>
      </c>
      <c r="AH38" s="15">
        <v>13.8141</v>
      </c>
      <c r="AI38" s="15">
        <v>19.518599999999999</v>
      </c>
      <c r="AJ38" s="15">
        <v>10.7438</v>
      </c>
      <c r="AK38" s="15">
        <v>20.534800000000001</v>
      </c>
      <c r="AL38" s="15">
        <v>39.236400000000003</v>
      </c>
      <c r="AM38" s="15">
        <v>24.8525</v>
      </c>
      <c r="AN38" s="15">
        <v>11.883900000000001</v>
      </c>
      <c r="AO38" s="15">
        <v>19.110399999999998</v>
      </c>
    </row>
    <row r="39" spans="2:41" ht="14.4">
      <c r="B39" s="14" t="s">
        <v>62</v>
      </c>
      <c r="C39" s="14"/>
      <c r="D39" s="14"/>
      <c r="E39" s="15">
        <v>19.682600000000001</v>
      </c>
      <c r="F39" s="15">
        <v>26.341100000000001</v>
      </c>
      <c r="G39" s="15">
        <v>18.903300000000002</v>
      </c>
      <c r="H39" s="15">
        <v>23.735900000000001</v>
      </c>
      <c r="I39" s="15">
        <v>12.5225</v>
      </c>
      <c r="J39" s="15">
        <v>17.0763</v>
      </c>
      <c r="K39" s="15">
        <v>13.663600000000001</v>
      </c>
      <c r="L39" s="15">
        <v>18.413399999999999</v>
      </c>
      <c r="M39" s="15">
        <v>24.1191</v>
      </c>
      <c r="N39" s="15">
        <v>30.905899999999999</v>
      </c>
      <c r="O39" s="15">
        <v>19.766500000000001</v>
      </c>
      <c r="P39" s="15">
        <v>19.682600000000001</v>
      </c>
      <c r="Q39" s="15">
        <v>17.291699999999999</v>
      </c>
      <c r="R39" s="15">
        <v>23.4268</v>
      </c>
      <c r="S39" s="15">
        <v>17.762599999999999</v>
      </c>
      <c r="T39" s="15">
        <v>18.903300000000002</v>
      </c>
      <c r="U39" s="15">
        <v>23.867100000000001</v>
      </c>
      <c r="V39" s="15">
        <v>22.054200000000002</v>
      </c>
      <c r="W39" s="15">
        <v>18.053799999999999</v>
      </c>
      <c r="X39" s="15">
        <v>15.0969</v>
      </c>
      <c r="Y39" s="15">
        <v>18.903300000000002</v>
      </c>
      <c r="Z39" s="15">
        <v>5.9673100000000003</v>
      </c>
      <c r="AA39" s="15">
        <v>69.064599999999999</v>
      </c>
      <c r="AB39" s="15">
        <v>20.394500000000001</v>
      </c>
      <c r="AC39" s="15">
        <v>19.682600000000001</v>
      </c>
      <c r="AD39" s="15">
        <v>27.66</v>
      </c>
      <c r="AE39" s="15">
        <v>3.5101399999999998</v>
      </c>
      <c r="AF39" s="15">
        <v>33.128900000000002</v>
      </c>
      <c r="AG39" s="15">
        <v>23.597799999999999</v>
      </c>
      <c r="AH39" s="15">
        <v>14.1127</v>
      </c>
      <c r="AI39" s="15">
        <v>19.518599999999999</v>
      </c>
      <c r="AJ39" s="15">
        <v>9.1672700000000003</v>
      </c>
      <c r="AK39" s="15">
        <v>18.903300000000002</v>
      </c>
      <c r="AL39" s="15">
        <v>35.022100000000002</v>
      </c>
      <c r="AM39" s="15">
        <v>24.9801</v>
      </c>
      <c r="AN39" s="15">
        <v>11.8965</v>
      </c>
      <c r="AO39" s="15">
        <v>17.5383</v>
      </c>
    </row>
    <row r="40" spans="2:41" ht="14.4">
      <c r="B40" s="14" t="s">
        <v>63</v>
      </c>
      <c r="C40" s="14"/>
      <c r="D40" s="14"/>
      <c r="E40" s="15">
        <v>13.2971</v>
      </c>
      <c r="F40" s="15">
        <v>26.5225</v>
      </c>
      <c r="G40" s="15">
        <v>18.903300000000002</v>
      </c>
      <c r="H40" s="15">
        <v>21.687000000000001</v>
      </c>
      <c r="I40" s="15">
        <v>12.5122</v>
      </c>
      <c r="J40" s="15">
        <v>17.064800000000002</v>
      </c>
      <c r="K40" s="15">
        <v>12.8825</v>
      </c>
      <c r="L40" s="15">
        <v>18.413399999999999</v>
      </c>
      <c r="M40" s="15">
        <v>24.033000000000001</v>
      </c>
      <c r="N40" s="15">
        <v>29.33</v>
      </c>
      <c r="O40" s="15">
        <v>21.111899999999999</v>
      </c>
      <c r="P40" s="15">
        <v>13.2971</v>
      </c>
      <c r="Q40" s="15">
        <v>17.0657</v>
      </c>
      <c r="R40" s="15">
        <v>24.872199999999999</v>
      </c>
      <c r="S40" s="15">
        <v>17.9041</v>
      </c>
      <c r="T40" s="15">
        <v>18.903300000000002</v>
      </c>
      <c r="U40" s="15">
        <v>23.867100000000001</v>
      </c>
      <c r="V40" s="15">
        <v>22.225899999999999</v>
      </c>
      <c r="W40" s="15">
        <v>17.6751</v>
      </c>
      <c r="X40" s="15">
        <v>16.965900000000001</v>
      </c>
      <c r="Y40" s="15">
        <v>18.903300000000002</v>
      </c>
      <c r="Z40" s="15">
        <v>5.9673100000000003</v>
      </c>
      <c r="AA40" s="15">
        <v>68.787400000000005</v>
      </c>
      <c r="AB40" s="15">
        <v>23.053899999999999</v>
      </c>
      <c r="AC40" s="15">
        <v>13.2971</v>
      </c>
      <c r="AD40" s="15">
        <v>25.8461</v>
      </c>
      <c r="AE40" s="15">
        <v>3.6430799999999999</v>
      </c>
      <c r="AF40" s="15">
        <v>32.542200000000001</v>
      </c>
      <c r="AG40" s="15">
        <v>23.7897</v>
      </c>
      <c r="AH40" s="15">
        <v>13.330399999999999</v>
      </c>
      <c r="AI40" s="15">
        <v>19.518599999999999</v>
      </c>
      <c r="AJ40" s="15">
        <v>9.1672700000000003</v>
      </c>
      <c r="AK40" s="15">
        <v>18.903300000000002</v>
      </c>
      <c r="AL40" s="15">
        <v>34.8127</v>
      </c>
      <c r="AM40" s="15">
        <v>23.4068</v>
      </c>
      <c r="AN40" s="15">
        <v>11.8965</v>
      </c>
      <c r="AO40" s="15">
        <v>14.9747</v>
      </c>
    </row>
    <row r="41" spans="2:41" ht="14.4">
      <c r="B41" s="14" t="s">
        <v>64</v>
      </c>
      <c r="C41" s="14"/>
      <c r="D41" s="14"/>
      <c r="E41" s="15">
        <v>20.250599999999999</v>
      </c>
      <c r="F41" s="15">
        <v>26.933800000000002</v>
      </c>
      <c r="G41" s="15">
        <v>19.439499999999999</v>
      </c>
      <c r="H41" s="15">
        <v>22.4619</v>
      </c>
      <c r="I41" s="15">
        <v>6.6320800000000002</v>
      </c>
      <c r="J41" s="15">
        <v>18.041</v>
      </c>
      <c r="K41" s="15">
        <v>13.648099999999999</v>
      </c>
      <c r="L41" s="15">
        <v>18.413399999999999</v>
      </c>
      <c r="M41" s="15">
        <v>24.665199999999999</v>
      </c>
      <c r="N41" s="15">
        <v>29.5565</v>
      </c>
      <c r="O41" s="15">
        <v>20.333600000000001</v>
      </c>
      <c r="P41" s="15">
        <v>20.250599999999999</v>
      </c>
      <c r="Q41" s="15">
        <v>17.088699999999999</v>
      </c>
      <c r="R41" s="15">
        <v>22.436199999999999</v>
      </c>
      <c r="S41" s="15">
        <v>18.046800000000001</v>
      </c>
      <c r="T41" s="15">
        <v>19.439499999999999</v>
      </c>
      <c r="U41" s="15">
        <v>23.867100000000001</v>
      </c>
      <c r="V41" s="15">
        <v>22.016400000000001</v>
      </c>
      <c r="W41" s="15">
        <v>19.264700000000001</v>
      </c>
      <c r="X41" s="15">
        <v>15.4991</v>
      </c>
      <c r="Y41" s="15">
        <v>19.439499999999999</v>
      </c>
      <c r="Z41" s="15">
        <v>5.9673100000000003</v>
      </c>
      <c r="AA41" s="15">
        <v>73.224999999999994</v>
      </c>
      <c r="AB41" s="15">
        <v>25.421199999999999</v>
      </c>
      <c r="AC41" s="15">
        <v>20.250599999999999</v>
      </c>
      <c r="AD41" s="15">
        <v>27.66</v>
      </c>
      <c r="AE41" s="15">
        <v>3.5163099999999998</v>
      </c>
      <c r="AF41" s="15">
        <v>32.637300000000003</v>
      </c>
      <c r="AG41" s="15">
        <v>23.148</v>
      </c>
      <c r="AH41" s="15">
        <v>13.9253</v>
      </c>
      <c r="AI41" s="15">
        <v>19.518599999999999</v>
      </c>
      <c r="AJ41" s="15">
        <v>9.1672700000000003</v>
      </c>
      <c r="AK41" s="15">
        <v>19.439499999999999</v>
      </c>
      <c r="AL41" s="15">
        <v>36.3048</v>
      </c>
      <c r="AM41" s="15">
        <v>25.445900000000002</v>
      </c>
      <c r="AN41" s="15">
        <v>11.8965</v>
      </c>
      <c r="AO41" s="15">
        <v>18.377199999999998</v>
      </c>
    </row>
    <row r="42" spans="2:41" ht="14.4">
      <c r="B42" s="14" t="s">
        <v>77</v>
      </c>
      <c r="C42" s="14"/>
      <c r="D42" s="14"/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11.1287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16.749199999999998</v>
      </c>
      <c r="AM42" s="15">
        <v>0</v>
      </c>
      <c r="AN42" s="15">
        <v>0</v>
      </c>
      <c r="AO42" s="15">
        <v>0</v>
      </c>
    </row>
    <row r="43" spans="2:41" ht="14.4">
      <c r="B43" s="14" t="s">
        <v>78</v>
      </c>
      <c r="C43" s="14"/>
      <c r="D43" s="14"/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11.1287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16.370799999999999</v>
      </c>
      <c r="AM43" s="15">
        <v>0</v>
      </c>
      <c r="AN43" s="15">
        <v>0</v>
      </c>
      <c r="AO43" s="15">
        <v>0</v>
      </c>
    </row>
    <row r="44" spans="2:41" ht="14.4">
      <c r="B44" s="14" t="s">
        <v>79</v>
      </c>
      <c r="C44" s="14"/>
      <c r="D44" s="14"/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11.1287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15.3071</v>
      </c>
      <c r="AM44" s="15">
        <v>0</v>
      </c>
      <c r="AN44" s="15">
        <v>0</v>
      </c>
      <c r="AO44" s="15">
        <v>0</v>
      </c>
    </row>
    <row r="45" spans="2:41" ht="14.4">
      <c r="B45" s="14" t="s">
        <v>80</v>
      </c>
      <c r="C45" s="14"/>
      <c r="D45" s="14"/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11.1287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16.805099999999999</v>
      </c>
      <c r="AM45" s="15">
        <v>0</v>
      </c>
      <c r="AN45" s="15">
        <v>0</v>
      </c>
      <c r="AO45" s="15">
        <v>0</v>
      </c>
    </row>
    <row r="46" spans="2:41" ht="14.4">
      <c r="B46" s="14" t="s">
        <v>81</v>
      </c>
      <c r="C46" s="14"/>
      <c r="D46" s="14"/>
      <c r="E46" s="15">
        <v>9.7206799999999998</v>
      </c>
      <c r="F46" s="15">
        <v>15.465999999999999</v>
      </c>
      <c r="G46" s="15">
        <v>11.6698</v>
      </c>
      <c r="H46" s="15">
        <v>8.2721300000000006</v>
      </c>
      <c r="I46" s="15">
        <v>5.7729600000000003</v>
      </c>
      <c r="J46" s="15">
        <v>14.978999999999999</v>
      </c>
      <c r="K46" s="15">
        <v>15.1014</v>
      </c>
      <c r="L46" s="15">
        <v>9.3872199999999992</v>
      </c>
      <c r="M46" s="15">
        <v>12.5715</v>
      </c>
      <c r="N46" s="15">
        <v>19.9298</v>
      </c>
      <c r="O46" s="15">
        <v>16.203299999999999</v>
      </c>
      <c r="P46" s="15">
        <v>9.7206799999999998</v>
      </c>
      <c r="Q46" s="15">
        <v>14.0922</v>
      </c>
      <c r="R46" s="15">
        <v>10.5501</v>
      </c>
      <c r="S46" s="15">
        <v>12.7613</v>
      </c>
      <c r="T46" s="15">
        <v>11.6698</v>
      </c>
      <c r="U46" s="15">
        <v>10.6456</v>
      </c>
      <c r="V46" s="15">
        <v>19.9739</v>
      </c>
      <c r="W46" s="15">
        <v>12.864800000000001</v>
      </c>
      <c r="X46" s="15">
        <v>11.2913</v>
      </c>
      <c r="Y46" s="15">
        <v>11.6698</v>
      </c>
      <c r="Z46" s="15">
        <v>5.1572300000000002</v>
      </c>
      <c r="AA46" s="15">
        <v>44.097999999999999</v>
      </c>
      <c r="AB46" s="15">
        <v>15.652100000000001</v>
      </c>
      <c r="AC46" s="15">
        <v>9.7206799999999998</v>
      </c>
      <c r="AD46" s="15">
        <v>10.1213</v>
      </c>
      <c r="AE46" s="15">
        <v>8.0372400000000006</v>
      </c>
      <c r="AF46" s="15">
        <v>10.5364</v>
      </c>
      <c r="AG46" s="15">
        <v>9.9621399999999998</v>
      </c>
      <c r="AH46" s="15">
        <v>5.9304199999999998</v>
      </c>
      <c r="AI46" s="15">
        <v>10.6304</v>
      </c>
      <c r="AJ46" s="15">
        <v>6.4410999999999996</v>
      </c>
      <c r="AK46" s="15">
        <v>11.6698</v>
      </c>
      <c r="AL46" s="15">
        <v>13.471399999999999</v>
      </c>
      <c r="AM46" s="15">
        <v>15.4709</v>
      </c>
      <c r="AN46" s="15">
        <v>12.9636</v>
      </c>
      <c r="AO46" s="15">
        <v>15.4458</v>
      </c>
    </row>
    <row r="47" spans="2:41" ht="14.4">
      <c r="B47" s="14" t="s">
        <v>82</v>
      </c>
      <c r="C47" s="14"/>
      <c r="D47" s="14"/>
      <c r="E47" s="15">
        <v>9.1454400000000007</v>
      </c>
      <c r="F47" s="15">
        <v>14.9224</v>
      </c>
      <c r="G47" s="15">
        <v>11.8812</v>
      </c>
      <c r="H47" s="15">
        <v>9.6917000000000009</v>
      </c>
      <c r="I47" s="15">
        <v>5.4128299999999996</v>
      </c>
      <c r="J47" s="15">
        <v>13.435</v>
      </c>
      <c r="K47" s="15">
        <v>13.7628</v>
      </c>
      <c r="L47" s="15">
        <v>9.1841500000000007</v>
      </c>
      <c r="M47" s="15">
        <v>10.887700000000001</v>
      </c>
      <c r="N47" s="15">
        <v>15.3682</v>
      </c>
      <c r="O47" s="15">
        <v>14.897</v>
      </c>
      <c r="P47" s="15">
        <v>9.1454400000000007</v>
      </c>
      <c r="Q47" s="15">
        <v>7.6632499999999997</v>
      </c>
      <c r="R47" s="15">
        <v>10.515599999999999</v>
      </c>
      <c r="S47" s="15">
        <v>11.874700000000001</v>
      </c>
      <c r="T47" s="15">
        <v>11.8812</v>
      </c>
      <c r="U47" s="15">
        <v>10.7989</v>
      </c>
      <c r="V47" s="15">
        <v>17.970199999999998</v>
      </c>
      <c r="W47" s="15">
        <v>13.395899999999999</v>
      </c>
      <c r="X47" s="15">
        <v>9.6733600000000006</v>
      </c>
      <c r="Y47" s="15">
        <v>11.8812</v>
      </c>
      <c r="Z47" s="15">
        <v>3.9107099999999999</v>
      </c>
      <c r="AA47" s="15">
        <v>44.284500000000001</v>
      </c>
      <c r="AB47" s="15">
        <v>13.428800000000001</v>
      </c>
      <c r="AC47" s="15">
        <v>9.1454400000000007</v>
      </c>
      <c r="AD47" s="15">
        <v>9.7376400000000007</v>
      </c>
      <c r="AE47" s="15">
        <v>8.5177999999999994</v>
      </c>
      <c r="AF47" s="15">
        <v>10.7516</v>
      </c>
      <c r="AG47" s="15">
        <v>10.1554</v>
      </c>
      <c r="AH47" s="15">
        <v>6.1784299999999996</v>
      </c>
      <c r="AI47" s="15">
        <v>10.5128</v>
      </c>
      <c r="AJ47" s="15">
        <v>6.6146900000000004</v>
      </c>
      <c r="AK47" s="15">
        <v>11.8812</v>
      </c>
      <c r="AL47" s="15">
        <v>12.6475</v>
      </c>
      <c r="AM47" s="15">
        <v>17.744299999999999</v>
      </c>
      <c r="AN47" s="15">
        <v>8.5815800000000007</v>
      </c>
      <c r="AO47" s="15">
        <v>14.109299999999999</v>
      </c>
    </row>
    <row r="48" spans="2:41" ht="14.4">
      <c r="B48" s="14" t="s">
        <v>83</v>
      </c>
      <c r="C48" s="14"/>
      <c r="D48" s="14"/>
      <c r="E48" s="15">
        <v>6.59924</v>
      </c>
      <c r="F48" s="15">
        <v>13.423</v>
      </c>
      <c r="G48" s="15">
        <v>11.510999999999999</v>
      </c>
      <c r="H48" s="15">
        <v>10.481400000000001</v>
      </c>
      <c r="I48" s="15">
        <v>5.80105</v>
      </c>
      <c r="J48" s="15">
        <v>11.076700000000001</v>
      </c>
      <c r="K48" s="15">
        <v>12.084300000000001</v>
      </c>
      <c r="L48" s="15">
        <v>8.6676300000000008</v>
      </c>
      <c r="M48" s="15">
        <v>9.0140700000000002</v>
      </c>
      <c r="N48" s="15">
        <v>13.9666</v>
      </c>
      <c r="O48" s="15">
        <v>13.2774</v>
      </c>
      <c r="P48" s="15">
        <v>6.59924</v>
      </c>
      <c r="Q48" s="15">
        <v>6.5509000000000004</v>
      </c>
      <c r="R48" s="15">
        <v>10.7516</v>
      </c>
      <c r="S48" s="15">
        <v>9.9579799999999992</v>
      </c>
      <c r="T48" s="15">
        <v>11.510999999999999</v>
      </c>
      <c r="U48" s="15">
        <v>9.9195799999999998</v>
      </c>
      <c r="V48" s="15">
        <v>17.7197</v>
      </c>
      <c r="W48" s="15">
        <v>12.9208</v>
      </c>
      <c r="X48" s="15">
        <v>7.0178799999999999</v>
      </c>
      <c r="Y48" s="15">
        <v>11.510999999999999</v>
      </c>
      <c r="Z48" s="15">
        <v>3.8382999999999998</v>
      </c>
      <c r="AA48" s="15">
        <v>44.016100000000002</v>
      </c>
      <c r="AB48" s="15">
        <v>13.573499999999999</v>
      </c>
      <c r="AC48" s="15">
        <v>6.59924</v>
      </c>
      <c r="AD48" s="15">
        <v>9.0625699999999991</v>
      </c>
      <c r="AE48" s="15">
        <v>7.9329200000000002</v>
      </c>
      <c r="AF48" s="15">
        <v>10.516299999999999</v>
      </c>
      <c r="AG48" s="15">
        <v>9.9722899999999992</v>
      </c>
      <c r="AH48" s="15">
        <v>6.03932</v>
      </c>
      <c r="AI48" s="15">
        <v>10.059699999999999</v>
      </c>
      <c r="AJ48" s="15">
        <v>5.0827200000000001</v>
      </c>
      <c r="AK48" s="15">
        <v>11.510999999999999</v>
      </c>
      <c r="AL48" s="15">
        <v>10.941700000000001</v>
      </c>
      <c r="AM48" s="15">
        <v>11.9842</v>
      </c>
      <c r="AN48" s="15">
        <v>8.5815800000000007</v>
      </c>
      <c r="AO48" s="15">
        <v>12.3371</v>
      </c>
    </row>
    <row r="49" spans="2:41" ht="14.4">
      <c r="B49" s="14" t="s">
        <v>84</v>
      </c>
      <c r="C49" s="14"/>
      <c r="D49" s="14"/>
      <c r="E49" s="15">
        <v>9.4613399999999999</v>
      </c>
      <c r="F49" s="15">
        <v>14.8161</v>
      </c>
      <c r="G49" s="15">
        <v>11.4002</v>
      </c>
      <c r="H49" s="15">
        <v>9.1909700000000001</v>
      </c>
      <c r="I49" s="15">
        <v>5.4803600000000001</v>
      </c>
      <c r="J49" s="15">
        <v>13.176600000000001</v>
      </c>
      <c r="K49" s="15">
        <v>13.3172</v>
      </c>
      <c r="L49" s="15">
        <v>9.2827999999999999</v>
      </c>
      <c r="M49" s="15">
        <v>11.116400000000001</v>
      </c>
      <c r="N49" s="15">
        <v>15.3376</v>
      </c>
      <c r="O49" s="15">
        <v>15.5503</v>
      </c>
      <c r="P49" s="15">
        <v>9.4613399999999999</v>
      </c>
      <c r="Q49" s="15">
        <v>7.2602000000000002</v>
      </c>
      <c r="R49" s="15">
        <v>10.486800000000001</v>
      </c>
      <c r="S49" s="15">
        <v>12.3832</v>
      </c>
      <c r="T49" s="15">
        <v>11.4002</v>
      </c>
      <c r="U49" s="15">
        <v>10.61</v>
      </c>
      <c r="V49" s="15">
        <v>18.953499999999998</v>
      </c>
      <c r="W49" s="15">
        <v>13.5497</v>
      </c>
      <c r="X49" s="15">
        <v>9.0844000000000005</v>
      </c>
      <c r="Y49" s="15">
        <v>11.4002</v>
      </c>
      <c r="Z49" s="15">
        <v>3.88042</v>
      </c>
      <c r="AA49" s="15">
        <v>44.174300000000002</v>
      </c>
      <c r="AB49" s="15">
        <v>13.0284</v>
      </c>
      <c r="AC49" s="15">
        <v>9.4613399999999999</v>
      </c>
      <c r="AD49" s="15">
        <v>9.8940300000000008</v>
      </c>
      <c r="AE49" s="15">
        <v>8.1748899999999995</v>
      </c>
      <c r="AF49" s="15">
        <v>10.821300000000001</v>
      </c>
      <c r="AG49" s="15">
        <v>9.8859200000000005</v>
      </c>
      <c r="AH49" s="15">
        <v>6.0590999999999999</v>
      </c>
      <c r="AI49" s="15">
        <v>10.5083</v>
      </c>
      <c r="AJ49" s="15">
        <v>6.5694900000000001</v>
      </c>
      <c r="AK49" s="15">
        <v>11.4002</v>
      </c>
      <c r="AL49" s="15">
        <v>13.005100000000001</v>
      </c>
      <c r="AM49" s="15">
        <v>15.908899999999999</v>
      </c>
      <c r="AN49" s="15">
        <v>8.29359</v>
      </c>
      <c r="AO49" s="15">
        <v>15.1126</v>
      </c>
    </row>
    <row r="50" spans="2:41" ht="14.4">
      <c r="B50" s="14" t="s">
        <v>65</v>
      </c>
      <c r="C50" s="14"/>
      <c r="D50" s="14"/>
      <c r="E50" s="15">
        <v>127.303</v>
      </c>
      <c r="F50" s="15">
        <v>0</v>
      </c>
      <c r="G50" s="15">
        <v>24.028199999999998</v>
      </c>
      <c r="H50" s="15">
        <v>24.198699999999999</v>
      </c>
      <c r="I50" s="15">
        <v>55.4985</v>
      </c>
      <c r="J50" s="15">
        <v>0</v>
      </c>
      <c r="K50" s="15">
        <v>0</v>
      </c>
      <c r="L50" s="15">
        <v>0</v>
      </c>
      <c r="M50" s="15">
        <v>21.715699999999998</v>
      </c>
      <c r="N50" s="15">
        <v>23.837399999999999</v>
      </c>
      <c r="O50" s="15">
        <v>0</v>
      </c>
      <c r="P50" s="15">
        <v>127.303</v>
      </c>
      <c r="Q50" s="15">
        <v>0</v>
      </c>
      <c r="R50" s="15">
        <v>0</v>
      </c>
      <c r="S50" s="15">
        <v>8.9685299999999994</v>
      </c>
      <c r="T50" s="15">
        <v>24.028199999999998</v>
      </c>
      <c r="U50" s="15">
        <v>100.03700000000001</v>
      </c>
      <c r="V50" s="15">
        <v>106.209</v>
      </c>
      <c r="W50" s="15">
        <v>0</v>
      </c>
      <c r="X50" s="15">
        <v>7.9006800000000004</v>
      </c>
      <c r="Y50" s="15">
        <v>24.028199999999998</v>
      </c>
      <c r="Z50" s="15">
        <v>0</v>
      </c>
      <c r="AA50" s="15">
        <v>0</v>
      </c>
      <c r="AB50" s="15">
        <v>23.205300000000001</v>
      </c>
      <c r="AC50" s="15">
        <v>127.303</v>
      </c>
      <c r="AD50" s="15">
        <v>0</v>
      </c>
      <c r="AE50" s="15">
        <v>0</v>
      </c>
      <c r="AF50" s="15">
        <v>19.421299999999999</v>
      </c>
      <c r="AG50" s="15">
        <v>0</v>
      </c>
      <c r="AH50" s="15">
        <v>10.713200000000001</v>
      </c>
      <c r="AI50" s="15">
        <v>12.294600000000001</v>
      </c>
      <c r="AJ50" s="15">
        <v>1.3607100000000001</v>
      </c>
      <c r="AK50" s="15">
        <v>24.028199999999998</v>
      </c>
      <c r="AL50" s="15">
        <v>0</v>
      </c>
      <c r="AM50" s="15">
        <v>0</v>
      </c>
      <c r="AN50" s="15">
        <v>9.1716899999999999</v>
      </c>
      <c r="AO50" s="15">
        <v>38.757399999999997</v>
      </c>
    </row>
    <row r="51" spans="2:41" ht="14.4">
      <c r="B51" s="14" t="s">
        <v>66</v>
      </c>
      <c r="C51" s="14"/>
      <c r="D51" s="14"/>
      <c r="E51" s="15">
        <v>108.955</v>
      </c>
      <c r="F51" s="15">
        <v>0</v>
      </c>
      <c r="G51" s="15">
        <v>24.028199999999998</v>
      </c>
      <c r="H51" s="15">
        <v>24.181799999999999</v>
      </c>
      <c r="I51" s="15">
        <v>55.501399999999997</v>
      </c>
      <c r="J51" s="15">
        <v>0</v>
      </c>
      <c r="K51" s="15">
        <v>0</v>
      </c>
      <c r="L51" s="15">
        <v>0</v>
      </c>
      <c r="M51" s="15">
        <v>21.552299999999999</v>
      </c>
      <c r="N51" s="15">
        <v>22.719000000000001</v>
      </c>
      <c r="O51" s="15">
        <v>0</v>
      </c>
      <c r="P51" s="15">
        <v>108.955</v>
      </c>
      <c r="Q51" s="15">
        <v>0</v>
      </c>
      <c r="R51" s="15">
        <v>0</v>
      </c>
      <c r="S51" s="15">
        <v>9.4785799999999991</v>
      </c>
      <c r="T51" s="15">
        <v>24.028199999999998</v>
      </c>
      <c r="U51" s="15">
        <v>100.03700000000001</v>
      </c>
      <c r="V51" s="15">
        <v>48.545</v>
      </c>
      <c r="W51" s="15">
        <v>0</v>
      </c>
      <c r="X51" s="15">
        <v>8.7792300000000001</v>
      </c>
      <c r="Y51" s="15">
        <v>24.028199999999998</v>
      </c>
      <c r="Z51" s="15">
        <v>0</v>
      </c>
      <c r="AA51" s="15">
        <v>0</v>
      </c>
      <c r="AB51" s="15">
        <v>23.205300000000001</v>
      </c>
      <c r="AC51" s="15">
        <v>108.955</v>
      </c>
      <c r="AD51" s="15">
        <v>0</v>
      </c>
      <c r="AE51" s="15">
        <v>0</v>
      </c>
      <c r="AF51" s="15">
        <v>19.416699999999999</v>
      </c>
      <c r="AG51" s="15">
        <v>0</v>
      </c>
      <c r="AH51" s="15">
        <v>10.713200000000001</v>
      </c>
      <c r="AI51" s="15">
        <v>12.1586</v>
      </c>
      <c r="AJ51" s="15">
        <v>1.3607100000000001</v>
      </c>
      <c r="AK51" s="15">
        <v>24.028199999999998</v>
      </c>
      <c r="AL51" s="15">
        <v>0</v>
      </c>
      <c r="AM51" s="15">
        <v>0</v>
      </c>
      <c r="AN51" s="15">
        <v>9.1716899999999999</v>
      </c>
      <c r="AO51" s="15">
        <v>35.505299999999998</v>
      </c>
    </row>
    <row r="52" spans="2:41" ht="14.4">
      <c r="B52" s="14" t="s">
        <v>67</v>
      </c>
      <c r="C52" s="14"/>
      <c r="D52" s="14"/>
      <c r="E52" s="15">
        <v>83.713399999999993</v>
      </c>
      <c r="F52" s="15">
        <v>0</v>
      </c>
      <c r="G52" s="15">
        <v>24.028199999999998</v>
      </c>
      <c r="H52" s="15">
        <v>24.099799999999998</v>
      </c>
      <c r="I52" s="15">
        <v>55.508000000000003</v>
      </c>
      <c r="J52" s="15">
        <v>0</v>
      </c>
      <c r="K52" s="15">
        <v>0</v>
      </c>
      <c r="L52" s="15">
        <v>0</v>
      </c>
      <c r="M52" s="15">
        <v>21.462399999999999</v>
      </c>
      <c r="N52" s="15">
        <v>21.683399999999999</v>
      </c>
      <c r="O52" s="15">
        <v>0</v>
      </c>
      <c r="P52" s="15">
        <v>83.713399999999993</v>
      </c>
      <c r="Q52" s="15">
        <v>0</v>
      </c>
      <c r="R52" s="15">
        <v>0</v>
      </c>
      <c r="S52" s="15">
        <v>9.6721800000000009</v>
      </c>
      <c r="T52" s="15">
        <v>24.028199999999998</v>
      </c>
      <c r="U52" s="15">
        <v>100.03700000000001</v>
      </c>
      <c r="V52" s="15">
        <v>38.860300000000002</v>
      </c>
      <c r="W52" s="15">
        <v>0</v>
      </c>
      <c r="X52" s="15">
        <v>11.298</v>
      </c>
      <c r="Y52" s="15">
        <v>24.028199999999998</v>
      </c>
      <c r="Z52" s="15">
        <v>0</v>
      </c>
      <c r="AA52" s="15">
        <v>0</v>
      </c>
      <c r="AB52" s="15">
        <v>23.205300000000001</v>
      </c>
      <c r="AC52" s="15">
        <v>83.713399999999993</v>
      </c>
      <c r="AD52" s="15">
        <v>0</v>
      </c>
      <c r="AE52" s="15">
        <v>0</v>
      </c>
      <c r="AF52" s="15">
        <v>19.435600000000001</v>
      </c>
      <c r="AG52" s="15">
        <v>0</v>
      </c>
      <c r="AH52" s="15">
        <v>10.713200000000001</v>
      </c>
      <c r="AI52" s="15">
        <v>11.634600000000001</v>
      </c>
      <c r="AJ52" s="15">
        <v>1.3607100000000001</v>
      </c>
      <c r="AK52" s="15">
        <v>24.028199999999998</v>
      </c>
      <c r="AL52" s="15">
        <v>0</v>
      </c>
      <c r="AM52" s="15">
        <v>0</v>
      </c>
      <c r="AN52" s="15">
        <v>9.1716899999999999</v>
      </c>
      <c r="AO52" s="15">
        <v>29.854099999999999</v>
      </c>
    </row>
    <row r="53" spans="2:41" ht="14.4">
      <c r="B53" s="14" t="s">
        <v>68</v>
      </c>
      <c r="C53" s="14"/>
      <c r="D53" s="14"/>
      <c r="E53" s="15">
        <v>118.13500000000001</v>
      </c>
      <c r="F53" s="15">
        <v>0</v>
      </c>
      <c r="G53" s="15">
        <v>24.028199999999998</v>
      </c>
      <c r="H53" s="15">
        <v>24.2529</v>
      </c>
      <c r="I53" s="15">
        <v>65.521299999999997</v>
      </c>
      <c r="J53" s="15">
        <v>0</v>
      </c>
      <c r="K53" s="15">
        <v>0</v>
      </c>
      <c r="L53" s="15">
        <v>0</v>
      </c>
      <c r="M53" s="15">
        <v>21.535799999999998</v>
      </c>
      <c r="N53" s="15">
        <v>22.423100000000002</v>
      </c>
      <c r="O53" s="15">
        <v>0</v>
      </c>
      <c r="P53" s="15">
        <v>118.13500000000001</v>
      </c>
      <c r="Q53" s="15">
        <v>0</v>
      </c>
      <c r="R53" s="15">
        <v>0</v>
      </c>
      <c r="S53" s="15">
        <v>9.7871400000000008</v>
      </c>
      <c r="T53" s="15">
        <v>24.028199999999998</v>
      </c>
      <c r="U53" s="15">
        <v>100.03700000000001</v>
      </c>
      <c r="V53" s="15">
        <v>34.800699999999999</v>
      </c>
      <c r="W53" s="15">
        <v>0</v>
      </c>
      <c r="X53" s="15">
        <v>8.2216000000000005</v>
      </c>
      <c r="Y53" s="15">
        <v>24.028199999999998</v>
      </c>
      <c r="Z53" s="15">
        <v>0</v>
      </c>
      <c r="AA53" s="15">
        <v>0</v>
      </c>
      <c r="AB53" s="15">
        <v>23.205300000000001</v>
      </c>
      <c r="AC53" s="15">
        <v>118.13500000000001</v>
      </c>
      <c r="AD53" s="15">
        <v>0</v>
      </c>
      <c r="AE53" s="15">
        <v>0</v>
      </c>
      <c r="AF53" s="15">
        <v>19.4133</v>
      </c>
      <c r="AG53" s="15">
        <v>0</v>
      </c>
      <c r="AH53" s="15">
        <v>10.713200000000001</v>
      </c>
      <c r="AI53" s="15">
        <v>12.153499999999999</v>
      </c>
      <c r="AJ53" s="15">
        <v>1.3607100000000001</v>
      </c>
      <c r="AK53" s="15">
        <v>24.028199999999998</v>
      </c>
      <c r="AL53" s="15">
        <v>0</v>
      </c>
      <c r="AM53" s="15">
        <v>0</v>
      </c>
      <c r="AN53" s="15">
        <v>9.1716899999999999</v>
      </c>
      <c r="AO53" s="15">
        <v>36.0533</v>
      </c>
    </row>
    <row r="54" spans="2:41" ht="14.4">
      <c r="B54" s="14" t="s">
        <v>85</v>
      </c>
      <c r="C54" s="14"/>
      <c r="D54" s="14"/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12.6342</v>
      </c>
      <c r="M54" s="15">
        <v>0</v>
      </c>
      <c r="N54" s="15">
        <v>8.8403299999999998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12.6557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13.200200000000001</v>
      </c>
      <c r="AG54" s="15">
        <v>0</v>
      </c>
      <c r="AH54" s="15">
        <v>9.1143300000000007</v>
      </c>
      <c r="AI54" s="15">
        <v>14.3268</v>
      </c>
      <c r="AJ54" s="15">
        <v>0</v>
      </c>
      <c r="AK54" s="15">
        <v>0</v>
      </c>
      <c r="AL54" s="15">
        <v>13.193099999999999</v>
      </c>
      <c r="AM54" s="15">
        <v>0</v>
      </c>
      <c r="AN54" s="15">
        <v>0</v>
      </c>
      <c r="AO54" s="15">
        <v>11.5725</v>
      </c>
    </row>
    <row r="55" spans="2:41" ht="14.4">
      <c r="B55" s="14" t="s">
        <v>86</v>
      </c>
      <c r="C55" s="14"/>
      <c r="D55" s="14"/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12.6325</v>
      </c>
      <c r="M55" s="15">
        <v>0</v>
      </c>
      <c r="N55" s="15">
        <v>8.4369899999999998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12.6557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13.202</v>
      </c>
      <c r="AG55" s="15">
        <v>0</v>
      </c>
      <c r="AH55" s="15">
        <v>9.1143300000000007</v>
      </c>
      <c r="AI55" s="15">
        <v>14.397600000000001</v>
      </c>
      <c r="AJ55" s="15">
        <v>0</v>
      </c>
      <c r="AK55" s="15">
        <v>0</v>
      </c>
      <c r="AL55" s="15">
        <v>13.440200000000001</v>
      </c>
      <c r="AM55" s="15">
        <v>0</v>
      </c>
      <c r="AN55" s="15">
        <v>0</v>
      </c>
      <c r="AO55" s="15">
        <v>10.4354</v>
      </c>
    </row>
    <row r="56" spans="2:41" ht="14.4">
      <c r="B56" s="14" t="s">
        <v>87</v>
      </c>
      <c r="C56" s="14"/>
      <c r="D56" s="14"/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11.6523</v>
      </c>
      <c r="M56" s="15">
        <v>0</v>
      </c>
      <c r="N56" s="15">
        <v>9.1547400000000003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12.6557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13.2021</v>
      </c>
      <c r="AG56" s="15">
        <v>0</v>
      </c>
      <c r="AH56" s="15">
        <v>9.1143300000000007</v>
      </c>
      <c r="AI56" s="15">
        <v>14.397600000000001</v>
      </c>
      <c r="AJ56" s="15">
        <v>0</v>
      </c>
      <c r="AK56" s="15">
        <v>0</v>
      </c>
      <c r="AL56" s="15">
        <v>13.390599999999999</v>
      </c>
      <c r="AM56" s="15">
        <v>0</v>
      </c>
      <c r="AN56" s="15">
        <v>0</v>
      </c>
      <c r="AO56" s="15">
        <v>9.1486599999999996</v>
      </c>
    </row>
    <row r="57" spans="2:41" ht="14.4">
      <c r="B57" s="14" t="s">
        <v>88</v>
      </c>
      <c r="C57" s="14"/>
      <c r="D57" s="14"/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12.601699999999999</v>
      </c>
      <c r="M57" s="15">
        <v>0</v>
      </c>
      <c r="N57" s="15">
        <v>8.5523500000000006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12.6557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13.201499999999999</v>
      </c>
      <c r="AG57" s="15">
        <v>0</v>
      </c>
      <c r="AH57" s="15">
        <v>9.1143300000000007</v>
      </c>
      <c r="AI57" s="15">
        <v>14.760400000000001</v>
      </c>
      <c r="AJ57" s="15">
        <v>0</v>
      </c>
      <c r="AK57" s="15">
        <v>0</v>
      </c>
      <c r="AL57" s="15">
        <v>14.0517</v>
      </c>
      <c r="AM57" s="15">
        <v>0</v>
      </c>
      <c r="AN57" s="15">
        <v>0</v>
      </c>
      <c r="AO57" s="15">
        <v>11.174300000000001</v>
      </c>
    </row>
    <row r="58" spans="2:41" ht="14.4">
      <c r="B58" s="14"/>
      <c r="C58" s="14"/>
      <c r="D58" s="14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</row>
    <row r="59" spans="1:41" ht="14.4">
      <c r="A59" t="s">
        <v>214</v>
      </c>
      <c r="B59" s="14" t="s">
        <v>207</v>
      </c>
      <c r="E59" s="19">
        <f>E34*'Average km per veh'!E3+E38*'Average km per veh'!E7+E42*'Average km per veh'!E11+E46*'Average km per veh'!E15+E50*'Average km per veh'!E19+E54*'Average km per veh'!E23</f>
        <v>292.50845015723434</v>
      </c>
      <c r="F59" s="19">
        <f>F34*'Average km per veh'!F3+F38*'Average km per veh'!F7+F42*'Average km per veh'!F11+F46*'Average km per veh'!F15+F50*'Average km per veh'!F19+F54*'Average km per veh'!F23</f>
        <v>17563.332682</v>
      </c>
      <c r="G59" s="19">
        <f>G34*'Average km per veh'!G3+G38*'Average km per veh'!G7+G42*'Average km per veh'!G11+G46*'Average km per veh'!G15+G50*'Average km per veh'!G19+G54*'Average km per veh'!G23</f>
        <v>1294.7274709457845</v>
      </c>
      <c r="H59" s="19">
        <f>H34*'Average km per veh'!H3+H38*'Average km per veh'!H7+H42*'Average km per veh'!H11+H46*'Average km per veh'!H15+H50*'Average km per veh'!H19+H54*'Average km per veh'!H23</f>
        <v>12654.5807616</v>
      </c>
      <c r="I59" s="19">
        <f>I34*'Average km per veh'!I3+I38*'Average km per veh'!I7+I42*'Average km per veh'!I11+I46*'Average km per veh'!I15+I50*'Average km per veh'!I19+I54*'Average km per veh'!I23</f>
        <v>3428.1203884000001</v>
      </c>
      <c r="J59" s="19">
        <f>J34*'Average km per veh'!J3+J38*'Average km per veh'!J7+J42*'Average km per veh'!J11+J46*'Average km per veh'!J15+J50*'Average km per veh'!J19+J54*'Average km per veh'!J23</f>
        <v>17047.678879999999</v>
      </c>
      <c r="K59" s="19">
        <f>K34*'Average km per veh'!K3+K38*'Average km per veh'!K7+K42*'Average km per veh'!K11+K46*'Average km per veh'!K15+K50*'Average km per veh'!K19+K54*'Average km per veh'!K23</f>
        <v>973.909131</v>
      </c>
      <c r="L59" s="19">
        <f>L34*'Average km per veh'!L3+L38*'Average km per veh'!L7+L42*'Average km per veh'!L11+L46*'Average km per veh'!L15+L50*'Average km per veh'!L19+L54*'Average km per veh'!L23</f>
        <v>5693.4317949999995</v>
      </c>
      <c r="M59" s="19">
        <f>M34*'Average km per veh'!M3+M38*'Average km per veh'!M7+M42*'Average km per veh'!M11+M46*'Average km per veh'!M15+M50*'Average km per veh'!M19+M54*'Average km per veh'!M23</f>
        <v>126611.34090900001</v>
      </c>
      <c r="N59" s="19">
        <f>N34*'Average km per veh'!N3+N38*'Average km per veh'!N7+N42*'Average km per veh'!N11+N46*'Average km per veh'!N15+N50*'Average km per veh'!N19+N54*'Average km per veh'!N23</f>
        <v>5215.9668556273009</v>
      </c>
      <c r="O59" s="19">
        <f>O34*'Average km per veh'!O3+O38*'Average km per veh'!O7+O42*'Average km per veh'!O11+O46*'Average km per veh'!O15+O50*'Average km per veh'!O19+O54*'Average km per veh'!O23</f>
        <v>2070.8867970000001</v>
      </c>
      <c r="P59" s="19">
        <f>P34*'Average km per veh'!P3+P38*'Average km per veh'!P7+P42*'Average km per veh'!P11+P46*'Average km per veh'!P15+P50*'Average km per veh'!P19+P54*'Average km per veh'!P23</f>
        <v>3394.8236727999997</v>
      </c>
      <c r="Q59" s="19">
        <f>Q34*'Average km per veh'!Q3+Q38*'Average km per veh'!Q7+Q42*'Average km per veh'!Q11+Q46*'Average km per veh'!Q15+Q50*'Average km per veh'!Q19+Q54*'Average km per veh'!Q23</f>
        <v>56203.067281999996</v>
      </c>
      <c r="R59" s="19">
        <f>R34*'Average km per veh'!R3+R38*'Average km per veh'!R7+R42*'Average km per veh'!R11+R46*'Average km per veh'!R15+R50*'Average km per veh'!R19+R54*'Average km per veh'!R23</f>
        <v>8747.4293170000019</v>
      </c>
      <c r="S59" s="19">
        <f>S34*'Average km per veh'!S3+S38*'Average km per veh'!S7+S42*'Average km per veh'!S11+S46*'Average km per veh'!S15+S50*'Average km per veh'!S19+S54*'Average km per veh'!S23</f>
        <v>58869.589615000004</v>
      </c>
      <c r="T59" s="19">
        <f>T34*'Average km per veh'!T3+T38*'Average km per veh'!T7+T42*'Average km per veh'!T11+T46*'Average km per veh'!T15+T50*'Average km per veh'!T19+T54*'Average km per veh'!T23</f>
        <v>2036.603658</v>
      </c>
      <c r="U59" s="19">
        <f>U34*'Average km per veh'!U3+U38*'Average km per veh'!U7+U42*'Average km per veh'!U11+U46*'Average km per veh'!U15+U50*'Average km per veh'!U19+U54*'Average km per veh'!U23</f>
        <v>3940.1112640000001</v>
      </c>
      <c r="V59" s="19">
        <f>V34*'Average km per veh'!V3+V38*'Average km per veh'!V7+V42*'Average km per veh'!V11+V46*'Average km per veh'!V15+V50*'Average km per veh'!V19+V54*'Average km per veh'!V23</f>
        <v>4686.1281709999994</v>
      </c>
      <c r="W59" s="19">
        <f>W34*'Average km per veh'!W3+W38*'Average km per veh'!W7+W42*'Average km per veh'!W11+W46*'Average km per veh'!W15+W50*'Average km per veh'!W19+W54*'Average km per veh'!W23</f>
        <v>673.51326000000006</v>
      </c>
      <c r="X59" s="19">
        <f>X34*'Average km per veh'!X3+X38*'Average km per veh'!X7+X42*'Average km per veh'!X11+X46*'Average km per veh'!X15+X50*'Average km per veh'!X19+X54*'Average km per veh'!X23</f>
        <v>48285.776906999992</v>
      </c>
      <c r="Y59" s="19">
        <f>Y34*'Average km per veh'!Y3+Y38*'Average km per veh'!Y7+Y42*'Average km per veh'!Y11+Y46*'Average km per veh'!Y15+Y50*'Average km per veh'!Y19+Y54*'Average km per veh'!Y23</f>
        <v>382.73987114834387</v>
      </c>
      <c r="Z59" s="19">
        <f>Z34*'Average km per veh'!Z3+Z38*'Average km per veh'!Z7+Z42*'Average km per veh'!Z11+Z46*'Average km per veh'!Z15+Z50*'Average km per veh'!Z19+Z54*'Average km per veh'!Z23</f>
        <v>2174.4878159999998</v>
      </c>
      <c r="AA59" s="19">
        <f>AA34*'Average km per veh'!AA3+AA38*'Average km per veh'!AA7+AA42*'Average km per veh'!AA11+AA46*'Average km per veh'!AA15+AA50*'Average km per veh'!AA19+AA54*'Average km per veh'!AA23</f>
        <v>5132.2954600000003</v>
      </c>
      <c r="AB59" s="19">
        <f>AB34*'Average km per veh'!AB3+AB38*'Average km per veh'!AB7+AB42*'Average km per veh'!AB11+AB46*'Average km per veh'!AB15+AB50*'Average km per veh'!AB19+AB54*'Average km per veh'!AB23</f>
        <v>2789.6697320000003</v>
      </c>
      <c r="AC59" s="19">
        <f>AC34*'Average km per veh'!AC3+AC38*'Average km per veh'!AC7+AC42*'Average km per veh'!AC11+AC46*'Average km per veh'!AC15+AC50*'Average km per veh'!AC19+AC54*'Average km per veh'!AC23</f>
        <v>97.194639579041279</v>
      </c>
      <c r="AD59" s="19">
        <f>AD34*'Average km per veh'!AD3+AD38*'Average km per veh'!AD7+AD42*'Average km per veh'!AD11+AD46*'Average km per veh'!AD15+AD50*'Average km per veh'!AD19+AD54*'Average km per veh'!AD23</f>
        <v>570.52816200000007</v>
      </c>
      <c r="AE59" s="19">
        <f>AE34*'Average km per veh'!AE3+AE38*'Average km per veh'!AE7+AE42*'Average km per veh'!AE11+AE46*'Average km per veh'!AE15+AE50*'Average km per veh'!AE19+AE54*'Average km per veh'!AE23</f>
        <v>52.902565999999993</v>
      </c>
      <c r="AF59" s="19">
        <f>AF34*'Average km per veh'!AF3+AF38*'Average km per veh'!AF7+AF42*'Average km per veh'!AF11+AF46*'Average km per veh'!AF15+AF50*'Average km per veh'!AF19+AF54*'Average km per veh'!AF23</f>
        <v>22970.010086000002</v>
      </c>
      <c r="AG59" s="19">
        <f>AG34*'Average km per veh'!AG3+AG38*'Average km per veh'!AG7+AG42*'Average km per veh'!AG11+AG46*'Average km per veh'!AG15+AG50*'Average km per veh'!AG19+AG54*'Average km per veh'!AG23</f>
        <v>9755.2577885999999</v>
      </c>
      <c r="AH59" s="19">
        <f>AH34*'Average km per veh'!AH3+AH38*'Average km per veh'!AH7+AH42*'Average km per veh'!AH11+AH46*'Average km per veh'!AH15+AH50*'Average km per veh'!AH19+AH54*'Average km per veh'!AH23</f>
        <v>16067.663566899999</v>
      </c>
      <c r="AI59" s="19">
        <f>AI34*'Average km per veh'!AI3+AI38*'Average km per veh'!AI7+AI42*'Average km per veh'!AI11+AI46*'Average km per veh'!AI15+AI50*'Average km per veh'!AI19+AI54*'Average km per veh'!AI23</f>
        <v>8879.3730480000013</v>
      </c>
      <c r="AJ59" s="19">
        <f>AJ34*'Average km per veh'!AJ3+AJ38*'Average km per veh'!AJ7+AJ42*'Average km per veh'!AJ11+AJ46*'Average km per veh'!AJ15+AJ50*'Average km per veh'!AJ19+AJ54*'Average km per veh'!AJ23</f>
        <v>3821.1990908999996</v>
      </c>
      <c r="AK59" s="19">
        <f>AK34*'Average km per veh'!AK3+AK38*'Average km per veh'!AK7+AK42*'Average km per veh'!AK11+AK46*'Average km per veh'!AK15+AK50*'Average km per veh'!AK19+AK54*'Average km per veh'!AK23</f>
        <v>2500.0671329911147</v>
      </c>
      <c r="AL59" s="19">
        <f>AL34*'Average km per veh'!AL3+AL38*'Average km per veh'!AL7+AL42*'Average km per veh'!AL11+AL46*'Average km per veh'!AL15+AL50*'Average km per veh'!AL19+AL54*'Average km per veh'!AL23</f>
        <v>31411.905327600001</v>
      </c>
      <c r="AM59" s="19">
        <f>AM34*'Average km per veh'!AM3+AM38*'Average km per veh'!AM7+AM42*'Average km per veh'!AM11+AM46*'Average km per veh'!AM15+AM50*'Average km per veh'!AM19+AM54*'Average km per veh'!AM23</f>
        <v>2098.2147099999997</v>
      </c>
      <c r="AN59" s="19">
        <f>AN34*'Average km per veh'!AN3+AN38*'Average km per veh'!AN7+AN42*'Average km per veh'!AN11+AN46*'Average km per veh'!AN15+AN50*'Average km per veh'!AN19+AN54*'Average km per veh'!AN23</f>
        <v>1676.0009682000002</v>
      </c>
      <c r="AO59" s="19">
        <f>AO34*'Average km per veh'!AO3+AO38*'Average km per veh'!AO7+AO42*'Average km per veh'!AO11+AO46*'Average km per veh'!AO15+AO50*'Average km per veh'!AO19+AO54*'Average km per veh'!AO23</f>
        <v>71044.728204999992</v>
      </c>
    </row>
    <row r="60" spans="2:41" ht="14.4">
      <c r="B60" s="14" t="s">
        <v>208</v>
      </c>
      <c r="E60" s="19">
        <f>E35*'Average km per veh'!E4+E39*'Average km per veh'!E8+E43*'Average km per veh'!E12+E47*'Average km per veh'!E16+E51*'Average km per veh'!E20+E55*'Average km per veh'!E24</f>
        <v>579.7066423825579</v>
      </c>
      <c r="F60" s="19">
        <f>F35*'Average km per veh'!F4+F39*'Average km per veh'!F8+F43*'Average km per veh'!F12+F47*'Average km per veh'!F16+F51*'Average km per veh'!F20+F55*'Average km per veh'!F24</f>
        <v>30263.028145</v>
      </c>
      <c r="G60" s="19">
        <f>G35*'Average km per veh'!G4+G39*'Average km per veh'!G8+G43*'Average km per veh'!G12+G47*'Average km per veh'!G16+G51*'Average km per veh'!G20+G55*'Average km per veh'!G24</f>
        <v>3327.2237733982365</v>
      </c>
      <c r="H60" s="19">
        <f>H35*'Average km per veh'!H4+H39*'Average km per veh'!H8+H43*'Average km per veh'!H12+H47*'Average km per veh'!H16+H51*'Average km per veh'!H20+H55*'Average km per veh'!H24</f>
        <v>31266.688927000003</v>
      </c>
      <c r="I60" s="19">
        <f>I35*'Average km per veh'!I4+I39*'Average km per veh'!I8+I43*'Average km per veh'!I12+I47*'Average km per veh'!I16+I51*'Average km per veh'!I20+I55*'Average km per veh'!I24</f>
        <v>7761.4346326000004</v>
      </c>
      <c r="J60" s="19">
        <f>J35*'Average km per veh'!J4+J39*'Average km per veh'!J8+J43*'Average km per veh'!J12+J47*'Average km per veh'!J16+J51*'Average km per veh'!J20+J55*'Average km per veh'!J24</f>
        <v>17788.139881999999</v>
      </c>
      <c r="K60" s="19">
        <f>K35*'Average km per veh'!K4+K39*'Average km per veh'!K8+K43*'Average km per veh'!K12+K47*'Average km per veh'!K16+K51*'Average km per veh'!K20+K55*'Average km per veh'!K24</f>
        <v>2588.1770400000005</v>
      </c>
      <c r="L60" s="19">
        <f>L35*'Average km per veh'!L4+L39*'Average km per veh'!L8+L43*'Average km per veh'!L12+L47*'Average km per veh'!L16+L51*'Average km per veh'!L20+L55*'Average km per veh'!L24</f>
        <v>13470.467101999999</v>
      </c>
      <c r="M60" s="19">
        <f>M35*'Average km per veh'!M4+M39*'Average km per veh'!M8+M43*'Average km per veh'!M12+M47*'Average km per veh'!M16+M51*'Average km per veh'!M20+M55*'Average km per veh'!M24</f>
        <v>181127.05009199999</v>
      </c>
      <c r="N60" s="19">
        <f>N35*'Average km per veh'!N4+N39*'Average km per veh'!N8+N43*'Average km per veh'!N12+N47*'Average km per veh'!N16+N51*'Average km per veh'!N20+N55*'Average km per veh'!N24</f>
        <v>15556.993916436712</v>
      </c>
      <c r="O60" s="19">
        <f>O35*'Average km per veh'!O4+O39*'Average km per veh'!O8+O43*'Average km per veh'!O12+O47*'Average km per veh'!O16+O51*'Average km per veh'!O20+O55*'Average km per veh'!O24</f>
        <v>2422.6184899999998</v>
      </c>
      <c r="P60" s="19">
        <f>P35*'Average km per veh'!P4+P39*'Average km per veh'!P8+P43*'Average km per veh'!P12+P47*'Average km per veh'!P16+P51*'Average km per veh'!P20+P55*'Average km per veh'!P24</f>
        <v>12983.245796800002</v>
      </c>
      <c r="Q60" s="19">
        <f>Q35*'Average km per veh'!Q4+Q39*'Average km per veh'!Q8+Q43*'Average km per veh'!Q12+Q47*'Average km per veh'!Q16+Q51*'Average km per veh'!Q20+Q55*'Average km per veh'!Q24</f>
        <v>104037.27913949999</v>
      </c>
      <c r="R60" s="19">
        <f>R35*'Average km per veh'!R4+R39*'Average km per veh'!R8+R43*'Average km per veh'!R12+R47*'Average km per veh'!R16+R51*'Average km per veh'!R20+R55*'Average km per veh'!R24</f>
        <v>12914.861632</v>
      </c>
      <c r="S60" s="19">
        <f>S35*'Average km per veh'!S4+S39*'Average km per veh'!S8+S43*'Average km per veh'!S12+S47*'Average km per veh'!S16+S51*'Average km per veh'!S20+S55*'Average km per veh'!S24</f>
        <v>147171.01739759999</v>
      </c>
      <c r="T60" s="19">
        <f>T35*'Average km per veh'!T4+T39*'Average km per veh'!T8+T43*'Average km per veh'!T12+T47*'Average km per veh'!T16+T51*'Average km per veh'!T20+T55*'Average km per veh'!T24</f>
        <v>5824.8088890000008</v>
      </c>
      <c r="U60" s="19">
        <f>U35*'Average km per veh'!U4+U39*'Average km per veh'!U8+U43*'Average km per veh'!U12+U47*'Average km per veh'!U16+U51*'Average km per veh'!U20+U55*'Average km per veh'!U24</f>
        <v>9709.9567900000002</v>
      </c>
      <c r="V60" s="19">
        <f>V35*'Average km per veh'!V4+V39*'Average km per veh'!V8+V43*'Average km per veh'!V12+V47*'Average km per veh'!V16+V51*'Average km per veh'!V20+V55*'Average km per veh'!V24</f>
        <v>14692.803235999998</v>
      </c>
      <c r="W60" s="19">
        <f>W35*'Average km per veh'!W4+W39*'Average km per veh'!W8+W43*'Average km per veh'!W12+W47*'Average km per veh'!W16+W51*'Average km per veh'!W20+W55*'Average km per veh'!W24</f>
        <v>1084.4326349999999</v>
      </c>
      <c r="X60" s="19">
        <f>X35*'Average km per veh'!X4+X39*'Average km per veh'!X8+X43*'Average km per veh'!X12+X47*'Average km per veh'!X16+X51*'Average km per veh'!X20+X55*'Average km per veh'!X24</f>
        <v>106810.13120110003</v>
      </c>
      <c r="Y60" s="19">
        <f>Y35*'Average km per veh'!Y4+Y39*'Average km per veh'!Y8+Y43*'Average km per veh'!Y12+Y47*'Average km per veh'!Y16+Y51*'Average km per veh'!Y20+Y55*'Average km per veh'!Y24</f>
        <v>984.99025116344967</v>
      </c>
      <c r="Z60" s="19">
        <f>Z35*'Average km per veh'!Z4+Z39*'Average km per veh'!Z8+Z43*'Average km per veh'!Z12+Z47*'Average km per veh'!Z16+Z51*'Average km per veh'!Z20+Z55*'Average km per veh'!Z24</f>
        <v>2318.1717486000002</v>
      </c>
      <c r="AA60" s="19">
        <f>AA35*'Average km per veh'!AA4+AA39*'Average km per veh'!AA8+AA43*'Average km per veh'!AA12+AA47*'Average km per veh'!AA16+AA51*'Average km per veh'!AA20+AA55*'Average km per veh'!AA24</f>
        <v>5962.4116379999996</v>
      </c>
      <c r="AB60" s="19">
        <f>AB35*'Average km per veh'!AB4+AB39*'Average km per veh'!AB8+AB43*'Average km per veh'!AB12+AB47*'Average km per veh'!AB16+AB51*'Average km per veh'!AB20+AB55*'Average km per veh'!AB24</f>
        <v>2834.5249900000003</v>
      </c>
      <c r="AC60" s="19">
        <f>AC35*'Average km per veh'!AC4+AC39*'Average km per veh'!AC8+AC43*'Average km per veh'!AC12+AC47*'Average km per veh'!AC16+AC51*'Average km per veh'!AC20+AC55*'Average km per veh'!AC24</f>
        <v>241.74031163813885</v>
      </c>
      <c r="AD60" s="19">
        <f>AD35*'Average km per veh'!AD4+AD39*'Average km per veh'!AD8+AD43*'Average km per veh'!AD12+AD47*'Average km per veh'!AD16+AD51*'Average km per veh'!AD20+AD55*'Average km per veh'!AD24</f>
        <v>1168.6341551999999</v>
      </c>
      <c r="AE60" s="19">
        <f>AE35*'Average km per veh'!AE4+AE39*'Average km per veh'!AE8+AE43*'Average km per veh'!AE12+AE47*'Average km per veh'!AE16+AE51*'Average km per veh'!AE20+AE55*'Average km per veh'!AE24</f>
        <v>262.29209059999999</v>
      </c>
      <c r="AF60" s="19">
        <f>AF35*'Average km per veh'!AF4+AF39*'Average km per veh'!AF8+AF43*'Average km per veh'!AF12+AF47*'Average km per veh'!AF16+AF51*'Average km per veh'!AF20+AF55*'Average km per veh'!AF24</f>
        <v>32291.038309600001</v>
      </c>
      <c r="AG60" s="19">
        <f>AG35*'Average km per veh'!AG4+AG39*'Average km per veh'!AG8+AG43*'Average km per veh'!AG12+AG47*'Average km per veh'!AG16+AG51*'Average km per veh'!AG20+AG55*'Average km per veh'!AG24</f>
        <v>8867.2373279999993</v>
      </c>
      <c r="AH60" s="19">
        <f>AH35*'Average km per veh'!AH4+AH39*'Average km per veh'!AH8+AH43*'Average km per veh'!AH12+AH47*'Average km per veh'!AH16+AH51*'Average km per veh'!AH20+AH55*'Average km per veh'!AH24</f>
        <v>43448.570593099997</v>
      </c>
      <c r="AI60" s="19">
        <f>AI35*'Average km per veh'!AI4+AI39*'Average km per veh'!AI8+AI43*'Average km per veh'!AI12+AI47*'Average km per veh'!AI16+AI51*'Average km per veh'!AI20+AI55*'Average km per veh'!AI24</f>
        <v>16060.663865999999</v>
      </c>
      <c r="AJ60" s="19">
        <f>AJ35*'Average km per veh'!AJ4+AJ39*'Average km per veh'!AJ8+AJ43*'Average km per veh'!AJ12+AJ47*'Average km per veh'!AJ16+AJ51*'Average km per veh'!AJ20+AJ55*'Average km per veh'!AJ24</f>
        <v>8292.6148604999998</v>
      </c>
      <c r="AK60" s="19">
        <f>AK35*'Average km per veh'!AK4+AK39*'Average km per veh'!AK8+AK43*'Average km per veh'!AK12+AK47*'Average km per veh'!AK16+AK51*'Average km per veh'!AK20+AK55*'Average km per veh'!AK24</f>
        <v>6744.3187339074293</v>
      </c>
      <c r="AL60" s="19">
        <f>AL35*'Average km per veh'!AL4+AL39*'Average km per veh'!AL8+AL43*'Average km per veh'!AL12+AL47*'Average km per veh'!AL16+AL51*'Average km per veh'!AL20+AL55*'Average km per veh'!AL24</f>
        <v>18652.340091000002</v>
      </c>
      <c r="AM60" s="19">
        <f>AM35*'Average km per veh'!AM4+AM39*'Average km per veh'!AM8+AM43*'Average km per veh'!AM12+AM47*'Average km per veh'!AM16+AM51*'Average km per veh'!AM20+AM55*'Average km per veh'!AM24</f>
        <v>6141.5486820000006</v>
      </c>
      <c r="AN60" s="19">
        <f>AN35*'Average km per veh'!AN4+AN39*'Average km per veh'!AN8+AN43*'Average km per veh'!AN12+AN47*'Average km per veh'!AN16+AN51*'Average km per veh'!AN20+AN55*'Average km per veh'!AN24</f>
        <v>3796.8463624000001</v>
      </c>
      <c r="AO60" s="19">
        <f>AO35*'Average km per veh'!AO4+AO39*'Average km per veh'!AO8+AO43*'Average km per veh'!AO12+AO47*'Average km per veh'!AO16+AO51*'Average km per veh'!AO20+AO55*'Average km per veh'!AO24</f>
        <v>127766.238583</v>
      </c>
    </row>
    <row r="61" spans="2:41" ht="14.4">
      <c r="B61" s="14" t="s">
        <v>209</v>
      </c>
      <c r="E61" s="19">
        <f>E36*'Average km per veh'!E5+E40*'Average km per veh'!E9+E44*'Average km per veh'!E13+E48*'Average km per veh'!E17+E52*'Average km per veh'!E21+E56*'Average km per veh'!E25</f>
        <v>751.80708005297208</v>
      </c>
      <c r="F61" s="19">
        <f>F36*'Average km per veh'!F5+F40*'Average km per veh'!F9+F44*'Average km per veh'!F13+F48*'Average km per veh'!F17+F52*'Average km per veh'!F21+F56*'Average km per veh'!F25</f>
        <v>37798.74338</v>
      </c>
      <c r="G61" s="19">
        <f>G36*'Average km per veh'!G5+G40*'Average km per veh'!G9+G44*'Average km per veh'!G13+G48*'Average km per veh'!G17+G52*'Average km per veh'!G21+G56*'Average km per veh'!G25</f>
        <v>5491.6326733731003</v>
      </c>
      <c r="H61" s="19">
        <f>H36*'Average km per veh'!H5+H40*'Average km per veh'!H9+H44*'Average km per veh'!H13+H48*'Average km per veh'!H17+H52*'Average km per veh'!H21+H56*'Average km per veh'!H25</f>
        <v>37663.351933999998</v>
      </c>
      <c r="I61" s="19">
        <f>I36*'Average km per veh'!I5+I40*'Average km per veh'!I9+I44*'Average km per veh'!I13+I48*'Average km per veh'!I17+I52*'Average km per veh'!I21+I56*'Average km per veh'!I25</f>
        <v>11162.845181500001</v>
      </c>
      <c r="J61" s="19">
        <f>J36*'Average km per veh'!J5+J40*'Average km per veh'!J9+J44*'Average km per veh'!J13+J48*'Average km per veh'!J17+J52*'Average km per veh'!J21+J56*'Average km per veh'!J25</f>
        <v>14131.748601000001</v>
      </c>
      <c r="K61" s="19">
        <f>K36*'Average km per veh'!K5+K40*'Average km per veh'!K9+K44*'Average km per veh'!K13+K48*'Average km per veh'!K17+K52*'Average km per veh'!K21+K56*'Average km per veh'!K25</f>
        <v>2476.7096280000005</v>
      </c>
      <c r="L61" s="19">
        <f>L36*'Average km per veh'!L5+L40*'Average km per veh'!L9+L44*'Average km per veh'!L13+L48*'Average km per veh'!L17+L52*'Average km per veh'!L21+L56*'Average km per veh'!L25</f>
        <v>26518.064515499998</v>
      </c>
      <c r="M61" s="19">
        <f>M36*'Average km per veh'!M5+M40*'Average km per veh'!M9+M44*'Average km per veh'!M13+M48*'Average km per veh'!M17+M52*'Average km per veh'!M21+M56*'Average km per veh'!M25</f>
        <v>197765.81083950002</v>
      </c>
      <c r="N61" s="19">
        <f>N36*'Average km per veh'!N5+N40*'Average km per veh'!N9+N44*'Average km per veh'!N13+N48*'Average km per veh'!N17+N52*'Average km per veh'!N21+N56*'Average km per veh'!N25</f>
        <v>14776.51010707989</v>
      </c>
      <c r="O61" s="19">
        <f>O36*'Average km per veh'!O5+O40*'Average km per veh'!O9+O44*'Average km per veh'!O13+O48*'Average km per veh'!O17+O52*'Average km per veh'!O21+O56*'Average km per veh'!O25</f>
        <v>1407.328767</v>
      </c>
      <c r="P61" s="19">
        <f>P36*'Average km per veh'!P5+P40*'Average km per veh'!P9+P44*'Average km per veh'!P13+P48*'Average km per veh'!P17+P52*'Average km per veh'!P21+P56*'Average km per veh'!P25</f>
        <v>20747.363257999998</v>
      </c>
      <c r="Q61" s="19">
        <f>Q36*'Average km per veh'!Q5+Q40*'Average km per veh'!Q9+Q44*'Average km per veh'!Q13+Q48*'Average km per veh'!Q17+Q52*'Average km per veh'!Q21+Q56*'Average km per veh'!Q25</f>
        <v>81879.796854</v>
      </c>
      <c r="R61" s="19">
        <f>R36*'Average km per veh'!R5+R40*'Average km per veh'!R9+R44*'Average km per veh'!R13+R48*'Average km per veh'!R17+R52*'Average km per veh'!R21+R56*'Average km per veh'!R25</f>
        <v>10165.630066</v>
      </c>
      <c r="S61" s="19">
        <f>S36*'Average km per veh'!S5+S40*'Average km per veh'!S9+S44*'Average km per veh'!S13+S48*'Average km per veh'!S17+S52*'Average km per veh'!S21+S56*'Average km per veh'!S25</f>
        <v>198682.18440379997</v>
      </c>
      <c r="T61" s="19">
        <f>T36*'Average km per veh'!T5+T40*'Average km per veh'!T9+T44*'Average km per veh'!T13+T48*'Average km per veh'!T17+T52*'Average km per veh'!T21+T56*'Average km per veh'!T25</f>
        <v>11230.968018</v>
      </c>
      <c r="U61" s="19">
        <f>U36*'Average km per veh'!U5+U40*'Average km per veh'!U9+U44*'Average km per veh'!U13+U48*'Average km per veh'!U17+U52*'Average km per veh'!U21+U56*'Average km per veh'!U25</f>
        <v>21480.638982600001</v>
      </c>
      <c r="V61" s="19">
        <f>V36*'Average km per veh'!V5+V40*'Average km per veh'!V9+V44*'Average km per veh'!V13+V48*'Average km per veh'!V17+V52*'Average km per veh'!V21+V56*'Average km per veh'!V25</f>
        <v>9750.2062379999988</v>
      </c>
      <c r="W61" s="19">
        <f>W36*'Average km per veh'!W5+W40*'Average km per veh'!W9+W44*'Average km per veh'!W13+W48*'Average km per veh'!W17+W52*'Average km per veh'!W21+W56*'Average km per veh'!W25</f>
        <v>607.33299899999997</v>
      </c>
      <c r="X61" s="19">
        <f>X36*'Average km per veh'!X5+X40*'Average km per veh'!X9+X44*'Average km per veh'!X13+X48*'Average km per veh'!X17+X52*'Average km per veh'!X21+X56*'Average km per veh'!X25</f>
        <v>207936.68377099998</v>
      </c>
      <c r="Y61" s="19">
        <f>Y36*'Average km per veh'!Y5+Y40*'Average km per veh'!Y9+Y44*'Average km per veh'!Y13+Y48*'Average km per veh'!Y17+Y52*'Average km per veh'!Y21+Y56*'Average km per veh'!Y25</f>
        <v>1571.8921589778147</v>
      </c>
      <c r="Z61" s="19">
        <f>Z36*'Average km per veh'!Z5+Z40*'Average km per veh'!Z9+Z44*'Average km per veh'!Z13+Z48*'Average km per veh'!Z17+Z52*'Average km per veh'!Z21+Z56*'Average km per veh'!Z25</f>
        <v>2845.8383285999998</v>
      </c>
      <c r="AA61" s="19">
        <f>AA36*'Average km per veh'!AA5+AA40*'Average km per veh'!AA9+AA44*'Average km per veh'!AA13+AA48*'Average km per veh'!AA17+AA52*'Average km per veh'!AA21+AA56*'Average km per veh'!AA25</f>
        <v>6323.3549800000001</v>
      </c>
      <c r="AB61" s="19">
        <f>AB36*'Average km per veh'!AB5+AB40*'Average km per veh'!AB9+AB44*'Average km per veh'!AB13+AB48*'Average km per veh'!AB17+AB52*'Average km per veh'!AB21+AB56*'Average km per veh'!AB25</f>
        <v>1771.3101709999996</v>
      </c>
      <c r="AC61" s="19">
        <f>AC36*'Average km per veh'!AC5+AC40*'Average km per veh'!AC9+AC44*'Average km per veh'!AC13+AC48*'Average km per veh'!AC17+AC52*'Average km per veh'!AC21+AC56*'Average km per veh'!AC25</f>
        <v>345.42534023712466</v>
      </c>
      <c r="AD61" s="19">
        <f>AD36*'Average km per veh'!AD5+AD40*'Average km per veh'!AD9+AD44*'Average km per veh'!AD13+AD48*'Average km per veh'!AD17+AD52*'Average km per veh'!AD21+AD56*'Average km per veh'!AD25</f>
        <v>1851.4382227999999</v>
      </c>
      <c r="AE61" s="19">
        <f>AE36*'Average km per veh'!AE5+AE40*'Average km per veh'!AE9+AE44*'Average km per veh'!AE13+AE48*'Average km per veh'!AE17+AE52*'Average km per veh'!AE21+AE56*'Average km per veh'!AE25</f>
        <v>1199.3055196000003</v>
      </c>
      <c r="AF61" s="19">
        <f>AF36*'Average km per veh'!AF5+AF40*'Average km per veh'!AF9+AF44*'Average km per veh'!AF13+AF48*'Average km per veh'!AF17+AF52*'Average km per veh'!AF21+AF56*'Average km per veh'!AF25</f>
        <v>43467.450517999998</v>
      </c>
      <c r="AG61" s="19">
        <f>AG36*'Average km per veh'!AG5+AG40*'Average km per veh'!AG9+AG44*'Average km per veh'!AG13+AG48*'Average km per veh'!AG17+AG52*'Average km per veh'!AG21+AG56*'Average km per veh'!AG25</f>
        <v>8633.1764366999996</v>
      </c>
      <c r="AH61" s="19">
        <f>AH36*'Average km per veh'!AH5+AH40*'Average km per veh'!AH9+AH44*'Average km per veh'!AH13+AH48*'Average km per veh'!AH17+AH52*'Average km per veh'!AH21+AH56*'Average km per veh'!AH25</f>
        <v>68318.1228864</v>
      </c>
      <c r="AI61" s="19">
        <f>AI36*'Average km per veh'!AI5+AI40*'Average km per veh'!AI9+AI44*'Average km per veh'!AI13+AI48*'Average km per veh'!AI17+AI52*'Average km per veh'!AI21+AI56*'Average km per veh'!AI25</f>
        <v>34999.986308000007</v>
      </c>
      <c r="AJ61" s="19">
        <f>AJ36*'Average km per veh'!AJ5+AJ40*'Average km per veh'!AJ9+AJ44*'Average km per veh'!AJ13+AJ48*'Average km per veh'!AJ17+AJ52*'Average km per veh'!AJ21+AJ56*'Average km per veh'!AJ25</f>
        <v>18032.922299500002</v>
      </c>
      <c r="AK61" s="19">
        <f>AK36*'Average km per veh'!AK5+AK40*'Average km per veh'!AK9+AK44*'Average km per veh'!AK13+AK48*'Average km per veh'!AK17+AK52*'Average km per veh'!AK21+AK56*'Average km per veh'!AK25</f>
        <v>10652.431612860835</v>
      </c>
      <c r="AL61" s="19">
        <f>AL36*'Average km per veh'!AL5+AL40*'Average km per veh'!AL9+AL44*'Average km per veh'!AL13+AL48*'Average km per veh'!AL17+AL52*'Average km per veh'!AL21+AL56*'Average km per veh'!AL25</f>
        <v>12882.955338399999</v>
      </c>
      <c r="AM61" s="19">
        <f>AM36*'Average km per veh'!AM5+AM40*'Average km per veh'!AM9+AM44*'Average km per veh'!AM13+AM48*'Average km per veh'!AM17+AM52*'Average km per veh'!AM21+AM56*'Average km per veh'!AM25</f>
        <v>8142.2480300000007</v>
      </c>
      <c r="AN61" s="19">
        <f>AN36*'Average km per veh'!AN5+AN40*'Average km per veh'!AN9+AN44*'Average km per veh'!AN13+AN48*'Average km per veh'!AN17+AN52*'Average km per veh'!AN21+AN56*'Average km per veh'!AN25</f>
        <v>8822.1104661000008</v>
      </c>
      <c r="AO61" s="19">
        <f>AO36*'Average km per veh'!AO5+AO40*'Average km per veh'!AO9+AO44*'Average km per veh'!AO13+AO48*'Average km per veh'!AO17+AO52*'Average km per veh'!AO21+AO56*'Average km per veh'!AO25</f>
        <v>155040.83479499997</v>
      </c>
    </row>
    <row r="62" spans="2:41" ht="14.4">
      <c r="B62" s="14" t="s">
        <v>210</v>
      </c>
      <c r="E62" s="19">
        <f>E37*'Average km per veh'!E6+E41*'Average km per veh'!E10+E45*'Average km per veh'!E14+E49*'Average km per veh'!E18+E53*'Average km per veh'!E22+E57*'Average km per veh'!E26</f>
        <v>246.43603061674256</v>
      </c>
      <c r="F62" s="19">
        <f>F37*'Average km per veh'!F6+F41*'Average km per veh'!F10+F45*'Average km per veh'!F14+F49*'Average km per veh'!F18+F53*'Average km per veh'!F22+F57*'Average km per veh'!F26</f>
        <v>13777.686339</v>
      </c>
      <c r="G62" s="19">
        <f>G37*'Average km per veh'!G6+G41*'Average km per veh'!G10+G45*'Average km per veh'!G14+G49*'Average km per veh'!G18+G53*'Average km per veh'!G22+G57*'Average km per veh'!G26</f>
        <v>1507.9774213121891</v>
      </c>
      <c r="H62" s="19">
        <f>H37*'Average km per veh'!H6+H41*'Average km per veh'!H10+H45*'Average km per veh'!H14+H49*'Average km per veh'!H18+H53*'Average km per veh'!H22+H57*'Average km per veh'!H26</f>
        <v>13278.325819</v>
      </c>
      <c r="I62" s="19">
        <f>I37*'Average km per veh'!I6+I41*'Average km per veh'!I10+I45*'Average km per veh'!I14+I49*'Average km per veh'!I18+I53*'Average km per veh'!I22+I57*'Average km per veh'!I26</f>
        <v>2848.1572918000002</v>
      </c>
      <c r="J62" s="19">
        <f>J37*'Average km per veh'!J6+J41*'Average km per veh'!J10+J45*'Average km per veh'!J14+J49*'Average km per veh'!J18+J53*'Average km per veh'!J22+J57*'Average km per veh'!J26</f>
        <v>7938.01548</v>
      </c>
      <c r="K62" s="19">
        <f>K37*'Average km per veh'!K6+K41*'Average km per veh'!K10+K45*'Average km per veh'!K14+K49*'Average km per veh'!K18+K53*'Average km per veh'!K22+K57*'Average km per veh'!K26</f>
        <v>1124.6228020000001</v>
      </c>
      <c r="L62" s="19">
        <f>L37*'Average km per veh'!L6+L41*'Average km per veh'!L10+L45*'Average km per veh'!L14+L49*'Average km per veh'!L18+L53*'Average km per veh'!L22+L57*'Average km per veh'!L26</f>
        <v>6068.3733260000008</v>
      </c>
      <c r="M62" s="19">
        <f>M37*'Average km per veh'!M6+M41*'Average km per veh'!M10+M45*'Average km per veh'!M14+M49*'Average km per veh'!M18+M53*'Average km per veh'!M22+M57*'Average km per veh'!M26</f>
        <v>82940.925680000015</v>
      </c>
      <c r="N62" s="19">
        <f>N37*'Average km per veh'!N6+N41*'Average km per veh'!N10+N45*'Average km per veh'!N14+N49*'Average km per veh'!N18+N53*'Average km per veh'!N22+N57*'Average km per veh'!N26</f>
        <v>6852.1907160418186</v>
      </c>
      <c r="O62" s="19">
        <f>O37*'Average km per veh'!O6+O41*'Average km per veh'!O10+O45*'Average km per veh'!O14+O49*'Average km per veh'!O18+O53*'Average km per veh'!O22+O57*'Average km per veh'!O26</f>
        <v>1130.2750000000001</v>
      </c>
      <c r="P62" s="19">
        <f>P37*'Average km per veh'!P6+P41*'Average km per veh'!P10+P45*'Average km per veh'!P14+P49*'Average km per veh'!P18+P53*'Average km per veh'!P22+P57*'Average km per veh'!P26</f>
        <v>5227.3103339999998</v>
      </c>
      <c r="Q62" s="19">
        <f>Q37*'Average km per veh'!Q6+Q41*'Average km per veh'!Q10+Q45*'Average km per veh'!Q14+Q49*'Average km per veh'!Q18+Q53*'Average km per veh'!Q22+Q57*'Average km per veh'!Q26</f>
        <v>42761.867496000006</v>
      </c>
      <c r="R62" s="19">
        <f>R37*'Average km per veh'!R6+R41*'Average km per veh'!R10+R45*'Average km per veh'!R14+R49*'Average km per veh'!R18+R53*'Average km per veh'!R22+R57*'Average km per veh'!R26</f>
        <v>5719.0431339999996</v>
      </c>
      <c r="S62" s="19">
        <f>S37*'Average km per veh'!S6+S41*'Average km per veh'!S10+S45*'Average km per veh'!S14+S49*'Average km per veh'!S18+S53*'Average km per veh'!S22+S57*'Average km per veh'!S26</f>
        <v>67404.849394999997</v>
      </c>
      <c r="T62" s="19">
        <f>T37*'Average km per veh'!T6+T41*'Average km per veh'!T10+T45*'Average km per veh'!T14+T49*'Average km per veh'!T18+T53*'Average km per veh'!T22+T57*'Average km per veh'!T26</f>
        <v>2615.9120859999998</v>
      </c>
      <c r="U62" s="19">
        <f>U37*'Average km per veh'!U6+U41*'Average km per veh'!U10+U45*'Average km per veh'!U14+U49*'Average km per veh'!U18+U53*'Average km per veh'!U22+U57*'Average km per veh'!U26</f>
        <v>4316.9601769999999</v>
      </c>
      <c r="V62" s="19">
        <f>V37*'Average km per veh'!V6+V41*'Average km per veh'!V10+V45*'Average km per veh'!V14+V49*'Average km per veh'!V18+V53*'Average km per veh'!V22+V57*'Average km per veh'!V26</f>
        <v>7498.3638790000005</v>
      </c>
      <c r="W62" s="19">
        <f>W37*'Average km per veh'!W6+W41*'Average km per veh'!W10+W45*'Average km per veh'!W14+W49*'Average km per veh'!W18+W53*'Average km per veh'!W22+W57*'Average km per veh'!W26</f>
        <v>496.52358099999998</v>
      </c>
      <c r="X62" s="19">
        <f>X37*'Average km per veh'!X6+X41*'Average km per veh'!X10+X45*'Average km per veh'!X14+X49*'Average km per veh'!X18+X53*'Average km per veh'!X22+X57*'Average km per veh'!X26</f>
        <v>48004.022280000005</v>
      </c>
      <c r="Y62" s="19">
        <f>Y37*'Average km per veh'!Y6+Y41*'Average km per veh'!Y10+Y45*'Average km per veh'!Y14+Y49*'Average km per veh'!Y18+Y53*'Average km per veh'!Y22+Y57*'Average km per veh'!Y26</f>
        <v>446.02234672133119</v>
      </c>
      <c r="Z62" s="19">
        <f>Z37*'Average km per veh'!Z6+Z41*'Average km per veh'!Z10+Z45*'Average km per veh'!Z14+Z49*'Average km per veh'!Z18+Z53*'Average km per veh'!Z22+Z57*'Average km per veh'!Z26</f>
        <v>1034.7068076999999</v>
      </c>
      <c r="AA62" s="19">
        <f>AA37*'Average km per veh'!AA6+AA41*'Average km per veh'!AA10+AA45*'Average km per veh'!AA14+AA49*'Average km per veh'!AA18+AA53*'Average km per veh'!AA22+AA57*'Average km per veh'!AA26</f>
        <v>2876.5881680000002</v>
      </c>
      <c r="AB62" s="19">
        <f>AB37*'Average km per veh'!AB6+AB41*'Average km per veh'!AB10+AB45*'Average km per veh'!AB14+AB49*'Average km per veh'!AB18+AB53*'Average km per veh'!AB22+AB57*'Average km per veh'!AB26</f>
        <v>1335.5959169999999</v>
      </c>
      <c r="AC62" s="19">
        <f>AC37*'Average km per veh'!AC6+AC41*'Average km per veh'!AC10+AC45*'Average km per veh'!AC14+AC49*'Average km per veh'!AC18+AC53*'Average km per veh'!AC22+AC57*'Average km per veh'!AC26</f>
        <v>100.30714174789949</v>
      </c>
      <c r="AD62" s="19">
        <f>AD37*'Average km per veh'!AD6+AD41*'Average km per veh'!AD10+AD45*'Average km per veh'!AD14+AD49*'Average km per veh'!AD18+AD53*'Average km per veh'!AD22+AD57*'Average km per veh'!AD26</f>
        <v>527.7762156</v>
      </c>
      <c r="AE62" s="19">
        <f>AE37*'Average km per veh'!AE6+AE41*'Average km per veh'!AE10+AE45*'Average km per veh'!AE14+AE49*'Average km per veh'!AE18+AE53*'Average km per veh'!AE22+AE57*'Average km per veh'!AE26</f>
        <v>114.4843807</v>
      </c>
      <c r="AF62" s="19">
        <f>AF37*'Average km per veh'!AF6+AF41*'Average km per veh'!AF10+AF45*'Average km per veh'!AF14+AF49*'Average km per veh'!AF18+AF53*'Average km per veh'!AF22+AF57*'Average km per veh'!AF26</f>
        <v>14451.076402500001</v>
      </c>
      <c r="AG62" s="19">
        <f>AG37*'Average km per veh'!AG6+AG41*'Average km per veh'!AG10+AG45*'Average km per veh'!AG14+AG49*'Average km per veh'!AG18+AG53*'Average km per veh'!AG22+AG57*'Average km per veh'!AG26</f>
        <v>4837.8463520000005</v>
      </c>
      <c r="AH62" s="19">
        <f>AH37*'Average km per veh'!AH6+AH41*'Average km per veh'!AH10+AH45*'Average km per veh'!AH14+AH49*'Average km per veh'!AH18+AH53*'Average km per veh'!AH22+AH57*'Average km per veh'!AH26</f>
        <v>19248.097368399998</v>
      </c>
      <c r="AI62" s="19">
        <f>AI37*'Average km per veh'!AI6+AI41*'Average km per veh'!AI10+AI45*'Average km per veh'!AI14+AI49*'Average km per veh'!AI18+AI53*'Average km per veh'!AI22+AI57*'Average km per veh'!AI26</f>
        <v>7201.1054450000001</v>
      </c>
      <c r="AJ62" s="19">
        <f>AJ37*'Average km per veh'!AJ6+AJ41*'Average km per veh'!AJ10+AJ45*'Average km per veh'!AJ14+AJ49*'Average km per veh'!AJ18+AJ53*'Average km per veh'!AJ22+AJ57*'Average km per veh'!AJ26</f>
        <v>3706.7921136000004</v>
      </c>
      <c r="AK62" s="19">
        <f>AK37*'Average km per veh'!AK6+AK41*'Average km per veh'!AK10+AK45*'Average km per veh'!AK14+AK49*'Average km per veh'!AK18+AK53*'Average km per veh'!AK22+AK57*'Average km per veh'!AK26</f>
        <v>3036.1837035043054</v>
      </c>
      <c r="AL62" s="19">
        <f>AL37*'Average km per veh'!AL6+AL41*'Average km per veh'!AL10+AL45*'Average km per veh'!AL14+AL49*'Average km per veh'!AL18+AL53*'Average km per veh'!AL22+AL57*'Average km per veh'!AL26</f>
        <v>8605.1872616000019</v>
      </c>
      <c r="AM62" s="19">
        <f>AM37*'Average km per veh'!AM6+AM41*'Average km per veh'!AM10+AM45*'Average km per veh'!AM14+AM49*'Average km per veh'!AM18+AM53*'Average km per veh'!AM22+AM57*'Average km per veh'!AM26</f>
        <v>2641.4873280000002</v>
      </c>
      <c r="AN62" s="19">
        <f>AN37*'Average km per veh'!AN6+AN41*'Average km per veh'!AN10+AN45*'Average km per veh'!AN14+AN49*'Average km per veh'!AN18+AN53*'Average km per veh'!AN22+AN57*'Average km per veh'!AN26</f>
        <v>1673.7746192999998</v>
      </c>
      <c r="AO62" s="19">
        <f>AO37*'Average km per veh'!AO6+AO41*'Average km per veh'!AO10+AO45*'Average km per veh'!AO14+AO49*'Average km per veh'!AO18+AO53*'Average km per veh'!AO22+AO57*'Average km per veh'!AO26</f>
        <v>60889.092488999995</v>
      </c>
    </row>
    <row r="64" spans="1:1" ht="13.2">
      <c r="A64" t="s">
        <v>213</v>
      </c>
    </row>
    <row r="65" spans="5:41" ht="15" thickBot="1">
      <c r="E65" s="17" t="s">
        <v>41</v>
      </c>
      <c r="F65" s="17" t="s">
        <v>0</v>
      </c>
      <c r="G65" s="17" t="s">
        <v>45</v>
      </c>
      <c r="H65" s="17" t="s">
        <v>1</v>
      </c>
      <c r="I65" s="17" t="s">
        <v>31</v>
      </c>
      <c r="J65" s="17" t="s">
        <v>2</v>
      </c>
      <c r="K65" s="17" t="s">
        <v>3</v>
      </c>
      <c r="L65" s="17" t="s">
        <v>4</v>
      </c>
      <c r="M65" s="17" t="s">
        <v>5</v>
      </c>
      <c r="N65" s="17" t="s">
        <v>6</v>
      </c>
      <c r="O65" s="17" t="s">
        <v>7</v>
      </c>
      <c r="P65" s="17" t="s">
        <v>48</v>
      </c>
      <c r="Q65" s="17" t="s">
        <v>8</v>
      </c>
      <c r="R65" s="17" t="s">
        <v>9</v>
      </c>
      <c r="S65" s="17" t="s">
        <v>10</v>
      </c>
      <c r="T65" s="17" t="s">
        <v>32</v>
      </c>
      <c r="U65" s="17" t="s">
        <v>11</v>
      </c>
      <c r="V65" s="17" t="s">
        <v>12</v>
      </c>
      <c r="W65" s="17" t="s">
        <v>13</v>
      </c>
      <c r="X65" s="17" t="s">
        <v>27</v>
      </c>
      <c r="Y65" s="17" t="s">
        <v>46</v>
      </c>
      <c r="Z65" s="17" t="s">
        <v>14</v>
      </c>
      <c r="AA65" s="17" t="s">
        <v>15</v>
      </c>
      <c r="AB65" s="17" t="s">
        <v>16</v>
      </c>
      <c r="AC65" s="17" t="s">
        <v>42</v>
      </c>
      <c r="AD65" s="17" t="s">
        <v>33</v>
      </c>
      <c r="AE65" s="17" t="s">
        <v>17</v>
      </c>
      <c r="AF65" s="17" t="s">
        <v>18</v>
      </c>
      <c r="AG65" s="17" t="s">
        <v>19</v>
      </c>
      <c r="AH65" s="17" t="s">
        <v>20</v>
      </c>
      <c r="AI65" s="17" t="s">
        <v>21</v>
      </c>
      <c r="AJ65" s="17" t="s">
        <v>22</v>
      </c>
      <c r="AK65" s="17" t="s">
        <v>43</v>
      </c>
      <c r="AL65" s="17" t="s">
        <v>23</v>
      </c>
      <c r="AM65" s="17" t="s">
        <v>24</v>
      </c>
      <c r="AN65" s="17" t="s">
        <v>25</v>
      </c>
      <c r="AO65" s="17" t="s">
        <v>26</v>
      </c>
    </row>
    <row r="66" spans="2:41" ht="14.4">
      <c r="B66" s="14" t="s">
        <v>207</v>
      </c>
      <c r="E66" s="18">
        <f>E59/E28</f>
        <v>17.187329003884749</v>
      </c>
      <c r="F66" s="18">
        <f t="shared" si="2" ref="F66:AO69">F59/F28</f>
        <v>25.025052622429936</v>
      </c>
      <c r="G66" s="18">
        <f t="shared" si="2"/>
        <v>19.086663508829385</v>
      </c>
      <c r="H66" s="18">
        <f t="shared" si="2"/>
        <v>19.086560929096091</v>
      </c>
      <c r="I66" s="18">
        <f t="shared" si="2"/>
        <v>12.279247755569884</v>
      </c>
      <c r="J66" s="18">
        <f t="shared" si="2"/>
        <v>15.980351221889968</v>
      </c>
      <c r="K66" s="18">
        <f t="shared" si="2"/>
        <v>16.797328923766816</v>
      </c>
      <c r="L66" s="18">
        <f t="shared" si="2"/>
        <v>16.09814741142873</v>
      </c>
      <c r="M66" s="18">
        <f t="shared" si="2"/>
        <v>18.973079059253344</v>
      </c>
      <c r="N66" s="18">
        <f t="shared" si="2"/>
        <v>25.580764212634229</v>
      </c>
      <c r="O66" s="18">
        <f t="shared" si="2"/>
        <v>19.16955287420161</v>
      </c>
      <c r="P66" s="18">
        <f t="shared" si="2"/>
        <v>12.271629817813764</v>
      </c>
      <c r="Q66" s="18">
        <f t="shared" si="2"/>
        <v>17.275072779413662</v>
      </c>
      <c r="R66" s="18">
        <f t="shared" si="2"/>
        <v>16.134107967980523</v>
      </c>
      <c r="S66" s="18">
        <f t="shared" si="2"/>
        <v>17.783225475773321</v>
      </c>
      <c r="T66" s="18">
        <f t="shared" si="2"/>
        <v>18.53311182091182</v>
      </c>
      <c r="U66" s="18">
        <f t="shared" si="2"/>
        <v>20.661307100157313</v>
      </c>
      <c r="V66" s="18">
        <f t="shared" si="2"/>
        <v>21.550370986433663</v>
      </c>
      <c r="W66" s="18">
        <f t="shared" si="2"/>
        <v>14.125697567114095</v>
      </c>
      <c r="X66" s="18">
        <f t="shared" si="2"/>
        <v>14.629349395111811</v>
      </c>
      <c r="Y66" s="18">
        <f t="shared" si="2"/>
        <v>19.411908193682176</v>
      </c>
      <c r="Z66" s="18">
        <f t="shared" si="2"/>
        <v>6.4624578459343782</v>
      </c>
      <c r="AA66" s="18">
        <f t="shared" si="2"/>
        <v>60.259427732769758</v>
      </c>
      <c r="AB66" s="18">
        <f t="shared" si="2"/>
        <v>20.309185585323238</v>
      </c>
      <c r="AC66" s="18">
        <f t="shared" si="2"/>
        <v>15.344308751665046</v>
      </c>
      <c r="AD66" s="18">
        <f t="shared" si="2"/>
        <v>22.461738661417325</v>
      </c>
      <c r="AE66" s="18">
        <f t="shared" si="2"/>
        <v>4.7024503111111109</v>
      </c>
      <c r="AF66" s="18">
        <f t="shared" si="2"/>
        <v>16.794994469426101</v>
      </c>
      <c r="AG66" s="18">
        <f t="shared" si="2"/>
        <v>14.026452987965319</v>
      </c>
      <c r="AH66" s="18">
        <f t="shared" si="2"/>
        <v>10.81800855527951</v>
      </c>
      <c r="AI66" s="18">
        <f t="shared" si="2"/>
        <v>18.55396921662453</v>
      </c>
      <c r="AJ66" s="18">
        <f t="shared" si="2"/>
        <v>9.1725655702249203</v>
      </c>
      <c r="AK66" s="18">
        <f t="shared" si="2"/>
        <v>19.978034651652312</v>
      </c>
      <c r="AL66" s="18">
        <f t="shared" si="2"/>
        <v>17.350521880216299</v>
      </c>
      <c r="AM66" s="18">
        <f t="shared" si="2"/>
        <v>22.498549324469224</v>
      </c>
      <c r="AN66" s="18">
        <f t="shared" si="2"/>
        <v>12.115085790082409</v>
      </c>
      <c r="AO66" s="18">
        <f t="shared" si="2"/>
        <v>17.313498269740187</v>
      </c>
    </row>
    <row r="67" spans="2:41" ht="14.4">
      <c r="B67" s="14" t="s">
        <v>208</v>
      </c>
      <c r="E67" s="18">
        <f>E60/E29</f>
        <v>11.231087114664275</v>
      </c>
      <c r="F67" s="18">
        <f t="shared" si="3" ref="F67:T67">F60/F29</f>
        <v>22.244048618155091</v>
      </c>
      <c r="G67" s="18">
        <f t="shared" si="3"/>
        <v>16.42471030778432</v>
      </c>
      <c r="H67" s="18">
        <f t="shared" si="3"/>
        <v>19.891649283964757</v>
      </c>
      <c r="I67" s="18">
        <f t="shared" si="3"/>
        <v>10.901197551335713</v>
      </c>
      <c r="J67" s="18">
        <f t="shared" si="3"/>
        <v>14.007953539760289</v>
      </c>
      <c r="K67" s="18">
        <f t="shared" si="3"/>
        <v>13.758117371890284</v>
      </c>
      <c r="L67" s="18">
        <f>L60/L29</f>
        <v>12.746347121999223</v>
      </c>
      <c r="M67" s="18">
        <f t="shared" si="3"/>
        <v>14.291636032899783</v>
      </c>
      <c r="N67" s="18">
        <f t="shared" si="3"/>
        <v>18.955415998406256</v>
      </c>
      <c r="O67" s="18">
        <f t="shared" si="3"/>
        <v>15.723121041017654</v>
      </c>
      <c r="P67" s="18">
        <f t="shared" si="3"/>
        <v>9.6830639435569275</v>
      </c>
      <c r="Q67" s="18">
        <f t="shared" si="3"/>
        <v>12.678180886874376</v>
      </c>
      <c r="R67" s="18">
        <f t="shared" si="3"/>
        <v>12.143734491772449</v>
      </c>
      <c r="S67" s="18">
        <f t="shared" si="3"/>
        <v>16.087815823558863</v>
      </c>
      <c r="T67" s="18">
        <f t="shared" si="3"/>
        <v>15.777693507232247</v>
      </c>
      <c r="U67" s="18">
        <f t="shared" si="2"/>
        <v>15.226527818723538</v>
      </c>
      <c r="V67" s="18">
        <f t="shared" si="2"/>
        <v>18.891178816087223</v>
      </c>
      <c r="W67" s="18">
        <f t="shared" si="2"/>
        <v>13.908331858407079</v>
      </c>
      <c r="X67" s="18">
        <f t="shared" si="2"/>
        <v>12.880904086296288</v>
      </c>
      <c r="Y67" s="18">
        <f t="shared" si="2"/>
        <v>16.8641645188744</v>
      </c>
      <c r="Z67" s="18">
        <f t="shared" si="2"/>
        <v>4.5663864566836079</v>
      </c>
      <c r="AA67" s="18">
        <f t="shared" si="2"/>
        <v>60.513667289150504</v>
      </c>
      <c r="AB67" s="18">
        <f t="shared" si="2"/>
        <v>15.206679130901289</v>
      </c>
      <c r="AC67" s="18">
        <f t="shared" si="2"/>
        <v>10.449953078657643</v>
      </c>
      <c r="AD67" s="18">
        <f t="shared" si="2"/>
        <v>14.316233678794557</v>
      </c>
      <c r="AE67" s="18">
        <f t="shared" si="2"/>
        <v>5.7965102895027627</v>
      </c>
      <c r="AF67" s="18">
        <f t="shared" si="2"/>
        <v>15.127654895177955</v>
      </c>
      <c r="AG67" s="18">
        <f t="shared" si="2"/>
        <v>14.506015783274441</v>
      </c>
      <c r="AH67" s="18">
        <f t="shared" si="2"/>
        <v>9.3650665260818684</v>
      </c>
      <c r="AI67" s="18">
        <f t="shared" si="2"/>
        <v>17.0671114268408</v>
      </c>
      <c r="AJ67" s="18">
        <f t="shared" si="2"/>
        <v>7.3714097802608078</v>
      </c>
      <c r="AK67" s="18">
        <f t="shared" si="2"/>
        <v>17.646700627252056</v>
      </c>
      <c r="AL67" s="18">
        <f t="shared" si="2"/>
        <v>15.662784427351433</v>
      </c>
      <c r="AM67" s="18">
        <f t="shared" si="2"/>
        <v>20.842831337813077</v>
      </c>
      <c r="AN67" s="18">
        <f t="shared" si="2"/>
        <v>9.8494029998184125</v>
      </c>
      <c r="AO67" s="18">
        <f t="shared" si="2"/>
        <v>15.161497015908354</v>
      </c>
    </row>
    <row r="68" spans="2:41" ht="14.4">
      <c r="B68" s="14" t="s">
        <v>209</v>
      </c>
      <c r="E68" s="18">
        <f>E61/E30</f>
        <v>7.1153892898945754</v>
      </c>
      <c r="F68" s="18">
        <f t="shared" si="2"/>
        <v>19.046218031019158</v>
      </c>
      <c r="G68" s="18">
        <f t="shared" si="2"/>
        <v>13.907251607963026</v>
      </c>
      <c r="H68" s="18">
        <f t="shared" si="2"/>
        <v>15.699539365821733</v>
      </c>
      <c r="I68" s="18">
        <f t="shared" si="2"/>
        <v>8.6603503456274833</v>
      </c>
      <c r="J68" s="18">
        <f t="shared" si="2"/>
        <v>12.080379378702526</v>
      </c>
      <c r="K68" s="18">
        <f t="shared" si="2"/>
        <v>12.118160426656232</v>
      </c>
      <c r="L68" s="18">
        <f t="shared" si="2"/>
        <v>10.153642297486675</v>
      </c>
      <c r="M68" s="18">
        <f t="shared" si="2"/>
        <v>11.891510641645281</v>
      </c>
      <c r="N68" s="18">
        <f t="shared" si="2"/>
        <v>17.294506025445777</v>
      </c>
      <c r="O68" s="18">
        <f t="shared" si="2"/>
        <v>15.477056713955788</v>
      </c>
      <c r="P68" s="18">
        <f t="shared" si="2"/>
        <v>6.7264821240877559</v>
      </c>
      <c r="Q68" s="18">
        <f t="shared" si="2"/>
        <v>11.29255016067237</v>
      </c>
      <c r="R68" s="18">
        <f t="shared" si="2"/>
        <v>13.142548793132425</v>
      </c>
      <c r="S68" s="18">
        <f t="shared" si="2"/>
        <v>13.398263828780863</v>
      </c>
      <c r="T68" s="18">
        <f t="shared" si="2"/>
        <v>13.250472537429653</v>
      </c>
      <c r="U68" s="18">
        <f t="shared" si="2"/>
        <v>11.48912308859947</v>
      </c>
      <c r="V68" s="18">
        <f t="shared" si="2"/>
        <v>18.400087257973201</v>
      </c>
      <c r="W68" s="18">
        <f t="shared" si="2"/>
        <v>13.82816482240437</v>
      </c>
      <c r="X68" s="18">
        <f t="shared" si="2"/>
        <v>9.4055545752053789</v>
      </c>
      <c r="Y68" s="18">
        <f t="shared" si="2"/>
        <v>14.207133380446304</v>
      </c>
      <c r="Z68" s="18">
        <f t="shared" si="2"/>
        <v>4.3530321962187957</v>
      </c>
      <c r="AA68" s="18">
        <f t="shared" si="2"/>
        <v>58.462971338757399</v>
      </c>
      <c r="AB68" s="18">
        <f t="shared" si="2"/>
        <v>17.80032329414129</v>
      </c>
      <c r="AC68" s="18">
        <f t="shared" si="2"/>
        <v>6.904828971386566</v>
      </c>
      <c r="AD68" s="18">
        <f t="shared" si="2"/>
        <v>11.115743412584051</v>
      </c>
      <c r="AE68" s="18">
        <f t="shared" si="2"/>
        <v>7.3052660023146743</v>
      </c>
      <c r="AF68" s="18">
        <f t="shared" si="2"/>
        <v>13.267237590574732</v>
      </c>
      <c r="AG68" s="18">
        <f t="shared" si="2"/>
        <v>13.729387949778152</v>
      </c>
      <c r="AH68" s="18">
        <f t="shared" si="2"/>
        <v>7.5615301989604831</v>
      </c>
      <c r="AI68" s="18">
        <f t="shared" si="2"/>
        <v>12.278672046364283</v>
      </c>
      <c r="AJ68" s="18">
        <f t="shared" si="2"/>
        <v>5.6036277219646493</v>
      </c>
      <c r="AK68" s="18">
        <f t="shared" si="2"/>
        <v>14.594461539777287</v>
      </c>
      <c r="AL68" s="18">
        <f t="shared" si="2"/>
        <v>15.707090146793464</v>
      </c>
      <c r="AM68" s="18">
        <f t="shared" si="2"/>
        <v>14.48901706527155</v>
      </c>
      <c r="AN68" s="18">
        <f t="shared" si="2"/>
        <v>9.0724184923026314</v>
      </c>
      <c r="AO68" s="18">
        <f t="shared" si="2"/>
        <v>12.891664931184952</v>
      </c>
    </row>
    <row r="69" spans="2:41" ht="14.4">
      <c r="B69" s="14" t="s">
        <v>210</v>
      </c>
      <c r="E69" s="18">
        <f>E62/E31</f>
        <v>11.979463627417346</v>
      </c>
      <c r="F69" s="18">
        <f t="shared" si="2"/>
        <v>22.586000785233029</v>
      </c>
      <c r="G69" s="18">
        <f t="shared" si="2"/>
        <v>16.601808729771438</v>
      </c>
      <c r="H69" s="18">
        <f t="shared" si="2"/>
        <v>18.840383976560062</v>
      </c>
      <c r="I69" s="18">
        <f t="shared" si="2"/>
        <v>8.9216805281293077</v>
      </c>
      <c r="J69" s="18">
        <f t="shared" si="2"/>
        <v>13.941752252489593</v>
      </c>
      <c r="K69" s="18">
        <f t="shared" si="2"/>
        <v>13.332813301719028</v>
      </c>
      <c r="L69" s="18">
        <f t="shared" si="2"/>
        <v>12.806798341212225</v>
      </c>
      <c r="M69" s="18">
        <f t="shared" si="2"/>
        <v>14.595800046458264</v>
      </c>
      <c r="N69" s="18">
        <f t="shared" si="2"/>
        <v>18.620476413875664</v>
      </c>
      <c r="O69" s="18">
        <f t="shared" si="2"/>
        <v>16.361826867400119</v>
      </c>
      <c r="P69" s="18">
        <f t="shared" si="2"/>
        <v>10.150511348013517</v>
      </c>
      <c r="Q69" s="18">
        <f t="shared" si="2"/>
        <v>12.453836754688188</v>
      </c>
      <c r="R69" s="18">
        <f t="shared" si="2"/>
        <v>11.99363126834997</v>
      </c>
      <c r="S69" s="18">
        <f t="shared" si="2"/>
        <v>16.433393323500013</v>
      </c>
      <c r="T69" s="18">
        <f t="shared" si="2"/>
        <v>15.80229603721155</v>
      </c>
      <c r="U69" s="18">
        <f t="shared" si="2"/>
        <v>15.097961658447872</v>
      </c>
      <c r="V69" s="18">
        <f t="shared" si="2"/>
        <v>20.006307041088583</v>
      </c>
      <c r="W69" s="18">
        <f t="shared" si="2"/>
        <v>14.174238681130458</v>
      </c>
      <c r="X69" s="18">
        <f t="shared" si="2"/>
        <v>12.91138750282413</v>
      </c>
      <c r="Y69" s="18">
        <f t="shared" si="2"/>
        <v>17.030395017604405</v>
      </c>
      <c r="Z69" s="18">
        <f t="shared" si="2"/>
        <v>4.5457640264475874</v>
      </c>
      <c r="AA69" s="18">
        <f t="shared" si="2"/>
        <v>63.725923083739481</v>
      </c>
      <c r="AB69" s="18">
        <f t="shared" si="2"/>
        <v>15.977938952027754</v>
      </c>
      <c r="AC69" s="18">
        <f t="shared" si="2"/>
        <v>11.062872673867675</v>
      </c>
      <c r="AD69" s="18">
        <f t="shared" si="2"/>
        <v>14.420115180327869</v>
      </c>
      <c r="AE69" s="18">
        <f t="shared" si="2"/>
        <v>5.6424041744701832</v>
      </c>
      <c r="AF69" s="18">
        <f t="shared" si="2"/>
        <v>15.094557383770121</v>
      </c>
      <c r="AG69" s="18">
        <f t="shared" si="2"/>
        <v>14.206396758090095</v>
      </c>
      <c r="AH69" s="18">
        <f t="shared" si="2"/>
        <v>9.2524250327592252</v>
      </c>
      <c r="AI69" s="18">
        <f t="shared" si="2"/>
        <v>17.067061941554286</v>
      </c>
      <c r="AJ69" s="18">
        <f t="shared" si="2"/>
        <v>7.3489137858842204</v>
      </c>
      <c r="AK69" s="18">
        <f t="shared" si="2"/>
        <v>17.715759300409051</v>
      </c>
      <c r="AL69" s="18">
        <f t="shared" si="2"/>
        <v>16.132104648494625</v>
      </c>
      <c r="AM69" s="18">
        <f t="shared" si="2"/>
        <v>19.993092098092642</v>
      </c>
      <c r="AN69" s="18">
        <f t="shared" si="2"/>
        <v>9.6833938056118019</v>
      </c>
      <c r="AO69" s="18">
        <f t="shared" si="2"/>
        <v>16.114876109981896</v>
      </c>
    </row>
  </sheetData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2057DB-EAD7-4411-B7B3-073667D7DD56}"/>
</file>

<file path=customXml/itemProps2.xml><?xml version="1.0" encoding="utf-8"?>
<ds:datastoreItem xmlns:ds="http://schemas.openxmlformats.org/officeDocument/2006/customXml" ds:itemID="{6977A2A0-1F33-4183-B5BE-93A71CE10513}"/>
</file>

<file path=customXml/itemProps3.xml><?xml version="1.0" encoding="utf-8"?>
<ds:datastoreItem xmlns:ds="http://schemas.openxmlformats.org/officeDocument/2006/customXml" ds:itemID="{4FAA87EC-20DE-4834-94EF-ED009D6DB7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Fill Data</vt:lpstr>
      <vt:lpstr>RdTRABYVals</vt:lpstr>
      <vt:lpstr>INS</vt:lpstr>
      <vt:lpstr>Average km per veh</vt:lpstr>
    </vt:vector>
  </TitlesOfParts>
  <Template/>
  <Manager/>
  <Company>Dell Computer Corporation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Juliana Barbosa</cp:lastModifiedBy>
  <cp:lastPrinted>2007-01-05T10:33:44Z</cp:lastPrinted>
  <dcterms:created xsi:type="dcterms:W3CDTF">2001-09-28T18:48:17Z</dcterms:created>
  <dcterms:modified xsi:type="dcterms:W3CDTF">2024-10-03T09:18:47Z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345953643321991</vt:lpwstr>
  </property>
  <property fmtid="{D5CDD505-2E9C-101B-9397-08002B2CF9AE}" pid="3" name="ContentTypeId">
    <vt:lpwstr>0x01010074EFC6228ED6F043ACDD38E315A3264B</vt:lpwstr>
  </property>
</Properties>
</file>