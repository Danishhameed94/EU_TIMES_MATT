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D27FD891-22F2-40B9-A985-71E5AFD1B246}" xr6:coauthVersionLast="47" xr6:coauthVersionMax="47" xr10:uidLastSave="{00000000-0000-0000-0000-000000000000}"/>
  <bookViews>
    <workbookView xWindow="-120" yWindow="-120" windowWidth="20730" windowHeight="11160" firstSheet="12" activeTab="17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5" i="2" l="1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F89" i="2"/>
  <c r="F90" i="2"/>
  <c r="F91" i="2"/>
  <c r="F92" i="2"/>
  <c r="F93" i="2"/>
  <c r="F94" i="2"/>
  <c r="F88" i="2"/>
  <c r="G83" i="2"/>
  <c r="H83" i="2"/>
  <c r="I83" i="2"/>
  <c r="J83" i="2"/>
  <c r="K83" i="2"/>
  <c r="L83" i="2"/>
  <c r="M83" i="2"/>
  <c r="G84" i="2"/>
  <c r="G87" i="2" s="1"/>
  <c r="H84" i="2"/>
  <c r="I84" i="2"/>
  <c r="I87" i="2" s="1"/>
  <c r="J84" i="2"/>
  <c r="K84" i="2"/>
  <c r="K87" i="2" s="1"/>
  <c r="L84" i="2"/>
  <c r="L87" i="2" s="1"/>
  <c r="M84" i="2"/>
  <c r="M87" i="2" s="1"/>
  <c r="G85" i="2"/>
  <c r="H85" i="2"/>
  <c r="H86" i="2" s="1"/>
  <c r="I85" i="2"/>
  <c r="J85" i="2"/>
  <c r="J86" i="2" s="1"/>
  <c r="K85" i="2"/>
  <c r="K86" i="2" s="1"/>
  <c r="L85" i="2"/>
  <c r="L86" i="2" s="1"/>
  <c r="M85" i="2"/>
  <c r="M86" i="2" s="1"/>
  <c r="F84" i="2"/>
  <c r="F87" i="2" s="1"/>
  <c r="F85" i="2"/>
  <c r="F83" i="2"/>
  <c r="G78" i="2"/>
  <c r="H78" i="2"/>
  <c r="I78" i="2"/>
  <c r="J78" i="2"/>
  <c r="K78" i="2"/>
  <c r="L78" i="2"/>
  <c r="M78" i="2"/>
  <c r="G79" i="2"/>
  <c r="G82" i="2" s="1"/>
  <c r="H79" i="2"/>
  <c r="H82" i="2" s="1"/>
  <c r="I79" i="2"/>
  <c r="I82" i="2" s="1"/>
  <c r="J79" i="2"/>
  <c r="J82" i="2" s="1"/>
  <c r="K79" i="2"/>
  <c r="K82" i="2" s="1"/>
  <c r="L79" i="2"/>
  <c r="L82" i="2" s="1"/>
  <c r="M79" i="2"/>
  <c r="M82" i="2" s="1"/>
  <c r="G80" i="2"/>
  <c r="H80" i="2"/>
  <c r="H81" i="2" s="1"/>
  <c r="I80" i="2"/>
  <c r="I81" i="2" s="1"/>
  <c r="J80" i="2"/>
  <c r="J81" i="2" s="1"/>
  <c r="K80" i="2"/>
  <c r="K81" i="2" s="1"/>
  <c r="L80" i="2"/>
  <c r="L81" i="2" s="1"/>
  <c r="M80" i="2"/>
  <c r="M81" i="2" s="1"/>
  <c r="F79" i="2"/>
  <c r="F82" i="2" s="1"/>
  <c r="F80" i="2"/>
  <c r="F81" i="2" s="1"/>
  <c r="F78" i="2"/>
  <c r="I59" i="2"/>
  <c r="J59" i="2"/>
  <c r="J65" i="2" s="1"/>
  <c r="J66" i="2" s="1"/>
  <c r="J67" i="2" s="1"/>
  <c r="K59" i="2"/>
  <c r="L59" i="2"/>
  <c r="L65" i="2" s="1"/>
  <c r="L66" i="2" s="1"/>
  <c r="L67" i="2" s="1"/>
  <c r="M59" i="2"/>
  <c r="M65" i="2" s="1"/>
  <c r="M66" i="2" s="1"/>
  <c r="M67" i="2" s="1"/>
  <c r="I60" i="2"/>
  <c r="I75" i="2" s="1"/>
  <c r="I77" i="2" s="1"/>
  <c r="J60" i="2"/>
  <c r="K60" i="2"/>
  <c r="K75" i="2" s="1"/>
  <c r="K77" i="2" s="1"/>
  <c r="L60" i="2"/>
  <c r="M60" i="2"/>
  <c r="I61" i="2"/>
  <c r="J61" i="2"/>
  <c r="J74" i="2" s="1"/>
  <c r="J76" i="2" s="1"/>
  <c r="K61" i="2"/>
  <c r="K74" i="2" s="1"/>
  <c r="K76" i="2" s="1"/>
  <c r="L61" i="2"/>
  <c r="L74" i="2" s="1"/>
  <c r="L76" i="2" s="1"/>
  <c r="M61" i="2"/>
  <c r="M74" i="2" s="1"/>
  <c r="M76" i="2" s="1"/>
  <c r="I62" i="2"/>
  <c r="I72" i="2" s="1"/>
  <c r="J62" i="2"/>
  <c r="J72" i="2" s="1"/>
  <c r="K62" i="2"/>
  <c r="K72" i="2" s="1"/>
  <c r="K71" i="2" s="1"/>
  <c r="L62" i="2"/>
  <c r="L72" i="2" s="1"/>
  <c r="M62" i="2"/>
  <c r="M72" i="2" s="1"/>
  <c r="I63" i="2"/>
  <c r="I69" i="2" s="1"/>
  <c r="J63" i="2"/>
  <c r="J69" i="2" s="1"/>
  <c r="K63" i="2"/>
  <c r="L63" i="2"/>
  <c r="L69" i="2" s="1"/>
  <c r="M63" i="2"/>
  <c r="M69" i="2" s="1"/>
  <c r="I64" i="2"/>
  <c r="J64" i="2"/>
  <c r="K64" i="2"/>
  <c r="L64" i="2"/>
  <c r="M64" i="2"/>
  <c r="H60" i="2"/>
  <c r="H75" i="2" s="1"/>
  <c r="H77" i="2" s="1"/>
  <c r="H61" i="2"/>
  <c r="H74" i="2" s="1"/>
  <c r="H76" i="2" s="1"/>
  <c r="H62" i="2"/>
  <c r="H72" i="2" s="1"/>
  <c r="H71" i="2" s="1"/>
  <c r="H63" i="2"/>
  <c r="H69" i="2" s="1"/>
  <c r="H64" i="2"/>
  <c r="H59" i="2"/>
  <c r="H65" i="2" s="1"/>
  <c r="H66" i="2" s="1"/>
  <c r="H67" i="2" s="1"/>
  <c r="I40" i="2"/>
  <c r="I46" i="2" s="1"/>
  <c r="I47" i="2" s="1"/>
  <c r="I48" i="2" s="1"/>
  <c r="J40" i="2"/>
  <c r="J46" i="2" s="1"/>
  <c r="J47" i="2" s="1"/>
  <c r="J48" i="2" s="1"/>
  <c r="K40" i="2"/>
  <c r="K46" i="2" s="1"/>
  <c r="K47" i="2" s="1"/>
  <c r="K48" i="2" s="1"/>
  <c r="L40" i="2"/>
  <c r="L46" i="2" s="1"/>
  <c r="L47" i="2" s="1"/>
  <c r="L48" i="2" s="1"/>
  <c r="M40" i="2"/>
  <c r="I41" i="2"/>
  <c r="I56" i="2" s="1"/>
  <c r="I58" i="2" s="1"/>
  <c r="J41" i="2"/>
  <c r="K41" i="2"/>
  <c r="K56" i="2" s="1"/>
  <c r="K58" i="2" s="1"/>
  <c r="L41" i="2"/>
  <c r="L56" i="2" s="1"/>
  <c r="L58" i="2" s="1"/>
  <c r="M41" i="2"/>
  <c r="M56" i="2" s="1"/>
  <c r="M58" i="2" s="1"/>
  <c r="I42" i="2"/>
  <c r="J42" i="2"/>
  <c r="J55" i="2" s="1"/>
  <c r="J57" i="2" s="1"/>
  <c r="K42" i="2"/>
  <c r="K55" i="2" s="1"/>
  <c r="K57" i="2" s="1"/>
  <c r="L42" i="2"/>
  <c r="L55" i="2" s="1"/>
  <c r="L57" i="2" s="1"/>
  <c r="M42" i="2"/>
  <c r="I43" i="2"/>
  <c r="I53" i="2" s="1"/>
  <c r="I52" i="2" s="1"/>
  <c r="J43" i="2"/>
  <c r="J53" i="2" s="1"/>
  <c r="K43" i="2"/>
  <c r="K53" i="2" s="1"/>
  <c r="L43" i="2"/>
  <c r="L53" i="2" s="1"/>
  <c r="M43" i="2"/>
  <c r="M53" i="2" s="1"/>
  <c r="M52" i="2" s="1"/>
  <c r="I44" i="2"/>
  <c r="I50" i="2" s="1"/>
  <c r="J44" i="2"/>
  <c r="J50" i="2" s="1"/>
  <c r="K44" i="2"/>
  <c r="L44" i="2"/>
  <c r="L50" i="2" s="1"/>
  <c r="L51" i="2" s="1"/>
  <c r="M44" i="2"/>
  <c r="M50" i="2" s="1"/>
  <c r="I45" i="2"/>
  <c r="J45" i="2"/>
  <c r="K45" i="2"/>
  <c r="L45" i="2"/>
  <c r="M45" i="2"/>
  <c r="H41" i="2"/>
  <c r="H56" i="2" s="1"/>
  <c r="H58" i="2" s="1"/>
  <c r="H42" i="2"/>
  <c r="H55" i="2" s="1"/>
  <c r="H57" i="2" s="1"/>
  <c r="H43" i="2"/>
  <c r="H53" i="2" s="1"/>
  <c r="H52" i="2" s="1"/>
  <c r="H44" i="2"/>
  <c r="H50" i="2" s="1"/>
  <c r="H45" i="2"/>
  <c r="H40" i="2"/>
  <c r="H46" i="2" s="1"/>
  <c r="H47" i="2" s="1"/>
  <c r="H48" i="2" s="1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F35" i="2"/>
  <c r="F36" i="2"/>
  <c r="F34" i="2"/>
  <c r="G31" i="2"/>
  <c r="H31" i="2"/>
  <c r="I31" i="2"/>
  <c r="I32" i="2" s="1"/>
  <c r="I33" i="2" s="1"/>
  <c r="J31" i="2"/>
  <c r="J32" i="2" s="1"/>
  <c r="J33" i="2" s="1"/>
  <c r="K31" i="2"/>
  <c r="K32" i="2" s="1"/>
  <c r="K33" i="2" s="1"/>
  <c r="L31" i="2"/>
  <c r="L32" i="2" s="1"/>
  <c r="L33" i="2" s="1"/>
  <c r="M31" i="2"/>
  <c r="F31" i="2"/>
  <c r="F32" i="2" s="1"/>
  <c r="F33" i="2" s="1"/>
  <c r="G28" i="2"/>
  <c r="G29" i="2" s="1"/>
  <c r="G30" i="2" s="1"/>
  <c r="H28" i="2"/>
  <c r="H29" i="2" s="1"/>
  <c r="H30" i="2" s="1"/>
  <c r="I28" i="2"/>
  <c r="I29" i="2" s="1"/>
  <c r="I30" i="2" s="1"/>
  <c r="J28" i="2"/>
  <c r="J29" i="2" s="1"/>
  <c r="J30" i="2" s="1"/>
  <c r="K28" i="2"/>
  <c r="K29" i="2" s="1"/>
  <c r="K30" i="2" s="1"/>
  <c r="L28" i="2"/>
  <c r="L29" i="2" s="1"/>
  <c r="L30" i="2" s="1"/>
  <c r="M28" i="2"/>
  <c r="M29" i="2" s="1"/>
  <c r="M30" i="2" s="1"/>
  <c r="F28" i="2"/>
  <c r="F29" i="2" s="1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F25" i="2"/>
  <c r="F24" i="2"/>
  <c r="G18" i="2"/>
  <c r="H18" i="2"/>
  <c r="I18" i="2"/>
  <c r="J18" i="2"/>
  <c r="K18" i="2"/>
  <c r="L18" i="2"/>
  <c r="M18" i="2"/>
  <c r="G19" i="2"/>
  <c r="H19" i="2"/>
  <c r="I19" i="2"/>
  <c r="J19" i="2"/>
  <c r="K19" i="2"/>
  <c r="K22" i="2" s="1"/>
  <c r="L19" i="2"/>
  <c r="L22" i="2" s="1"/>
  <c r="M19" i="2"/>
  <c r="M22" i="2" s="1"/>
  <c r="G20" i="2"/>
  <c r="H20" i="2"/>
  <c r="I20" i="2"/>
  <c r="J20" i="2"/>
  <c r="K20" i="2"/>
  <c r="L20" i="2"/>
  <c r="M20" i="2"/>
  <c r="G21" i="2"/>
  <c r="M21" i="2"/>
  <c r="H22" i="2"/>
  <c r="J22" i="2"/>
  <c r="G23" i="2"/>
  <c r="H23" i="2"/>
  <c r="I23" i="2"/>
  <c r="J23" i="2"/>
  <c r="K23" i="2"/>
  <c r="L23" i="2"/>
  <c r="M23" i="2"/>
  <c r="F23" i="2"/>
  <c r="F19" i="2"/>
  <c r="F20" i="2"/>
  <c r="F18" i="2"/>
  <c r="G10" i="2"/>
  <c r="H10" i="2"/>
  <c r="I10" i="2"/>
  <c r="J10" i="2"/>
  <c r="K10" i="2"/>
  <c r="L10" i="2"/>
  <c r="M10" i="2"/>
  <c r="G11" i="2"/>
  <c r="H11" i="2"/>
  <c r="I11" i="2"/>
  <c r="J11" i="2"/>
  <c r="K11" i="2"/>
  <c r="L11" i="2"/>
  <c r="M11" i="2"/>
  <c r="G12" i="2"/>
  <c r="H12" i="2"/>
  <c r="I12" i="2"/>
  <c r="J12" i="2"/>
  <c r="J16" i="2" s="1"/>
  <c r="K12" i="2"/>
  <c r="L12" i="2"/>
  <c r="L16" i="2" s="1"/>
  <c r="M12" i="2"/>
  <c r="M16" i="2" s="1"/>
  <c r="G13" i="2"/>
  <c r="G17" i="2" s="1"/>
  <c r="H13" i="2"/>
  <c r="I13" i="2"/>
  <c r="I17" i="2" s="1"/>
  <c r="J13" i="2"/>
  <c r="J17" i="2" s="1"/>
  <c r="K13" i="2"/>
  <c r="L13" i="2"/>
  <c r="L17" i="2" s="1"/>
  <c r="M13" i="2"/>
  <c r="M17" i="2" s="1"/>
  <c r="F13" i="2"/>
  <c r="F11" i="2"/>
  <c r="F15" i="2" s="1"/>
  <c r="F12" i="2"/>
  <c r="F16" i="2" s="1"/>
  <c r="F10" i="2"/>
  <c r="F14" i="2" s="1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7" i="2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F5" i="2"/>
  <c r="F6" i="2"/>
  <c r="F4" i="2"/>
  <c r="G32" i="2"/>
  <c r="G33" i="2" s="1"/>
  <c r="H32" i="2"/>
  <c r="H33" i="2" s="1"/>
  <c r="M32" i="2"/>
  <c r="M33" i="2"/>
  <c r="C18" i="7"/>
  <c r="C17" i="7"/>
  <c r="K16" i="2"/>
  <c r="G86" i="2"/>
  <c r="I86" i="2"/>
  <c r="H87" i="2"/>
  <c r="J87" i="2"/>
  <c r="F86" i="2"/>
  <c r="G81" i="2"/>
  <c r="I74" i="2"/>
  <c r="I76" i="2" s="1"/>
  <c r="J75" i="2"/>
  <c r="J77" i="2"/>
  <c r="L75" i="2"/>
  <c r="L77" i="2" s="1"/>
  <c r="M75" i="2"/>
  <c r="M77" i="2" s="1"/>
  <c r="K69" i="2"/>
  <c r="K70" i="2" s="1"/>
  <c r="K65" i="2"/>
  <c r="K66" i="2" s="1"/>
  <c r="K67" i="2" s="1"/>
  <c r="I65" i="2"/>
  <c r="I66" i="2" s="1"/>
  <c r="I67" i="2" s="1"/>
  <c r="K50" i="2"/>
  <c r="K49" i="2" s="1"/>
  <c r="I55" i="2"/>
  <c r="I57" i="2" s="1"/>
  <c r="M55" i="2"/>
  <c r="M57" i="2" s="1"/>
  <c r="J56" i="2"/>
  <c r="J58" i="2" s="1"/>
  <c r="M46" i="2"/>
  <c r="M47" i="2" s="1"/>
  <c r="M48" i="2" s="1"/>
  <c r="C16" i="7"/>
  <c r="AA48" i="22"/>
  <c r="AA47" i="22"/>
  <c r="AA45" i="22"/>
  <c r="AA43" i="22"/>
  <c r="AA40" i="22"/>
  <c r="AA36" i="22"/>
  <c r="AA37" i="22"/>
  <c r="AA38" i="22"/>
  <c r="AA39" i="22"/>
  <c r="AA34" i="22"/>
  <c r="AA33" i="22"/>
  <c r="AA31" i="22"/>
  <c r="AA28" i="22"/>
  <c r="AA27" i="22"/>
  <c r="AA23" i="22"/>
  <c r="AA20" i="22" s="1"/>
  <c r="AA26" i="22"/>
  <c r="AA25" i="22"/>
  <c r="AA24" i="22"/>
  <c r="AA22" i="22"/>
  <c r="AA21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X4" i="21"/>
  <c r="AC21" i="20"/>
  <c r="AC22" i="20"/>
  <c r="I16" i="2" s="1"/>
  <c r="AC23" i="20"/>
  <c r="AC24" i="20"/>
  <c r="F17" i="2" s="1"/>
  <c r="AC25" i="20"/>
  <c r="AC20" i="20"/>
  <c r="P5" i="21"/>
  <c r="P4" i="21"/>
  <c r="AA13" i="20"/>
  <c r="Z7" i="20"/>
  <c r="Z13" i="20"/>
  <c r="Y13" i="20"/>
  <c r="X7" i="20"/>
  <c r="X13" i="20" s="1"/>
  <c r="T7" i="20"/>
  <c r="T13" i="20" s="1"/>
  <c r="S13" i="20"/>
  <c r="AA12" i="20"/>
  <c r="Z6" i="20"/>
  <c r="Z12" i="20" s="1"/>
  <c r="Y12" i="20"/>
  <c r="X6" i="20"/>
  <c r="X12" i="20"/>
  <c r="T6" i="20"/>
  <c r="T12" i="20" s="1"/>
  <c r="S12" i="20"/>
  <c r="AA11" i="20"/>
  <c r="Z5" i="20"/>
  <c r="Z11" i="20"/>
  <c r="Y11" i="20"/>
  <c r="X5" i="20"/>
  <c r="X11" i="20"/>
  <c r="T5" i="20"/>
  <c r="T11" i="20"/>
  <c r="W11" i="20"/>
  <c r="U11" i="20"/>
  <c r="V11" i="20"/>
  <c r="S11" i="20"/>
  <c r="AA10" i="20"/>
  <c r="Z4" i="20"/>
  <c r="Z10" i="20" s="1"/>
  <c r="Y10" i="20"/>
  <c r="X4" i="20"/>
  <c r="X10" i="20"/>
  <c r="T4" i="20"/>
  <c r="T10" i="20"/>
  <c r="U10" i="20" s="1"/>
  <c r="V10" i="20" s="1"/>
  <c r="W10" i="20"/>
  <c r="S10" i="20"/>
  <c r="AA9" i="20"/>
  <c r="Z3" i="20"/>
  <c r="Z9" i="20"/>
  <c r="Y9" i="20"/>
  <c r="X3" i="20"/>
  <c r="X9" i="20"/>
  <c r="T3" i="20"/>
  <c r="T9" i="20" s="1"/>
  <c r="S9" i="20"/>
  <c r="AA8" i="20"/>
  <c r="Z2" i="20"/>
  <c r="Z8" i="20"/>
  <c r="Y8" i="20"/>
  <c r="X2" i="20"/>
  <c r="X8" i="20"/>
  <c r="T2" i="20"/>
  <c r="T8" i="20" s="1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F30" i="2"/>
  <c r="C4" i="7"/>
  <c r="C5" i="7"/>
  <c r="C6" i="7"/>
  <c r="C7" i="7"/>
  <c r="C8" i="7"/>
  <c r="C9" i="7"/>
  <c r="C10" i="7"/>
  <c r="C11" i="7"/>
  <c r="C12" i="7"/>
  <c r="C13" i="7"/>
  <c r="C14" i="7"/>
  <c r="C15" i="7"/>
  <c r="C3" i="7"/>
  <c r="I71" i="2" l="1"/>
  <c r="I73" i="2"/>
  <c r="J49" i="2"/>
  <c r="J51" i="2"/>
  <c r="I15" i="2"/>
  <c r="L49" i="2"/>
  <c r="K68" i="2"/>
  <c r="H14" i="2"/>
  <c r="U13" i="20"/>
  <c r="W13" i="20"/>
  <c r="U8" i="20"/>
  <c r="W8" i="20"/>
  <c r="L68" i="2"/>
  <c r="L70" i="2"/>
  <c r="L54" i="2"/>
  <c r="L52" i="2"/>
  <c r="H68" i="2"/>
  <c r="H70" i="2"/>
  <c r="M68" i="2"/>
  <c r="M70" i="2"/>
  <c r="L73" i="2"/>
  <c r="L71" i="2"/>
  <c r="W12" i="20"/>
  <c r="U12" i="20"/>
  <c r="U9" i="20"/>
  <c r="W9" i="20"/>
  <c r="K17" i="2"/>
  <c r="H17" i="2"/>
  <c r="M15" i="2"/>
  <c r="L15" i="2"/>
  <c r="H15" i="2"/>
  <c r="I22" i="2"/>
  <c r="J14" i="2"/>
  <c r="I14" i="2"/>
  <c r="G22" i="2"/>
  <c r="H16" i="2"/>
  <c r="G14" i="2"/>
  <c r="M14" i="2"/>
  <c r="I21" i="2"/>
  <c r="K15" i="2"/>
  <c r="G16" i="2"/>
  <c r="J21" i="2"/>
  <c r="J15" i="2"/>
  <c r="K21" i="2"/>
  <c r="H21" i="2"/>
  <c r="K14" i="2"/>
  <c r="F21" i="2"/>
  <c r="L14" i="2"/>
  <c r="G15" i="2"/>
  <c r="F22" i="2"/>
  <c r="L21" i="2"/>
  <c r="H54" i="2"/>
  <c r="K51" i="2"/>
  <c r="H73" i="2"/>
  <c r="K73" i="2"/>
  <c r="H51" i="2"/>
  <c r="H49" i="2"/>
  <c r="M49" i="2"/>
  <c r="M51" i="2"/>
  <c r="J52" i="2"/>
  <c r="J54" i="2"/>
  <c r="I68" i="2"/>
  <c r="I70" i="2"/>
  <c r="M73" i="2"/>
  <c r="M71" i="2"/>
  <c r="I49" i="2"/>
  <c r="I51" i="2"/>
  <c r="J73" i="2"/>
  <c r="J71" i="2"/>
  <c r="J70" i="2"/>
  <c r="J68" i="2"/>
  <c r="K52" i="2"/>
  <c r="K54" i="2"/>
  <c r="M54" i="2"/>
  <c r="I54" i="2"/>
  <c r="V12" i="20" l="1"/>
  <c r="V8" i="20"/>
  <c r="V9" i="20"/>
  <c r="V1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<sst xmlns="http://schemas.openxmlformats.org/spreadsheetml/2006/main" count="12986" uniqueCount="1207">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</sst>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330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2033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10" xfId="20317" xr:uid="{6638768C-FDB7-48CC-8349-E8F77772A1EF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24 2" xfId="20316" xr:uid="{65074360-772E-48BE-B3B3-EB98009C7CDE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63" xfId="20315" xr:uid="{84FFF730-34F4-4EE3-8E89-29B146CF8DC3}"/>
    <cellStyle name="Normal 64" xfId="20329" xr:uid="{04D0294F-3497-47E1-A72E-2EEED87F2BB2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2 4" xfId="20318" xr:uid="{629C851E-B915-4499-AEA8-D1B1D7B059FF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11" xfId="20319" xr:uid="{1BDDB39A-6108-4A92-A0D8-EA230915711C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11" xfId="20320" xr:uid="{0CE294A1-D111-4C68-9F6B-F8906A52AFED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11" xfId="20321" xr:uid="{D8D163EA-FE16-4B71-B8C7-9EB85880FACA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11" xfId="20322" xr:uid="{5D65DA42-31BA-4D77-9F11-7B1728255F45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11" xfId="20323" xr:uid="{2F1BFB91-E4D2-4C7F-8AB1-79A0462970C9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11" xfId="20324" xr:uid="{1A59CDCE-92B2-4020-9CEB-DF757AE7931E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11" xfId="20325" xr:uid="{7DFC0F1B-1A0E-45AA-8747-E5B855EFF759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11" xfId="20326" xr:uid="{3841C93E-FE2C-4CCD-BC3B-C22C8F6323C3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11" xfId="20327" xr:uid="{C1EE7E02-3BAE-44C6-90B9-B2F2FC9347C3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11" xfId="20328" xr:uid="{F7581FD1-0633-4230-BF7D-C08D93D86D2A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1"/>
  <sheetViews>
    <sheetView topLeftCell="M1" zoomScale="85" zoomScaleNormal="85" workbookViewId="0">
      <selection activeCell="N1" sqref="N1:O1048576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Ocean_Summary!AF66</f>
        <v>7840</v>
      </c>
      <c r="G4">
        <f>Ocean_Summary!AG66</f>
        <v>5530</v>
      </c>
      <c r="H4">
        <f>Ocean_Summary!AH66</f>
        <v>5130</v>
      </c>
      <c r="I4">
        <f>Ocean_Summary!AI66</f>
        <v>4250</v>
      </c>
      <c r="J4">
        <f>Ocean_Summary!AJ66</f>
        <v>3370</v>
      </c>
      <c r="K4">
        <f>Ocean_Summary!AK66</f>
        <v>2780</v>
      </c>
      <c r="L4">
        <f>Ocean_Summary!AL66</f>
        <v>2320</v>
      </c>
      <c r="M4">
        <f>Ocean_Summary!AM66</f>
        <v>1980</v>
      </c>
      <c r="N4" s="134">
        <v>1980</v>
      </c>
      <c r="O4" s="134">
        <v>1980</v>
      </c>
    </row>
    <row r="5" spans="1:15">
      <c r="A5" t="s">
        <v>608</v>
      </c>
      <c r="C5" t="s">
        <v>607</v>
      </c>
      <c r="D5" t="s">
        <v>1060</v>
      </c>
      <c r="E5" t="s">
        <v>927</v>
      </c>
      <c r="F5">
        <f>Ocean_Summary!AF67</f>
        <v>7910</v>
      </c>
      <c r="G5">
        <f>Ocean_Summary!AG67</f>
        <v>5580</v>
      </c>
      <c r="H5">
        <f>Ocean_Summary!AH67</f>
        <v>5170</v>
      </c>
      <c r="I5">
        <f>Ocean_Summary!AI67</f>
        <v>4290</v>
      </c>
      <c r="J5">
        <f>Ocean_Summary!AJ67</f>
        <v>3400</v>
      </c>
      <c r="K5">
        <f>Ocean_Summary!AK67</f>
        <v>2810</v>
      </c>
      <c r="L5">
        <f>Ocean_Summary!AL67</f>
        <v>2350</v>
      </c>
      <c r="M5">
        <f>Ocean_Summary!AM67</f>
        <v>2000</v>
      </c>
      <c r="N5" s="134">
        <v>2000</v>
      </c>
      <c r="O5" s="134">
        <v>2000</v>
      </c>
    </row>
    <row r="6" spans="1:15">
      <c r="A6" t="s">
        <v>610</v>
      </c>
      <c r="C6" t="s">
        <v>609</v>
      </c>
      <c r="D6" t="s">
        <v>1060</v>
      </c>
      <c r="E6" t="s">
        <v>927</v>
      </c>
      <c r="F6">
        <f>Ocean_Summary!AF68</f>
        <v>7910</v>
      </c>
      <c r="G6">
        <f>Ocean_Summary!AG68</f>
        <v>5580</v>
      </c>
      <c r="H6">
        <f>Ocean_Summary!AH68</f>
        <v>5170</v>
      </c>
      <c r="I6">
        <f>Ocean_Summary!AI68</f>
        <v>4290</v>
      </c>
      <c r="J6">
        <f>Ocean_Summary!AJ68</f>
        <v>3400</v>
      </c>
      <c r="K6">
        <f>Ocean_Summary!AK68</f>
        <v>2810</v>
      </c>
      <c r="L6">
        <f>Ocean_Summary!AL68</f>
        <v>2350</v>
      </c>
      <c r="M6">
        <f>Ocean_Summary!AM68</f>
        <v>2000</v>
      </c>
      <c r="N6" s="134">
        <v>2000</v>
      </c>
      <c r="O6" s="134">
        <v>2000</v>
      </c>
    </row>
    <row r="7" spans="1:15">
      <c r="A7" t="s">
        <v>602</v>
      </c>
      <c r="C7" t="s">
        <v>601</v>
      </c>
      <c r="D7" t="s">
        <v>1060</v>
      </c>
      <c r="E7" t="s">
        <v>1047</v>
      </c>
      <c r="F7" s="14">
        <f>Ocean_Summary!AR66</f>
        <v>493.44914332578861</v>
      </c>
      <c r="G7" s="14">
        <f>Ocean_Summary!AS66</f>
        <v>360.22897183677372</v>
      </c>
      <c r="H7" s="14">
        <f>Ocean_Summary!AT66</f>
        <v>316.31024355343658</v>
      </c>
      <c r="I7" s="14">
        <f>Ocean_Summary!AU66</f>
        <v>238.88998612784161</v>
      </c>
      <c r="J7" s="14">
        <f>Ocean_Summary!AV66</f>
        <v>200.07165023430741</v>
      </c>
      <c r="K7" s="14">
        <f>Ocean_Summary!AW66</f>
        <v>175.55367201639021</v>
      </c>
      <c r="L7" s="14">
        <f>Ocean_Summary!AX66</f>
        <v>133.0818075985523</v>
      </c>
      <c r="M7" s="14">
        <f>Ocean_Summary!AY66</f>
        <v>97.440874305088983</v>
      </c>
      <c r="N7" s="135">
        <v>97.440874305088983</v>
      </c>
      <c r="O7" s="135">
        <v>97.440874305088983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Ocean_Summary!AR67</f>
        <v>312.81769627798747</v>
      </c>
      <c r="G8" s="14">
        <f>Ocean_Summary!AS67</f>
        <v>220.82653148899902</v>
      </c>
      <c r="H8" s="14">
        <f>Ocean_Summary!AT67</f>
        <v>204.56105114962082</v>
      </c>
      <c r="I8" s="14">
        <f>Ocean_Summary!AU67</f>
        <v>150.0534479532993</v>
      </c>
      <c r="J8" s="14">
        <f>Ocean_Summary!AV67</f>
        <v>134.48403811473793</v>
      </c>
      <c r="K8" s="14">
        <f>Ocean_Summary!AW67</f>
        <v>110.95852877076666</v>
      </c>
      <c r="L8" s="14">
        <f>Ocean_Summary!AX67</f>
        <v>92.751853057636268</v>
      </c>
      <c r="M8" s="14">
        <f>Ocean_Summary!AY67</f>
        <v>78.961761628759618</v>
      </c>
      <c r="N8" s="135">
        <v>78.961761628759618</v>
      </c>
      <c r="O8" s="135">
        <v>78.961761628759618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Ocean_Summary!AR68</f>
        <v>324.30202340017814</v>
      </c>
      <c r="G9" s="14">
        <f>Ocean_Summary!AS68</f>
        <v>240.16201364785752</v>
      </c>
      <c r="H9" s="14">
        <f>Ocean_Summary!AT68</f>
        <v>219.29006407417236</v>
      </c>
      <c r="I9" s="14">
        <f>Ocean_Summary!AU68</f>
        <v>178.43703773721799</v>
      </c>
      <c r="J9" s="14">
        <f>Ocean_Summary!AV68</f>
        <v>151.16394169532416</v>
      </c>
      <c r="K9" s="14">
        <f>Ocean_Summary!AW68</f>
        <v>140.51738566482987</v>
      </c>
      <c r="L9" s="14">
        <f>Ocean_Summary!AX68</f>
        <v>123.31739917256087</v>
      </c>
      <c r="M9" s="14">
        <f>Ocean_Summary!AY68</f>
        <v>110.7277414586772</v>
      </c>
      <c r="N9" s="135">
        <v>110.7277414586772</v>
      </c>
      <c r="O9" s="135">
        <v>110.7277414586772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 s="14">
        <f>PV_Summary_Fin!AF65</f>
        <v>1120</v>
      </c>
      <c r="G10" s="14">
        <f>PV_Summary_Fin!AG65</f>
        <v>830</v>
      </c>
      <c r="H10" s="14">
        <f>PV_Summary_Fin!AH65</f>
        <v>700</v>
      </c>
      <c r="I10" s="14">
        <f>PV_Summary_Fin!AI65</f>
        <v>600</v>
      </c>
      <c r="J10" s="14">
        <f>PV_Summary_Fin!AJ65</f>
        <v>510</v>
      </c>
      <c r="K10" s="14">
        <f>PV_Summary_Fin!AK65</f>
        <v>430</v>
      </c>
      <c r="L10" s="14">
        <f>PV_Summary_Fin!AL65</f>
        <v>380</v>
      </c>
      <c r="M10" s="14">
        <f>PV_Summary_Fin!AM65</f>
        <v>340</v>
      </c>
      <c r="N10" s="135">
        <v>340</v>
      </c>
      <c r="O10" s="135">
        <v>340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 s="14">
        <f>PV_Summary_Fin!AF66</f>
        <v>1020</v>
      </c>
      <c r="G11" s="14">
        <f>PV_Summary_Fin!AG66</f>
        <v>750</v>
      </c>
      <c r="H11" s="14">
        <f>PV_Summary_Fin!AH66</f>
        <v>640</v>
      </c>
      <c r="I11" s="14">
        <f>PV_Summary_Fin!AI66</f>
        <v>540</v>
      </c>
      <c r="J11" s="14">
        <f>PV_Summary_Fin!AJ66</f>
        <v>460</v>
      </c>
      <c r="K11" s="14">
        <f>PV_Summary_Fin!AK66</f>
        <v>390</v>
      </c>
      <c r="L11" s="14">
        <f>PV_Summary_Fin!AL66</f>
        <v>340</v>
      </c>
      <c r="M11" s="14">
        <f>PV_Summary_Fin!AM66</f>
        <v>310</v>
      </c>
      <c r="N11" s="135">
        <v>310</v>
      </c>
      <c r="O11" s="135">
        <v>310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 s="14">
        <f>PV_Summary_Fin!AF67</f>
        <v>1140</v>
      </c>
      <c r="G12" s="14">
        <f>PV_Summary_Fin!AG67</f>
        <v>840</v>
      </c>
      <c r="H12" s="14">
        <f>PV_Summary_Fin!AH67</f>
        <v>720</v>
      </c>
      <c r="I12" s="14">
        <f>PV_Summary_Fin!AI67</f>
        <v>610</v>
      </c>
      <c r="J12" s="14">
        <f>PV_Summary_Fin!AJ67</f>
        <v>520</v>
      </c>
      <c r="K12" s="14">
        <f>PV_Summary_Fin!AK67</f>
        <v>440</v>
      </c>
      <c r="L12" s="14">
        <f>PV_Summary_Fin!AL67</f>
        <v>380</v>
      </c>
      <c r="M12" s="14">
        <f>PV_Summary_Fin!AM67</f>
        <v>350</v>
      </c>
      <c r="N12" s="135">
        <v>350</v>
      </c>
      <c r="O12" s="135">
        <v>350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 s="14">
        <f>PV_Summary_Fin!AF69</f>
        <v>1360</v>
      </c>
      <c r="G13" s="14">
        <f>PV_Summary_Fin!AG69</f>
        <v>1000</v>
      </c>
      <c r="H13" s="14">
        <f>PV_Summary_Fin!AH69</f>
        <v>860</v>
      </c>
      <c r="I13" s="14">
        <f>PV_Summary_Fin!AI69</f>
        <v>730</v>
      </c>
      <c r="J13" s="14">
        <f>PV_Summary_Fin!AJ69</f>
        <v>610</v>
      </c>
      <c r="K13" s="14">
        <f>PV_Summary_Fin!AK69</f>
        <v>520</v>
      </c>
      <c r="L13" s="14">
        <f>PV_Summary_Fin!AL69</f>
        <v>460</v>
      </c>
      <c r="M13" s="14">
        <f>PV_Summary_Fin!AM69</f>
        <v>410</v>
      </c>
      <c r="N13" s="135">
        <v>410</v>
      </c>
      <c r="O13" s="135">
        <v>410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19.107580165479874</v>
      </c>
      <c r="H14" s="14">
        <f>'PV SET'!$AC20*H10</f>
        <v>16.114826645585435</v>
      </c>
      <c r="I14" s="14">
        <f>'PV SET'!$AC20*I10</f>
        <v>13.812708553358945</v>
      </c>
      <c r="J14" s="14">
        <f>'PV SET'!$AC20*J10</f>
        <v>11.740802270355104</v>
      </c>
      <c r="K14" s="14">
        <f>'PV SET'!$AC20*K10</f>
        <v>9.8991077965739116</v>
      </c>
      <c r="L14" s="14">
        <f>'PV SET'!$AC20*L10</f>
        <v>8.748048750460665</v>
      </c>
      <c r="M14" s="14">
        <f>'PV SET'!$AC20*M10</f>
        <v>7.8272015135700688</v>
      </c>
      <c r="N14" s="135">
        <v>7.8272015135700688</v>
      </c>
      <c r="O14" s="135">
        <v>7.8272015135700688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12.801374336094717</v>
      </c>
      <c r="H15" s="14">
        <f>'PV SET'!$AC21*H11</f>
        <v>10.923839433467492</v>
      </c>
      <c r="I15" s="14">
        <f>'PV SET'!$AC21*I11</f>
        <v>9.2169895219881965</v>
      </c>
      <c r="J15" s="14">
        <f>'PV SET'!$AC21*J11</f>
        <v>7.85150959280476</v>
      </c>
      <c r="K15" s="14">
        <f>'PV SET'!$AC21*K11</f>
        <v>6.6567146547692531</v>
      </c>
      <c r="L15" s="14">
        <f>'PV SET'!$AC21*L11</f>
        <v>5.8032896990296052</v>
      </c>
      <c r="M15" s="14">
        <f>'PV SET'!$AC21*M11</f>
        <v>5.2912347255858165</v>
      </c>
      <c r="N15" s="135">
        <v>5.2912347255858165</v>
      </c>
      <c r="O15" s="135">
        <v>5.2912347255858165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21.116831399333343</v>
      </c>
      <c r="H16" s="14">
        <f>'PV SET'!$AC22*H12</f>
        <v>18.100141199428577</v>
      </c>
      <c r="I16" s="14">
        <f>'PV SET'!$AC22*I12</f>
        <v>15.334841849515879</v>
      </c>
      <c r="J16" s="14">
        <f>'PV SET'!$AC22*J12</f>
        <v>13.072324199587307</v>
      </c>
      <c r="K16" s="14">
        <f>'PV SET'!$AC22*K12</f>
        <v>11.061197399650798</v>
      </c>
      <c r="L16" s="14">
        <f>'PV SET'!$AC22*L12</f>
        <v>9.5528522996984169</v>
      </c>
      <c r="M16" s="14">
        <f>'PV SET'!$AC22*M12</f>
        <v>8.7986797497222256</v>
      </c>
      <c r="N16" s="135">
        <v>8.7986797497222256</v>
      </c>
      <c r="O16" s="135">
        <v>8.7986797497222256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20.080587193874063</v>
      </c>
      <c r="H17" s="14">
        <f>'PV SET'!$AC24*H13</f>
        <v>17.269304986731694</v>
      </c>
      <c r="I17" s="14">
        <f>'PV SET'!$AC24*I13</f>
        <v>14.658828651528067</v>
      </c>
      <c r="J17" s="14">
        <f>'PV SET'!$AC24*J13</f>
        <v>12.249158188263179</v>
      </c>
      <c r="K17" s="14">
        <f>'PV SET'!$AC24*K13</f>
        <v>10.441905340814513</v>
      </c>
      <c r="L17" s="14">
        <f>'PV SET'!$AC24*L13</f>
        <v>9.2370701091820688</v>
      </c>
      <c r="M17" s="14">
        <f>'PV SET'!$AC24*M13</f>
        <v>8.2330407494883655</v>
      </c>
      <c r="N17" s="135">
        <v>8.2330407494883655</v>
      </c>
      <c r="O17" s="135">
        <v>8.2330407494883655</v>
      </c>
    </row>
    <row r="18" spans="1:17">
      <c r="A18" t="s">
        <v>712</v>
      </c>
      <c r="C18" t="s">
        <v>711</v>
      </c>
      <c r="D18" t="s">
        <v>1060</v>
      </c>
      <c r="E18" t="s">
        <v>927</v>
      </c>
      <c r="F18">
        <f>STE_Summary!AF65</f>
        <v>6000</v>
      </c>
      <c r="G18">
        <f>STE_Summary!AG65</f>
        <v>4120</v>
      </c>
      <c r="H18">
        <f>STE_Summary!AH65</f>
        <v>3790</v>
      </c>
      <c r="I18">
        <f>STE_Summary!AI65</f>
        <v>3380</v>
      </c>
      <c r="J18">
        <f>STE_Summary!AJ65</f>
        <v>3080</v>
      </c>
      <c r="K18">
        <f>STE_Summary!AK65</f>
        <v>2890</v>
      </c>
      <c r="L18">
        <f>STE_Summary!AL65</f>
        <v>2770</v>
      </c>
      <c r="M18">
        <f>STE_Summary!AM65</f>
        <v>2660</v>
      </c>
      <c r="N18" s="134">
        <v>2660</v>
      </c>
      <c r="O18" s="134">
        <v>2660</v>
      </c>
    </row>
    <row r="19" spans="1:17">
      <c r="A19" t="s">
        <v>718</v>
      </c>
      <c r="C19" t="s">
        <v>717</v>
      </c>
      <c r="D19" t="s">
        <v>1060</v>
      </c>
      <c r="E19" t="s">
        <v>927</v>
      </c>
      <c r="F19">
        <f>STE_Summary!AF66</f>
        <v>5280</v>
      </c>
      <c r="G19">
        <f>STE_Summary!AG66</f>
        <v>3620</v>
      </c>
      <c r="H19">
        <f>STE_Summary!AH66</f>
        <v>3330</v>
      </c>
      <c r="I19">
        <f>STE_Summary!AI66</f>
        <v>2970</v>
      </c>
      <c r="J19">
        <f>STE_Summary!AJ66</f>
        <v>2710</v>
      </c>
      <c r="K19">
        <f>STE_Summary!AK66</f>
        <v>2550</v>
      </c>
      <c r="L19">
        <f>STE_Summary!AL66</f>
        <v>2440</v>
      </c>
      <c r="M19">
        <f>STE_Summary!AM66</f>
        <v>2340</v>
      </c>
      <c r="N19" s="134">
        <v>2340</v>
      </c>
      <c r="O19" s="134">
        <v>2340</v>
      </c>
    </row>
    <row r="20" spans="1:17">
      <c r="A20" t="s">
        <v>698</v>
      </c>
      <c r="C20" t="s">
        <v>697</v>
      </c>
      <c r="D20" t="s">
        <v>1060</v>
      </c>
      <c r="E20" t="s">
        <v>927</v>
      </c>
      <c r="F20">
        <f>STE_Summary!AF67</f>
        <v>3800</v>
      </c>
      <c r="G20">
        <f>STE_Summary!AG67</f>
        <v>2610</v>
      </c>
      <c r="H20">
        <f>STE_Summary!AH67</f>
        <v>2400</v>
      </c>
      <c r="I20">
        <f>STE_Summary!AI67</f>
        <v>2140</v>
      </c>
      <c r="J20">
        <f>STE_Summary!AJ67</f>
        <v>1950</v>
      </c>
      <c r="K20">
        <f>STE_Summary!AK67</f>
        <v>1830</v>
      </c>
      <c r="L20">
        <f>STE_Summary!AL67</f>
        <v>1760</v>
      </c>
      <c r="M20">
        <f>STE_Summary!AM67</f>
        <v>1680</v>
      </c>
      <c r="N20" s="134">
        <v>1680</v>
      </c>
      <c r="O20" s="134">
        <v>1680</v>
      </c>
    </row>
    <row r="21" spans="1:17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69.991028489947254</v>
      </c>
      <c r="H21" s="14">
        <f>'STE SET'!$X4*INS!H18</f>
        <v>64.384950965267024</v>
      </c>
      <c r="I21" s="14">
        <f>'STE SET'!$X4*INS!I18</f>
        <v>57.419824343694593</v>
      </c>
      <c r="J21" s="14">
        <f>'STE SET'!$X4*INS!J18</f>
        <v>52.32339023034892</v>
      </c>
      <c r="K21" s="14">
        <f>'STE SET'!$X4*INS!K18</f>
        <v>49.095648625229998</v>
      </c>
      <c r="L21" s="14">
        <f>'STE SET'!$X4*INS!L18</f>
        <v>47.057074979891723</v>
      </c>
      <c r="M21" s="14">
        <f>'STE SET'!$X4*INS!M18</f>
        <v>45.18838247166498</v>
      </c>
      <c r="N21" s="135">
        <v>45.18838247166498</v>
      </c>
      <c r="O21" s="135">
        <v>45.18838247166498</v>
      </c>
    </row>
    <row r="22" spans="1:17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61.491290620825232</v>
      </c>
      <c r="H22" s="14">
        <f>'STE SET'!$X5*INS!H19</f>
        <v>56.565192753411061</v>
      </c>
      <c r="I22" s="14">
        <f>'STE SET'!$X5*INS!I19</f>
        <v>50.450036780069325</v>
      </c>
      <c r="J22" s="14">
        <f>'STE SET'!$X5*INS!J19</f>
        <v>46.033535243766956</v>
      </c>
      <c r="K22" s="14">
        <f>'STE SET'!$X5*INS!K19</f>
        <v>43.315688144503966</v>
      </c>
      <c r="L22" s="14">
        <f>'STE SET'!$X5*INS!L19</f>
        <v>41.447168263760659</v>
      </c>
      <c r="M22" s="14">
        <f>'STE SET'!$X5*INS!M19</f>
        <v>39.748513826721286</v>
      </c>
      <c r="N22" s="135">
        <v>39.748513826721286</v>
      </c>
      <c r="O22" s="135">
        <v>39.748513826721286</v>
      </c>
    </row>
    <row r="23" spans="1:17">
      <c r="A23" t="s">
        <v>698</v>
      </c>
      <c r="C23" t="s">
        <v>697</v>
      </c>
      <c r="D23" t="s">
        <v>1060</v>
      </c>
      <c r="E23" t="s">
        <v>1047</v>
      </c>
      <c r="F23" s="14">
        <f>STE_Summary!AR67</f>
        <v>64.600000000000009</v>
      </c>
      <c r="G23" s="14">
        <f>STE_Summary!AS67</f>
        <v>44.322383230907299</v>
      </c>
      <c r="H23" s="14">
        <f>STE_Summary!AT67</f>
        <v>40.785305324148673</v>
      </c>
      <c r="I23" s="14">
        <f>STE_Summary!AU67</f>
        <v>36.38584173368109</v>
      </c>
      <c r="J23" s="14">
        <f>STE_Summary!AV67</f>
        <v>33.176706119393295</v>
      </c>
      <c r="K23" s="14">
        <f>STE_Summary!AW67</f>
        <v>31.142114699103892</v>
      </c>
      <c r="L23" s="14">
        <f>STE_Summary!AX67</f>
        <v>29.835882799905455</v>
      </c>
      <c r="M23" s="14">
        <f>STE_Summary!AY67</f>
        <v>28.586886641799094</v>
      </c>
      <c r="N23" s="135">
        <v>28.586886641799094</v>
      </c>
      <c r="O23" s="135">
        <v>28.586886641799094</v>
      </c>
    </row>
    <row r="24" spans="1:17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Summary'!G72</f>
        <v>3600</v>
      </c>
      <c r="G24" s="14">
        <f>'WindOffshore Summary'!H72</f>
        <v>2460</v>
      </c>
      <c r="H24" s="14">
        <f>'WindOffshore Summary'!I72</f>
        <v>2190</v>
      </c>
      <c r="I24" s="14">
        <f>'WindOffshore Summary'!J72</f>
        <v>1980</v>
      </c>
      <c r="J24" s="14">
        <f>'WindOffshore Summary'!K72</f>
        <v>1840</v>
      </c>
      <c r="K24" s="14">
        <f>'WindOffshore Summary'!L72</f>
        <v>1750</v>
      </c>
      <c r="L24" s="14">
        <f>'WindOffshore Summary'!M72</f>
        <v>1680</v>
      </c>
      <c r="M24" s="14">
        <f>'WindOffshore Summary'!N72</f>
        <v>1610</v>
      </c>
      <c r="N24" s="135">
        <v>1610</v>
      </c>
      <c r="O24" s="135">
        <v>1610</v>
      </c>
      <c r="P24" s="14"/>
      <c r="Q24" s="14"/>
    </row>
    <row r="25" spans="1:17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Summary'!G117</f>
        <v>5300</v>
      </c>
      <c r="G25" s="14">
        <f>'WindOffshore Summary'!H117</f>
        <v>3620</v>
      </c>
      <c r="H25" s="14">
        <f>'WindOffshore Summary'!I117</f>
        <v>3230</v>
      </c>
      <c r="I25" s="14">
        <f>'WindOffshore Summary'!J117</f>
        <v>2910</v>
      </c>
      <c r="J25" s="14">
        <f>'WindOffshore Summary'!K117</f>
        <v>2720</v>
      </c>
      <c r="K25" s="14">
        <f>'WindOffshore Summary'!L117</f>
        <v>2580</v>
      </c>
      <c r="L25" s="14">
        <f>'WindOffshore Summary'!M117</f>
        <v>2480</v>
      </c>
      <c r="M25" s="14">
        <f>'WindOffshore Summary'!N117</f>
        <v>2370</v>
      </c>
      <c r="N25" s="135">
        <v>2370</v>
      </c>
      <c r="O25" s="135">
        <v>2370</v>
      </c>
    </row>
    <row r="26" spans="1:17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Summary'!S72</f>
        <v>72</v>
      </c>
      <c r="G26" s="14">
        <f>'WindOffshore Summary'!T72</f>
        <v>49.227889868720851</v>
      </c>
      <c r="H26" s="14">
        <f>'WindOffshore Summary'!U72</f>
        <v>43.8649978967835</v>
      </c>
      <c r="I26" s="14">
        <f>'WindOffshore Summary'!V72</f>
        <v>39.572893141907954</v>
      </c>
      <c r="J26" s="14">
        <f>'WindOffshore Summary'!W72</f>
        <v>36.891110930387633</v>
      </c>
      <c r="K26" s="14">
        <f>'WindOffshore Summary'!X72</f>
        <v>35.071739358160798</v>
      </c>
      <c r="L26" s="14">
        <f>'WindOffshore Summary'!Y72</f>
        <v>33.66499826892052</v>
      </c>
      <c r="M26" s="14">
        <f>'WindOffshore Summary'!Z72</f>
        <v>32.189491856175025</v>
      </c>
      <c r="N26" s="135">
        <v>32.189491856175025</v>
      </c>
      <c r="O26" s="135">
        <v>32.189491856175025</v>
      </c>
      <c r="P26" s="14"/>
      <c r="Q26" s="14"/>
    </row>
    <row r="27" spans="1:17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Summary'!S117</f>
        <v>106</v>
      </c>
      <c r="G27" s="14">
        <f>'WindOffshore Summary'!T117</f>
        <v>72.474393417839025</v>
      </c>
      <c r="H27" s="14">
        <f>'WindOffshore Summary'!U117</f>
        <v>64.579024681375699</v>
      </c>
      <c r="I27" s="14">
        <f>'WindOffshore Summary'!V117</f>
        <v>58.260092681142261</v>
      </c>
      <c r="J27" s="14">
        <f>'WindOffshore Summary'!W117</f>
        <v>54.311913314181787</v>
      </c>
      <c r="K27" s="14">
        <f>'WindOffshore Summary'!X117</f>
        <v>51.633394055070056</v>
      </c>
      <c r="L27" s="14">
        <f>'WindOffshore Summary'!Y117</f>
        <v>49.562358562577437</v>
      </c>
      <c r="M27" s="14">
        <f>'WindOffshore Summary'!Z117</f>
        <v>47.39008523270212</v>
      </c>
      <c r="N27" s="135">
        <v>47.39008523270212</v>
      </c>
      <c r="O27" s="135">
        <v>47.39008523270212</v>
      </c>
    </row>
    <row r="28" spans="1:17">
      <c r="A28" t="s">
        <v>869</v>
      </c>
      <c r="C28" t="s">
        <v>868</v>
      </c>
      <c r="D28" t="s">
        <v>1060</v>
      </c>
      <c r="E28" t="s">
        <v>927</v>
      </c>
      <c r="F28" s="14">
        <f>'WindOnshore Summary'!G72</f>
        <v>1350</v>
      </c>
      <c r="G28" s="14">
        <f>'WindOnshore Summary'!H72</f>
        <v>1220</v>
      </c>
      <c r="H28" s="14">
        <f>'WindOnshore Summary'!I72</f>
        <v>1150</v>
      </c>
      <c r="I28" s="14">
        <f>'WindOnshore Summary'!J72</f>
        <v>1080</v>
      </c>
      <c r="J28" s="14">
        <f>'WindOnshore Summary'!K72</f>
        <v>1040</v>
      </c>
      <c r="K28" s="14">
        <f>'WindOnshore Summary'!L72</f>
        <v>1000</v>
      </c>
      <c r="L28" s="14">
        <f>'WindOnshore Summary'!M72</f>
        <v>970</v>
      </c>
      <c r="M28" s="14">
        <f>'WindOnshore Summary'!N72</f>
        <v>950</v>
      </c>
      <c r="N28" s="135">
        <v>950</v>
      </c>
      <c r="O28" s="135">
        <v>950</v>
      </c>
    </row>
    <row r="29" spans="1:17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0">G28</f>
        <v>1220</v>
      </c>
      <c r="H29" s="14">
        <f t="shared" si="0"/>
        <v>1150</v>
      </c>
      <c r="I29" s="14">
        <f t="shared" si="0"/>
        <v>1080</v>
      </c>
      <c r="J29" s="14">
        <f t="shared" si="0"/>
        <v>1040</v>
      </c>
      <c r="K29" s="14">
        <f t="shared" si="0"/>
        <v>1000</v>
      </c>
      <c r="L29" s="14">
        <f t="shared" si="0"/>
        <v>970</v>
      </c>
      <c r="M29" s="14">
        <f t="shared" si="0"/>
        <v>950</v>
      </c>
      <c r="N29" s="135">
        <v>950</v>
      </c>
      <c r="O29" s="135">
        <v>950</v>
      </c>
    </row>
    <row r="30" spans="1:17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0"/>
        <v>1220</v>
      </c>
      <c r="H30" s="14">
        <f t="shared" si="0"/>
        <v>1150</v>
      </c>
      <c r="I30" s="14">
        <f t="shared" si="0"/>
        <v>1080</v>
      </c>
      <c r="J30" s="14">
        <f t="shared" si="0"/>
        <v>1040</v>
      </c>
      <c r="K30" s="14">
        <f t="shared" si="0"/>
        <v>1000</v>
      </c>
      <c r="L30" s="14">
        <f t="shared" si="0"/>
        <v>970</v>
      </c>
      <c r="M30" s="14">
        <f t="shared" si="0"/>
        <v>950</v>
      </c>
      <c r="N30" s="135">
        <v>950</v>
      </c>
      <c r="O30" s="135">
        <v>950</v>
      </c>
    </row>
    <row r="31" spans="1:17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Summary'!S72</f>
        <v>40.5</v>
      </c>
      <c r="G31" s="14">
        <f>'WindOnshore Summary'!T72</f>
        <v>36.605773644903373</v>
      </c>
      <c r="H31" s="14">
        <f>'WindOnshore Summary'!U72</f>
        <v>34.441134366405947</v>
      </c>
      <c r="I31" s="14">
        <f>'WindOnshore Summary'!V72</f>
        <v>32.497624969237513</v>
      </c>
      <c r="J31" s="14">
        <f>'WindOnshore Summary'!W72</f>
        <v>31.186176599868837</v>
      </c>
      <c r="K31" s="14">
        <f>'WindOnshore Summary'!X72</f>
        <v>30.123419412677933</v>
      </c>
      <c r="L31" s="14">
        <f>'WindOnshore Summary'!Y72</f>
        <v>29.199852172635897</v>
      </c>
      <c r="M31" s="14">
        <f>'WindOnshore Summary'!Z72</f>
        <v>28.358823186365477</v>
      </c>
      <c r="N31" s="135">
        <v>28.358823186365477</v>
      </c>
      <c r="O31" s="135">
        <v>28.358823186365477</v>
      </c>
    </row>
    <row r="32" spans="1:17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1">G31</f>
        <v>36.605773644903373</v>
      </c>
      <c r="H32" s="14">
        <f t="shared" si="1"/>
        <v>34.441134366405947</v>
      </c>
      <c r="I32" s="14">
        <f t="shared" si="1"/>
        <v>32.497624969237513</v>
      </c>
      <c r="J32" s="14">
        <f t="shared" si="1"/>
        <v>31.186176599868837</v>
      </c>
      <c r="K32" s="14">
        <f t="shared" si="1"/>
        <v>30.123419412677933</v>
      </c>
      <c r="L32" s="14">
        <f t="shared" si="1"/>
        <v>29.199852172635897</v>
      </c>
      <c r="M32" s="14">
        <f t="shared" si="1"/>
        <v>28.358823186365477</v>
      </c>
      <c r="N32" s="135">
        <v>28.358823186365477</v>
      </c>
      <c r="O32" s="135">
        <v>28.358823186365477</v>
      </c>
    </row>
    <row r="33" spans="1:34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1"/>
        <v>36.605773644903373</v>
      </c>
      <c r="H33" s="14">
        <f t="shared" si="1"/>
        <v>34.441134366405947</v>
      </c>
      <c r="I33" s="14">
        <f t="shared" si="1"/>
        <v>32.497624969237513</v>
      </c>
      <c r="J33" s="14">
        <f t="shared" si="1"/>
        <v>31.186176599868837</v>
      </c>
      <c r="K33" s="14">
        <f t="shared" si="1"/>
        <v>30.123419412677933</v>
      </c>
      <c r="L33" s="14">
        <f t="shared" si="1"/>
        <v>29.199852172635897</v>
      </c>
      <c r="M33" s="14">
        <f t="shared" si="1"/>
        <v>28.358823186365477</v>
      </c>
      <c r="N33" s="135">
        <v>28.358823186365477</v>
      </c>
      <c r="O33" s="135">
        <v>28.358823186365477</v>
      </c>
    </row>
    <row r="34" spans="1:34">
      <c r="A34" t="s">
        <v>88</v>
      </c>
      <c r="C34" t="s">
        <v>87</v>
      </c>
      <c r="D34" t="s">
        <v>1060</v>
      </c>
      <c r="E34" t="s">
        <v>927</v>
      </c>
      <c r="F34" s="14">
        <f>'Geothermal Summary'!AF35</f>
        <v>11790</v>
      </c>
      <c r="G34" s="14">
        <f>'Geothermal Summary'!AG35</f>
        <v>10550</v>
      </c>
      <c r="H34" s="14">
        <f>'Geothermal Summary'!AH35</f>
        <v>10000</v>
      </c>
      <c r="I34" s="14">
        <f>'Geothermal Summary'!AI35</f>
        <v>9250</v>
      </c>
      <c r="J34" s="14">
        <f>'Geothermal Summary'!AJ35</f>
        <v>8840</v>
      </c>
      <c r="K34" s="14">
        <f>'Geothermal Summary'!AK35</f>
        <v>8510</v>
      </c>
      <c r="L34" s="14">
        <f>'Geothermal Summary'!AL35</f>
        <v>8160</v>
      </c>
      <c r="M34" s="14">
        <f>'Geothermal Summary'!AM35</f>
        <v>7870</v>
      </c>
      <c r="N34" s="135">
        <v>7870</v>
      </c>
      <c r="O34" s="135">
        <v>7870</v>
      </c>
    </row>
    <row r="35" spans="1:34">
      <c r="A35" t="s">
        <v>90</v>
      </c>
      <c r="C35" t="s">
        <v>89</v>
      </c>
      <c r="D35" t="s">
        <v>1060</v>
      </c>
      <c r="E35" t="s">
        <v>927</v>
      </c>
      <c r="F35" s="14">
        <f>'Geothermal Summary'!AF36</f>
        <v>3540</v>
      </c>
      <c r="G35" s="14">
        <f>'Geothermal Summary'!AG36</f>
        <v>3170</v>
      </c>
      <c r="H35" s="14">
        <f>'Geothermal Summary'!AH36</f>
        <v>3000</v>
      </c>
      <c r="I35" s="14">
        <f>'Geothermal Summary'!AI36</f>
        <v>2780</v>
      </c>
      <c r="J35" s="14">
        <f>'Geothermal Summary'!AJ36</f>
        <v>2650</v>
      </c>
      <c r="K35" s="14">
        <f>'Geothermal Summary'!AK36</f>
        <v>2560</v>
      </c>
      <c r="L35" s="14">
        <f>'Geothermal Summary'!AL36</f>
        <v>2450</v>
      </c>
      <c r="M35" s="14">
        <f>'Geothermal Summary'!AM36</f>
        <v>2360</v>
      </c>
      <c r="N35" s="135">
        <v>2360</v>
      </c>
      <c r="O35" s="135">
        <v>2360</v>
      </c>
    </row>
    <row r="36" spans="1:34">
      <c r="A36" t="s">
        <v>92</v>
      </c>
      <c r="C36" t="s">
        <v>91</v>
      </c>
      <c r="D36" t="s">
        <v>1060</v>
      </c>
      <c r="E36" t="s">
        <v>927</v>
      </c>
      <c r="F36" s="14">
        <f>'Geothermal Summary'!AF37</f>
        <v>6970</v>
      </c>
      <c r="G36" s="14">
        <f>'Geothermal Summary'!AG37</f>
        <v>6240</v>
      </c>
      <c r="H36" s="14">
        <f>'Geothermal Summary'!AH37</f>
        <v>5910</v>
      </c>
      <c r="I36" s="14">
        <f>'Geothermal Summary'!AI37</f>
        <v>5470</v>
      </c>
      <c r="J36" s="14">
        <f>'Geothermal Summary'!AJ37</f>
        <v>5230</v>
      </c>
      <c r="K36" s="14">
        <f>'Geothermal Summary'!AK37</f>
        <v>5030</v>
      </c>
      <c r="L36" s="14">
        <f>'Geothermal Summary'!AL37</f>
        <v>4830</v>
      </c>
      <c r="M36" s="14">
        <f>'Geothermal Summary'!AM37</f>
        <v>4650</v>
      </c>
      <c r="N36" s="135">
        <v>4650</v>
      </c>
      <c r="O36" s="135">
        <v>4650</v>
      </c>
    </row>
    <row r="37" spans="1:34">
      <c r="A37" t="s">
        <v>88</v>
      </c>
      <c r="C37" t="s">
        <v>87</v>
      </c>
      <c r="D37" t="s">
        <v>1060</v>
      </c>
      <c r="E37" t="s">
        <v>1047</v>
      </c>
      <c r="F37" s="14">
        <f>'Geothermal Summary'!AR35</f>
        <v>235.8</v>
      </c>
      <c r="G37" s="14">
        <f>'Geothermal Summary'!AS35</f>
        <v>211.08689183165507</v>
      </c>
      <c r="H37" s="14">
        <f>'Geothermal Summary'!AT35</f>
        <v>200.00370905879166</v>
      </c>
      <c r="I37" s="14">
        <f>'Geothermal Summary'!AU35</f>
        <v>185.06385182225935</v>
      </c>
      <c r="J37" s="14">
        <f>'Geothermal Summary'!AV35</f>
        <v>176.82993398834574</v>
      </c>
      <c r="K37" s="14">
        <f>'Geothermal Summary'!AW35</f>
        <v>170.21451838474971</v>
      </c>
      <c r="L37" s="14">
        <f>'Geothermal Summary'!AX35</f>
        <v>163.29941815692465</v>
      </c>
      <c r="M37" s="14">
        <f>'Geothermal Summary'!AY35</f>
        <v>157.35580816971091</v>
      </c>
      <c r="N37" s="135">
        <v>157.35580816971091</v>
      </c>
      <c r="O37" s="135">
        <v>157.35580816971091</v>
      </c>
    </row>
    <row r="38" spans="1:34">
      <c r="A38" t="s">
        <v>90</v>
      </c>
      <c r="C38" t="s">
        <v>89</v>
      </c>
      <c r="D38" t="s">
        <v>1060</v>
      </c>
      <c r="E38" t="s">
        <v>1047</v>
      </c>
      <c r="F38" s="14">
        <f>'Geothermal Summary'!AR36</f>
        <v>70.8</v>
      </c>
      <c r="G38" s="14">
        <f>'Geothermal Summary'!AS36</f>
        <v>63.379779226807372</v>
      </c>
      <c r="H38" s="14">
        <f>'Geothermal Summary'!AT36</f>
        <v>60.05200424666009</v>
      </c>
      <c r="I38" s="14">
        <f>'Geothermal Summary'!AU36</f>
        <v>55.566245585309424</v>
      </c>
      <c r="J38" s="14">
        <f>'Geothermal Summary'!AV36</f>
        <v>53.093975090648335</v>
      </c>
      <c r="K38" s="14">
        <f>'Geothermal Summary'!AW36</f>
        <v>51.107667097711108</v>
      </c>
      <c r="L38" s="14">
        <f>'Geothermal Summary'!AX36</f>
        <v>49.031377461875593</v>
      </c>
      <c r="M38" s="14">
        <f>'Geothermal Summary'!AY36</f>
        <v>47.246782096757983</v>
      </c>
      <c r="N38" s="135">
        <v>47.246782096757983</v>
      </c>
      <c r="O38" s="135">
        <v>47.246782096757983</v>
      </c>
      <c r="S38" t="s">
        <v>1</v>
      </c>
      <c r="T38" t="s">
        <v>927</v>
      </c>
      <c r="AB38" t="s">
        <v>1047</v>
      </c>
    </row>
    <row r="39" spans="1:34">
      <c r="A39" t="s">
        <v>92</v>
      </c>
      <c r="C39" t="s">
        <v>91</v>
      </c>
      <c r="D39" t="s">
        <v>1060</v>
      </c>
      <c r="E39" t="s">
        <v>1047</v>
      </c>
      <c r="F39" s="14">
        <f>'Geothermal Summary'!AR37</f>
        <v>139.4</v>
      </c>
      <c r="G39" s="14">
        <f>'Geothermal Summary'!AS37</f>
        <v>124.79013028555009</v>
      </c>
      <c r="H39" s="14">
        <f>'Geothermal Summary'!AT37</f>
        <v>118.23798576249176</v>
      </c>
      <c r="I39" s="14">
        <f>'Geothermal Summary'!AU37</f>
        <v>109.40585642079284</v>
      </c>
      <c r="J39" s="14">
        <f>'Geothermal Summary'!AV37</f>
        <v>104.53813739599404</v>
      </c>
      <c r="K39" s="14">
        <f>'Geothermal Summary'!AW37</f>
        <v>100.62724284492838</v>
      </c>
      <c r="L39" s="14">
        <f>'Geothermal Summary'!AX37</f>
        <v>96.539181047817181</v>
      </c>
      <c r="M39" s="14">
        <f>'Geothermal Summary'!AY37</f>
        <v>93.02544384587658</v>
      </c>
      <c r="N39" s="135">
        <v>93.02544384587658</v>
      </c>
      <c r="O39" s="135">
        <v>93.02544384587658</v>
      </c>
      <c r="Q39" t="s">
        <v>2</v>
      </c>
      <c r="R39" t="s">
        <v>1094</v>
      </c>
      <c r="S39" t="s">
        <v>1157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1060</v>
      </c>
      <c r="E40" t="s">
        <v>927</v>
      </c>
      <c r="H40">
        <f>CCUS_Summary!AH65</f>
        <v>1510</v>
      </c>
      <c r="I40">
        <f>CCUS_Summary!AI65</f>
        <v>1320</v>
      </c>
      <c r="J40">
        <f>CCUS_Summary!AJ65</f>
        <v>1240</v>
      </c>
      <c r="K40">
        <f>CCUS_Summary!AK65</f>
        <v>1190</v>
      </c>
      <c r="L40">
        <f>CCUS_Summary!AL65</f>
        <v>1170</v>
      </c>
      <c r="M40">
        <f>CCUS_Summary!AM65</f>
        <v>1150</v>
      </c>
      <c r="N40" s="134">
        <v>1150</v>
      </c>
      <c r="O40" s="134">
        <v>1150</v>
      </c>
      <c r="Q40" t="s">
        <v>1158</v>
      </c>
      <c r="R40" t="s">
        <v>1159</v>
      </c>
      <c r="S40" t="s">
        <v>1062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1060</v>
      </c>
      <c r="E41" t="s">
        <v>927</v>
      </c>
      <c r="H41">
        <f>CCUS_Summary!AH66</f>
        <v>2920</v>
      </c>
      <c r="I41">
        <f>CCUS_Summary!AI66</f>
        <v>2630</v>
      </c>
      <c r="J41">
        <f>CCUS_Summary!AJ66</f>
        <v>2480</v>
      </c>
      <c r="K41">
        <f>CCUS_Summary!AK66</f>
        <v>2400</v>
      </c>
      <c r="L41">
        <f>CCUS_Summary!AL66</f>
        <v>2360</v>
      </c>
      <c r="M41">
        <f>CCUS_Summary!AM66</f>
        <v>2360</v>
      </c>
      <c r="N41" s="134">
        <v>2360</v>
      </c>
      <c r="O41" s="134">
        <v>2360</v>
      </c>
      <c r="Q41" t="s">
        <v>1163</v>
      </c>
      <c r="R41" t="s">
        <v>1159</v>
      </c>
      <c r="S41" t="s">
        <v>1062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1060</v>
      </c>
      <c r="E42" t="s">
        <v>927</v>
      </c>
      <c r="H42">
        <f>CCUS_Summary!AH67</f>
        <v>2920</v>
      </c>
      <c r="I42">
        <f>CCUS_Summary!AI67</f>
        <v>2560</v>
      </c>
      <c r="J42">
        <f>CCUS_Summary!AJ67</f>
        <v>2370</v>
      </c>
      <c r="K42">
        <f>CCUS_Summary!AK67</f>
        <v>2270</v>
      </c>
      <c r="L42">
        <f>CCUS_Summary!AL67</f>
        <v>2240</v>
      </c>
      <c r="M42">
        <f>CCUS_Summary!AM67</f>
        <v>2240</v>
      </c>
      <c r="N42" s="134">
        <v>2240</v>
      </c>
      <c r="O42" s="134">
        <v>2240</v>
      </c>
      <c r="Q42" t="s">
        <v>1162</v>
      </c>
      <c r="R42" t="s">
        <v>1159</v>
      </c>
      <c r="S42" t="s">
        <v>1062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1060</v>
      </c>
      <c r="E43" t="s">
        <v>927</v>
      </c>
      <c r="H43">
        <f>CCUS_Summary!AH68</f>
        <v>4480</v>
      </c>
      <c r="I43">
        <f>CCUS_Summary!AI68</f>
        <v>3570</v>
      </c>
      <c r="J43">
        <f>CCUS_Summary!AJ68</f>
        <v>3120</v>
      </c>
      <c r="K43">
        <f>CCUS_Summary!AK68</f>
        <v>2900</v>
      </c>
      <c r="L43">
        <f>CCUS_Summary!AL68</f>
        <v>2810</v>
      </c>
      <c r="M43">
        <f>CCUS_Summary!AM68</f>
        <v>2810</v>
      </c>
      <c r="N43" s="134">
        <v>2810</v>
      </c>
      <c r="O43" s="134">
        <v>2810</v>
      </c>
      <c r="Q43" t="s">
        <v>1161</v>
      </c>
      <c r="R43" t="s">
        <v>1159</v>
      </c>
      <c r="S43" t="s">
        <v>1062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1060</v>
      </c>
      <c r="E44" t="s">
        <v>927</v>
      </c>
      <c r="H44">
        <f>CCUS_Summary!AH69</f>
        <v>2940</v>
      </c>
      <c r="I44">
        <f>CCUS_Summary!AI69</f>
        <v>2350</v>
      </c>
      <c r="J44">
        <f>CCUS_Summary!AJ69</f>
        <v>2050</v>
      </c>
      <c r="K44">
        <f>CCUS_Summary!AK69</f>
        <v>1900</v>
      </c>
      <c r="L44">
        <f>CCUS_Summary!AL69</f>
        <v>1850</v>
      </c>
      <c r="M44">
        <f>CCUS_Summary!AM69</f>
        <v>1850</v>
      </c>
      <c r="N44" s="134">
        <v>1850</v>
      </c>
      <c r="O44" s="134">
        <v>1850</v>
      </c>
      <c r="Q44" t="s">
        <v>1160</v>
      </c>
      <c r="R44" t="s">
        <v>1159</v>
      </c>
      <c r="S44" t="s">
        <v>1062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1060</v>
      </c>
      <c r="E45" t="s">
        <v>927</v>
      </c>
      <c r="H45">
        <f>CCUS_Summary!AH70</f>
        <v>5800</v>
      </c>
      <c r="I45">
        <f>CCUS_Summary!AI70</f>
        <v>5160</v>
      </c>
      <c r="J45">
        <f>CCUS_Summary!AJ70</f>
        <v>4260</v>
      </c>
      <c r="K45">
        <f>CCUS_Summary!AK70</f>
        <v>3680</v>
      </c>
      <c r="L45">
        <f>CCUS_Summary!AL70</f>
        <v>3250</v>
      </c>
      <c r="M45">
        <f>CCUS_Summary!AM70</f>
        <v>3070</v>
      </c>
      <c r="N45" s="134">
        <v>3070</v>
      </c>
      <c r="O45" s="134">
        <v>3070</v>
      </c>
      <c r="Q45" t="s">
        <v>336</v>
      </c>
      <c r="R45" t="s">
        <v>1159</v>
      </c>
      <c r="S45" t="s">
        <v>1062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1060</v>
      </c>
      <c r="E46" t="s">
        <v>927</v>
      </c>
      <c r="H46" s="14">
        <f t="shared" ref="H46:M46" si="2">H40*1.05</f>
        <v>1585.5</v>
      </c>
      <c r="I46" s="14">
        <f t="shared" si="2"/>
        <v>1386</v>
      </c>
      <c r="J46" s="14">
        <f t="shared" si="2"/>
        <v>1302</v>
      </c>
      <c r="K46" s="14">
        <f t="shared" si="2"/>
        <v>1249.5</v>
      </c>
      <c r="L46" s="14">
        <f t="shared" si="2"/>
        <v>1228.5</v>
      </c>
      <c r="M46" s="14">
        <f t="shared" si="2"/>
        <v>1207.5</v>
      </c>
      <c r="N46" s="135">
        <v>1207.5</v>
      </c>
      <c r="O46" s="135">
        <v>1207.5</v>
      </c>
      <c r="Q46" t="s">
        <v>1168</v>
      </c>
      <c r="R46" t="s">
        <v>1166</v>
      </c>
      <c r="S46" t="s">
        <v>1167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3">I46</f>
        <v>1386</v>
      </c>
      <c r="J47" s="14">
        <f t="shared" si="3"/>
        <v>1302</v>
      </c>
      <c r="K47" s="14">
        <f t="shared" si="3"/>
        <v>1249.5</v>
      </c>
      <c r="L47" s="14">
        <f t="shared" si="3"/>
        <v>1228.5</v>
      </c>
      <c r="M47" s="14">
        <f t="shared" si="3"/>
        <v>1207.5</v>
      </c>
      <c r="N47" s="135">
        <v>1207.5</v>
      </c>
      <c r="O47" s="135">
        <v>1207.5</v>
      </c>
      <c r="Q47" t="s">
        <v>1169</v>
      </c>
      <c r="R47" t="s">
        <v>1166</v>
      </c>
      <c r="S47" t="s">
        <v>1167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3"/>
        <v>1386</v>
      </c>
      <c r="J48" s="14">
        <f t="shared" si="3"/>
        <v>1302</v>
      </c>
      <c r="K48" s="14">
        <f t="shared" si="3"/>
        <v>1249.5</v>
      </c>
      <c r="L48" s="14">
        <f t="shared" si="3"/>
        <v>1228.5</v>
      </c>
      <c r="M48" s="14">
        <f t="shared" si="3"/>
        <v>1207.5</v>
      </c>
      <c r="N48" s="135">
        <v>1207.5</v>
      </c>
      <c r="O48" s="135">
        <v>1207.5</v>
      </c>
      <c r="Q48" t="s">
        <v>1170</v>
      </c>
      <c r="R48" t="s">
        <v>1166</v>
      </c>
      <c r="S48" t="s">
        <v>1167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O49" si="4">I50</f>
        <v>2467.5</v>
      </c>
      <c r="J49" s="14">
        <f t="shared" si="4"/>
        <v>2152.5</v>
      </c>
      <c r="K49" s="14">
        <f t="shared" si="4"/>
        <v>1995</v>
      </c>
      <c r="L49" s="14">
        <f t="shared" si="4"/>
        <v>1942.5</v>
      </c>
      <c r="M49" s="14">
        <f t="shared" si="4"/>
        <v>1942.5</v>
      </c>
      <c r="N49" s="135">
        <v>1942.5</v>
      </c>
      <c r="O49" s="135">
        <v>1942.5</v>
      </c>
      <c r="Q49" t="s">
        <v>1171</v>
      </c>
      <c r="R49" t="s">
        <v>1166</v>
      </c>
      <c r="S49" t="s">
        <v>1167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5">H44*1.05</f>
        <v>3087</v>
      </c>
      <c r="I50" s="14">
        <f t="shared" si="5"/>
        <v>2467.5</v>
      </c>
      <c r="J50" s="14">
        <f t="shared" si="5"/>
        <v>2152.5</v>
      </c>
      <c r="K50" s="14">
        <f t="shared" si="5"/>
        <v>1995</v>
      </c>
      <c r="L50" s="14">
        <f t="shared" si="5"/>
        <v>1942.5</v>
      </c>
      <c r="M50" s="14">
        <f t="shared" si="5"/>
        <v>1942.5</v>
      </c>
      <c r="N50" s="135">
        <v>1942.5</v>
      </c>
      <c r="O50" s="135">
        <v>1942.5</v>
      </c>
      <c r="Q50" t="s">
        <v>1172</v>
      </c>
      <c r="R50" t="s">
        <v>1166</v>
      </c>
      <c r="S50" t="s">
        <v>1167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6">I50</f>
        <v>2467.5</v>
      </c>
      <c r="J51" s="14">
        <f t="shared" si="6"/>
        <v>2152.5</v>
      </c>
      <c r="K51" s="14">
        <f t="shared" si="6"/>
        <v>1995</v>
      </c>
      <c r="L51" s="14">
        <f t="shared" si="6"/>
        <v>1942.5</v>
      </c>
      <c r="M51" s="14">
        <f t="shared" si="6"/>
        <v>1942.5</v>
      </c>
      <c r="N51" s="135">
        <v>1942.5</v>
      </c>
      <c r="O51" s="135">
        <v>1942.5</v>
      </c>
      <c r="Q51" t="s">
        <v>1173</v>
      </c>
      <c r="R51" t="s">
        <v>1166</v>
      </c>
      <c r="S51" t="s">
        <v>1167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O52" si="7">I53</f>
        <v>3748.5</v>
      </c>
      <c r="J52" s="14">
        <f t="shared" si="7"/>
        <v>3276</v>
      </c>
      <c r="K52" s="14">
        <f t="shared" si="7"/>
        <v>3045</v>
      </c>
      <c r="L52" s="14">
        <f t="shared" si="7"/>
        <v>2950.5</v>
      </c>
      <c r="M52" s="14">
        <f t="shared" si="7"/>
        <v>2950.5</v>
      </c>
      <c r="N52" s="135">
        <v>2950.5</v>
      </c>
      <c r="O52" s="135">
        <v>2950.5</v>
      </c>
      <c r="Q52" t="s">
        <v>1174</v>
      </c>
      <c r="R52" t="s">
        <v>1166</v>
      </c>
      <c r="S52" t="s">
        <v>1167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8">H43*1.05</f>
        <v>4704</v>
      </c>
      <c r="I53" s="14">
        <f t="shared" si="8"/>
        <v>3748.5</v>
      </c>
      <c r="J53" s="14">
        <f t="shared" si="8"/>
        <v>3276</v>
      </c>
      <c r="K53" s="14">
        <f t="shared" si="8"/>
        <v>3045</v>
      </c>
      <c r="L53" s="14">
        <f t="shared" si="8"/>
        <v>2950.5</v>
      </c>
      <c r="M53" s="14">
        <f t="shared" si="8"/>
        <v>2950.5</v>
      </c>
      <c r="N53" s="135">
        <v>2950.5</v>
      </c>
      <c r="O53" s="135">
        <v>2950.5</v>
      </c>
      <c r="Q53" t="s">
        <v>1175</v>
      </c>
      <c r="R53" t="s">
        <v>1166</v>
      </c>
      <c r="S53" t="s">
        <v>1167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9">I53</f>
        <v>3748.5</v>
      </c>
      <c r="J54" s="14">
        <f t="shared" si="9"/>
        <v>3276</v>
      </c>
      <c r="K54" s="14">
        <f t="shared" si="9"/>
        <v>3045</v>
      </c>
      <c r="L54" s="14">
        <f t="shared" si="9"/>
        <v>2950.5</v>
      </c>
      <c r="M54" s="14">
        <f t="shared" si="9"/>
        <v>2950.5</v>
      </c>
      <c r="N54" s="135">
        <v>2950.5</v>
      </c>
      <c r="O54" s="135">
        <v>2950.5</v>
      </c>
      <c r="Q54" t="s">
        <v>1176</v>
      </c>
      <c r="R54" t="s">
        <v>1166</v>
      </c>
      <c r="S54" t="s">
        <v>1167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0">H42*1.05</f>
        <v>3066</v>
      </c>
      <c r="I55" s="14">
        <f t="shared" si="10"/>
        <v>2688</v>
      </c>
      <c r="J55" s="14">
        <f t="shared" si="10"/>
        <v>2488.5</v>
      </c>
      <c r="K55" s="14">
        <f t="shared" si="10"/>
        <v>2383.5</v>
      </c>
      <c r="L55" s="14">
        <f t="shared" si="10"/>
        <v>2352</v>
      </c>
      <c r="M55" s="14">
        <f t="shared" si="10"/>
        <v>2352</v>
      </c>
      <c r="N55" s="135">
        <v>2352</v>
      </c>
      <c r="O55" s="135">
        <v>2352</v>
      </c>
      <c r="Q55" t="s">
        <v>1177</v>
      </c>
      <c r="R55" t="s">
        <v>1166</v>
      </c>
      <c r="S55" t="s">
        <v>1167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1">H41*1.05</f>
        <v>3066</v>
      </c>
      <c r="I56" s="14">
        <f t="shared" si="11"/>
        <v>2761.5</v>
      </c>
      <c r="J56" s="14">
        <f t="shared" si="11"/>
        <v>2604</v>
      </c>
      <c r="K56" s="14">
        <f t="shared" si="11"/>
        <v>2520</v>
      </c>
      <c r="L56" s="14">
        <f t="shared" si="11"/>
        <v>2478</v>
      </c>
      <c r="M56" s="14">
        <f t="shared" si="11"/>
        <v>2478</v>
      </c>
      <c r="N56" s="135">
        <v>2478</v>
      </c>
      <c r="O56" s="135">
        <v>2478</v>
      </c>
      <c r="Q56" t="s">
        <v>1178</v>
      </c>
      <c r="R56" t="s">
        <v>1166</v>
      </c>
      <c r="S56" t="s">
        <v>1167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2">I55+1000</f>
        <v>3688</v>
      </c>
      <c r="J57" s="14">
        <f t="shared" si="12"/>
        <v>3488.5</v>
      </c>
      <c r="K57" s="14">
        <f t="shared" si="12"/>
        <v>3383.5</v>
      </c>
      <c r="L57" s="14">
        <f t="shared" si="12"/>
        <v>3352</v>
      </c>
      <c r="M57" s="14">
        <f t="shared" si="12"/>
        <v>3352</v>
      </c>
      <c r="N57" s="135">
        <v>3352</v>
      </c>
      <c r="O57" s="135">
        <v>3352</v>
      </c>
      <c r="Q57" t="s">
        <v>1179</v>
      </c>
      <c r="R57" t="s">
        <v>1166</v>
      </c>
      <c r="S57" t="s">
        <v>1167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3">I56+1000</f>
        <v>3761.5</v>
      </c>
      <c r="J58" s="14">
        <f t="shared" si="13"/>
        <v>3604</v>
      </c>
      <c r="K58" s="14">
        <f t="shared" si="13"/>
        <v>3520</v>
      </c>
      <c r="L58" s="14">
        <f t="shared" si="13"/>
        <v>3478</v>
      </c>
      <c r="M58" s="14">
        <f t="shared" si="13"/>
        <v>3478</v>
      </c>
      <c r="N58" s="135">
        <v>3478</v>
      </c>
      <c r="O58" s="135">
        <v>3478</v>
      </c>
      <c r="Q58" t="s">
        <v>1180</v>
      </c>
      <c r="R58" t="s">
        <v>1166</v>
      </c>
      <c r="S58" t="s">
        <v>1167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1060</v>
      </c>
      <c r="E59" t="s">
        <v>1047</v>
      </c>
      <c r="H59" s="14">
        <f>CCUS_Summary!AT65</f>
        <v>37.703599436959585</v>
      </c>
      <c r="I59" s="14">
        <f>CCUS_Summary!AU65</f>
        <v>33.022420496514201</v>
      </c>
      <c r="J59" s="14">
        <f>CCUS_Summary!AV65</f>
        <v>30.98152721856421</v>
      </c>
      <c r="K59" s="14">
        <f>CCUS_Summary!AW65</f>
        <v>29.857935830771165</v>
      </c>
      <c r="L59" s="14">
        <f>CCUS_Summary!AX65</f>
        <v>29.182318125229507</v>
      </c>
      <c r="M59" s="14">
        <f>CCUS_Summary!AY65</f>
        <v>28.812241162024925</v>
      </c>
      <c r="N59" s="135">
        <v>28.812241162024925</v>
      </c>
      <c r="O59" s="135">
        <v>28.812241162024925</v>
      </c>
    </row>
    <row r="60" spans="1:34">
      <c r="A60" t="s">
        <v>625</v>
      </c>
      <c r="C60" t="s">
        <v>624</v>
      </c>
      <c r="D60" t="s">
        <v>1060</v>
      </c>
      <c r="E60" t="s">
        <v>1047</v>
      </c>
      <c r="H60" s="14">
        <f>CCUS_Summary!AT66</f>
        <v>59.772772974059926</v>
      </c>
      <c r="I60" s="14">
        <f>CCUS_Summary!AU66</f>
        <v>53.971049875039704</v>
      </c>
      <c r="J60" s="14">
        <f>CCUS_Summary!AV66</f>
        <v>50.805637648130514</v>
      </c>
      <c r="K60" s="14">
        <f>CCUS_Summary!AW66</f>
        <v>49.098142089269594</v>
      </c>
      <c r="L60" s="14">
        <f>CCUS_Summary!AX66</f>
        <v>48.4452736424034</v>
      </c>
      <c r="M60" s="14">
        <f>CCUS_Summary!AY66</f>
        <v>48.4452736424034</v>
      </c>
      <c r="N60" s="135">
        <v>48.4452736424034</v>
      </c>
      <c r="O60" s="135">
        <v>48.4452736424034</v>
      </c>
      <c r="Q60" t="s">
        <v>340</v>
      </c>
      <c r="R60" t="s">
        <v>1159</v>
      </c>
      <c r="S60" t="s">
        <v>1062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1060</v>
      </c>
      <c r="E61" t="s">
        <v>1047</v>
      </c>
      <c r="H61" s="14">
        <f>CCUS_Summary!AT67</f>
        <v>67.062135531872116</v>
      </c>
      <c r="I61" s="14">
        <f>CCUS_Summary!AU67</f>
        <v>58.948458717525142</v>
      </c>
      <c r="J61" s="14">
        <f>CCUS_Summary!AV67</f>
        <v>54.615993842622785</v>
      </c>
      <c r="K61" s="14">
        <f>CCUS_Summary!AW67</f>
        <v>52.308006802902419</v>
      </c>
      <c r="L61" s="14">
        <f>CCUS_Summary!AX67</f>
        <v>51.431062762072472</v>
      </c>
      <c r="M61" s="14">
        <f>CCUS_Summary!AY67</f>
        <v>51.431062762072472</v>
      </c>
      <c r="N61" s="135">
        <v>51.431062762072472</v>
      </c>
      <c r="O61" s="135">
        <v>51.431062762072472</v>
      </c>
      <c r="Q61" t="s">
        <v>1164</v>
      </c>
      <c r="R61" t="s">
        <v>1159</v>
      </c>
      <c r="S61" t="s">
        <v>1062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1060</v>
      </c>
      <c r="E62" t="s">
        <v>1047</v>
      </c>
      <c r="H62" s="14">
        <f>CCUS_Summary!AT68</f>
        <v>98.578993230109248</v>
      </c>
      <c r="I62" s="14">
        <f>CCUS_Summary!AU68</f>
        <v>78.59684070995138</v>
      </c>
      <c r="J62" s="14">
        <f>CCUS_Summary!AV68</f>
        <v>68.733521284548274</v>
      </c>
      <c r="K62" s="14">
        <f>CCUS_Summary!AW68</f>
        <v>63.713148015789265</v>
      </c>
      <c r="L62" s="14">
        <f>CCUS_Summary!AX68</f>
        <v>61.848730289581844</v>
      </c>
      <c r="M62" s="14">
        <f>CCUS_Summary!AY68</f>
        <v>61.848730289581844</v>
      </c>
      <c r="N62" s="135">
        <v>61.848730289581844</v>
      </c>
      <c r="O62" s="135">
        <v>61.848730289581844</v>
      </c>
      <c r="Q62" t="s">
        <v>1165</v>
      </c>
      <c r="R62" t="s">
        <v>1166</v>
      </c>
      <c r="S62" t="s">
        <v>1167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1060</v>
      </c>
      <c r="E63" t="s">
        <v>1047</v>
      </c>
      <c r="H63" s="14">
        <f>CCUS_Summary!AT69</f>
        <v>88.326965614317302</v>
      </c>
      <c r="I63" s="14">
        <f>CCUS_Summary!AU69</f>
        <v>70.42291891312874</v>
      </c>
      <c r="J63" s="14">
        <f>CCUS_Summary!AV69</f>
        <v>61.585365929634513</v>
      </c>
      <c r="K63" s="14">
        <f>CCUS_Summary!AW69</f>
        <v>57.087101922762152</v>
      </c>
      <c r="L63" s="14">
        <f>CCUS_Summary!AX69</f>
        <v>55.416580090498719</v>
      </c>
      <c r="M63" s="14">
        <f>CCUS_Summary!AY69</f>
        <v>55.416580090498719</v>
      </c>
      <c r="N63" s="135">
        <v>55.416580090498719</v>
      </c>
      <c r="O63" s="135">
        <v>55.416580090498719</v>
      </c>
    </row>
    <row r="64" spans="1:34">
      <c r="A64" t="s">
        <v>337</v>
      </c>
      <c r="C64" t="s">
        <v>336</v>
      </c>
      <c r="D64" t="s">
        <v>1060</v>
      </c>
      <c r="E64" t="s">
        <v>1047</v>
      </c>
      <c r="H64" s="14">
        <f>CCUS_Summary!AT70</f>
        <v>133.4</v>
      </c>
      <c r="I64" s="14">
        <f>CCUS_Summary!AU70</f>
        <v>118.68567637422885</v>
      </c>
      <c r="J64" s="14">
        <f>CCUS_Summary!AV70</f>
        <v>97.909582927923111</v>
      </c>
      <c r="K64" s="14">
        <f>CCUS_Summary!AW70</f>
        <v>84.540032940103472</v>
      </c>
      <c r="L64" s="14">
        <f>CCUS_Summary!AX70</f>
        <v>74.77949387503449</v>
      </c>
      <c r="M64" s="14">
        <f>CCUS_Summary!AY70</f>
        <v>70.70836733526059</v>
      </c>
      <c r="N64" s="135">
        <v>70.70836733526059</v>
      </c>
      <c r="O64" s="135">
        <v>70.70836733526059</v>
      </c>
    </row>
    <row r="65" spans="1:3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4">H59*1.05</f>
        <v>39.588779408807568</v>
      </c>
      <c r="I65" s="14">
        <f t="shared" si="14"/>
        <v>34.673541521339914</v>
      </c>
      <c r="J65" s="14">
        <f t="shared" si="14"/>
        <v>32.530603579492421</v>
      </c>
      <c r="K65" s="14">
        <f t="shared" si="14"/>
        <v>31.350832622309724</v>
      </c>
      <c r="L65" s="14">
        <f t="shared" si="14"/>
        <v>30.641434031490984</v>
      </c>
      <c r="M65" s="14">
        <f t="shared" si="14"/>
        <v>30.252853220126173</v>
      </c>
      <c r="N65" s="135">
        <v>30.252853220126173</v>
      </c>
      <c r="O65" s="135">
        <v>30.252853220126173</v>
      </c>
    </row>
    <row r="66" spans="1:3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5">I65</f>
        <v>34.673541521339914</v>
      </c>
      <c r="J66" s="14">
        <f t="shared" ref="J66:J67" si="16">J65</f>
        <v>32.530603579492421</v>
      </c>
      <c r="K66" s="14">
        <f t="shared" ref="K66:K67" si="17">K65</f>
        <v>31.350832622309724</v>
      </c>
      <c r="L66" s="14">
        <f t="shared" ref="L66:L67" si="18">L65</f>
        <v>30.641434031490984</v>
      </c>
      <c r="M66" s="14">
        <f t="shared" ref="M66:O67" si="19">M65</f>
        <v>30.252853220126173</v>
      </c>
      <c r="N66" s="135">
        <v>30.252853220126173</v>
      </c>
      <c r="O66" s="135">
        <v>30.252853220126173</v>
      </c>
    </row>
    <row r="67" spans="1:3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5"/>
        <v>34.673541521339914</v>
      </c>
      <c r="J67" s="14">
        <f t="shared" si="16"/>
        <v>32.530603579492421</v>
      </c>
      <c r="K67" s="14">
        <f t="shared" si="17"/>
        <v>31.350832622309724</v>
      </c>
      <c r="L67" s="14">
        <f t="shared" si="18"/>
        <v>30.641434031490984</v>
      </c>
      <c r="M67" s="14">
        <f t="shared" si="19"/>
        <v>30.252853220126173</v>
      </c>
      <c r="N67" s="135">
        <v>30.252853220126173</v>
      </c>
      <c r="O67" s="135">
        <v>30.252853220126173</v>
      </c>
    </row>
    <row r="68" spans="1:3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0">I69</f>
        <v>73.944064858785183</v>
      </c>
      <c r="J68" s="14">
        <f t="shared" ref="J68" si="21">J69</f>
        <v>64.664634226116235</v>
      </c>
      <c r="K68" s="14">
        <f t="shared" ref="K68" si="22">K69</f>
        <v>59.941457018900259</v>
      </c>
      <c r="L68" s="14">
        <f t="shared" ref="L68" si="23">L69</f>
        <v>58.187409095023661</v>
      </c>
      <c r="M68" s="14">
        <f t="shared" ref="M68:O68" si="24">M69</f>
        <v>58.187409095023661</v>
      </c>
      <c r="N68" s="135">
        <v>58.187409095023661</v>
      </c>
      <c r="O68" s="135">
        <v>58.187409095023661</v>
      </c>
    </row>
    <row r="69" spans="1:3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5">H63*1.05</f>
        <v>92.743313895033168</v>
      </c>
      <c r="I69" s="14">
        <f t="shared" si="25"/>
        <v>73.944064858785183</v>
      </c>
      <c r="J69" s="14">
        <f t="shared" si="25"/>
        <v>64.664634226116235</v>
      </c>
      <c r="K69" s="14">
        <f t="shared" si="25"/>
        <v>59.941457018900259</v>
      </c>
      <c r="L69" s="14">
        <f t="shared" si="25"/>
        <v>58.187409095023661</v>
      </c>
      <c r="M69" s="14">
        <f t="shared" si="25"/>
        <v>58.187409095023661</v>
      </c>
      <c r="N69" s="135">
        <v>58.187409095023661</v>
      </c>
      <c r="O69" s="135">
        <v>58.187409095023661</v>
      </c>
    </row>
    <row r="70" spans="1:3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6">I69</f>
        <v>73.944064858785183</v>
      </c>
      <c r="J70" s="14">
        <f t="shared" ref="J70" si="27">J69</f>
        <v>64.664634226116235</v>
      </c>
      <c r="K70" s="14">
        <f t="shared" ref="K70" si="28">K69</f>
        <v>59.941457018900259</v>
      </c>
      <c r="L70" s="14">
        <f t="shared" ref="L70" si="29">L69</f>
        <v>58.187409095023661</v>
      </c>
      <c r="M70" s="14">
        <f t="shared" ref="M70:O70" si="30">M69</f>
        <v>58.187409095023661</v>
      </c>
      <c r="N70" s="135">
        <v>58.187409095023661</v>
      </c>
      <c r="O70" s="135">
        <v>58.187409095023661</v>
      </c>
    </row>
    <row r="71" spans="1:3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1">I72</f>
        <v>82.526682745448952</v>
      </c>
      <c r="J71" s="14">
        <f t="shared" ref="J71" si="32">J72</f>
        <v>72.170197348775687</v>
      </c>
      <c r="K71" s="14">
        <f t="shared" ref="K71" si="33">K72</f>
        <v>66.898805416578725</v>
      </c>
      <c r="L71" s="14">
        <f t="shared" ref="L71" si="34">L72</f>
        <v>64.941166804060941</v>
      </c>
      <c r="M71" s="14">
        <f t="shared" ref="M71:O71" si="35">M72</f>
        <v>64.941166804060941</v>
      </c>
      <c r="N71" s="135">
        <v>64.941166804060941</v>
      </c>
      <c r="O71" s="135">
        <v>64.941166804060941</v>
      </c>
    </row>
    <row r="72" spans="1:3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6">H62*1.05</f>
        <v>103.50794289161472</v>
      </c>
      <c r="I72" s="14">
        <f t="shared" si="36"/>
        <v>82.526682745448952</v>
      </c>
      <c r="J72" s="14">
        <f t="shared" si="36"/>
        <v>72.170197348775687</v>
      </c>
      <c r="K72" s="14">
        <f t="shared" si="36"/>
        <v>66.898805416578725</v>
      </c>
      <c r="L72" s="14">
        <f t="shared" si="36"/>
        <v>64.941166804060941</v>
      </c>
      <c r="M72" s="14">
        <f t="shared" si="36"/>
        <v>64.941166804060941</v>
      </c>
      <c r="N72" s="135">
        <v>64.941166804060941</v>
      </c>
      <c r="O72" s="135">
        <v>64.941166804060941</v>
      </c>
    </row>
    <row r="73" spans="1:3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7">I72</f>
        <v>82.526682745448952</v>
      </c>
      <c r="J73" s="14">
        <f t="shared" ref="J73" si="38">J72</f>
        <v>72.170197348775687</v>
      </c>
      <c r="K73" s="14">
        <f t="shared" ref="K73" si="39">K72</f>
        <v>66.898805416578725</v>
      </c>
      <c r="L73" s="14">
        <f t="shared" ref="L73" si="40">L72</f>
        <v>64.941166804060941</v>
      </c>
      <c r="M73" s="14">
        <f t="shared" ref="M73:O73" si="41">M72</f>
        <v>64.941166804060941</v>
      </c>
      <c r="N73" s="135">
        <v>64.941166804060941</v>
      </c>
      <c r="O73" s="135">
        <v>64.941166804060941</v>
      </c>
    </row>
    <row r="74" spans="1:3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2">H61*1.05</f>
        <v>70.415242308465722</v>
      </c>
      <c r="I74" s="14">
        <f t="shared" si="42"/>
        <v>61.895881653401403</v>
      </c>
      <c r="J74" s="14">
        <f t="shared" si="42"/>
        <v>57.346793534753928</v>
      </c>
      <c r="K74" s="14">
        <f t="shared" si="42"/>
        <v>54.923407143047541</v>
      </c>
      <c r="L74" s="14">
        <f t="shared" si="42"/>
        <v>54.002615900176096</v>
      </c>
      <c r="M74" s="14">
        <f t="shared" si="42"/>
        <v>54.002615900176096</v>
      </c>
      <c r="N74" s="135">
        <v>54.002615900176096</v>
      </c>
      <c r="O74" s="135">
        <v>54.002615900176096</v>
      </c>
    </row>
    <row r="75" spans="1:3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3">H60*1.05</f>
        <v>62.761411622762928</v>
      </c>
      <c r="I75" s="14">
        <f t="shared" si="43"/>
        <v>56.669602368791693</v>
      </c>
      <c r="J75" s="14">
        <f t="shared" si="43"/>
        <v>53.345919530537039</v>
      </c>
      <c r="K75" s="14">
        <f t="shared" si="43"/>
        <v>51.553049193733074</v>
      </c>
      <c r="L75" s="14">
        <f t="shared" si="43"/>
        <v>50.867537324523575</v>
      </c>
      <c r="M75" s="14">
        <f t="shared" si="43"/>
        <v>50.867537324523575</v>
      </c>
      <c r="N75" s="135">
        <v>50.867537324523575</v>
      </c>
      <c r="O75" s="135">
        <v>50.867537324523575</v>
      </c>
      <c r="Q75" t="s">
        <v>512</v>
      </c>
      <c r="R75" t="s">
        <v>1167</v>
      </c>
      <c r="S75" t="s">
        <v>1166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4">I74</f>
        <v>61.895881653401403</v>
      </c>
      <c r="J76" s="14">
        <f t="shared" si="44"/>
        <v>57.346793534753928</v>
      </c>
      <c r="K76" s="14">
        <f t="shared" si="44"/>
        <v>54.923407143047541</v>
      </c>
      <c r="L76" s="14">
        <f t="shared" si="44"/>
        <v>54.002615900176096</v>
      </c>
      <c r="M76" s="14">
        <f t="shared" si="44"/>
        <v>54.002615900176096</v>
      </c>
      <c r="N76" s="135">
        <v>54.002615900176096</v>
      </c>
      <c r="O76" s="135">
        <v>54.002615900176096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1047</v>
      </c>
      <c r="AC76" t="s">
        <v>1047</v>
      </c>
      <c r="AD76" t="s">
        <v>1047</v>
      </c>
      <c r="AE76" t="s">
        <v>1047</v>
      </c>
      <c r="AF76" t="s">
        <v>1047</v>
      </c>
      <c r="AG76" t="s">
        <v>1047</v>
      </c>
      <c r="AH76" t="s">
        <v>1047</v>
      </c>
      <c r="AI76" t="s">
        <v>1047</v>
      </c>
    </row>
    <row r="77" spans="1:3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5">I75</f>
        <v>56.669602368791693</v>
      </c>
      <c r="J77" s="14">
        <f t="shared" si="45"/>
        <v>53.345919530537039</v>
      </c>
      <c r="K77" s="14">
        <f t="shared" si="45"/>
        <v>51.553049193733074</v>
      </c>
      <c r="L77" s="14">
        <f t="shared" si="45"/>
        <v>50.867537324523575</v>
      </c>
      <c r="M77" s="14">
        <f t="shared" si="45"/>
        <v>50.867537324523575</v>
      </c>
      <c r="N77" s="135">
        <v>50.867537324523575</v>
      </c>
      <c r="O77" s="135">
        <v>50.867537324523575</v>
      </c>
      <c r="Q77" t="s">
        <v>2</v>
      </c>
      <c r="S77" t="s">
        <v>1189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1060</v>
      </c>
      <c r="E78" t="s">
        <v>927</v>
      </c>
      <c r="F78">
        <f>Biomass!AF65</f>
        <v>3600</v>
      </c>
      <c r="G78">
        <f>Biomass!AG65</f>
        <v>3220</v>
      </c>
      <c r="H78">
        <f>Biomass!AH65</f>
        <v>3080</v>
      </c>
      <c r="I78">
        <f>Biomass!AI65</f>
        <v>3020</v>
      </c>
      <c r="J78">
        <f>Biomass!AJ65</f>
        <v>2930</v>
      </c>
      <c r="K78">
        <f>Biomass!AK65</f>
        <v>2850</v>
      </c>
      <c r="L78">
        <f>Biomass!AL65</f>
        <v>2730</v>
      </c>
      <c r="M78">
        <f>Biomass!AM65</f>
        <v>2660</v>
      </c>
      <c r="N78" s="134">
        <v>2660</v>
      </c>
      <c r="O78" s="134">
        <v>2660</v>
      </c>
      <c r="Q78" t="s">
        <v>445</v>
      </c>
      <c r="R78" t="s">
        <v>1062</v>
      </c>
      <c r="S78" t="s">
        <v>1159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1060</v>
      </c>
      <c r="E79" t="s">
        <v>927</v>
      </c>
      <c r="F79">
        <f>Biomass!AF66</f>
        <v>5300</v>
      </c>
      <c r="G79">
        <f>Biomass!AG66</f>
        <v>4740</v>
      </c>
      <c r="H79">
        <f>Biomass!AH66</f>
        <v>4540</v>
      </c>
      <c r="I79">
        <f>Biomass!AI66</f>
        <v>4450</v>
      </c>
      <c r="J79">
        <f>Biomass!AJ66</f>
        <v>4320</v>
      </c>
      <c r="K79">
        <f>Biomass!AK66</f>
        <v>4190</v>
      </c>
      <c r="L79">
        <f>Biomass!AL66</f>
        <v>4020</v>
      </c>
      <c r="M79">
        <f>Biomass!AM66</f>
        <v>3920</v>
      </c>
      <c r="N79" s="134">
        <v>3920</v>
      </c>
      <c r="O79" s="134">
        <v>3920</v>
      </c>
      <c r="Q79" t="s">
        <v>443</v>
      </c>
      <c r="R79" t="s">
        <v>1062</v>
      </c>
      <c r="S79" t="s">
        <v>1159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1060</v>
      </c>
      <c r="E80" t="s">
        <v>927</v>
      </c>
      <c r="F80">
        <f>Biomass!AF67</f>
        <v>4700</v>
      </c>
      <c r="G80">
        <f>Biomass!AG67</f>
        <v>4200</v>
      </c>
      <c r="H80">
        <f>Biomass!AH67</f>
        <v>4020</v>
      </c>
      <c r="I80">
        <f>Biomass!AI67</f>
        <v>3950</v>
      </c>
      <c r="J80">
        <f>Biomass!AJ67</f>
        <v>3830</v>
      </c>
      <c r="K80">
        <f>Biomass!AK67</f>
        <v>3720</v>
      </c>
      <c r="L80">
        <f>Biomass!AL67</f>
        <v>3560</v>
      </c>
      <c r="M80">
        <f>Biomass!AM67</f>
        <v>3480</v>
      </c>
      <c r="N80" s="134">
        <v>3480</v>
      </c>
      <c r="O80" s="134">
        <v>3480</v>
      </c>
      <c r="Q80" t="s">
        <v>440</v>
      </c>
      <c r="R80" t="s">
        <v>1062</v>
      </c>
      <c r="S80" t="s">
        <v>1159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6">G80*1.05</f>
        <v>4410</v>
      </c>
      <c r="H81" s="14">
        <f t="shared" si="46"/>
        <v>4221</v>
      </c>
      <c r="I81" s="14">
        <f t="shared" si="46"/>
        <v>4147.5</v>
      </c>
      <c r="J81" s="14">
        <f t="shared" si="46"/>
        <v>4021.5</v>
      </c>
      <c r="K81" s="14">
        <f t="shared" si="46"/>
        <v>3906</v>
      </c>
      <c r="L81" s="14">
        <f t="shared" si="46"/>
        <v>3738</v>
      </c>
      <c r="M81" s="14">
        <f t="shared" si="46"/>
        <v>3654</v>
      </c>
      <c r="N81" s="135">
        <v>3654</v>
      </c>
      <c r="O81" s="135">
        <v>3654</v>
      </c>
      <c r="Q81" t="s">
        <v>508</v>
      </c>
      <c r="R81" t="s">
        <v>1167</v>
      </c>
      <c r="S81" t="s">
        <v>1166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7">G79*1.05</f>
        <v>4977</v>
      </c>
      <c r="H82" s="14">
        <f t="shared" si="47"/>
        <v>4767</v>
      </c>
      <c r="I82" s="14">
        <f t="shared" si="47"/>
        <v>4672.5</v>
      </c>
      <c r="J82" s="14">
        <f t="shared" si="47"/>
        <v>4536</v>
      </c>
      <c r="K82" s="14">
        <f t="shared" si="47"/>
        <v>4399.5</v>
      </c>
      <c r="L82" s="14">
        <f t="shared" si="47"/>
        <v>4221</v>
      </c>
      <c r="M82" s="14">
        <f t="shared" si="47"/>
        <v>4116</v>
      </c>
      <c r="N82" s="135">
        <v>4116</v>
      </c>
      <c r="O82" s="135">
        <v>4116</v>
      </c>
      <c r="Q82" t="s">
        <v>510</v>
      </c>
      <c r="R82" t="s">
        <v>1167</v>
      </c>
      <c r="S82" t="s">
        <v>1166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1060</v>
      </c>
      <c r="E83" t="s">
        <v>1047</v>
      </c>
      <c r="F83" s="14">
        <f>Biomass!AR65</f>
        <v>72</v>
      </c>
      <c r="G83" s="14">
        <f>Biomass!AS65</f>
        <v>64.36830641512887</v>
      </c>
      <c r="H83" s="14">
        <f>Biomass!AT65</f>
        <v>61.649123448953794</v>
      </c>
      <c r="I83" s="14">
        <f>Biomass!AU65</f>
        <v>60.434229126708253</v>
      </c>
      <c r="J83" s="14">
        <f>Biomass!AV65</f>
        <v>58.680154345824533</v>
      </c>
      <c r="K83" s="14">
        <f>Biomass!AW65</f>
        <v>56.934924883159596</v>
      </c>
      <c r="L83" s="14">
        <f>Biomass!AX65</f>
        <v>54.571124136539588</v>
      </c>
      <c r="M83" s="14">
        <f>Biomass!AY65</f>
        <v>53.260389920737992</v>
      </c>
      <c r="N83" s="135">
        <v>53.260389920737992</v>
      </c>
      <c r="O83" s="135">
        <v>53.260389920737992</v>
      </c>
    </row>
    <row r="84" spans="1:33">
      <c r="A84" t="s">
        <v>444</v>
      </c>
      <c r="C84" t="s">
        <v>443</v>
      </c>
      <c r="D84" t="s">
        <v>1060</v>
      </c>
      <c r="E84" t="s">
        <v>1047</v>
      </c>
      <c r="F84" s="14">
        <f>Biomass!AR66</f>
        <v>106</v>
      </c>
      <c r="G84" s="14">
        <f>Biomass!AS66</f>
        <v>94.764451111161947</v>
      </c>
      <c r="H84" s="14">
        <f>Biomass!AT66</f>
        <v>90.761209522070871</v>
      </c>
      <c r="I84" s="14">
        <f>Biomass!AU66</f>
        <v>88.972615103209378</v>
      </c>
      <c r="J84" s="14">
        <f>Biomass!AV66</f>
        <v>86.390227231352782</v>
      </c>
      <c r="K84" s="14">
        <f>Biomass!AW66</f>
        <v>83.820861633540517</v>
      </c>
      <c r="L84" s="14">
        <f>Biomass!AX66</f>
        <v>80.340821645461062</v>
      </c>
      <c r="M84" s="14">
        <f>Biomass!AY66</f>
        <v>78.411129605530931</v>
      </c>
      <c r="N84" s="135">
        <v>78.411129605530931</v>
      </c>
      <c r="O84" s="135">
        <v>78.411129605530931</v>
      </c>
    </row>
    <row r="85" spans="1:33">
      <c r="A85" t="s">
        <v>441</v>
      </c>
      <c r="C85" t="s">
        <v>440</v>
      </c>
      <c r="D85" t="s">
        <v>1060</v>
      </c>
      <c r="E85" t="s">
        <v>1047</v>
      </c>
      <c r="F85" s="14">
        <f>Biomass!AR67</f>
        <v>94</v>
      </c>
      <c r="G85" s="14">
        <f>Biomass!AS67</f>
        <v>84.036400041973792</v>
      </c>
      <c r="H85" s="14">
        <f>Biomass!AT67</f>
        <v>80.486355613911897</v>
      </c>
      <c r="I85" s="14">
        <f>Biomass!AU67</f>
        <v>78.900243582091321</v>
      </c>
      <c r="J85" s="14">
        <f>Biomass!AV67</f>
        <v>76.610201507048686</v>
      </c>
      <c r="K85" s="14">
        <f>Biomass!AW67</f>
        <v>74.331707486347227</v>
      </c>
      <c r="L85" s="14">
        <f>Biomass!AX67</f>
        <v>71.245634289371111</v>
      </c>
      <c r="M85" s="14">
        <f>Biomass!AY67</f>
        <v>69.534397952074585</v>
      </c>
      <c r="N85" s="135">
        <v>69.534397952074585</v>
      </c>
      <c r="O85" s="135">
        <v>69.534397952074585</v>
      </c>
    </row>
    <row r="86" spans="1:33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48">G85*1.05</f>
        <v>88.238220044072492</v>
      </c>
      <c r="H86" s="14">
        <f t="shared" si="48"/>
        <v>84.510673394607494</v>
      </c>
      <c r="I86" s="14">
        <f t="shared" si="48"/>
        <v>82.845255761195887</v>
      </c>
      <c r="J86" s="14">
        <f t="shared" si="48"/>
        <v>80.440711582401121</v>
      </c>
      <c r="K86" s="14">
        <f t="shared" si="48"/>
        <v>78.048292860664588</v>
      </c>
      <c r="L86" s="14">
        <f t="shared" si="48"/>
        <v>74.807916003839665</v>
      </c>
      <c r="M86" s="14">
        <f t="shared" si="48"/>
        <v>73.011117849678314</v>
      </c>
      <c r="N86" s="135">
        <v>73.011117849678314</v>
      </c>
      <c r="O86" s="135">
        <v>73.011117849678314</v>
      </c>
    </row>
    <row r="87" spans="1:33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49">G84*1.05</f>
        <v>99.502673666720042</v>
      </c>
      <c r="H87" s="14">
        <f t="shared" si="49"/>
        <v>95.299269998174424</v>
      </c>
      <c r="I87" s="14">
        <f t="shared" si="49"/>
        <v>93.421245858369858</v>
      </c>
      <c r="J87" s="14">
        <f t="shared" si="49"/>
        <v>90.709738592920431</v>
      </c>
      <c r="K87" s="14">
        <f t="shared" si="49"/>
        <v>88.01190471521754</v>
      </c>
      <c r="L87" s="14">
        <f t="shared" si="49"/>
        <v>84.357862727734116</v>
      </c>
      <c r="M87" s="14">
        <f t="shared" si="49"/>
        <v>82.331686085807476</v>
      </c>
      <c r="N87" s="135">
        <v>82.331686085807476</v>
      </c>
      <c r="O87" s="135">
        <v>82.331686085807476</v>
      </c>
    </row>
    <row r="88" spans="1:33">
      <c r="A88" t="s">
        <v>581</v>
      </c>
      <c r="C88" t="s">
        <v>580</v>
      </c>
      <c r="D88" t="s">
        <v>1060</v>
      </c>
      <c r="E88" t="s">
        <v>927</v>
      </c>
      <c r="F88">
        <f>Hydro_Summary!AF65</f>
        <v>1090</v>
      </c>
      <c r="G88">
        <f>Hydro_Summary!AG65</f>
        <v>1090</v>
      </c>
      <c r="H88">
        <f>Hydro_Summary!AH65</f>
        <v>1090</v>
      </c>
      <c r="I88">
        <f>Hydro_Summary!AI65</f>
        <v>1080</v>
      </c>
      <c r="J88">
        <f>Hydro_Summary!AJ65</f>
        <v>1080</v>
      </c>
      <c r="K88">
        <f>Hydro_Summary!AK65</f>
        <v>1080</v>
      </c>
      <c r="L88">
        <f>Hydro_Summary!AL65</f>
        <v>1070</v>
      </c>
      <c r="M88">
        <f>Hydro_Summary!AM65</f>
        <v>1070</v>
      </c>
      <c r="N88" s="134">
        <v>1070</v>
      </c>
      <c r="O88" s="134">
        <v>1070</v>
      </c>
    </row>
    <row r="89" spans="1:33">
      <c r="A89" t="s">
        <v>583</v>
      </c>
      <c r="C89" t="s">
        <v>582</v>
      </c>
      <c r="D89" t="s">
        <v>1060</v>
      </c>
      <c r="E89" t="s">
        <v>927</v>
      </c>
      <c r="F89">
        <f>Hydro_Summary!AF66</f>
        <v>3500</v>
      </c>
      <c r="G89">
        <f>Hydro_Summary!AG66</f>
        <v>3500</v>
      </c>
      <c r="H89">
        <f>Hydro_Summary!AH66</f>
        <v>3480</v>
      </c>
      <c r="I89">
        <f>Hydro_Summary!AI66</f>
        <v>3470</v>
      </c>
      <c r="J89">
        <f>Hydro_Summary!AJ66</f>
        <v>3470</v>
      </c>
      <c r="K89">
        <f>Hydro_Summary!AK66</f>
        <v>3460</v>
      </c>
      <c r="L89">
        <f>Hydro_Summary!AL66</f>
        <v>3450</v>
      </c>
      <c r="M89">
        <f>Hydro_Summary!AM66</f>
        <v>3440</v>
      </c>
      <c r="N89" s="134">
        <v>3440</v>
      </c>
      <c r="O89" s="134">
        <v>3440</v>
      </c>
    </row>
    <row r="90" spans="1:33">
      <c r="A90" t="s">
        <v>585</v>
      </c>
      <c r="C90" t="s">
        <v>584</v>
      </c>
      <c r="D90" t="s">
        <v>1060</v>
      </c>
      <c r="E90" t="s">
        <v>927</v>
      </c>
      <c r="F90">
        <f>Hydro_Summary!AF67</f>
        <v>1410</v>
      </c>
      <c r="G90">
        <f>Hydro_Summary!AG67</f>
        <v>1410</v>
      </c>
      <c r="H90">
        <f>Hydro_Summary!AH67</f>
        <v>1400</v>
      </c>
      <c r="I90">
        <f>Hydro_Summary!AI67</f>
        <v>1400</v>
      </c>
      <c r="J90">
        <f>Hydro_Summary!AJ67</f>
        <v>1400</v>
      </c>
      <c r="K90">
        <f>Hydro_Summary!AK67</f>
        <v>1390</v>
      </c>
      <c r="L90">
        <f>Hydro_Summary!AL67</f>
        <v>1390</v>
      </c>
      <c r="M90">
        <f>Hydro_Summary!AM67</f>
        <v>1390</v>
      </c>
      <c r="N90" s="134">
        <v>1390</v>
      </c>
      <c r="O90" s="134">
        <v>1390</v>
      </c>
    </row>
    <row r="91" spans="1:33">
      <c r="A91" t="s">
        <v>587</v>
      </c>
      <c r="C91" t="s">
        <v>586</v>
      </c>
      <c r="D91" t="s">
        <v>1060</v>
      </c>
      <c r="E91" t="s">
        <v>927</v>
      </c>
      <c r="F91">
        <f>Hydro_Summary!AF68</f>
        <v>4000</v>
      </c>
      <c r="G91">
        <f>Hydro_Summary!AG68</f>
        <v>4000</v>
      </c>
      <c r="H91">
        <f>Hydro_Summary!AH68</f>
        <v>3980</v>
      </c>
      <c r="I91">
        <f>Hydro_Summary!AI68</f>
        <v>3970</v>
      </c>
      <c r="J91">
        <f>Hydro_Summary!AJ68</f>
        <v>3960</v>
      </c>
      <c r="K91">
        <f>Hydro_Summary!AK68</f>
        <v>3950</v>
      </c>
      <c r="L91">
        <f>Hydro_Summary!AL68</f>
        <v>3940</v>
      </c>
      <c r="M91">
        <f>Hydro_Summary!AM68</f>
        <v>3930</v>
      </c>
      <c r="N91" s="134">
        <v>3930</v>
      </c>
      <c r="O91" s="134">
        <v>3930</v>
      </c>
    </row>
    <row r="92" spans="1:33">
      <c r="A92" t="s">
        <v>589</v>
      </c>
      <c r="C92" t="s">
        <v>588</v>
      </c>
      <c r="D92" t="s">
        <v>1060</v>
      </c>
      <c r="E92" t="s">
        <v>927</v>
      </c>
      <c r="F92">
        <f>Hydro_Summary!AF69</f>
        <v>1740</v>
      </c>
      <c r="G92">
        <f>Hydro_Summary!AG69</f>
        <v>1740</v>
      </c>
      <c r="H92">
        <f>Hydro_Summary!AH69</f>
        <v>1730</v>
      </c>
      <c r="I92">
        <f>Hydro_Summary!AI69</f>
        <v>1730</v>
      </c>
      <c r="J92">
        <f>Hydro_Summary!AJ69</f>
        <v>1720</v>
      </c>
      <c r="K92">
        <f>Hydro_Summary!AK69</f>
        <v>1720</v>
      </c>
      <c r="L92">
        <f>Hydro_Summary!AL69</f>
        <v>1710</v>
      </c>
      <c r="M92">
        <f>Hydro_Summary!AM69</f>
        <v>1710</v>
      </c>
      <c r="N92" s="134">
        <v>1710</v>
      </c>
      <c r="O92" s="134">
        <v>1710</v>
      </c>
    </row>
    <row r="93" spans="1:33">
      <c r="A93" t="s">
        <v>591</v>
      </c>
      <c r="C93" t="s">
        <v>590</v>
      </c>
      <c r="D93" t="s">
        <v>1060</v>
      </c>
      <c r="E93" t="s">
        <v>927</v>
      </c>
      <c r="F93">
        <f>Hydro_Summary!AF70</f>
        <v>5000</v>
      </c>
      <c r="G93">
        <f>Hydro_Summary!AG70</f>
        <v>5000</v>
      </c>
      <c r="H93">
        <f>Hydro_Summary!AH70</f>
        <v>4980</v>
      </c>
      <c r="I93">
        <f>Hydro_Summary!AI70</f>
        <v>4960</v>
      </c>
      <c r="J93">
        <f>Hydro_Summary!AJ70</f>
        <v>4950</v>
      </c>
      <c r="K93">
        <f>Hydro_Summary!AK70</f>
        <v>4940</v>
      </c>
      <c r="L93">
        <f>Hydro_Summary!AL70</f>
        <v>4920</v>
      </c>
      <c r="M93">
        <f>Hydro_Summary!AM70</f>
        <v>4910</v>
      </c>
      <c r="N93" s="134">
        <v>4910</v>
      </c>
      <c r="O93" s="134">
        <v>4910</v>
      </c>
    </row>
    <row r="94" spans="1:33">
      <c r="A94" t="s">
        <v>596</v>
      </c>
      <c r="C94" t="s">
        <v>595</v>
      </c>
      <c r="D94" t="s">
        <v>1060</v>
      </c>
      <c r="E94" t="s">
        <v>927</v>
      </c>
      <c r="F94">
        <f>Hydro_Summary!AF71</f>
        <v>3000</v>
      </c>
      <c r="G94">
        <f>Hydro_Summary!AG71</f>
        <v>3000</v>
      </c>
      <c r="H94">
        <f>Hydro_Summary!AH71</f>
        <v>2990</v>
      </c>
      <c r="I94">
        <f>Hydro_Summary!AI71</f>
        <v>2980</v>
      </c>
      <c r="J94">
        <f>Hydro_Summary!AJ71</f>
        <v>2970</v>
      </c>
      <c r="K94">
        <f>Hydro_Summary!AK71</f>
        <v>2960</v>
      </c>
      <c r="L94">
        <f>Hydro_Summary!AL71</f>
        <v>2950</v>
      </c>
      <c r="M94">
        <f>Hydro_Summary!AM71</f>
        <v>2950</v>
      </c>
      <c r="N94" s="134">
        <v>2950</v>
      </c>
      <c r="O94" s="134">
        <v>2950</v>
      </c>
    </row>
    <row r="95" spans="1:33">
      <c r="A95" t="s">
        <v>581</v>
      </c>
      <c r="C95" t="s">
        <v>580</v>
      </c>
      <c r="D95" t="s">
        <v>1060</v>
      </c>
      <c r="E95" t="s">
        <v>1047</v>
      </c>
      <c r="F95" s="14">
        <f>Hydro_Summary!AR65</f>
        <v>5.45</v>
      </c>
      <c r="G95" s="14">
        <f>Hydro_Summary!AS65</f>
        <v>5.4450861617373745</v>
      </c>
      <c r="H95" s="14">
        <f>Hydro_Summary!AT65</f>
        <v>5.4250264566122848</v>
      </c>
      <c r="I95" s="14">
        <f>Hydro_Summary!AU65</f>
        <v>5.4078027220729643</v>
      </c>
      <c r="J95" s="14">
        <f>Hydro_Summary!AV65</f>
        <v>5.3969059062146112</v>
      </c>
      <c r="K95" s="14">
        <f>Hydro_Summary!AW65</f>
        <v>5.3815972618025461</v>
      </c>
      <c r="L95" s="14">
        <f>Hydro_Summary!AX65</f>
        <v>5.3680714925836366</v>
      </c>
      <c r="M95" s="14">
        <f>Hydro_Summary!AY65</f>
        <v>5.3560778539789728</v>
      </c>
      <c r="N95" s="135">
        <v>5.3560778539789728</v>
      </c>
      <c r="O95" s="135">
        <v>5.3560778539789728</v>
      </c>
    </row>
    <row r="96" spans="1:33">
      <c r="A96" t="s">
        <v>583</v>
      </c>
      <c r="C96" t="s">
        <v>582</v>
      </c>
      <c r="D96" t="s">
        <v>1060</v>
      </c>
      <c r="E96" t="s">
        <v>1047</v>
      </c>
      <c r="F96" s="14">
        <f>Hydro_Summary!AR66</f>
        <v>17.5</v>
      </c>
      <c r="G96" s="14">
        <f>Hydro_Summary!AS66</f>
        <v>17.484221620257621</v>
      </c>
      <c r="H96" s="14">
        <f>Hydro_Summary!AT66</f>
        <v>17.419809723066969</v>
      </c>
      <c r="I96" s="14">
        <f>Hydro_Summary!AU66</f>
        <v>17.364504153445296</v>
      </c>
      <c r="J96" s="14">
        <f>Hydro_Summary!AV66</f>
        <v>17.329514377753334</v>
      </c>
      <c r="K96" s="14">
        <f>Hydro_Summary!AW66</f>
        <v>17.280358180099913</v>
      </c>
      <c r="L96" s="14">
        <f>Hydro_Summary!AX66</f>
        <v>17.236926811048374</v>
      </c>
      <c r="M96" s="14">
        <f>Hydro_Summary!AY66</f>
        <v>17.198415127455416</v>
      </c>
      <c r="N96" s="135">
        <v>17.198415127455416</v>
      </c>
      <c r="O96" s="135">
        <v>17.198415127455416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Hydro_Summary!AR67</f>
        <v>7.05</v>
      </c>
      <c r="G97" s="14">
        <f>Hydro_Summary!AS67</f>
        <v>7.043643567018071</v>
      </c>
      <c r="H97" s="14">
        <f>Hydro_Summary!AT67</f>
        <v>7.0176947741498354</v>
      </c>
      <c r="I97" s="14">
        <f>Hydro_Summary!AU67</f>
        <v>6.9954145303879613</v>
      </c>
      <c r="J97" s="14">
        <f>Hydro_Summary!AV67</f>
        <v>6.9813186493234847</v>
      </c>
      <c r="K97" s="14">
        <f>Hydro_Summary!AW67</f>
        <v>6.9615157239831067</v>
      </c>
      <c r="L97" s="14">
        <f>Hydro_Summary!AX67</f>
        <v>6.9440190867366294</v>
      </c>
      <c r="M97" s="14">
        <f>Hydro_Summary!AY67</f>
        <v>6.9285043799177517</v>
      </c>
      <c r="N97" s="135">
        <v>6.9285043799177517</v>
      </c>
      <c r="O97" s="135">
        <v>6.9285043799177517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Hydro_Summary!AR68</f>
        <v>20</v>
      </c>
      <c r="G98" s="14">
        <f>Hydro_Summary!AS68</f>
        <v>19.981967566008713</v>
      </c>
      <c r="H98" s="14">
        <f>Hydro_Summary!AT68</f>
        <v>19.908353969219391</v>
      </c>
      <c r="I98" s="14">
        <f>Hydro_Summary!AU68</f>
        <v>19.84514760393748</v>
      </c>
      <c r="J98" s="14">
        <f>Hydro_Summary!AV68</f>
        <v>19.805159288860949</v>
      </c>
      <c r="K98" s="14">
        <f>Hydro_Summary!AW68</f>
        <v>19.748980777257042</v>
      </c>
      <c r="L98" s="14">
        <f>Hydro_Summary!AX68</f>
        <v>19.699344926912424</v>
      </c>
      <c r="M98" s="14">
        <f>Hydro_Summary!AY68</f>
        <v>19.655331574234758</v>
      </c>
      <c r="N98" s="135">
        <v>19.655331574234758</v>
      </c>
      <c r="O98" s="135">
        <v>19.655331574234758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Hydro_Summary!AR69</f>
        <v>17.400000000000002</v>
      </c>
      <c r="G99" s="14">
        <f>Hydro_Summary!AS69</f>
        <v>17.384311782427577</v>
      </c>
      <c r="H99" s="14">
        <f>Hydro_Summary!AT69</f>
        <v>17.320267953220871</v>
      </c>
      <c r="I99" s="14">
        <f>Hydro_Summary!AU69</f>
        <v>17.265278415425609</v>
      </c>
      <c r="J99" s="14">
        <f>Hydro_Summary!AV69</f>
        <v>17.230488581309029</v>
      </c>
      <c r="K99" s="14">
        <f>Hydro_Summary!AW69</f>
        <v>17.181613276213628</v>
      </c>
      <c r="L99" s="14">
        <f>Hydro_Summary!AX69</f>
        <v>17.138430086413809</v>
      </c>
      <c r="M99" s="14">
        <f>Hydro_Summary!AY69</f>
        <v>17.100138469584241</v>
      </c>
      <c r="N99" s="135">
        <v>17.100138469584241</v>
      </c>
      <c r="O99" s="135">
        <v>17.100138469584241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Hydro_Summary!AR70</f>
        <v>50</v>
      </c>
      <c r="G100" s="14">
        <f>Hydro_Summary!AS70</f>
        <v>49.954918915021779</v>
      </c>
      <c r="H100" s="14">
        <f>Hydro_Summary!AT70</f>
        <v>49.770884923048477</v>
      </c>
      <c r="I100" s="14">
        <f>Hydro_Summary!AU70</f>
        <v>49.612869009843706</v>
      </c>
      <c r="J100" s="14">
        <f>Hydro_Summary!AV70</f>
        <v>49.51289822215238</v>
      </c>
      <c r="K100" s="14">
        <f>Hydro_Summary!AW70</f>
        <v>49.372451943142615</v>
      </c>
      <c r="L100" s="14">
        <f>Hydro_Summary!AX70</f>
        <v>49.248362317281064</v>
      </c>
      <c r="M100" s="14">
        <f>Hydro_Summary!AY70</f>
        <v>49.138328935586898</v>
      </c>
      <c r="N100" s="135">
        <v>49.138328935586898</v>
      </c>
      <c r="O100" s="135">
        <v>49.138328935586898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Hydro_Summary!AR71</f>
        <v>15</v>
      </c>
      <c r="G101" s="14">
        <f>Hydro_Summary!AS71</f>
        <v>14.986475674506535</v>
      </c>
      <c r="H101" s="14">
        <f>Hydro_Summary!AT71</f>
        <v>14.931265476914547</v>
      </c>
      <c r="I101" s="14">
        <f>Hydro_Summary!AU71</f>
        <v>14.883860702953115</v>
      </c>
      <c r="J101" s="14">
        <f>Hydro_Summary!AV71</f>
        <v>14.853869466645717</v>
      </c>
      <c r="K101" s="14">
        <f>Hydro_Summary!AW71</f>
        <v>14.811735582942786</v>
      </c>
      <c r="L101" s="14">
        <f>Hydro_Summary!AX71</f>
        <v>14.77450869518432</v>
      </c>
      <c r="M101" s="14">
        <f>Hydro_Summary!AY71</f>
        <v>14.74149868067607</v>
      </c>
      <c r="N101" s="135">
        <v>14.74149868067607</v>
      </c>
      <c r="O101" s="135">
        <v>14.74149868067607</v>
      </c>
    </row>
    <row r="104" spans="1:15">
      <c r="C104" s="82" t="s">
        <v>1061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1090</v>
      </c>
      <c r="F105" s="83" t="s">
        <v>1132</v>
      </c>
      <c r="G105" s="105" t="s">
        <v>1131</v>
      </c>
    </row>
    <row r="106" spans="1:15">
      <c r="A106" s="53" t="s">
        <v>846</v>
      </c>
      <c r="B106" s="53"/>
      <c r="C106" s="53" t="s">
        <v>1133</v>
      </c>
      <c r="D106" s="53" t="s">
        <v>1206</v>
      </c>
      <c r="E106" s="53">
        <v>2010</v>
      </c>
      <c r="F106" s="53" t="s">
        <v>1112</v>
      </c>
      <c r="G106" s="53">
        <v>5.5</v>
      </c>
    </row>
    <row r="107" spans="1:15">
      <c r="A107" s="53" t="s">
        <v>846</v>
      </c>
      <c r="B107" s="53"/>
      <c r="C107" s="53" t="s">
        <v>1133</v>
      </c>
      <c r="D107" s="53" t="s">
        <v>1206</v>
      </c>
      <c r="E107" s="53">
        <v>2020</v>
      </c>
      <c r="F107" s="53" t="s">
        <v>1112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1112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1112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1134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1077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1197</v>
      </c>
    </row>
    <row r="16" spans="1:4">
      <c r="A16" t="s">
        <v>1135</v>
      </c>
      <c r="B16" t="s">
        <v>953</v>
      </c>
      <c r="C16" t="str">
        <f t="shared" si="0"/>
        <v>14_PRORes_HighForest</v>
      </c>
    </row>
    <row r="17" spans="1:4">
      <c r="A17" t="s">
        <v>1202</v>
      </c>
      <c r="B17" t="s">
        <v>1204</v>
      </c>
      <c r="C17" t="str">
        <f t="shared" si="0"/>
        <v>15_PRORes_NoCCU</v>
      </c>
    </row>
    <row r="18" spans="1:4">
      <c r="A18" t="s">
        <v>1203</v>
      </c>
      <c r="B18" t="s">
        <v>1205</v>
      </c>
      <c r="C18" t="str">
        <f t="shared" si="0"/>
        <v>16_PRORes_MaxBiofuel</v>
      </c>
    </row>
    <row r="20" spans="1:4">
      <c r="A20" t="s">
        <v>1079</v>
      </c>
      <c r="B20" t="s">
        <v>949</v>
      </c>
      <c r="C20" t="s">
        <v>1080</v>
      </c>
      <c r="D20" t="s"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1190</v>
      </c>
      <c r="C5" s="8" t="s">
        <v>966</v>
      </c>
      <c r="D5" s="121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1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1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2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1190</v>
      </c>
      <c r="C10" s="8" t="s">
        <v>970</v>
      </c>
      <c r="D10" s="121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1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1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2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1190</v>
      </c>
      <c r="C15" s="8" t="s">
        <v>973</v>
      </c>
      <c r="D15" s="121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1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1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2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1191</v>
      </c>
      <c r="C20" s="8" t="s">
        <v>966</v>
      </c>
      <c r="D20" s="121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1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1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2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1191</v>
      </c>
      <c r="C25" s="8" t="s">
        <v>970</v>
      </c>
      <c r="D25" s="121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1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1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2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1191</v>
      </c>
      <c r="C30" s="8" t="s">
        <v>973</v>
      </c>
      <c r="D30" s="121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1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1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2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1192</v>
      </c>
      <c r="C35" s="8" t="s">
        <v>966</v>
      </c>
      <c r="D35" s="121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1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1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2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1192</v>
      </c>
      <c r="C40" s="8" t="s">
        <v>970</v>
      </c>
      <c r="D40" s="121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1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1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2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1192</v>
      </c>
      <c r="C45" s="8" t="s">
        <v>973</v>
      </c>
      <c r="D45" s="121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1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1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2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1193</v>
      </c>
      <c r="C50" s="8" t="s">
        <v>966</v>
      </c>
      <c r="D50" s="121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1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1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2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1193</v>
      </c>
      <c r="C55" s="8" t="s">
        <v>970</v>
      </c>
      <c r="D55" s="121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1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1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2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1193</v>
      </c>
      <c r="C60" s="8" t="s">
        <v>973</v>
      </c>
      <c r="D60" s="121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1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1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2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1194</v>
      </c>
      <c r="C65" s="8" t="s">
        <v>966</v>
      </c>
      <c r="D65" s="121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1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1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2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1194</v>
      </c>
      <c r="C70" s="8" t="s">
        <v>970</v>
      </c>
      <c r="D70" s="121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1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1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2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1194</v>
      </c>
      <c r="C75" s="8" t="s">
        <v>973</v>
      </c>
      <c r="D75" s="121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1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1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2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1195</v>
      </c>
      <c r="C80" s="8" t="s">
        <v>966</v>
      </c>
      <c r="D80" s="121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1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1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2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1195</v>
      </c>
      <c r="C85" s="8" t="s">
        <v>970</v>
      </c>
      <c r="D85" s="121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1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1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2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1195</v>
      </c>
      <c r="C90" s="8" t="s">
        <v>973</v>
      </c>
      <c r="D90" s="121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1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1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2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1196</v>
      </c>
      <c r="C95" s="8" t="s">
        <v>966</v>
      </c>
      <c r="D95" s="121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1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1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2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1196</v>
      </c>
      <c r="C100" s="8" t="s">
        <v>970</v>
      </c>
      <c r="D100" s="121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1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1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2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1196</v>
      </c>
      <c r="C105" s="8" t="s">
        <v>973</v>
      </c>
      <c r="D105" s="121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1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1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2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E84:F84"/>
    <mergeCell ref="Q84:R84"/>
    <mergeCell ref="D85:D87"/>
    <mergeCell ref="P85:P87"/>
    <mergeCell ref="E89:F89"/>
    <mergeCell ref="Q89:R89"/>
    <mergeCell ref="D90:D92"/>
    <mergeCell ref="P90:P92"/>
    <mergeCell ref="E94:F94"/>
    <mergeCell ref="Q94:R94"/>
    <mergeCell ref="D95:D97"/>
    <mergeCell ref="P95:P97"/>
    <mergeCell ref="D105:D107"/>
    <mergeCell ref="P105:P107"/>
    <mergeCell ref="E99:F99"/>
    <mergeCell ref="Q99:R99"/>
    <mergeCell ref="D100:D102"/>
    <mergeCell ref="P100:P102"/>
    <mergeCell ref="E104:F104"/>
    <mergeCell ref="Q104:R10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9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1181</v>
      </c>
      <c r="C5" s="8" t="s">
        <v>966</v>
      </c>
      <c r="D5" s="121" t="s">
        <v>1182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1" t="s">
        <v>1182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1182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1182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1182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1182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1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1183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1183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1183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1183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2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1184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1184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1184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1184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1185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1185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1185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1185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1181</v>
      </c>
      <c r="C10" s="8" t="s">
        <v>970</v>
      </c>
      <c r="D10" s="121" t="s">
        <v>1182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1" t="s">
        <v>1182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1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2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1181</v>
      </c>
      <c r="C15" s="8" t="s">
        <v>973</v>
      </c>
      <c r="D15" s="121" t="s">
        <v>1182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1" t="s">
        <v>1182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1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2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1182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1182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1183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1183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1184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1184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1182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1182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1186</v>
      </c>
      <c r="C20" s="8" t="s">
        <v>966</v>
      </c>
      <c r="D20" s="121" t="s">
        <v>1183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1" t="s">
        <v>1183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1185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1185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1183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1183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1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1184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1184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2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1185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1185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1186</v>
      </c>
      <c r="C25" s="8" t="s">
        <v>970</v>
      </c>
      <c r="D25" s="121" t="s">
        <v>1183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1" t="s">
        <v>1183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1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2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1182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1182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1186</v>
      </c>
      <c r="C30" s="8" t="s">
        <v>973</v>
      </c>
      <c r="D30" s="121" t="s">
        <v>1183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1" t="s">
        <v>1183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1183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1183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1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1184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1184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2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1185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1185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1187</v>
      </c>
      <c r="C35" s="8" t="s">
        <v>966</v>
      </c>
      <c r="D35" s="121" t="s">
        <v>1184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1" t="s">
        <v>1184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1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2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1187</v>
      </c>
      <c r="C40" s="8" t="s">
        <v>970</v>
      </c>
      <c r="D40" s="121" t="s">
        <v>1184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1" t="s">
        <v>1184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1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1182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1182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2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1183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1183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1184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1184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1185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1185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1187</v>
      </c>
      <c r="C45" s="8" t="s">
        <v>973</v>
      </c>
      <c r="D45" s="121" t="s">
        <v>1184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1" t="s">
        <v>1184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1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2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1188</v>
      </c>
      <c r="C50" s="8" t="s">
        <v>966</v>
      </c>
      <c r="D50" s="121" t="s">
        <v>1185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1" t="s">
        <v>1185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1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2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1182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1182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1183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1183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1188</v>
      </c>
      <c r="C55" s="8" t="s">
        <v>970</v>
      </c>
      <c r="D55" s="121" t="s">
        <v>1185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1" t="s">
        <v>1185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1184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1184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1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1185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1185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2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1188</v>
      </c>
      <c r="C60" s="8" t="s">
        <v>973</v>
      </c>
      <c r="D60" s="121" t="s">
        <v>1185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1" t="s">
        <v>1185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1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2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1182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1182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1183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1183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1184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1184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1185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1185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1182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1182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1183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1183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1184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1184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1185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1185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1182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1182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1183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1183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1184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1184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1185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1185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1182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1182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1183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1183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1184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1184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1185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1185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22" zoomScale="85" zoomScaleNormal="85" workbookViewId="0">
      <selection activeCell="AH17" sqref="AH17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1136</v>
      </c>
      <c r="C5" s="8" t="s">
        <v>966</v>
      </c>
      <c r="D5" s="121" t="s">
        <v>1142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1" t="s">
        <v>1142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1142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1142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1142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1142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1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1143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1143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1143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1143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2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1144</v>
      </c>
      <c r="AD7" t="s">
        <v>967</v>
      </c>
      <c r="AE7" t="s">
        <v>1145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1144</v>
      </c>
      <c r="AP7" t="s">
        <v>967</v>
      </c>
      <c r="AQ7" t="s">
        <v>1145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1144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1144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1146</v>
      </c>
      <c r="AD8" t="s">
        <v>967</v>
      </c>
      <c r="AE8" t="s">
        <v>1147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1146</v>
      </c>
      <c r="AP8" t="s">
        <v>967</v>
      </c>
      <c r="AQ8" t="s">
        <v>1147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1146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1146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1148</v>
      </c>
      <c r="AD9" t="s">
        <v>967</v>
      </c>
      <c r="AE9" t="s">
        <v>1147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1148</v>
      </c>
      <c r="AP9" t="s">
        <v>967</v>
      </c>
      <c r="AQ9" t="s">
        <v>1147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1148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1148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1136</v>
      </c>
      <c r="C10" s="8" t="s">
        <v>970</v>
      </c>
      <c r="D10" s="121" t="s">
        <v>1142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1" t="s">
        <v>1142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1149</v>
      </c>
      <c r="AD10" t="s">
        <v>967</v>
      </c>
      <c r="AE10" t="s">
        <v>1150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1149</v>
      </c>
      <c r="AP10" t="s">
        <v>967</v>
      </c>
      <c r="AQ10" t="s">
        <v>1150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1149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1149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1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2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1136</v>
      </c>
      <c r="C15" s="8" t="s">
        <v>973</v>
      </c>
      <c r="D15" s="121" t="s">
        <v>1142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1" t="s">
        <v>1142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1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2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1142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1142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1143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1143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1144</v>
      </c>
      <c r="AD19" s="87" t="s">
        <v>968</v>
      </c>
      <c r="AE19" s="87" t="s">
        <v>1145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1144</v>
      </c>
      <c r="AP19" s="87" t="s">
        <v>968</v>
      </c>
      <c r="AQ19" s="87" t="s">
        <v>1145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1142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1142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1137</v>
      </c>
      <c r="C20" s="8" t="s">
        <v>966</v>
      </c>
      <c r="D20" s="121" t="s">
        <v>1143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1" t="s">
        <v>1143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1146</v>
      </c>
      <c r="AD20" s="87" t="s">
        <v>968</v>
      </c>
      <c r="AE20" s="87" t="s">
        <v>1147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1146</v>
      </c>
      <c r="AP20" s="87" t="s">
        <v>968</v>
      </c>
      <c r="AQ20" s="87" t="s">
        <v>1147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1143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1143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1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1148</v>
      </c>
      <c r="AD21" s="87" t="s">
        <v>968</v>
      </c>
      <c r="AE21" s="87" t="s">
        <v>1147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1148</v>
      </c>
      <c r="AP21" s="87" t="s">
        <v>968</v>
      </c>
      <c r="AQ21" s="87" t="s">
        <v>1147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1144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1144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2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1149</v>
      </c>
      <c r="AD22" s="87" t="s">
        <v>968</v>
      </c>
      <c r="AE22" s="87" t="s">
        <v>1150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1149</v>
      </c>
      <c r="AP22" s="87" t="s">
        <v>968</v>
      </c>
      <c r="AQ22" s="87" t="s">
        <v>1150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1146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1148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1148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1149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1149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1137</v>
      </c>
      <c r="C25" s="8" t="s">
        <v>970</v>
      </c>
      <c r="D25" s="121" t="s">
        <v>1143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1" t="s">
        <v>1143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1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2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1142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1142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1137</v>
      </c>
      <c r="C30" s="8" t="s">
        <v>973</v>
      </c>
      <c r="D30" s="121" t="s">
        <v>1143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1" t="s">
        <v>1143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1143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1143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1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1144</v>
      </c>
      <c r="AD31" s="87" t="s">
        <v>969</v>
      </c>
      <c r="AE31" s="87" t="s">
        <v>1145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1144</v>
      </c>
      <c r="AP31" s="87" t="s">
        <v>969</v>
      </c>
      <c r="AQ31" s="87" t="s">
        <v>1145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2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1146</v>
      </c>
      <c r="AD32" s="87" t="s">
        <v>969</v>
      </c>
      <c r="AE32" s="87" t="s">
        <v>1147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1146</v>
      </c>
      <c r="AP32" s="87" t="s">
        <v>969</v>
      </c>
      <c r="AQ32" s="87" t="s">
        <v>1147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1148</v>
      </c>
      <c r="AD33" s="87" t="s">
        <v>969</v>
      </c>
      <c r="AE33" s="87" t="s">
        <v>1147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1148</v>
      </c>
      <c r="AP33" s="87" t="s">
        <v>969</v>
      </c>
      <c r="AQ33" s="87" t="s">
        <v>1147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1149</v>
      </c>
      <c r="AD34" s="87" t="s">
        <v>969</v>
      </c>
      <c r="AE34" s="87" t="s">
        <v>1150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1149</v>
      </c>
      <c r="AP34" s="87" t="s">
        <v>969</v>
      </c>
      <c r="AQ34" s="87" t="s">
        <v>1150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1138</v>
      </c>
      <c r="C35" s="8" t="s">
        <v>966</v>
      </c>
      <c r="D35" s="121" t="s">
        <v>1144</v>
      </c>
      <c r="E35" s="9" t="s">
        <v>967</v>
      </c>
      <c r="F35" t="s">
        <v>1145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1" t="s">
        <v>1144</v>
      </c>
      <c r="Q35" s="9" t="s">
        <v>967</v>
      </c>
      <c r="R35" t="s">
        <v>1145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1"/>
      <c r="E36" s="9" t="s">
        <v>968</v>
      </c>
      <c r="F36" t="s">
        <v>1145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1"/>
      <c r="Q36" s="9" t="s">
        <v>968</v>
      </c>
      <c r="R36" t="s">
        <v>1145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2"/>
      <c r="E37" s="20" t="s">
        <v>969</v>
      </c>
      <c r="F37" s="21" t="s">
        <v>1145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2"/>
      <c r="Q37" s="20" t="s">
        <v>969</v>
      </c>
      <c r="R37" s="21" t="s">
        <v>1145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1138</v>
      </c>
      <c r="C40" s="8" t="s">
        <v>970</v>
      </c>
      <c r="D40" s="121" t="s">
        <v>1144</v>
      </c>
      <c r="E40" s="9" t="s">
        <v>967</v>
      </c>
      <c r="F40" t="s">
        <v>1151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1" t="s">
        <v>1144</v>
      </c>
      <c r="Q40" s="9" t="s">
        <v>967</v>
      </c>
      <c r="R40" t="s">
        <v>1151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1151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1"/>
      <c r="Q41" s="9" t="s">
        <v>968</v>
      </c>
      <c r="R41" t="s">
        <v>1151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1142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1142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2"/>
      <c r="E42" s="20" t="s">
        <v>969</v>
      </c>
      <c r="F42" s="21" t="s">
        <v>1151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2"/>
      <c r="Q42" s="20" t="s">
        <v>969</v>
      </c>
      <c r="R42" s="21" t="s">
        <v>1151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1143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1143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1144</v>
      </c>
      <c r="AD43" t="s">
        <v>967</v>
      </c>
      <c r="AE43" t="s">
        <v>1151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1144</v>
      </c>
      <c r="AP43" t="s">
        <v>967</v>
      </c>
      <c r="AQ43" t="s">
        <v>1151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1146</v>
      </c>
      <c r="AD44" t="s">
        <v>967</v>
      </c>
      <c r="AE44" t="s">
        <v>1152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1146</v>
      </c>
      <c r="AP44" t="s">
        <v>967</v>
      </c>
      <c r="AQ44" t="s">
        <v>1152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1138</v>
      </c>
      <c r="C45" s="8" t="s">
        <v>973</v>
      </c>
      <c r="D45" s="121" t="s">
        <v>1144</v>
      </c>
      <c r="E45" s="9" t="s">
        <v>967</v>
      </c>
      <c r="F45" t="s">
        <v>1153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1" t="s">
        <v>1144</v>
      </c>
      <c r="Q45" s="9" t="s">
        <v>967</v>
      </c>
      <c r="R45" t="s">
        <v>1153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1148</v>
      </c>
      <c r="AD45" t="s">
        <v>967</v>
      </c>
      <c r="AE45" t="s">
        <v>1152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1148</v>
      </c>
      <c r="AP45" t="s">
        <v>967</v>
      </c>
      <c r="AQ45" t="s">
        <v>1152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1"/>
      <c r="E46" s="9" t="s">
        <v>968</v>
      </c>
      <c r="F46" t="s">
        <v>1153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1"/>
      <c r="Q46" s="9" t="s">
        <v>968</v>
      </c>
      <c r="R46" t="s">
        <v>1153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1149</v>
      </c>
      <c r="AD46" t="s">
        <v>967</v>
      </c>
      <c r="AE46" t="s">
        <v>1154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1149</v>
      </c>
      <c r="AP46" t="s">
        <v>967</v>
      </c>
      <c r="AQ46" t="s">
        <v>1154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2"/>
      <c r="E47" s="20" t="s">
        <v>969</v>
      </c>
      <c r="F47" s="21" t="s">
        <v>1153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2"/>
      <c r="Q47" s="20" t="s">
        <v>969</v>
      </c>
      <c r="R47" s="21" t="s">
        <v>1153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1139</v>
      </c>
      <c r="C50" s="8" t="s">
        <v>966</v>
      </c>
      <c r="D50" s="121" t="s">
        <v>1146</v>
      </c>
      <c r="E50" s="9" t="s">
        <v>967</v>
      </c>
      <c r="F50" t="s">
        <v>1147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1" t="s">
        <v>1146</v>
      </c>
      <c r="Q50" s="9" t="s">
        <v>967</v>
      </c>
      <c r="R50" t="s">
        <v>1147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1"/>
      <c r="E51" s="9" t="s">
        <v>968</v>
      </c>
      <c r="F51" t="s">
        <v>1147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1"/>
      <c r="Q51" s="9" t="s">
        <v>968</v>
      </c>
      <c r="R51" t="s">
        <v>1147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2"/>
      <c r="E52" s="20" t="s">
        <v>969</v>
      </c>
      <c r="F52" s="21" t="s">
        <v>1147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2"/>
      <c r="Q52" s="20" t="s">
        <v>969</v>
      </c>
      <c r="R52" s="21" t="s">
        <v>1147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1142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1142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1143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1143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1139</v>
      </c>
      <c r="C55" s="8" t="s">
        <v>970</v>
      </c>
      <c r="D55" s="121" t="s">
        <v>1146</v>
      </c>
      <c r="E55" s="9" t="s">
        <v>967</v>
      </c>
      <c r="F55" t="s">
        <v>1152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1" t="s">
        <v>1146</v>
      </c>
      <c r="Q55" s="9" t="s">
        <v>967</v>
      </c>
      <c r="R55" t="s">
        <v>1152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1144</v>
      </c>
      <c r="AD55" s="87" t="s">
        <v>968</v>
      </c>
      <c r="AE55" s="87" t="s">
        <v>1151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1144</v>
      </c>
      <c r="AP55" s="87" t="s">
        <v>968</v>
      </c>
      <c r="AQ55" s="87" t="s">
        <v>1151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1"/>
      <c r="E56" s="9" t="s">
        <v>968</v>
      </c>
      <c r="F56" t="s">
        <v>1152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1"/>
      <c r="Q56" s="9" t="s">
        <v>968</v>
      </c>
      <c r="R56" t="s">
        <v>1152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1146</v>
      </c>
      <c r="AD56" s="87" t="s">
        <v>968</v>
      </c>
      <c r="AE56" s="87" t="s">
        <v>1152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1146</v>
      </c>
      <c r="AP56" s="87" t="s">
        <v>968</v>
      </c>
      <c r="AQ56" s="87" t="s">
        <v>1152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2"/>
      <c r="E57" s="20" t="s">
        <v>969</v>
      </c>
      <c r="F57" s="21" t="s">
        <v>1152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2"/>
      <c r="Q57" s="20" t="s">
        <v>969</v>
      </c>
      <c r="R57" s="21" t="s">
        <v>1152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1148</v>
      </c>
      <c r="AD57" s="87" t="s">
        <v>968</v>
      </c>
      <c r="AE57" s="87" t="s">
        <v>1152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1148</v>
      </c>
      <c r="AP57" s="87" t="s">
        <v>968</v>
      </c>
      <c r="AQ57" s="87" t="s">
        <v>1152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1149</v>
      </c>
      <c r="AD58" s="87" t="s">
        <v>968</v>
      </c>
      <c r="AE58" s="87" t="s">
        <v>1154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1149</v>
      </c>
      <c r="AP58" s="87" t="s">
        <v>968</v>
      </c>
      <c r="AQ58" s="87" t="s">
        <v>1154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1139</v>
      </c>
      <c r="C60" s="8" t="s">
        <v>973</v>
      </c>
      <c r="D60" s="121" t="s">
        <v>1146</v>
      </c>
      <c r="E60" s="9" t="s">
        <v>967</v>
      </c>
      <c r="F60" t="s">
        <v>1155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1" t="s">
        <v>1146</v>
      </c>
      <c r="Q60" s="9" t="s">
        <v>967</v>
      </c>
      <c r="R60" t="s">
        <v>1155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1"/>
      <c r="E61" s="9" t="s">
        <v>968</v>
      </c>
      <c r="F61" t="s">
        <v>1155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1"/>
      <c r="Q61" s="9" t="s">
        <v>968</v>
      </c>
      <c r="R61" t="s">
        <v>1155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1155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2"/>
      <c r="Q62" s="20" t="s">
        <v>969</v>
      </c>
      <c r="R62" s="21" t="s">
        <v>1155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1140</v>
      </c>
      <c r="C65" s="8" t="s">
        <v>966</v>
      </c>
      <c r="D65" s="121" t="s">
        <v>1148</v>
      </c>
      <c r="E65" s="9" t="s">
        <v>967</v>
      </c>
      <c r="F65" t="s">
        <v>1147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1" t="s">
        <v>1148</v>
      </c>
      <c r="Q65" s="9" t="s">
        <v>967</v>
      </c>
      <c r="R65" t="s">
        <v>1147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1142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1142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1"/>
      <c r="E66" s="9" t="s">
        <v>968</v>
      </c>
      <c r="F66" t="s">
        <v>1147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1"/>
      <c r="Q66" s="9" t="s">
        <v>968</v>
      </c>
      <c r="R66" t="s">
        <v>1147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1143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1143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2"/>
      <c r="E67" s="20" t="s">
        <v>969</v>
      </c>
      <c r="F67" s="21" t="s">
        <v>1147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2"/>
      <c r="Q67" s="20" t="s">
        <v>969</v>
      </c>
      <c r="R67" s="21" t="s">
        <v>1147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1144</v>
      </c>
      <c r="AD67" s="87" t="s">
        <v>969</v>
      </c>
      <c r="AE67" s="87" t="s">
        <v>1151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1144</v>
      </c>
      <c r="AP67" s="87" t="s">
        <v>969</v>
      </c>
      <c r="AQ67" s="87" t="s">
        <v>1151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1146</v>
      </c>
      <c r="AD68" s="87" t="s">
        <v>969</v>
      </c>
      <c r="AE68" s="87" t="s">
        <v>1152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1146</v>
      </c>
      <c r="AP68" s="87" t="s">
        <v>969</v>
      </c>
      <c r="AQ68" s="87" t="s">
        <v>1152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1148</v>
      </c>
      <c r="AD69" s="87" t="s">
        <v>969</v>
      </c>
      <c r="AE69" s="87" t="s">
        <v>1152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1148</v>
      </c>
      <c r="AP69" s="87" t="s">
        <v>969</v>
      </c>
      <c r="AQ69" s="87" t="s">
        <v>1152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1140</v>
      </c>
      <c r="C70" s="8" t="s">
        <v>970</v>
      </c>
      <c r="D70" s="121" t="s">
        <v>1148</v>
      </c>
      <c r="E70" s="9" t="s">
        <v>967</v>
      </c>
      <c r="F70" t="s">
        <v>1152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1" t="s">
        <v>1148</v>
      </c>
      <c r="Q70" s="9" t="s">
        <v>967</v>
      </c>
      <c r="R70" t="s">
        <v>1152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1149</v>
      </c>
      <c r="AD70" s="87" t="s">
        <v>969</v>
      </c>
      <c r="AE70" s="87" t="s">
        <v>1154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1149</v>
      </c>
      <c r="AP70" s="87" t="s">
        <v>969</v>
      </c>
      <c r="AQ70" s="87" t="s">
        <v>1154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1"/>
      <c r="E71" s="9" t="s">
        <v>968</v>
      </c>
      <c r="F71" t="s">
        <v>1152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1"/>
      <c r="Q71" s="9" t="s">
        <v>968</v>
      </c>
      <c r="R71" t="s">
        <v>1152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2"/>
      <c r="E72" s="20" t="s">
        <v>969</v>
      </c>
      <c r="F72" s="21" t="s">
        <v>1152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2"/>
      <c r="Q72" s="20" t="s">
        <v>969</v>
      </c>
      <c r="R72" s="21" t="s">
        <v>1152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1140</v>
      </c>
      <c r="C75" s="8" t="s">
        <v>973</v>
      </c>
      <c r="D75" s="121" t="s">
        <v>1148</v>
      </c>
      <c r="E75" s="9" t="s">
        <v>967</v>
      </c>
      <c r="F75" t="s">
        <v>1155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1" t="s">
        <v>1148</v>
      </c>
      <c r="Q75" s="9" t="s">
        <v>967</v>
      </c>
      <c r="R75" t="s">
        <v>1155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1"/>
      <c r="E76" s="9" t="s">
        <v>968</v>
      </c>
      <c r="F76" t="s">
        <v>1155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1"/>
      <c r="Q76" s="9" t="s">
        <v>968</v>
      </c>
      <c r="R76" t="s">
        <v>1155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1155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2"/>
      <c r="Q77" s="20" t="s">
        <v>969</v>
      </c>
      <c r="R77" s="21" t="s">
        <v>1155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1142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1142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1143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1143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1144</v>
      </c>
      <c r="AD79" t="s">
        <v>967</v>
      </c>
      <c r="AE79" t="s">
        <v>1153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1144</v>
      </c>
      <c r="AP79" t="s">
        <v>967</v>
      </c>
      <c r="AQ79" t="s">
        <v>1153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1141</v>
      </c>
      <c r="C80" s="8" t="s">
        <v>966</v>
      </c>
      <c r="D80" s="121" t="s">
        <v>1149</v>
      </c>
      <c r="E80" s="9" t="s">
        <v>967</v>
      </c>
      <c r="F80" t="s">
        <v>1150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1" t="s">
        <v>1149</v>
      </c>
      <c r="Q80" s="9" t="s">
        <v>967</v>
      </c>
      <c r="R80" t="s">
        <v>1150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1146</v>
      </c>
      <c r="AD80" t="s">
        <v>967</v>
      </c>
      <c r="AE80" t="s">
        <v>1155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1146</v>
      </c>
      <c r="AP80" t="s">
        <v>967</v>
      </c>
      <c r="AQ80" t="s">
        <v>1155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1"/>
      <c r="E81" s="9" t="s">
        <v>968</v>
      </c>
      <c r="F81" t="s">
        <v>1150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1"/>
      <c r="Q81" s="9" t="s">
        <v>968</v>
      </c>
      <c r="R81" t="s">
        <v>1150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1148</v>
      </c>
      <c r="AD81" t="s">
        <v>967</v>
      </c>
      <c r="AE81" t="s">
        <v>1155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1148</v>
      </c>
      <c r="AP81" t="s">
        <v>967</v>
      </c>
      <c r="AQ81" t="s">
        <v>1155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2"/>
      <c r="E82" s="20" t="s">
        <v>969</v>
      </c>
      <c r="F82" s="21" t="s">
        <v>1150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2"/>
      <c r="Q82" s="20" t="s">
        <v>969</v>
      </c>
      <c r="R82" s="21" t="s">
        <v>1150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1149</v>
      </c>
      <c r="AD82" t="s">
        <v>967</v>
      </c>
      <c r="AE82" t="s">
        <v>1156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1149</v>
      </c>
      <c r="AP82" t="s">
        <v>967</v>
      </c>
      <c r="AQ82" t="s">
        <v>1156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1141</v>
      </c>
      <c r="C85" s="8" t="s">
        <v>970</v>
      </c>
      <c r="D85" s="121" t="s">
        <v>1149</v>
      </c>
      <c r="E85" s="9" t="s">
        <v>967</v>
      </c>
      <c r="F85" t="s">
        <v>1154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1" t="s">
        <v>1149</v>
      </c>
      <c r="Q85" s="9" t="s">
        <v>967</v>
      </c>
      <c r="R85" t="s">
        <v>1154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1154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1"/>
      <c r="Q86" s="9" t="s">
        <v>968</v>
      </c>
      <c r="R86" t="s">
        <v>1154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2"/>
      <c r="E87" s="20" t="s">
        <v>969</v>
      </c>
      <c r="F87" s="21" t="s">
        <v>1154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2"/>
      <c r="Q87" s="20" t="s">
        <v>969</v>
      </c>
      <c r="R87" s="21" t="s">
        <v>1154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1142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1142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1141</v>
      </c>
      <c r="C90" s="8" t="s">
        <v>973</v>
      </c>
      <c r="D90" s="121" t="s">
        <v>1149</v>
      </c>
      <c r="E90" s="9" t="s">
        <v>967</v>
      </c>
      <c r="F90" t="s">
        <v>1156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1" t="s">
        <v>1149</v>
      </c>
      <c r="Q90" s="9" t="s">
        <v>967</v>
      </c>
      <c r="R90" t="s">
        <v>1156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1143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1143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1"/>
      <c r="E91" s="9" t="s">
        <v>968</v>
      </c>
      <c r="F91" t="s">
        <v>1156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1"/>
      <c r="Q91" s="9" t="s">
        <v>968</v>
      </c>
      <c r="R91" t="s">
        <v>1156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1144</v>
      </c>
      <c r="AD91" s="87" t="s">
        <v>968</v>
      </c>
      <c r="AE91" s="87" t="s">
        <v>1153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1144</v>
      </c>
      <c r="AP91" s="87" t="s">
        <v>968</v>
      </c>
      <c r="AQ91" s="87" t="s">
        <v>1153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2"/>
      <c r="E92" s="20" t="s">
        <v>969</v>
      </c>
      <c r="F92" s="21" t="s">
        <v>1156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2"/>
      <c r="Q92" s="20" t="s">
        <v>969</v>
      </c>
      <c r="R92" s="21" t="s">
        <v>1156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1146</v>
      </c>
      <c r="AD92" s="87" t="s">
        <v>968</v>
      </c>
      <c r="AE92" s="87" t="s">
        <v>1155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1146</v>
      </c>
      <c r="AP92" s="87" t="s">
        <v>968</v>
      </c>
      <c r="AQ92" s="87" t="s">
        <v>1155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1148</v>
      </c>
      <c r="AD93" s="87" t="s">
        <v>968</v>
      </c>
      <c r="AE93" s="87" t="s">
        <v>1155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1148</v>
      </c>
      <c r="AP93" s="87" t="s">
        <v>968</v>
      </c>
      <c r="AQ93" s="87" t="s">
        <v>1155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3" t="e">
        <v>#REF!</v>
      </c>
      <c r="F94" s="124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3" t="e">
        <v>#REF!</v>
      </c>
      <c r="R94" s="124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1149</v>
      </c>
      <c r="AD94" s="87" t="s">
        <v>968</v>
      </c>
      <c r="AE94" s="87" t="s">
        <v>1156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1149</v>
      </c>
      <c r="AP94" s="87" t="s">
        <v>968</v>
      </c>
      <c r="AQ94" s="87" t="s">
        <v>1156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1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1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1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1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2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2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3" t="e">
        <v>#REF!</v>
      </c>
      <c r="F99" s="124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3" t="e">
        <v>#REF!</v>
      </c>
      <c r="R99" s="124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1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1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1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1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2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2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3" t="e">
        <v>#REF!</v>
      </c>
      <c r="F104" s="124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3" t="e">
        <v>#REF!</v>
      </c>
      <c r="R104" s="124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1142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1142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1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1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1143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1143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1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1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1144</v>
      </c>
      <c r="AD106" s="87" t="s">
        <v>969</v>
      </c>
      <c r="AE106" s="87" t="s">
        <v>1153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1144</v>
      </c>
      <c r="AP106" t="s">
        <v>969</v>
      </c>
      <c r="AQ106" t="s">
        <v>1153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2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2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1146</v>
      </c>
      <c r="AD107" s="87" t="s">
        <v>969</v>
      </c>
      <c r="AE107" s="87" t="s">
        <v>1155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1146</v>
      </c>
      <c r="AP107" t="s">
        <v>969</v>
      </c>
      <c r="AQ107" t="s">
        <v>1155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1148</v>
      </c>
      <c r="AD108" s="87" t="s">
        <v>969</v>
      </c>
      <c r="AE108" s="87" t="s">
        <v>1155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1148</v>
      </c>
      <c r="AP108" t="s">
        <v>969</v>
      </c>
      <c r="AQ108" t="s">
        <v>1155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3" t="e">
        <v>#REF!</v>
      </c>
      <c r="F109" s="124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3" t="e">
        <v>#REF!</v>
      </c>
      <c r="R109" s="124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1149</v>
      </c>
      <c r="AD109" s="87" t="s">
        <v>969</v>
      </c>
      <c r="AE109" s="87" t="s">
        <v>1156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1149</v>
      </c>
      <c r="AP109" t="s">
        <v>969</v>
      </c>
      <c r="AQ109" t="s">
        <v>1156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1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1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1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1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2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2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3" t="e">
        <v>#REF!</v>
      </c>
      <c r="F114" s="124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3" t="e">
        <v>#REF!</v>
      </c>
      <c r="R114" s="124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1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1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1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1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2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2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3" t="e">
        <v>#REF!</v>
      </c>
      <c r="F119" s="124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3" t="e">
        <v>#REF!</v>
      </c>
      <c r="R119" s="124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1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1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1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1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2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2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1081</v>
      </c>
      <c r="C1" s="104" t="s">
        <v>2</v>
      </c>
      <c r="D1" s="104" t="s">
        <v>3</v>
      </c>
      <c r="E1" s="104" t="s">
        <v>1</v>
      </c>
      <c r="F1" s="104" t="s">
        <v>1082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1083</v>
      </c>
      <c r="N1" s="104" t="s">
        <v>1084</v>
      </c>
      <c r="O1" s="104" t="s">
        <v>1085</v>
      </c>
      <c r="P1" s="104" t="s">
        <v>1086</v>
      </c>
      <c r="Q1" s="104" t="s">
        <v>1087</v>
      </c>
      <c r="R1" s="104" t="s">
        <v>1088</v>
      </c>
      <c r="S1" s="104" t="s">
        <v>1089</v>
      </c>
      <c r="T1" s="104" t="s">
        <v>1090</v>
      </c>
      <c r="U1" s="104" t="s">
        <v>1091</v>
      </c>
      <c r="V1" s="104" t="s">
        <v>1092</v>
      </c>
      <c r="W1" s="104" t="s">
        <v>1059</v>
      </c>
      <c r="X1" s="104" t="s">
        <v>1093</v>
      </c>
      <c r="Y1" s="104" t="s">
        <v>1094</v>
      </c>
      <c r="Z1" s="104" t="s">
        <v>1095</v>
      </c>
      <c r="AA1" s="105" t="s">
        <v>1095</v>
      </c>
    </row>
    <row r="2" spans="1:27">
      <c r="A2" t="s">
        <v>1096</v>
      </c>
      <c r="B2" t="s">
        <v>21</v>
      </c>
      <c r="C2" t="s">
        <v>845</v>
      </c>
      <c r="D2" t="s">
        <v>846</v>
      </c>
      <c r="E2" t="s">
        <v>1097</v>
      </c>
      <c r="F2" t="s">
        <v>1098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1099</v>
      </c>
      <c r="N2" t="s">
        <v>1099</v>
      </c>
      <c r="O2" t="s">
        <v>1099</v>
      </c>
      <c r="P2" t="s">
        <v>1099</v>
      </c>
      <c r="Q2" t="s">
        <v>21</v>
      </c>
      <c r="R2" t="s">
        <v>21</v>
      </c>
      <c r="S2" t="s">
        <v>21</v>
      </c>
      <c r="T2" t="s">
        <v>1100</v>
      </c>
      <c r="U2" t="s">
        <v>1099</v>
      </c>
      <c r="V2" t="s">
        <v>1099</v>
      </c>
      <c r="W2" s="59" t="s">
        <v>1101</v>
      </c>
      <c r="X2" t="s">
        <v>1099</v>
      </c>
      <c r="Y2" t="s">
        <v>1102</v>
      </c>
      <c r="Z2" s="59">
        <v>1.14068441064639E-2</v>
      </c>
      <c r="AA2" s="106">
        <f>[1]Data!D14</f>
        <v>0.22183311486997501</v>
      </c>
    </row>
    <row r="3" spans="1:27">
      <c r="A3" s="36" t="s">
        <v>1096</v>
      </c>
      <c r="B3" s="36"/>
      <c r="C3" s="36" t="s">
        <v>845</v>
      </c>
      <c r="D3" s="36" t="s">
        <v>846</v>
      </c>
      <c r="E3" s="36" t="s">
        <v>1097</v>
      </c>
      <c r="F3" s="36" t="s">
        <v>1098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1103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1096</v>
      </c>
      <c r="B4" s="36"/>
      <c r="C4" s="36" t="s">
        <v>845</v>
      </c>
      <c r="D4" s="36" t="s">
        <v>846</v>
      </c>
      <c r="E4" s="36" t="s">
        <v>1097</v>
      </c>
      <c r="F4" s="36" t="s">
        <v>1098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1103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1096</v>
      </c>
      <c r="B5" t="s">
        <v>21</v>
      </c>
      <c r="C5" t="s">
        <v>845</v>
      </c>
      <c r="D5" t="s">
        <v>846</v>
      </c>
      <c r="E5" t="s">
        <v>927</v>
      </c>
      <c r="F5" t="s">
        <v>1104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1099</v>
      </c>
      <c r="N5" t="s">
        <v>1099</v>
      </c>
      <c r="O5" t="s">
        <v>1099</v>
      </c>
      <c r="P5" t="s">
        <v>1099</v>
      </c>
      <c r="Q5" t="s">
        <v>21</v>
      </c>
      <c r="R5" t="s">
        <v>21</v>
      </c>
      <c r="S5" t="s">
        <v>21</v>
      </c>
      <c r="T5" t="s">
        <v>1105</v>
      </c>
      <c r="U5" t="s">
        <v>1099</v>
      </c>
      <c r="V5" t="s">
        <v>1099</v>
      </c>
      <c r="W5" s="59" t="s">
        <v>1101</v>
      </c>
      <c r="X5" t="s">
        <v>1099</v>
      </c>
      <c r="Y5" t="s">
        <v>1102</v>
      </c>
      <c r="Z5" s="59">
        <v>2.81</v>
      </c>
      <c r="AA5" s="108">
        <f>[1]Data!D12</f>
        <v>2.8089111528762718</v>
      </c>
    </row>
    <row r="6" spans="1:27">
      <c r="A6" s="36" t="s">
        <v>1096</v>
      </c>
      <c r="B6" s="36"/>
      <c r="C6" s="36" t="s">
        <v>845</v>
      </c>
      <c r="D6" s="36" t="s">
        <v>846</v>
      </c>
      <c r="E6" s="36" t="s">
        <v>927</v>
      </c>
      <c r="F6" s="36" t="s">
        <v>1104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1103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1096</v>
      </c>
      <c r="B7" s="36"/>
      <c r="C7" s="36" t="s">
        <v>845</v>
      </c>
      <c r="D7" s="36" t="s">
        <v>846</v>
      </c>
      <c r="E7" s="36" t="s">
        <v>927</v>
      </c>
      <c r="F7" s="36" t="s">
        <v>1104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1103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1096</v>
      </c>
      <c r="B8" t="s">
        <v>21</v>
      </c>
      <c r="C8" t="s">
        <v>845</v>
      </c>
      <c r="D8" t="s">
        <v>846</v>
      </c>
      <c r="E8" t="s">
        <v>1047</v>
      </c>
      <c r="F8" t="s">
        <v>1106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1099</v>
      </c>
      <c r="N8" t="s">
        <v>1099</v>
      </c>
      <c r="O8" t="s">
        <v>1099</v>
      </c>
      <c r="P8" t="s">
        <v>1099</v>
      </c>
      <c r="Q8" t="s">
        <v>21</v>
      </c>
      <c r="R8" t="s">
        <v>21</v>
      </c>
      <c r="S8" t="s">
        <v>21</v>
      </c>
      <c r="T8" t="s">
        <v>1100</v>
      </c>
      <c r="U8" t="s">
        <v>1099</v>
      </c>
      <c r="V8" t="s">
        <v>1099</v>
      </c>
      <c r="W8" s="59" t="s">
        <v>1101</v>
      </c>
      <c r="X8" t="s">
        <v>1099</v>
      </c>
      <c r="Y8" t="s">
        <v>1102</v>
      </c>
      <c r="Z8" s="59">
        <v>0.202453307984791</v>
      </c>
      <c r="AA8" s="110">
        <f>[1]Data!D13</f>
        <v>0.12640100187943218</v>
      </c>
    </row>
    <row r="9" spans="1:27">
      <c r="A9" s="36" t="s">
        <v>1096</v>
      </c>
      <c r="B9" s="36"/>
      <c r="C9" s="36" t="s">
        <v>845</v>
      </c>
      <c r="D9" s="36" t="s">
        <v>846</v>
      </c>
      <c r="E9" s="36" t="s">
        <v>1047</v>
      </c>
      <c r="F9" s="36" t="s">
        <v>1106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1099</v>
      </c>
      <c r="N9" s="36" t="s">
        <v>1099</v>
      </c>
      <c r="O9" s="36" t="s">
        <v>1099</v>
      </c>
      <c r="P9" s="36" t="s">
        <v>1099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1103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1096</v>
      </c>
      <c r="B10" s="36"/>
      <c r="C10" s="36" t="s">
        <v>845</v>
      </c>
      <c r="D10" s="36" t="s">
        <v>846</v>
      </c>
      <c r="E10" s="36" t="s">
        <v>1047</v>
      </c>
      <c r="F10" s="36" t="s">
        <v>1106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1099</v>
      </c>
      <c r="N10" s="36" t="s">
        <v>1099</v>
      </c>
      <c r="O10" s="36" t="s">
        <v>1099</v>
      </c>
      <c r="P10" s="36" t="s">
        <v>1099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1103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1096</v>
      </c>
      <c r="B11" t="s">
        <v>21</v>
      </c>
      <c r="C11" t="s">
        <v>845</v>
      </c>
      <c r="D11" t="s">
        <v>846</v>
      </c>
      <c r="E11" t="s">
        <v>1107</v>
      </c>
      <c r="F11" t="s">
        <v>1108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1099</v>
      </c>
      <c r="N11" t="s">
        <v>1099</v>
      </c>
      <c r="O11" t="s">
        <v>1099</v>
      </c>
      <c r="P11" t="s">
        <v>1099</v>
      </c>
      <c r="Q11" t="s">
        <v>21</v>
      </c>
      <c r="R11" t="s">
        <v>21</v>
      </c>
      <c r="S11" t="s">
        <v>21</v>
      </c>
      <c r="T11" t="s">
        <v>1099</v>
      </c>
      <c r="U11" t="s">
        <v>1099</v>
      </c>
      <c r="V11" t="s">
        <v>1099</v>
      </c>
      <c r="W11" t="s">
        <v>1099</v>
      </c>
      <c r="X11" t="s">
        <v>1099</v>
      </c>
      <c r="Y11" t="s">
        <v>1102</v>
      </c>
      <c r="Z11" s="112">
        <v>2020</v>
      </c>
    </row>
    <row r="12" spans="1:27">
      <c r="A12" t="s">
        <v>1096</v>
      </c>
      <c r="B12" t="s">
        <v>21</v>
      </c>
      <c r="C12" t="s">
        <v>845</v>
      </c>
      <c r="D12" t="s">
        <v>846</v>
      </c>
      <c r="E12" t="s">
        <v>1063</v>
      </c>
      <c r="F12" t="s">
        <v>1109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1099</v>
      </c>
      <c r="N12" t="s">
        <v>1099</v>
      </c>
      <c r="O12" t="s">
        <v>1099</v>
      </c>
      <c r="P12" t="s">
        <v>1099</v>
      </c>
      <c r="Q12" t="s">
        <v>21</v>
      </c>
      <c r="R12" t="s">
        <v>21</v>
      </c>
      <c r="S12" t="s">
        <v>21</v>
      </c>
      <c r="T12" t="s">
        <v>1100</v>
      </c>
      <c r="U12" t="s">
        <v>1099</v>
      </c>
      <c r="V12" t="s">
        <v>1099</v>
      </c>
      <c r="W12" t="s">
        <v>1099</v>
      </c>
      <c r="X12" t="s">
        <v>1099</v>
      </c>
      <c r="Y12" t="s">
        <v>1102</v>
      </c>
      <c r="Z12" s="112">
        <v>20</v>
      </c>
    </row>
    <row r="13" spans="1:27">
      <c r="A13" t="s">
        <v>1096</v>
      </c>
      <c r="B13" t="s">
        <v>21</v>
      </c>
      <c r="C13" t="s">
        <v>845</v>
      </c>
      <c r="D13" t="s">
        <v>846</v>
      </c>
      <c r="E13" t="s">
        <v>1110</v>
      </c>
      <c r="F13" t="s">
        <v>1111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1099</v>
      </c>
      <c r="N13" t="s">
        <v>1099</v>
      </c>
      <c r="O13" t="s">
        <v>1099</v>
      </c>
      <c r="P13" t="s">
        <v>1099</v>
      </c>
      <c r="Q13" t="s">
        <v>21</v>
      </c>
      <c r="R13" t="s">
        <v>21</v>
      </c>
      <c r="S13" t="s">
        <v>21</v>
      </c>
      <c r="T13" t="s">
        <v>1100</v>
      </c>
      <c r="U13" t="s">
        <v>1112</v>
      </c>
      <c r="V13" t="s">
        <v>1099</v>
      </c>
      <c r="W13" t="s">
        <v>1099</v>
      </c>
      <c r="X13" t="s">
        <v>1113</v>
      </c>
      <c r="Y13" t="s">
        <v>1102</v>
      </c>
      <c r="Z13" s="59">
        <v>4.3</v>
      </c>
      <c r="AA13" s="112">
        <f>[1]Data!D5</f>
        <v>5.5</v>
      </c>
    </row>
    <row r="14" spans="1:27">
      <c r="A14" s="36" t="s">
        <v>1096</v>
      </c>
      <c r="B14" s="36" t="s">
        <v>21</v>
      </c>
      <c r="C14" s="36" t="s">
        <v>845</v>
      </c>
      <c r="D14" s="36" t="s">
        <v>846</v>
      </c>
      <c r="E14" s="36" t="s">
        <v>1110</v>
      </c>
      <c r="F14" s="36" t="s">
        <v>1111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1099</v>
      </c>
      <c r="N14" s="36" t="s">
        <v>1099</v>
      </c>
      <c r="O14" s="36" t="s">
        <v>1099</v>
      </c>
      <c r="P14" s="36" t="s">
        <v>1099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1112</v>
      </c>
      <c r="V14" s="36" t="s">
        <v>1099</v>
      </c>
      <c r="W14" s="36" t="s">
        <v>1103</v>
      </c>
      <c r="X14" s="36" t="s">
        <v>1113</v>
      </c>
      <c r="Y14" s="36" t="s">
        <v>1102</v>
      </c>
      <c r="Z14" s="36"/>
      <c r="AA14" s="36">
        <f>'[1]SET Plan calculation'!F5</f>
        <v>5.5</v>
      </c>
    </row>
    <row r="15" spans="1:27">
      <c r="A15" s="36" t="s">
        <v>1096</v>
      </c>
      <c r="B15" s="36" t="s">
        <v>21</v>
      </c>
      <c r="C15" s="36" t="s">
        <v>845</v>
      </c>
      <c r="D15" s="36" t="s">
        <v>846</v>
      </c>
      <c r="E15" s="36" t="s">
        <v>1110</v>
      </c>
      <c r="F15" s="36" t="s">
        <v>1111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1099</v>
      </c>
      <c r="N15" s="36" t="s">
        <v>1099</v>
      </c>
      <c r="O15" s="36" t="s">
        <v>1099</v>
      </c>
      <c r="P15" s="36" t="s">
        <v>1099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1112</v>
      </c>
      <c r="V15" s="36" t="s">
        <v>1099</v>
      </c>
      <c r="W15" s="36" t="s">
        <v>1103</v>
      </c>
      <c r="X15" s="36" t="s">
        <v>1113</v>
      </c>
      <c r="Y15" s="36" t="s">
        <v>1102</v>
      </c>
      <c r="Z15" s="36"/>
      <c r="AA15" s="109">
        <f>'[1]SET Plan calculation'!H5</f>
        <v>3.85</v>
      </c>
    </row>
    <row r="16" spans="1:27">
      <c r="A16" t="s">
        <v>1096</v>
      </c>
      <c r="B16" t="s">
        <v>21</v>
      </c>
      <c r="C16" t="s">
        <v>845</v>
      </c>
      <c r="D16" t="s">
        <v>846</v>
      </c>
      <c r="E16" t="s">
        <v>1110</v>
      </c>
      <c r="F16" t="s">
        <v>1111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1099</v>
      </c>
      <c r="N16" t="s">
        <v>1099</v>
      </c>
      <c r="O16" t="s">
        <v>1099</v>
      </c>
      <c r="P16" t="s">
        <v>1099</v>
      </c>
      <c r="Q16" t="s">
        <v>21</v>
      </c>
      <c r="R16" t="s">
        <v>21</v>
      </c>
      <c r="S16" t="s">
        <v>21</v>
      </c>
      <c r="T16" t="s">
        <v>1100</v>
      </c>
      <c r="U16" t="s">
        <v>1114</v>
      </c>
      <c r="V16" t="s">
        <v>1099</v>
      </c>
      <c r="W16" t="s">
        <v>1099</v>
      </c>
      <c r="X16" t="s">
        <v>1113</v>
      </c>
      <c r="Y16" t="s">
        <v>1102</v>
      </c>
      <c r="Z16" s="59">
        <v>0.42</v>
      </c>
      <c r="AA16" s="112">
        <f>[1]Data!D9</f>
        <v>0.24299999999999999</v>
      </c>
    </row>
    <row r="17" spans="1:27">
      <c r="A17" t="s">
        <v>1096</v>
      </c>
      <c r="B17" t="s">
        <v>21</v>
      </c>
      <c r="C17" t="s">
        <v>845</v>
      </c>
      <c r="D17" t="s">
        <v>846</v>
      </c>
      <c r="E17" t="s">
        <v>1110</v>
      </c>
      <c r="F17" t="s">
        <v>1111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1099</v>
      </c>
      <c r="N17" t="s">
        <v>1099</v>
      </c>
      <c r="O17" t="s">
        <v>1099</v>
      </c>
      <c r="P17" t="s">
        <v>1099</v>
      </c>
      <c r="Q17" t="s">
        <v>21</v>
      </c>
      <c r="R17" t="s">
        <v>21</v>
      </c>
      <c r="S17" t="s">
        <v>21</v>
      </c>
      <c r="T17" t="s">
        <v>1100</v>
      </c>
      <c r="U17" t="s">
        <v>1115</v>
      </c>
      <c r="V17" t="s">
        <v>1099</v>
      </c>
      <c r="W17" t="s">
        <v>1099</v>
      </c>
      <c r="X17" t="s">
        <v>1113</v>
      </c>
      <c r="Y17" t="s">
        <v>1102</v>
      </c>
      <c r="Z17" s="112">
        <v>0.35799999999999998</v>
      </c>
    </row>
    <row r="18" spans="1:27">
      <c r="A18" t="s">
        <v>1096</v>
      </c>
      <c r="B18" t="s">
        <v>21</v>
      </c>
      <c r="C18" t="s">
        <v>845</v>
      </c>
      <c r="D18" t="s">
        <v>846</v>
      </c>
      <c r="E18" t="s">
        <v>1110</v>
      </c>
      <c r="F18" t="s">
        <v>1111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1099</v>
      </c>
      <c r="N18" t="s">
        <v>1099</v>
      </c>
      <c r="O18" t="s">
        <v>1099</v>
      </c>
      <c r="P18" t="s">
        <v>1099</v>
      </c>
      <c r="Q18" t="s">
        <v>21</v>
      </c>
      <c r="R18" t="s">
        <v>21</v>
      </c>
      <c r="S18" t="s">
        <v>21</v>
      </c>
      <c r="T18" t="s">
        <v>1100</v>
      </c>
      <c r="U18" t="s">
        <v>1116</v>
      </c>
      <c r="V18" t="s">
        <v>1099</v>
      </c>
      <c r="W18" t="s">
        <v>1099</v>
      </c>
      <c r="X18" t="s">
        <v>1113</v>
      </c>
      <c r="Y18" t="s">
        <v>1102</v>
      </c>
      <c r="Z18" s="112">
        <v>0.95</v>
      </c>
    </row>
    <row r="19" spans="1:27">
      <c r="A19" s="113" t="s">
        <v>1096</v>
      </c>
      <c r="B19" s="113" t="s">
        <v>21</v>
      </c>
      <c r="C19" s="113" t="s">
        <v>845</v>
      </c>
      <c r="D19" s="113" t="s">
        <v>846</v>
      </c>
      <c r="E19" s="113" t="s">
        <v>1110</v>
      </c>
      <c r="F19" s="113" t="s">
        <v>1111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1099</v>
      </c>
      <c r="N19" s="113" t="s">
        <v>1099</v>
      </c>
      <c r="O19" s="113" t="s">
        <v>1099</v>
      </c>
      <c r="P19" s="113" t="s">
        <v>1099</v>
      </c>
      <c r="Q19" s="113" t="s">
        <v>21</v>
      </c>
      <c r="R19" s="113" t="s">
        <v>21</v>
      </c>
      <c r="S19" s="113" t="s">
        <v>21</v>
      </c>
      <c r="T19" s="113" t="s">
        <v>1100</v>
      </c>
      <c r="U19" s="113" t="s">
        <v>1117</v>
      </c>
      <c r="V19" s="113" t="s">
        <v>1099</v>
      </c>
      <c r="W19" s="113" t="s">
        <v>1099</v>
      </c>
      <c r="X19" s="113" t="s">
        <v>1113</v>
      </c>
      <c r="Y19" s="113" t="s">
        <v>1102</v>
      </c>
      <c r="Z19" s="114">
        <v>1.8E-3</v>
      </c>
    </row>
    <row r="20" spans="1:27">
      <c r="A20" t="s">
        <v>1096</v>
      </c>
      <c r="B20" t="s">
        <v>21</v>
      </c>
      <c r="C20" t="s">
        <v>843</v>
      </c>
      <c r="D20" t="s">
        <v>844</v>
      </c>
      <c r="E20" t="s">
        <v>1097</v>
      </c>
      <c r="F20" t="s">
        <v>1098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1099</v>
      </c>
      <c r="N20" t="s">
        <v>1099</v>
      </c>
      <c r="O20" t="s">
        <v>1099</v>
      </c>
      <c r="P20" t="s">
        <v>1099</v>
      </c>
      <c r="Q20" t="s">
        <v>21</v>
      </c>
      <c r="R20" t="s">
        <v>21</v>
      </c>
      <c r="S20" t="s">
        <v>21</v>
      </c>
      <c r="T20" t="s">
        <v>1100</v>
      </c>
      <c r="U20" t="s">
        <v>1099</v>
      </c>
      <c r="V20" t="s">
        <v>1099</v>
      </c>
      <c r="W20" s="59" t="s">
        <v>1101</v>
      </c>
      <c r="X20" t="s">
        <v>1099</v>
      </c>
      <c r="Y20" t="s">
        <v>1102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1096</v>
      </c>
      <c r="B21" s="36" t="s">
        <v>21</v>
      </c>
      <c r="C21" s="36" t="s">
        <v>843</v>
      </c>
      <c r="D21" s="36" t="s">
        <v>844</v>
      </c>
      <c r="E21" s="36" t="s">
        <v>1097</v>
      </c>
      <c r="F21" s="36" t="s">
        <v>1098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1099</v>
      </c>
      <c r="N21" s="36" t="s">
        <v>1099</v>
      </c>
      <c r="O21" s="36" t="s">
        <v>1099</v>
      </c>
      <c r="P21" s="36" t="s">
        <v>1099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1099</v>
      </c>
      <c r="V21" s="36" t="s">
        <v>1099</v>
      </c>
      <c r="W21" s="36" t="s">
        <v>1103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1096</v>
      </c>
      <c r="B22" s="36" t="s">
        <v>21</v>
      </c>
      <c r="C22" s="36" t="s">
        <v>843</v>
      </c>
      <c r="D22" s="36" t="s">
        <v>844</v>
      </c>
      <c r="E22" s="36" t="s">
        <v>1097</v>
      </c>
      <c r="F22" s="36" t="s">
        <v>1098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1099</v>
      </c>
      <c r="N22" s="36" t="s">
        <v>1099</v>
      </c>
      <c r="O22" s="36" t="s">
        <v>1099</v>
      </c>
      <c r="P22" s="36" t="s">
        <v>1099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1099</v>
      </c>
      <c r="V22" s="36" t="s">
        <v>1099</v>
      </c>
      <c r="W22" s="36" t="s">
        <v>1103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1096</v>
      </c>
      <c r="B23" t="s">
        <v>21</v>
      </c>
      <c r="C23" t="s">
        <v>843</v>
      </c>
      <c r="D23" t="s">
        <v>844</v>
      </c>
      <c r="E23" t="s">
        <v>927</v>
      </c>
      <c r="F23" t="s">
        <v>1104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1099</v>
      </c>
      <c r="N23" t="s">
        <v>1099</v>
      </c>
      <c r="O23" t="s">
        <v>1099</v>
      </c>
      <c r="P23" t="s">
        <v>1099</v>
      </c>
      <c r="Q23" t="s">
        <v>21</v>
      </c>
      <c r="R23" t="s">
        <v>21</v>
      </c>
      <c r="S23" t="s">
        <v>21</v>
      </c>
      <c r="T23" t="s">
        <v>1105</v>
      </c>
      <c r="U23" t="s">
        <v>1099</v>
      </c>
      <c r="V23" t="s">
        <v>1099</v>
      </c>
      <c r="W23" s="59" t="s">
        <v>1101</v>
      </c>
      <c r="X23" t="s">
        <v>1099</v>
      </c>
      <c r="Y23" t="s">
        <v>1102</v>
      </c>
      <c r="Z23" s="59">
        <v>7.95</v>
      </c>
      <c r="AA23" s="108">
        <f>[1]Production_costs!P25</f>
        <v>5.5536026994096961</v>
      </c>
    </row>
    <row r="24" spans="1:27">
      <c r="A24" s="36" t="s">
        <v>1096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1104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1099</v>
      </c>
      <c r="N24" s="36" t="s">
        <v>1099</v>
      </c>
      <c r="O24" s="36" t="s">
        <v>1099</v>
      </c>
      <c r="P24" s="36" t="s">
        <v>1099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1099</v>
      </c>
      <c r="V24" s="36" t="s">
        <v>1099</v>
      </c>
      <c r="W24" s="36" t="s">
        <v>1103</v>
      </c>
      <c r="X24" s="36" t="s">
        <v>1099</v>
      </c>
      <c r="Y24" s="36" t="s">
        <v>1102</v>
      </c>
      <c r="Z24" s="36"/>
      <c r="AA24" s="109">
        <f>'[1]SET Plan calculation'!G12</f>
        <v>2.7061031935625492</v>
      </c>
    </row>
    <row r="25" spans="1:27">
      <c r="A25" s="36" t="s">
        <v>1096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1104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1099</v>
      </c>
      <c r="N25" s="36" t="s">
        <v>1099</v>
      </c>
      <c r="O25" s="36" t="s">
        <v>1099</v>
      </c>
      <c r="P25" s="36" t="s">
        <v>1099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1099</v>
      </c>
      <c r="V25" s="36" t="s">
        <v>1099</v>
      </c>
      <c r="W25" s="36" t="s">
        <v>1103</v>
      </c>
      <c r="X25" s="36" t="s">
        <v>1099</v>
      </c>
      <c r="Y25" s="36" t="s">
        <v>1102</v>
      </c>
      <c r="Z25" s="36"/>
      <c r="AA25" s="109">
        <f>'[1]SET Plan calculation'!I12</f>
        <v>1.8942722354937844</v>
      </c>
    </row>
    <row r="26" spans="1:27">
      <c r="A26" t="s">
        <v>1096</v>
      </c>
      <c r="B26" t="s">
        <v>21</v>
      </c>
      <c r="C26" t="s">
        <v>843</v>
      </c>
      <c r="D26" t="s">
        <v>844</v>
      </c>
      <c r="E26" t="s">
        <v>1047</v>
      </c>
      <c r="F26" t="s">
        <v>1106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1099</v>
      </c>
      <c r="N26" t="s">
        <v>1099</v>
      </c>
      <c r="O26" t="s">
        <v>1099</v>
      </c>
      <c r="P26" t="s">
        <v>1099</v>
      </c>
      <c r="Q26" t="s">
        <v>21</v>
      </c>
      <c r="R26" t="s">
        <v>21</v>
      </c>
      <c r="S26" t="s">
        <v>21</v>
      </c>
      <c r="T26" t="s">
        <v>1100</v>
      </c>
      <c r="U26" t="s">
        <v>1099</v>
      </c>
      <c r="V26" t="s">
        <v>1099</v>
      </c>
      <c r="W26" s="59" t="s">
        <v>1101</v>
      </c>
      <c r="X26" t="s">
        <v>1099</v>
      </c>
      <c r="Y26" t="s">
        <v>1102</v>
      </c>
      <c r="Z26" s="115">
        <v>0.55212231096643205</v>
      </c>
      <c r="AA26" s="110">
        <f>(Z26/Z23)*AA23</f>
        <v>0.38569408258962223</v>
      </c>
    </row>
    <row r="27" spans="1:27">
      <c r="A27" s="36" t="s">
        <v>1096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1106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1099</v>
      </c>
      <c r="N27" s="36" t="s">
        <v>1099</v>
      </c>
      <c r="O27" s="36" t="s">
        <v>1099</v>
      </c>
      <c r="P27" s="36" t="s">
        <v>1099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1099</v>
      </c>
      <c r="V27" s="36" t="s">
        <v>1099</v>
      </c>
      <c r="W27" s="36" t="s">
        <v>1103</v>
      </c>
      <c r="X27" s="36" t="s">
        <v>1099</v>
      </c>
      <c r="Y27" s="36" t="s">
        <v>1102</v>
      </c>
      <c r="Z27" s="111"/>
      <c r="AA27" s="111">
        <f>'[1]SET Plan calculation'!G13</f>
        <v>0.32612954364247815</v>
      </c>
    </row>
    <row r="28" spans="1:27">
      <c r="A28" s="36" t="s">
        <v>1096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1106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1099</v>
      </c>
      <c r="N28" s="36" t="s">
        <v>1099</v>
      </c>
      <c r="O28" s="36" t="s">
        <v>1099</v>
      </c>
      <c r="P28" s="36" t="s">
        <v>1099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1099</v>
      </c>
      <c r="V28" s="36" t="s">
        <v>1099</v>
      </c>
      <c r="W28" s="36" t="s">
        <v>1103</v>
      </c>
      <c r="X28" s="36" t="s">
        <v>1099</v>
      </c>
      <c r="Y28" s="36" t="s">
        <v>1102</v>
      </c>
      <c r="Z28" s="111"/>
      <c r="AA28" s="111">
        <f>'[1]SET Plan calculation'!I13</f>
        <v>0.22829068054973464</v>
      </c>
    </row>
    <row r="29" spans="1:27">
      <c r="A29" t="s">
        <v>1096</v>
      </c>
      <c r="B29" t="s">
        <v>21</v>
      </c>
      <c r="C29" t="s">
        <v>843</v>
      </c>
      <c r="D29" t="s">
        <v>844</v>
      </c>
      <c r="E29" t="s">
        <v>1107</v>
      </c>
      <c r="F29" t="s">
        <v>1108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1099</v>
      </c>
      <c r="N29" t="s">
        <v>1099</v>
      </c>
      <c r="O29" t="s">
        <v>1099</v>
      </c>
      <c r="P29" t="s">
        <v>1099</v>
      </c>
      <c r="Q29" t="s">
        <v>21</v>
      </c>
      <c r="R29" t="s">
        <v>21</v>
      </c>
      <c r="S29" t="s">
        <v>21</v>
      </c>
      <c r="T29" t="s">
        <v>1099</v>
      </c>
      <c r="U29" t="s">
        <v>1099</v>
      </c>
      <c r="V29" t="s">
        <v>1099</v>
      </c>
      <c r="W29" t="s">
        <v>1099</v>
      </c>
      <c r="X29" t="s">
        <v>1099</v>
      </c>
      <c r="Y29" t="s">
        <v>1102</v>
      </c>
      <c r="Z29" s="112">
        <v>2020</v>
      </c>
    </row>
    <row r="30" spans="1:27">
      <c r="A30" t="s">
        <v>1096</v>
      </c>
      <c r="B30" t="s">
        <v>21</v>
      </c>
      <c r="C30" t="s">
        <v>843</v>
      </c>
      <c r="D30" t="s">
        <v>844</v>
      </c>
      <c r="E30" t="s">
        <v>1063</v>
      </c>
      <c r="F30" t="s">
        <v>1109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1099</v>
      </c>
      <c r="N30" t="s">
        <v>1099</v>
      </c>
      <c r="O30" t="s">
        <v>1099</v>
      </c>
      <c r="P30" t="s">
        <v>1099</v>
      </c>
      <c r="Q30" t="s">
        <v>21</v>
      </c>
      <c r="R30" t="s">
        <v>21</v>
      </c>
      <c r="S30" t="s">
        <v>21</v>
      </c>
      <c r="T30" t="s">
        <v>1100</v>
      </c>
      <c r="U30" t="s">
        <v>1099</v>
      </c>
      <c r="V30" t="s">
        <v>1099</v>
      </c>
      <c r="W30" t="s">
        <v>1099</v>
      </c>
      <c r="X30" t="s">
        <v>1099</v>
      </c>
      <c r="Y30" t="s">
        <v>1102</v>
      </c>
      <c r="Z30" s="112">
        <v>20</v>
      </c>
    </row>
    <row r="31" spans="1:27">
      <c r="A31" t="s">
        <v>1096</v>
      </c>
      <c r="B31" t="s">
        <v>21</v>
      </c>
      <c r="C31" t="s">
        <v>843</v>
      </c>
      <c r="D31" t="s">
        <v>844</v>
      </c>
      <c r="E31" t="s">
        <v>1110</v>
      </c>
      <c r="F31" t="s">
        <v>1111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1099</v>
      </c>
      <c r="N31" t="s">
        <v>1099</v>
      </c>
      <c r="O31" t="s">
        <v>1099</v>
      </c>
      <c r="P31" t="s">
        <v>1099</v>
      </c>
      <c r="Q31" t="s">
        <v>21</v>
      </c>
      <c r="R31" t="s">
        <v>21</v>
      </c>
      <c r="S31" t="s">
        <v>21</v>
      </c>
      <c r="T31" t="s">
        <v>1100</v>
      </c>
      <c r="U31" t="s">
        <v>1112</v>
      </c>
      <c r="V31" t="s">
        <v>1099</v>
      </c>
      <c r="W31" t="s">
        <v>1099</v>
      </c>
      <c r="X31" t="s">
        <v>1113</v>
      </c>
      <c r="Y31" t="s">
        <v>1102</v>
      </c>
      <c r="Z31" s="59">
        <v>5</v>
      </c>
      <c r="AA31" s="116">
        <f>[1]Data!E5</f>
        <v>6.11</v>
      </c>
    </row>
    <row r="32" spans="1:27">
      <c r="A32" t="s">
        <v>1096</v>
      </c>
      <c r="B32" t="s">
        <v>21</v>
      </c>
      <c r="C32" t="s">
        <v>843</v>
      </c>
      <c r="D32" t="s">
        <v>844</v>
      </c>
      <c r="E32" t="s">
        <v>1110</v>
      </c>
      <c r="F32" t="s">
        <v>1111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1099</v>
      </c>
      <c r="N32" t="s">
        <v>1099</v>
      </c>
      <c r="O32" t="s">
        <v>1099</v>
      </c>
      <c r="P32" t="s">
        <v>1099</v>
      </c>
      <c r="Q32" t="s">
        <v>21</v>
      </c>
      <c r="R32" t="s">
        <v>21</v>
      </c>
      <c r="S32" t="s">
        <v>21</v>
      </c>
      <c r="T32" t="s">
        <v>1100</v>
      </c>
      <c r="U32" t="s">
        <v>1118</v>
      </c>
      <c r="V32" t="s">
        <v>1099</v>
      </c>
      <c r="W32" t="s">
        <v>1099</v>
      </c>
      <c r="X32" t="s">
        <v>1113</v>
      </c>
      <c r="Y32" t="s">
        <v>1102</v>
      </c>
      <c r="Z32" s="59">
        <v>9.3000000000000005E-4</v>
      </c>
      <c r="AA32" s="112">
        <v>0</v>
      </c>
    </row>
    <row r="33" spans="1:27">
      <c r="A33" t="s">
        <v>1096</v>
      </c>
      <c r="B33" t="s">
        <v>21</v>
      </c>
      <c r="C33" t="s">
        <v>843</v>
      </c>
      <c r="D33" t="s">
        <v>844</v>
      </c>
      <c r="E33" t="s">
        <v>1110</v>
      </c>
      <c r="F33" t="s">
        <v>1111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1099</v>
      </c>
      <c r="N33" t="s">
        <v>1099</v>
      </c>
      <c r="O33" t="s">
        <v>1099</v>
      </c>
      <c r="P33" t="s">
        <v>1099</v>
      </c>
      <c r="Q33" t="s">
        <v>21</v>
      </c>
      <c r="R33" t="s">
        <v>21</v>
      </c>
      <c r="S33" t="s">
        <v>21</v>
      </c>
      <c r="T33" t="s">
        <v>1100</v>
      </c>
      <c r="U33" t="s">
        <v>1117</v>
      </c>
      <c r="V33" t="s">
        <v>1099</v>
      </c>
      <c r="W33" t="s">
        <v>1099</v>
      </c>
      <c r="X33" t="s">
        <v>1113</v>
      </c>
      <c r="Y33" t="s">
        <v>1102</v>
      </c>
      <c r="Z33" s="59">
        <v>1.8E-3</v>
      </c>
      <c r="AA33" s="110">
        <f>[1]Data!E10</f>
        <v>1.0533429187634795E-2</v>
      </c>
    </row>
    <row r="34" spans="1:27">
      <c r="A34" s="113" t="s">
        <v>1096</v>
      </c>
      <c r="B34" s="113" t="s">
        <v>21</v>
      </c>
      <c r="C34" s="113" t="s">
        <v>843</v>
      </c>
      <c r="D34" s="113" t="s">
        <v>844</v>
      </c>
      <c r="E34" s="113" t="s">
        <v>1110</v>
      </c>
      <c r="F34" s="113" t="s">
        <v>1111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1099</v>
      </c>
      <c r="N34" s="113" t="s">
        <v>1099</v>
      </c>
      <c r="O34" s="113" t="s">
        <v>1099</v>
      </c>
      <c r="P34" s="113" t="s">
        <v>1099</v>
      </c>
      <c r="Q34" s="113" t="s">
        <v>21</v>
      </c>
      <c r="R34" s="113" t="s">
        <v>21</v>
      </c>
      <c r="S34" s="113" t="s">
        <v>21</v>
      </c>
      <c r="T34" s="113" t="s">
        <v>1100</v>
      </c>
      <c r="U34" s="113" t="s">
        <v>1119</v>
      </c>
      <c r="V34" s="113" t="s">
        <v>1099</v>
      </c>
      <c r="W34" s="113" t="s">
        <v>1099</v>
      </c>
      <c r="X34" s="113" t="s">
        <v>1113</v>
      </c>
      <c r="Y34" s="113" t="s">
        <v>1102</v>
      </c>
      <c r="Z34" s="117">
        <v>1.1422399999999999E-2</v>
      </c>
      <c r="AA34" s="112">
        <f>0</f>
        <v>0</v>
      </c>
    </row>
    <row r="35" spans="1:27">
      <c r="A35" t="s">
        <v>1096</v>
      </c>
      <c r="B35" t="s">
        <v>21</v>
      </c>
      <c r="C35" t="s">
        <v>837</v>
      </c>
      <c r="D35" t="s">
        <v>838</v>
      </c>
      <c r="E35" t="s">
        <v>1097</v>
      </c>
      <c r="F35" t="s">
        <v>1098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1099</v>
      </c>
      <c r="N35" t="s">
        <v>1099</v>
      </c>
      <c r="O35" t="s">
        <v>1099</v>
      </c>
      <c r="P35" t="s">
        <v>1099</v>
      </c>
      <c r="Q35" t="s">
        <v>21</v>
      </c>
      <c r="R35" t="s">
        <v>21</v>
      </c>
      <c r="S35" t="s">
        <v>21</v>
      </c>
      <c r="T35" t="s">
        <v>1100</v>
      </c>
      <c r="U35" t="s">
        <v>1099</v>
      </c>
      <c r="V35" t="s">
        <v>1099</v>
      </c>
      <c r="W35" t="s">
        <v>1101</v>
      </c>
      <c r="X35" t="s">
        <v>1099</v>
      </c>
      <c r="Y35" t="s">
        <v>1102</v>
      </c>
      <c r="Z35" s="112">
        <v>2.3992911185331599E-3</v>
      </c>
    </row>
    <row r="36" spans="1:27">
      <c r="A36" t="s">
        <v>1096</v>
      </c>
      <c r="B36" t="s">
        <v>21</v>
      </c>
      <c r="C36" t="s">
        <v>837</v>
      </c>
      <c r="D36" t="s">
        <v>838</v>
      </c>
      <c r="E36" t="s">
        <v>927</v>
      </c>
      <c r="F36" t="s">
        <v>1104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1099</v>
      </c>
      <c r="N36" t="s">
        <v>1099</v>
      </c>
      <c r="O36" t="s">
        <v>1099</v>
      </c>
      <c r="P36" t="s">
        <v>1099</v>
      </c>
      <c r="Q36" t="s">
        <v>21</v>
      </c>
      <c r="R36" t="s">
        <v>21</v>
      </c>
      <c r="S36" t="s">
        <v>21</v>
      </c>
      <c r="T36" t="s">
        <v>1120</v>
      </c>
      <c r="U36" t="s">
        <v>1099</v>
      </c>
      <c r="V36" t="s">
        <v>1099</v>
      </c>
      <c r="W36" s="59" t="s">
        <v>1101</v>
      </c>
      <c r="X36" t="s">
        <v>1099</v>
      </c>
      <c r="Y36" t="s">
        <v>1102</v>
      </c>
      <c r="Z36" s="59">
        <v>0.25628791493422398</v>
      </c>
      <c r="AA36" s="108">
        <f>[1]Data!F12</f>
        <v>0.62692608764664515</v>
      </c>
    </row>
    <row r="37" spans="1:27">
      <c r="A37" t="s">
        <v>1096</v>
      </c>
      <c r="B37" t="s">
        <v>21</v>
      </c>
      <c r="C37" t="s">
        <v>837</v>
      </c>
      <c r="D37" t="s">
        <v>838</v>
      </c>
      <c r="E37" t="s">
        <v>927</v>
      </c>
      <c r="F37" t="s">
        <v>1104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1099</v>
      </c>
      <c r="N37" t="s">
        <v>1099</v>
      </c>
      <c r="O37" t="s">
        <v>1099</v>
      </c>
      <c r="P37" t="s">
        <v>1099</v>
      </c>
      <c r="Q37" t="s">
        <v>21</v>
      </c>
      <c r="R37" t="s">
        <v>21</v>
      </c>
      <c r="S37" t="s">
        <v>21</v>
      </c>
      <c r="T37" t="s">
        <v>1121</v>
      </c>
      <c r="U37" t="s">
        <v>1099</v>
      </c>
      <c r="V37" t="s">
        <v>1099</v>
      </c>
      <c r="W37" s="59" t="s">
        <v>1101</v>
      </c>
      <c r="X37" t="s">
        <v>1099</v>
      </c>
      <c r="Y37" t="s">
        <v>1102</v>
      </c>
      <c r="Z37" s="59">
        <v>0.24603639833685501</v>
      </c>
      <c r="AA37" s="108">
        <f>AA36</f>
        <v>0.62692608764664515</v>
      </c>
    </row>
    <row r="38" spans="1:27">
      <c r="A38" t="s">
        <v>1096</v>
      </c>
      <c r="B38" t="s">
        <v>21</v>
      </c>
      <c r="C38" t="s">
        <v>837</v>
      </c>
      <c r="D38" t="s">
        <v>838</v>
      </c>
      <c r="E38" t="s">
        <v>927</v>
      </c>
      <c r="F38" t="s">
        <v>1104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1099</v>
      </c>
      <c r="N38" t="s">
        <v>1099</v>
      </c>
      <c r="O38" t="s">
        <v>1099</v>
      </c>
      <c r="P38" t="s">
        <v>1099</v>
      </c>
      <c r="Q38" t="s">
        <v>21</v>
      </c>
      <c r="R38" t="s">
        <v>21</v>
      </c>
      <c r="S38" t="s">
        <v>21</v>
      </c>
      <c r="T38" t="s">
        <v>1122</v>
      </c>
      <c r="U38" t="s">
        <v>1099</v>
      </c>
      <c r="V38" t="s">
        <v>1099</v>
      </c>
      <c r="W38" s="59" t="s">
        <v>1101</v>
      </c>
      <c r="X38" t="s">
        <v>1099</v>
      </c>
      <c r="Y38" t="s">
        <v>1102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1096</v>
      </c>
      <c r="B39" t="s">
        <v>21</v>
      </c>
      <c r="C39" t="s">
        <v>837</v>
      </c>
      <c r="D39" t="s">
        <v>838</v>
      </c>
      <c r="E39" t="s">
        <v>927</v>
      </c>
      <c r="F39" t="s">
        <v>1104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1099</v>
      </c>
      <c r="N39" t="s">
        <v>1099</v>
      </c>
      <c r="O39" t="s">
        <v>1099</v>
      </c>
      <c r="P39" t="s">
        <v>1099</v>
      </c>
      <c r="Q39" t="s">
        <v>21</v>
      </c>
      <c r="R39" t="s">
        <v>21</v>
      </c>
      <c r="S39" t="s">
        <v>21</v>
      </c>
      <c r="T39" t="s">
        <v>1123</v>
      </c>
      <c r="U39" t="s">
        <v>1099</v>
      </c>
      <c r="V39" t="s">
        <v>1099</v>
      </c>
      <c r="W39" s="59" t="s">
        <v>1101</v>
      </c>
      <c r="X39" t="s">
        <v>1099</v>
      </c>
      <c r="Y39" t="s">
        <v>1102</v>
      </c>
      <c r="Z39" s="59">
        <v>0.18452729875264101</v>
      </c>
      <c r="AA39" s="108">
        <f t="shared" si="0"/>
        <v>0.62692608764664515</v>
      </c>
    </row>
    <row r="40" spans="1:27">
      <c r="A40" t="s">
        <v>1096</v>
      </c>
      <c r="B40" t="s">
        <v>21</v>
      </c>
      <c r="C40" t="s">
        <v>837</v>
      </c>
      <c r="D40" t="s">
        <v>838</v>
      </c>
      <c r="E40" t="s">
        <v>1047</v>
      </c>
      <c r="F40" t="s">
        <v>1106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1099</v>
      </c>
      <c r="N40" t="s">
        <v>1099</v>
      </c>
      <c r="O40" t="s">
        <v>1099</v>
      </c>
      <c r="P40" t="s">
        <v>1099</v>
      </c>
      <c r="Q40" t="s">
        <v>21</v>
      </c>
      <c r="R40" t="s">
        <v>21</v>
      </c>
      <c r="S40" t="s">
        <v>21</v>
      </c>
      <c r="T40" t="s">
        <v>1100</v>
      </c>
      <c r="U40" t="s">
        <v>1099</v>
      </c>
      <c r="V40" t="s">
        <v>1099</v>
      </c>
      <c r="W40" s="59" t="s">
        <v>1101</v>
      </c>
      <c r="X40" t="s">
        <v>1099</v>
      </c>
      <c r="Y40" t="s">
        <v>1102</v>
      </c>
      <c r="Z40" s="59">
        <v>5.3561870356485602E-2</v>
      </c>
      <c r="AA40" s="108">
        <f>[1]Data!F13</f>
        <v>1.8807782629399354E-2</v>
      </c>
    </row>
    <row r="41" spans="1:27">
      <c r="A41" t="s">
        <v>1096</v>
      </c>
      <c r="B41" t="s">
        <v>21</v>
      </c>
      <c r="C41" t="s">
        <v>837</v>
      </c>
      <c r="D41" t="s">
        <v>838</v>
      </c>
      <c r="E41" t="s">
        <v>1107</v>
      </c>
      <c r="F41" t="s">
        <v>1108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1099</v>
      </c>
      <c r="N41" t="s">
        <v>1099</v>
      </c>
      <c r="O41" t="s">
        <v>1099</v>
      </c>
      <c r="P41" t="s">
        <v>1099</v>
      </c>
      <c r="Q41" t="s">
        <v>21</v>
      </c>
      <c r="R41" t="s">
        <v>21</v>
      </c>
      <c r="S41" t="s">
        <v>21</v>
      </c>
      <c r="T41" t="s">
        <v>1099</v>
      </c>
      <c r="U41" t="s">
        <v>1099</v>
      </c>
      <c r="V41" t="s">
        <v>1099</v>
      </c>
      <c r="W41" t="s">
        <v>1099</v>
      </c>
      <c r="X41" t="s">
        <v>1099</v>
      </c>
      <c r="Y41" t="s">
        <v>1102</v>
      </c>
      <c r="Z41" s="112">
        <v>2015</v>
      </c>
    </row>
    <row r="42" spans="1:27">
      <c r="A42" t="s">
        <v>1096</v>
      </c>
      <c r="B42" t="s">
        <v>21</v>
      </c>
      <c r="C42" t="s">
        <v>837</v>
      </c>
      <c r="D42" t="s">
        <v>838</v>
      </c>
      <c r="E42" t="s">
        <v>1063</v>
      </c>
      <c r="F42" t="s">
        <v>1109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1099</v>
      </c>
      <c r="N42" t="s">
        <v>1099</v>
      </c>
      <c r="O42" t="s">
        <v>1099</v>
      </c>
      <c r="P42" t="s">
        <v>1099</v>
      </c>
      <c r="Q42" t="s">
        <v>21</v>
      </c>
      <c r="R42" t="s">
        <v>21</v>
      </c>
      <c r="S42" t="s">
        <v>21</v>
      </c>
      <c r="T42" t="s">
        <v>1100</v>
      </c>
      <c r="U42" t="s">
        <v>1099</v>
      </c>
      <c r="V42" t="s">
        <v>1099</v>
      </c>
      <c r="W42" t="s">
        <v>1099</v>
      </c>
      <c r="X42" t="s">
        <v>1099</v>
      </c>
      <c r="Y42" t="s">
        <v>1102</v>
      </c>
      <c r="Z42" s="112">
        <v>20</v>
      </c>
    </row>
    <row r="43" spans="1:27">
      <c r="A43" t="s">
        <v>1096</v>
      </c>
      <c r="B43" t="s">
        <v>21</v>
      </c>
      <c r="C43" t="s">
        <v>837</v>
      </c>
      <c r="D43" t="s">
        <v>838</v>
      </c>
      <c r="E43" t="s">
        <v>1110</v>
      </c>
      <c r="F43" t="s">
        <v>1111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1099</v>
      </c>
      <c r="N43" t="s">
        <v>1099</v>
      </c>
      <c r="O43" t="s">
        <v>1099</v>
      </c>
      <c r="P43" t="s">
        <v>1099</v>
      </c>
      <c r="Q43" t="s">
        <v>21</v>
      </c>
      <c r="R43" t="s">
        <v>21</v>
      </c>
      <c r="S43" t="s">
        <v>21</v>
      </c>
      <c r="T43" t="s">
        <v>1100</v>
      </c>
      <c r="U43" t="s">
        <v>1124</v>
      </c>
      <c r="V43" t="s">
        <v>1099</v>
      </c>
      <c r="W43" t="s">
        <v>1099</v>
      </c>
      <c r="X43" t="s">
        <v>1113</v>
      </c>
      <c r="Y43" t="s">
        <v>1102</v>
      </c>
      <c r="Z43" s="59">
        <v>1.1587485515643099</v>
      </c>
      <c r="AA43" s="108">
        <f>[1]Data!F5</f>
        <v>1.2175541878512128</v>
      </c>
    </row>
    <row r="44" spans="1:27">
      <c r="A44" t="s">
        <v>1096</v>
      </c>
      <c r="B44" t="s">
        <v>21</v>
      </c>
      <c r="C44" t="s">
        <v>837</v>
      </c>
      <c r="D44" t="s">
        <v>838</v>
      </c>
      <c r="E44" t="s">
        <v>1110</v>
      </c>
      <c r="F44" t="s">
        <v>1111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1099</v>
      </c>
      <c r="N44" t="s">
        <v>1099</v>
      </c>
      <c r="O44" t="s">
        <v>1099</v>
      </c>
      <c r="P44" t="s">
        <v>1099</v>
      </c>
      <c r="Q44" t="s">
        <v>21</v>
      </c>
      <c r="R44" t="s">
        <v>21</v>
      </c>
      <c r="S44" t="s">
        <v>21</v>
      </c>
      <c r="T44" t="s">
        <v>1100</v>
      </c>
      <c r="U44" t="s">
        <v>1125</v>
      </c>
      <c r="V44" t="s">
        <v>1099</v>
      </c>
      <c r="W44" t="s">
        <v>1099</v>
      </c>
      <c r="X44" t="s">
        <v>1113</v>
      </c>
      <c r="Y44" t="s">
        <v>1102</v>
      </c>
      <c r="Z44" s="112">
        <v>2.4000000000000001E-4</v>
      </c>
    </row>
    <row r="45" spans="1:27">
      <c r="A45" t="s">
        <v>1096</v>
      </c>
      <c r="B45" t="s">
        <v>21</v>
      </c>
      <c r="C45" t="s">
        <v>837</v>
      </c>
      <c r="D45" t="s">
        <v>838</v>
      </c>
      <c r="E45" t="s">
        <v>1110</v>
      </c>
      <c r="F45" t="s">
        <v>1111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1099</v>
      </c>
      <c r="N45" t="s">
        <v>1099</v>
      </c>
      <c r="O45" t="s">
        <v>1099</v>
      </c>
      <c r="P45" t="s">
        <v>1099</v>
      </c>
      <c r="Q45" t="s">
        <v>21</v>
      </c>
      <c r="R45" t="s">
        <v>21</v>
      </c>
      <c r="S45" t="s">
        <v>21</v>
      </c>
      <c r="T45" t="s">
        <v>1100</v>
      </c>
      <c r="U45" t="s">
        <v>1126</v>
      </c>
      <c r="V45" t="s">
        <v>1099</v>
      </c>
      <c r="W45" t="s">
        <v>1099</v>
      </c>
      <c r="X45" t="s">
        <v>1113</v>
      </c>
      <c r="Y45" t="s">
        <v>1102</v>
      </c>
      <c r="Z45" s="118">
        <v>5.0639999999999999E-3</v>
      </c>
      <c r="AA45" s="106">
        <f>[1]Data!F8</f>
        <v>3.7312000000000001E-3</v>
      </c>
    </row>
    <row r="46" spans="1:27">
      <c r="A46" t="s">
        <v>1096</v>
      </c>
      <c r="B46" t="s">
        <v>21</v>
      </c>
      <c r="C46" t="s">
        <v>837</v>
      </c>
      <c r="D46" t="s">
        <v>838</v>
      </c>
      <c r="E46" t="s">
        <v>1110</v>
      </c>
      <c r="F46" t="s">
        <v>1111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1099</v>
      </c>
      <c r="N46" t="s">
        <v>1099</v>
      </c>
      <c r="O46" t="s">
        <v>1099</v>
      </c>
      <c r="P46" t="s">
        <v>1099</v>
      </c>
      <c r="Q46" t="s">
        <v>21</v>
      </c>
      <c r="R46" t="s">
        <v>21</v>
      </c>
      <c r="S46" t="s">
        <v>21</v>
      </c>
      <c r="T46" t="s">
        <v>1100</v>
      </c>
      <c r="U46" t="s">
        <v>1127</v>
      </c>
      <c r="V46" t="s">
        <v>1099</v>
      </c>
      <c r="W46" t="s">
        <v>1099</v>
      </c>
      <c r="X46" t="s">
        <v>1113</v>
      </c>
      <c r="Y46" t="s">
        <v>1102</v>
      </c>
      <c r="Z46" s="59">
        <v>5.9716347350087101E-3</v>
      </c>
      <c r="AA46" s="112">
        <v>0</v>
      </c>
    </row>
    <row r="47" spans="1:27">
      <c r="A47" t="s">
        <v>1096</v>
      </c>
      <c r="B47" t="s">
        <v>21</v>
      </c>
      <c r="C47" t="s">
        <v>837</v>
      </c>
      <c r="D47" t="s">
        <v>838</v>
      </c>
      <c r="E47" t="s">
        <v>1110</v>
      </c>
      <c r="F47" t="s">
        <v>1111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1099</v>
      </c>
      <c r="N47" t="s">
        <v>1099</v>
      </c>
      <c r="O47" t="s">
        <v>1099</v>
      </c>
      <c r="P47" t="s">
        <v>1099</v>
      </c>
      <c r="Q47" t="s">
        <v>21</v>
      </c>
      <c r="R47" t="s">
        <v>21</v>
      </c>
      <c r="S47" t="s">
        <v>21</v>
      </c>
      <c r="T47" t="s">
        <v>1100</v>
      </c>
      <c r="U47" t="s">
        <v>1128</v>
      </c>
      <c r="V47" t="s">
        <v>1099</v>
      </c>
      <c r="W47" t="s">
        <v>1099</v>
      </c>
      <c r="X47" t="s">
        <v>1113</v>
      </c>
      <c r="Y47" t="s">
        <v>1102</v>
      </c>
      <c r="Z47" s="59">
        <v>2.2392000000000001E-4</v>
      </c>
      <c r="AA47" s="112">
        <f>[1]Data!F10</f>
        <v>7.0400000000000004E-5</v>
      </c>
    </row>
    <row r="48" spans="1:27">
      <c r="A48" t="s">
        <v>1096</v>
      </c>
      <c r="B48" t="s">
        <v>21</v>
      </c>
      <c r="C48" t="s">
        <v>837</v>
      </c>
      <c r="D48" t="s">
        <v>838</v>
      </c>
      <c r="E48" t="s">
        <v>1110</v>
      </c>
      <c r="F48" t="s">
        <v>1111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1099</v>
      </c>
      <c r="N48" t="s">
        <v>1099</v>
      </c>
      <c r="O48" t="s">
        <v>1099</v>
      </c>
      <c r="P48" t="s">
        <v>1099</v>
      </c>
      <c r="Q48" t="s">
        <v>21</v>
      </c>
      <c r="R48" t="s">
        <v>21</v>
      </c>
      <c r="S48" t="s">
        <v>21</v>
      </c>
      <c r="T48" t="s">
        <v>1100</v>
      </c>
      <c r="U48" t="s">
        <v>1129</v>
      </c>
      <c r="V48" t="s">
        <v>1099</v>
      </c>
      <c r="W48" t="s">
        <v>1099</v>
      </c>
      <c r="X48" t="s">
        <v>1113</v>
      </c>
      <c r="Y48" t="s">
        <v>1102</v>
      </c>
      <c r="Z48" s="59">
        <v>5.0399999999999999E-5</v>
      </c>
      <c r="AA48" s="112">
        <f>[1]Data!F11</f>
        <v>3.4760000000000005E-4</v>
      </c>
    </row>
    <row r="49" spans="1:27">
      <c r="A49" s="113" t="s">
        <v>1096</v>
      </c>
      <c r="B49" s="113" t="s">
        <v>21</v>
      </c>
      <c r="C49" s="113" t="s">
        <v>837</v>
      </c>
      <c r="D49" s="113" t="s">
        <v>838</v>
      </c>
      <c r="E49" s="113" t="s">
        <v>1110</v>
      </c>
      <c r="F49" s="113" t="s">
        <v>1111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1099</v>
      </c>
      <c r="N49" s="113" t="s">
        <v>1099</v>
      </c>
      <c r="O49" s="113" t="s">
        <v>1099</v>
      </c>
      <c r="P49" s="113" t="s">
        <v>1099</v>
      </c>
      <c r="Q49" s="113" t="s">
        <v>21</v>
      </c>
      <c r="R49" s="113" t="s">
        <v>21</v>
      </c>
      <c r="S49" s="113" t="s">
        <v>21</v>
      </c>
      <c r="T49" s="113" t="s">
        <v>1100</v>
      </c>
      <c r="U49" s="113" t="s">
        <v>1130</v>
      </c>
      <c r="V49" s="113" t="s">
        <v>1099</v>
      </c>
      <c r="W49" s="113" t="s">
        <v>1099</v>
      </c>
      <c r="X49" s="113" t="s">
        <v>1113</v>
      </c>
      <c r="Y49" s="113" t="s">
        <v>1102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46" zoomScale="85" zoomScaleNormal="85" workbookViewId="0">
      <selection activeCell="AF66" sqref="AF66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1198</v>
      </c>
      <c r="C5" s="8" t="s">
        <v>966</v>
      </c>
      <c r="D5" s="121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1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1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2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1198</v>
      </c>
      <c r="C10" s="8" t="s">
        <v>970</v>
      </c>
      <c r="D10" s="121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1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1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2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1198</v>
      </c>
      <c r="C15" s="8" t="s">
        <v>973</v>
      </c>
      <c r="D15" s="121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1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1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2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1199</v>
      </c>
      <c r="C20" s="8" t="s">
        <v>966</v>
      </c>
      <c r="D20" s="121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1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1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2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1199</v>
      </c>
      <c r="C25" s="8" t="s">
        <v>970</v>
      </c>
      <c r="D25" s="121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1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1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2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1199</v>
      </c>
      <c r="C30" s="8" t="s">
        <v>973</v>
      </c>
      <c r="D30" s="121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1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1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2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1200</v>
      </c>
      <c r="C35" s="8" t="s">
        <v>966</v>
      </c>
      <c r="D35" s="121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1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1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2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1200</v>
      </c>
      <c r="C40" s="8" t="s">
        <v>970</v>
      </c>
      <c r="D40" s="121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1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1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2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1200</v>
      </c>
      <c r="C45" s="8" t="s">
        <v>973</v>
      </c>
      <c r="D45" s="121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1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1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2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1201</v>
      </c>
      <c r="C50" s="8" t="s">
        <v>966</v>
      </c>
      <c r="D50" s="121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1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1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2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1201</v>
      </c>
      <c r="C55" s="8" t="s">
        <v>970</v>
      </c>
      <c r="D55" s="121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1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1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2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1201</v>
      </c>
      <c r="C60" s="8" t="s">
        <v>973</v>
      </c>
      <c r="D60" s="121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1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1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2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58" workbookViewId="0">
      <selection activeCell="E67" sqref="E67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1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1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1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2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1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1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1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2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1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1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1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2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1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1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1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2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1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1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1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2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1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1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1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2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1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1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1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2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1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1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1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2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1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1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1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2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1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1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1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2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1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1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1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2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1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1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1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2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1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1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1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2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1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1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1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2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1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1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1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2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1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1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1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2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1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1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1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2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1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1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1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2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1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1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1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2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1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1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1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2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1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1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1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2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1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1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1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2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1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1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1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2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1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1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1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2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1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1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1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2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1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1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1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2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1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1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1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2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61" workbookViewId="0">
      <selection activeCell="G112" sqref="G112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1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1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1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2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1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1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1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2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1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1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1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2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1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1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1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2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1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1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1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2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1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1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1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2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1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1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1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2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1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1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1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2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1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1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1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2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1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1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1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2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1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1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1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2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1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1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1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2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1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1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1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2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1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1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1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2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1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1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1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2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1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1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1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2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1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1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1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2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1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1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1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2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1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1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1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2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1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1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1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2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1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1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1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2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1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1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1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2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1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1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1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2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1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1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1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2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1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1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1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2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1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1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1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2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1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1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1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2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19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1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1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1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2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1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1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1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2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1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1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1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2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2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1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1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1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2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2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1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1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1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2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2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1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1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1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2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2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1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1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1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2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1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1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1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2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1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1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1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2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5" t="s">
        <v>1057</v>
      </c>
      <c r="D12" s="125"/>
      <c r="E12" s="125"/>
      <c r="F12" s="125"/>
      <c r="G12" s="125"/>
      <c r="H12" s="125"/>
      <c r="I12" s="125"/>
      <c r="N12" s="125" t="s">
        <v>1058</v>
      </c>
      <c r="O12" s="125"/>
      <c r="P12" s="125"/>
      <c r="Q12" s="125"/>
      <c r="R12" s="125"/>
      <c r="S12" s="125"/>
      <c r="T12" s="125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1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1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1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2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1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1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1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2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1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1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1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2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1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1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1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2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1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1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1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2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1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1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1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2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1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1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1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2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1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1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1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2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1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1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1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2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L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1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1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1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1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2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1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1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1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2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1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1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1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2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1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1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1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2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1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1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1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2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1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1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1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2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1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1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1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2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1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1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1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2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1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1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1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2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1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1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1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2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1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1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1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2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1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1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1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2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1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1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1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2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1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1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1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2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1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1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1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2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1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1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1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2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1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1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1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2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1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1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1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2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D90:D92"/>
    <mergeCell ref="P90:P92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C7053A-D012-463D-A5B6-5D3D404DD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A9B4B2-9722-4392-8BD8-DD6F24AA7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5B7C01-D352-4588-B78B-35B340A080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462734401226043</vt:r8>
  </property>
  <property fmtid="{D5CDD505-2E9C-101B-9397-08002B2CF9AE}" pid="3" name="ContentTypeId">
    <vt:lpwstr>0x01010074EFC6228ED6F043ACDD38E315A3264B</vt:lpwstr>
  </property>
</Properties>
</file>