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AFABFBA3-2E5B-48B5-A25B-374F47B827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J7" i="2"/>
  <c r="K7" i="2"/>
  <c r="L7" i="2"/>
  <c r="J3" i="2" s="1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H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<sst xmlns="http://schemas.openxmlformats.org/spreadsheetml/2006/main" count="85" uniqueCount="51">
  <si>
    <t>Year</t>
  </si>
  <si>
    <t>Pset_PN</t>
  </si>
  <si>
    <t>Attribute</t>
  </si>
  <si>
    <t>LimType</t>
  </si>
  <si>
    <t>~TFM_INS</t>
  </si>
  <si>
    <t>Trans - Insert</t>
  </si>
  <si>
    <t>Cset_CN</t>
  </si>
  <si>
    <t>Table Name: T_251020_214010</t>
  </si>
  <si>
    <t xml:space="preserve">Active Unit:  </t>
  </si>
  <si>
    <t>Period</t>
  </si>
  <si>
    <t>Scenario</t>
  </si>
  <si>
    <t>02_Zero_Carbon</t>
  </si>
  <si>
    <t>Attribute\Region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</si>
  <si>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</si>
  <si>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</si>
  <si>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</si>
  <si>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</si>
  <si>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</si>
  <si>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</si>
  <si>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</si>
  <si>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</si>
  <si>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</si>
  <si>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</si>
  <si>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</si>
  <si>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</si>
  <si>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</si>
  <si>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</si>
  <si>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</si>
  <si>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</si>
  <si>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</si>
  <si>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</si>
  <si>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</si>
  <si>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</si>
  <si>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</si>
  <si>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</si>
  <si>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</si>
  <si>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</si>
  <si>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</si>
  <si>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</si>
  <si>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</si>
  <si>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</si>
  <si>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</si>
  <si>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</si>
  <si>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</si>
  <si>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VAR_Comnet</t>
  </si>
  <si>
    <t>'2010</t>
  </si>
  <si>
    <t>FLO_BND</t>
  </si>
  <si>
    <t>SNK_DAC*,STORAGE*</t>
  </si>
  <si>
    <t>TOTAL</t>
  </si>
  <si>
    <t>Top_Check</t>
  </si>
  <si>
    <t>SNKCO2N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</si>
</sst>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-#,##0_ ;_ * &quot;-&quot;_ ;_ @_ "/>
    <numFmt numFmtId="165" formatCode="_ * #,##0.00_ ;_ * \-#,##0.00_ ;_ * &quot;-&quot;??_ ;_ @_ "/>
    <numFmt numFmtId="166" formatCode="_(* #,##0.00_);_(* \(#,##0.00\);_(* &quot;-&quot;??_);_(@_)"/>
    <numFmt numFmtId="167" formatCode="_-* #,##0.00\ _€_-;\-* #,##0.00\ _€_-;_-* &quot;-&quot;??\ _€_-;_-@_-"/>
    <numFmt numFmtId="168" formatCode="_([$€]* #,##0.00_);_([$€]* \(#,##0.00\);_([$€]* &quot;-&quot;??_);_(@_)"/>
    <numFmt numFmtId="169" formatCode="_ &quot;kr&quot;\ * #,##0_ ;_ &quot;kr&quot;\ * \-#,##0_ ;_ &quot;kr&quot;\ * &quot;-&quot;_ ;_ @_ "/>
    <numFmt numFmtId="170" formatCode="_ &quot;kr&quot;\ * #,##0.00_ ;_ &quot;kr&quot;\ * \-#,##0.00_ ;_ &quot;kr&quot;\ * &quot;-&quot;??_ ;_ @_ "/>
    <numFmt numFmtId="171" formatCode="#,##0.0000"/>
  </numFmts>
  <fonts count="3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5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30" fillId="20" borderId="0" applyBorder="0" applyAlignment="0"/>
    <xf numFmtId="4" fontId="30" fillId="20" borderId="0" applyBorder="0" applyAlignment="0"/>
    <xf numFmtId="0" fontId="28" fillId="20" borderId="0" applyBorder="0">
      <alignment horizontal="right" vertical="center"/>
    </xf>
    <xf numFmtId="4" fontId="28" fillId="20" borderId="0" applyBorder="0">
      <alignment horizontal="right" vertical="center"/>
    </xf>
    <xf numFmtId="0" fontId="28" fillId="20" borderId="1">
      <alignment horizontal="right" vertical="center"/>
    </xf>
    <xf numFmtId="4" fontId="28" fillId="21" borderId="0" applyBorder="0">
      <alignment horizontal="right" vertical="center"/>
    </xf>
    <xf numFmtId="4" fontId="28" fillId="21" borderId="0" applyBorder="0">
      <alignment horizontal="right" vertical="center"/>
    </xf>
    <xf numFmtId="0" fontId="29" fillId="21" borderId="1">
      <alignment horizontal="right" vertical="center"/>
    </xf>
    <xf numFmtId="4" fontId="29" fillId="21" borderId="1">
      <alignment horizontal="right" vertical="center"/>
    </xf>
    <xf numFmtId="0" fontId="29" fillId="21" borderId="2">
      <alignment horizontal="right" vertical="center"/>
    </xf>
    <xf numFmtId="0" fontId="31" fillId="21" borderId="1">
      <alignment horizontal="right" vertical="center"/>
    </xf>
    <xf numFmtId="4" fontId="31" fillId="21" borderId="1">
      <alignment horizontal="right" vertical="center"/>
    </xf>
    <xf numFmtId="0" fontId="29" fillId="22" borderId="1">
      <alignment horizontal="right" vertical="center"/>
    </xf>
    <xf numFmtId="4" fontId="29" fillId="22" borderId="1">
      <alignment horizontal="right" vertical="center"/>
    </xf>
    <xf numFmtId="0" fontId="29" fillId="22" borderId="2">
      <alignment horizontal="right" vertical="center"/>
    </xf>
    <xf numFmtId="0" fontId="29" fillId="22" borderId="1">
      <alignment horizontal="right" vertical="center"/>
    </xf>
    <xf numFmtId="4" fontId="29" fillId="22" borderId="1">
      <alignment horizontal="right" vertical="center"/>
    </xf>
    <xf numFmtId="0" fontId="29" fillId="22" borderId="3">
      <alignment horizontal="right" vertical="center"/>
    </xf>
    <xf numFmtId="0" fontId="29" fillId="22" borderId="4">
      <alignment horizontal="right" vertical="center"/>
    </xf>
    <xf numFmtId="4" fontId="29" fillId="22" borderId="4">
      <alignment horizontal="right" vertical="center"/>
    </xf>
    <xf numFmtId="0" fontId="29" fillId="22" borderId="5">
      <alignment horizontal="right" vertical="center"/>
    </xf>
    <xf numFmtId="4" fontId="29" fillId="22" borderId="5">
      <alignment horizontal="right" vertical="center"/>
    </xf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4" fontId="30" fillId="0" borderId="6" applyFill="0" applyBorder="0" applyProtection="0">
      <alignment horizontal="right" vertical="center"/>
    </xf>
    <xf numFmtId="0" fontId="8" fillId="23" borderId="7" applyNumberFormat="0" applyAlignment="0" applyProtection="0"/>
    <xf numFmtId="0" fontId="8" fillId="23" borderId="7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9" fillId="0" borderId="0" applyNumberFormat="0">
      <alignment horizontal="right"/>
    </xf>
    <xf numFmtId="0" fontId="28" fillId="22" borderId="9">
      <alignment horizontal="left" vertical="center" wrapText="1" indent="2"/>
    </xf>
    <xf numFmtId="0" fontId="28" fillId="0" borderId="9">
      <alignment horizontal="left" vertical="center" wrapText="1" indent="2"/>
    </xf>
    <xf numFmtId="0" fontId="28" fillId="21" borderId="4">
      <alignment horizontal="left" vertical="center"/>
    </xf>
    <xf numFmtId="0" fontId="29" fillId="0" borderId="10">
      <alignment horizontal="left" vertical="top" wrapText="1"/>
    </xf>
    <xf numFmtId="0" fontId="3" fillId="0" borderId="11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12" applyNumberFormat="0" applyFill="0" applyAlignment="0" applyProtection="0"/>
    <xf numFmtId="0" fontId="12" fillId="0" borderId="12" applyNumberFormat="0" applyFill="0" applyAlignment="0" applyProtection="0"/>
    <xf numFmtId="0" fontId="13" fillId="0" borderId="13" applyNumberFormat="0" applyFill="0" applyAlignment="0" applyProtection="0"/>
    <xf numFmtId="0" fontId="13" fillId="0" borderId="13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5" fillId="7" borderId="7" applyNumberFormat="0" applyAlignment="0" applyProtection="0"/>
    <xf numFmtId="0" fontId="15" fillId="7" borderId="7" applyNumberFormat="0" applyAlignment="0" applyProtection="0"/>
    <xf numFmtId="4" fontId="28" fillId="0" borderId="0" applyBorder="0">
      <alignment horizontal="right" vertical="center"/>
    </xf>
    <xf numFmtId="0" fontId="28" fillId="0" borderId="1">
      <alignment horizontal="right" vertical="center"/>
    </xf>
    <xf numFmtId="4" fontId="28" fillId="0" borderId="1">
      <alignment horizontal="right" vertical="center"/>
    </xf>
    <xf numFmtId="0" fontId="28" fillId="0" borderId="2">
      <alignment horizontal="right" vertical="center"/>
    </xf>
    <xf numFmtId="1" fontId="32" fillId="21" borderId="0" applyBorder="0">
      <alignment horizontal="right" vertical="center"/>
    </xf>
    <xf numFmtId="0" fontId="3" fillId="25" borderId="1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3" fillId="0" borderId="0"/>
    <xf numFmtId="0" fontId="35" fillId="0" borderId="0"/>
    <xf numFmtId="0" fontId="2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4" fontId="28" fillId="0" borderId="0" applyFill="0" applyBorder="0" applyProtection="0">
      <alignment horizontal="right" vertical="center"/>
    </xf>
    <xf numFmtId="0" fontId="30" fillId="0" borderId="0" applyNumberFormat="0" applyFill="0" applyBorder="0" applyProtection="0">
      <alignment horizontal="left" vertical="center"/>
    </xf>
    <xf numFmtId="0" fontId="28" fillId="0" borderId="1" applyNumberFormat="0" applyFill="0" applyAlignment="0" applyProtection="0"/>
    <xf numFmtId="0" fontId="3" fillId="27" borderId="0" applyNumberFormat="0" applyFont="0" applyBorder="0" applyAlignment="0" applyProtection="0"/>
    <xf numFmtId="4" fontId="3" fillId="27" borderId="0" applyNumberFormat="0" applyFont="0" applyBorder="0" applyAlignment="0" applyProtection="0"/>
    <xf numFmtId="0" fontId="33" fillId="0" borderId="0"/>
    <xf numFmtId="0" fontId="23" fillId="0" borderId="0"/>
    <xf numFmtId="0" fontId="1" fillId="28" borderId="16" applyNumberFormat="0" applyFont="0" applyAlignment="0" applyProtection="0"/>
    <xf numFmtId="0" fontId="1" fillId="28" borderId="16" applyNumberFormat="0" applyFont="0" applyAlignment="0" applyProtection="0"/>
    <xf numFmtId="0" fontId="18" fillId="23" borderId="17" applyNumberFormat="0" applyAlignment="0" applyProtection="0"/>
    <xf numFmtId="0" fontId="18" fillId="23" borderId="17" applyNumberFormat="0" applyAlignment="0" applyProtection="0"/>
    <xf numFmtId="171" fontId="28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8" fillId="27" borderId="1"/>
    <xf numFmtId="0" fontId="3" fillId="0" borderId="0"/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" fillId="30" borderId="1" applyNumberFormat="0" applyProtection="0">
      <alignment horizontal="right"/>
    </xf>
    <xf numFmtId="0" fontId="25" fillId="30" borderId="0" applyNumberFormat="0" applyBorder="0" applyProtection="0">
      <alignment horizontal="left"/>
    </xf>
    <xf numFmtId="0" fontId="2" fillId="30" borderId="1" applyNumberFormat="0" applyProtection="0">
      <alignment horizontal="lef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8" applyNumberFormat="0" applyFill="0" applyAlignment="0" applyProtection="0"/>
    <xf numFmtId="0" fontId="20" fillId="0" borderId="18" applyNumberFormat="0" applyFill="0" applyAlignment="0" applyProtection="0"/>
    <xf numFmtId="170" fontId="2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8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32" borderId="19" xfId="0" applyFont="1" applyFill="1" applyBorder="1"/>
    <xf numFmtId="0" fontId="3" fillId="32" borderId="19" xfId="0" applyFont="1" applyFill="1" applyBorder="1"/>
    <xf numFmtId="1" fontId="0" fillId="0" borderId="0" xfId="0" applyNumberFormat="1"/>
    <xf numFmtId="9" fontId="0" fillId="0" borderId="0" xfId="0" applyNumberFormat="1"/>
    <xf numFmtId="0" fontId="22" fillId="0" borderId="0" xfId="122"/>
    <xf numFmtId="0" fontId="35" fillId="0" borderId="0" xfId="121"/>
    <xf numFmtId="0" fontId="3" fillId="32" borderId="19" xfId="121" applyFont="1" applyFill="1" applyBorder="1"/>
    <xf numFmtId="0" fontId="2" fillId="33" borderId="19" xfId="121" applyFont="1" applyFill="1" applyBorder="1" applyAlignment="1">
      <alignment horizontal="right"/>
    </xf>
  </cellXfs>
  <cellStyles count="195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2x indented GHG Textfiels" xfId="13" xr:uid="{00000000-0005-0000-0000-00000C000000}"/>
    <cellStyle name="40% - Accent1 2" xfId="14" xr:uid="{00000000-0005-0000-0000-00000D000000}"/>
    <cellStyle name="40% - Accent1 2 2" xfId="15" xr:uid="{00000000-0005-0000-0000-00000E000000}"/>
    <cellStyle name="40% - Accent2 2" xfId="16" xr:uid="{00000000-0005-0000-0000-00000F000000}"/>
    <cellStyle name="40% - Accent2 2 2" xfId="17" xr:uid="{00000000-0005-0000-0000-000010000000}"/>
    <cellStyle name="40% - Accent3 2" xfId="18" xr:uid="{00000000-0005-0000-0000-000011000000}"/>
    <cellStyle name="40% - Accent3 2 2" xfId="19" xr:uid="{00000000-0005-0000-0000-000012000000}"/>
    <cellStyle name="40% - Accent4 2" xfId="20" xr:uid="{00000000-0005-0000-0000-000013000000}"/>
    <cellStyle name="40% - Accent4 2 2" xfId="21" xr:uid="{00000000-0005-0000-0000-000014000000}"/>
    <cellStyle name="40% - Accent5 2" xfId="22" xr:uid="{00000000-0005-0000-0000-000015000000}"/>
    <cellStyle name="40% - Accent5 2 2" xfId="23" xr:uid="{00000000-0005-0000-0000-000016000000}"/>
    <cellStyle name="40% - Accent6 2" xfId="24" xr:uid="{00000000-0005-0000-0000-000017000000}"/>
    <cellStyle name="40% - Accent6 2 2" xfId="25" xr:uid="{00000000-0005-0000-0000-000018000000}"/>
    <cellStyle name="5x indented GHG Textfiels" xfId="26" xr:uid="{00000000-0005-0000-0000-000019000000}"/>
    <cellStyle name="60% - Accent1 2" xfId="27" xr:uid="{00000000-0005-0000-0000-00001A000000}"/>
    <cellStyle name="60% - Accent1 2 2" xfId="28" xr:uid="{00000000-0005-0000-0000-00001B000000}"/>
    <cellStyle name="60% - Accent2 2" xfId="29" xr:uid="{00000000-0005-0000-0000-00001C000000}"/>
    <cellStyle name="60% - Accent2 2 2" xfId="30" xr:uid="{00000000-0005-0000-0000-00001D000000}"/>
    <cellStyle name="60% - Accent3 2" xfId="31" xr:uid="{00000000-0005-0000-0000-00001E000000}"/>
    <cellStyle name="60% - Accent3 2 2" xfId="32" xr:uid="{00000000-0005-0000-0000-00001F000000}"/>
    <cellStyle name="60% - Accent4 2" xfId="33" xr:uid="{00000000-0005-0000-0000-000020000000}"/>
    <cellStyle name="60% - Accent4 2 2" xfId="34" xr:uid="{00000000-0005-0000-0000-000021000000}"/>
    <cellStyle name="60% - Accent5 2" xfId="35" xr:uid="{00000000-0005-0000-0000-000022000000}"/>
    <cellStyle name="60% - Accent5 2 2" xfId="36" xr:uid="{00000000-0005-0000-0000-000023000000}"/>
    <cellStyle name="60% - Accent6 2" xfId="37" xr:uid="{00000000-0005-0000-0000-000024000000}"/>
    <cellStyle name="60% - Accent6 2 2" xfId="38" xr:uid="{00000000-0005-0000-0000-000025000000}"/>
    <cellStyle name="Accent1 2" xfId="39" xr:uid="{00000000-0005-0000-0000-000026000000}"/>
    <cellStyle name="Accent1 2 2" xfId="40" xr:uid="{00000000-0005-0000-0000-000027000000}"/>
    <cellStyle name="Accent2 2" xfId="41" xr:uid="{00000000-0005-0000-0000-000028000000}"/>
    <cellStyle name="Accent2 2 2" xfId="42" xr:uid="{00000000-0005-0000-0000-000029000000}"/>
    <cellStyle name="Accent3 2" xfId="43" xr:uid="{00000000-0005-0000-0000-00002A000000}"/>
    <cellStyle name="Accent3 2 2" xfId="44" xr:uid="{00000000-0005-0000-0000-00002B000000}"/>
    <cellStyle name="Accent4 2" xfId="45" xr:uid="{00000000-0005-0000-0000-00002C000000}"/>
    <cellStyle name="Accent4 2 2" xfId="46" xr:uid="{00000000-0005-0000-0000-00002D000000}"/>
    <cellStyle name="Accent5 2" xfId="47" xr:uid="{00000000-0005-0000-0000-00002E000000}"/>
    <cellStyle name="Accent5 2 2" xfId="48" xr:uid="{00000000-0005-0000-0000-00002F000000}"/>
    <cellStyle name="Accent6 2" xfId="49" xr:uid="{00000000-0005-0000-0000-000030000000}"/>
    <cellStyle name="Accent6 2 2" xfId="50" xr:uid="{00000000-0005-0000-0000-000031000000}"/>
    <cellStyle name="AggblueBoldCels" xfId="51" xr:uid="{00000000-0005-0000-0000-000032000000}"/>
    <cellStyle name="AggblueBoldCels 2" xfId="52" xr:uid="{00000000-0005-0000-0000-000033000000}"/>
    <cellStyle name="AggblueCels" xfId="53" xr:uid="{00000000-0005-0000-0000-000034000000}"/>
    <cellStyle name="AggblueCels 2" xfId="54" xr:uid="{00000000-0005-0000-0000-000035000000}"/>
    <cellStyle name="AggblueCels_1x" xfId="55" xr:uid="{00000000-0005-0000-0000-000036000000}"/>
    <cellStyle name="AggBoldCells" xfId="56" xr:uid="{00000000-0005-0000-0000-000037000000}"/>
    <cellStyle name="AggCels" xfId="57" xr:uid="{00000000-0005-0000-0000-000038000000}"/>
    <cellStyle name="AggGreen" xfId="58" xr:uid="{00000000-0005-0000-0000-000039000000}"/>
    <cellStyle name="AggGreen 2" xfId="59" xr:uid="{00000000-0005-0000-0000-00003A000000}"/>
    <cellStyle name="AggGreen_Bbdr" xfId="60" xr:uid="{00000000-0005-0000-0000-00003B000000}"/>
    <cellStyle name="AggGreen12" xfId="61" xr:uid="{00000000-0005-0000-0000-00003C000000}"/>
    <cellStyle name="AggGreen12 2" xfId="62" xr:uid="{00000000-0005-0000-0000-00003D000000}"/>
    <cellStyle name="AggOrange" xfId="63" xr:uid="{00000000-0005-0000-0000-00003E000000}"/>
    <cellStyle name="AggOrange 2" xfId="64" xr:uid="{00000000-0005-0000-0000-00003F000000}"/>
    <cellStyle name="AggOrange_B_border" xfId="65" xr:uid="{00000000-0005-0000-0000-000040000000}"/>
    <cellStyle name="AggOrange9" xfId="66" xr:uid="{00000000-0005-0000-0000-000041000000}"/>
    <cellStyle name="AggOrange9 2" xfId="67" xr:uid="{00000000-0005-0000-0000-000042000000}"/>
    <cellStyle name="AggOrangeLB_2x" xfId="68" xr:uid="{00000000-0005-0000-0000-000043000000}"/>
    <cellStyle name="AggOrangeLBorder" xfId="69" xr:uid="{00000000-0005-0000-0000-000044000000}"/>
    <cellStyle name="AggOrangeLBorder 2" xfId="70" xr:uid="{00000000-0005-0000-0000-000045000000}"/>
    <cellStyle name="AggOrangeRBorder" xfId="71" xr:uid="{00000000-0005-0000-0000-000046000000}"/>
    <cellStyle name="AggOrangeRBorder 2" xfId="72" xr:uid="{00000000-0005-0000-0000-000047000000}"/>
    <cellStyle name="Bad 2" xfId="73" xr:uid="{00000000-0005-0000-0000-000048000000}"/>
    <cellStyle name="Bad 2 2" xfId="74" xr:uid="{00000000-0005-0000-0000-000049000000}"/>
    <cellStyle name="Bold GHG Numbers (0.00)" xfId="75" xr:uid="{00000000-0005-0000-0000-00004A000000}"/>
    <cellStyle name="Calculation 2" xfId="76" xr:uid="{00000000-0005-0000-0000-00004B000000}"/>
    <cellStyle name="Calculation 2 2" xfId="77" xr:uid="{00000000-0005-0000-0000-00004C000000}"/>
    <cellStyle name="Check Cell 2" xfId="78" xr:uid="{00000000-0005-0000-0000-00004D000000}"/>
    <cellStyle name="Check Cell 2 2" xfId="79" xr:uid="{00000000-0005-0000-0000-00004E000000}"/>
    <cellStyle name="Comma 2" xfId="80" xr:uid="{00000000-0005-0000-0000-00004F000000}"/>
    <cellStyle name="Comma 2 2" xfId="81" xr:uid="{00000000-0005-0000-0000-000050000000}"/>
    <cellStyle name="Comma 3" xfId="82" xr:uid="{00000000-0005-0000-0000-000051000000}"/>
    <cellStyle name="Constants" xfId="83" xr:uid="{00000000-0005-0000-0000-000052000000}"/>
    <cellStyle name="CustomCellsOrange" xfId="84" xr:uid="{00000000-0005-0000-0000-000053000000}"/>
    <cellStyle name="CustomizationCells" xfId="85" xr:uid="{00000000-0005-0000-0000-000054000000}"/>
    <cellStyle name="CustomizationGreenCells" xfId="86" xr:uid="{00000000-0005-0000-0000-000055000000}"/>
    <cellStyle name="DocBox_EmptyRow" xfId="87" xr:uid="{00000000-0005-0000-0000-000056000000}"/>
    <cellStyle name="Empty_B_border" xfId="88" xr:uid="{00000000-0005-0000-0000-000057000000}"/>
    <cellStyle name="Euro" xfId="89" xr:uid="{00000000-0005-0000-0000-000058000000}"/>
    <cellStyle name="Euro 2" xfId="90" xr:uid="{00000000-0005-0000-0000-000059000000}"/>
    <cellStyle name="Explanatory Text 2" xfId="91" xr:uid="{00000000-0005-0000-0000-00005A000000}"/>
    <cellStyle name="Explanatory Text 2 2" xfId="92" xr:uid="{00000000-0005-0000-0000-00005B000000}"/>
    <cellStyle name="Float" xfId="93" xr:uid="{00000000-0005-0000-0000-00005C000000}"/>
    <cellStyle name="Float 2" xfId="94" xr:uid="{00000000-0005-0000-0000-00005D000000}"/>
    <cellStyle name="Float 2 2" xfId="95" xr:uid="{00000000-0005-0000-0000-00005E000000}"/>
    <cellStyle name="Float 3" xfId="96" xr:uid="{00000000-0005-0000-0000-00005F000000}"/>
    <cellStyle name="Good 2" xfId="97" xr:uid="{00000000-0005-0000-0000-000060000000}"/>
    <cellStyle name="Good 2 2" xfId="98" xr:uid="{00000000-0005-0000-0000-000061000000}"/>
    <cellStyle name="Heading 1 2" xfId="99" xr:uid="{00000000-0005-0000-0000-000062000000}"/>
    <cellStyle name="Heading 1 2 2" xfId="100" xr:uid="{00000000-0005-0000-0000-000063000000}"/>
    <cellStyle name="Heading 2 2" xfId="101" xr:uid="{00000000-0005-0000-0000-000064000000}"/>
    <cellStyle name="Heading 2 2 2" xfId="102" xr:uid="{00000000-0005-0000-0000-000065000000}"/>
    <cellStyle name="Heading 3 2" xfId="103" xr:uid="{00000000-0005-0000-0000-000066000000}"/>
    <cellStyle name="Heading 3 2 2" xfId="104" xr:uid="{00000000-0005-0000-0000-000067000000}"/>
    <cellStyle name="Heading 4 2" xfId="105" xr:uid="{00000000-0005-0000-0000-000068000000}"/>
    <cellStyle name="Heading 4 2 2" xfId="106" xr:uid="{00000000-0005-0000-0000-000069000000}"/>
    <cellStyle name="Headline" xfId="107" xr:uid="{00000000-0005-0000-0000-00006A000000}"/>
    <cellStyle name="Input 2" xfId="108" xr:uid="{00000000-0005-0000-0000-00006B000000}"/>
    <cellStyle name="Input 2 2" xfId="109" xr:uid="{00000000-0005-0000-0000-00006C000000}"/>
    <cellStyle name="InputCells" xfId="110" xr:uid="{00000000-0005-0000-0000-00006D000000}"/>
    <cellStyle name="InputCells12" xfId="111" xr:uid="{00000000-0005-0000-0000-00006E000000}"/>
    <cellStyle name="InputCells12 2" xfId="112" xr:uid="{00000000-0005-0000-0000-00006F000000}"/>
    <cellStyle name="InputCells12_BBorder" xfId="113" xr:uid="{00000000-0005-0000-0000-000070000000}"/>
    <cellStyle name="IntCells" xfId="114" xr:uid="{00000000-0005-0000-0000-000071000000}"/>
    <cellStyle name="KP_thin_border_dark_grey" xfId="115" xr:uid="{00000000-0005-0000-0000-000072000000}"/>
    <cellStyle name="Linked Cell 2" xfId="116" xr:uid="{00000000-0005-0000-0000-000073000000}"/>
    <cellStyle name="Linked Cell 2 2" xfId="117" xr:uid="{00000000-0005-0000-0000-000074000000}"/>
    <cellStyle name="Neutral 2" xfId="118" xr:uid="{00000000-0005-0000-0000-000075000000}"/>
    <cellStyle name="Neutral 2 2" xfId="119" xr:uid="{00000000-0005-0000-0000-000076000000}"/>
    <cellStyle name="Normal" xfId="0" builtinId="0"/>
    <cellStyle name="Normal 10" xfId="120" xr:uid="{00000000-0005-0000-0000-000078000000}"/>
    <cellStyle name="Normal 11" xfId="121" xr:uid="{00000000-0005-0000-0000-000079000000}"/>
    <cellStyle name="Normal 12" xfId="122" xr:uid="{00000000-0005-0000-0000-00007A000000}"/>
    <cellStyle name="Normal 2" xfId="123" xr:uid="{00000000-0005-0000-0000-00007B000000}"/>
    <cellStyle name="Normal 2 2" xfId="124" xr:uid="{00000000-0005-0000-0000-00007C000000}"/>
    <cellStyle name="Normal 2 3" xfId="125" xr:uid="{00000000-0005-0000-0000-00007D000000}"/>
    <cellStyle name="Normal 2 3 2" xfId="126" xr:uid="{00000000-0005-0000-0000-00007E000000}"/>
    <cellStyle name="Normal 2 4" xfId="127" xr:uid="{00000000-0005-0000-0000-00007F000000}"/>
    <cellStyle name="Normal 2 5" xfId="128" xr:uid="{00000000-0005-0000-0000-000080000000}"/>
    <cellStyle name="Normal 2_bound" xfId="129" xr:uid="{00000000-0005-0000-0000-000081000000}"/>
    <cellStyle name="Normal 3" xfId="130" xr:uid="{00000000-0005-0000-0000-000082000000}"/>
    <cellStyle name="Normal 3 2" xfId="131" xr:uid="{00000000-0005-0000-0000-000083000000}"/>
    <cellStyle name="Normal 3 3" xfId="132" xr:uid="{00000000-0005-0000-0000-000084000000}"/>
    <cellStyle name="Normal 3 3 2" xfId="133" xr:uid="{00000000-0005-0000-0000-000085000000}"/>
    <cellStyle name="Normal 3_Heating-COM" xfId="134" xr:uid="{00000000-0005-0000-0000-000086000000}"/>
    <cellStyle name="Normal 4" xfId="135" xr:uid="{00000000-0005-0000-0000-000087000000}"/>
    <cellStyle name="Normal 4 13 2" xfId="136" xr:uid="{00000000-0005-0000-0000-000088000000}"/>
    <cellStyle name="Normal 4 13 2 2" xfId="137" xr:uid="{00000000-0005-0000-0000-000089000000}"/>
    <cellStyle name="Normal 4 2" xfId="138" xr:uid="{00000000-0005-0000-0000-00008A000000}"/>
    <cellStyle name="Normal 5" xfId="139" xr:uid="{00000000-0005-0000-0000-00008B000000}"/>
    <cellStyle name="Normal 6" xfId="140" xr:uid="{00000000-0005-0000-0000-00008C000000}"/>
    <cellStyle name="Normal 6 2" xfId="141" xr:uid="{00000000-0005-0000-0000-00008D000000}"/>
    <cellStyle name="Normal 7" xfId="142" xr:uid="{00000000-0005-0000-0000-00008E000000}"/>
    <cellStyle name="Normal 7 2" xfId="143" xr:uid="{00000000-0005-0000-0000-00008F000000}"/>
    <cellStyle name="Normal 7 2 2" xfId="144" xr:uid="{00000000-0005-0000-0000-000090000000}"/>
    <cellStyle name="Normal 7 3" xfId="145" xr:uid="{00000000-0005-0000-0000-000091000000}"/>
    <cellStyle name="Normal 8" xfId="146" xr:uid="{00000000-0005-0000-0000-000092000000}"/>
    <cellStyle name="Normal 8 2" xfId="147" xr:uid="{00000000-0005-0000-0000-000093000000}"/>
    <cellStyle name="Normal 8 2 2" xfId="148" xr:uid="{00000000-0005-0000-0000-000094000000}"/>
    <cellStyle name="Normal 8 3" xfId="149" xr:uid="{00000000-0005-0000-0000-000095000000}"/>
    <cellStyle name="Normal 9" xfId="150" xr:uid="{00000000-0005-0000-0000-000096000000}"/>
    <cellStyle name="Normal GHG Numbers (0.00)" xfId="151" xr:uid="{00000000-0005-0000-0000-000097000000}"/>
    <cellStyle name="Normal GHG Textfiels Bold" xfId="152" xr:uid="{00000000-0005-0000-0000-000098000000}"/>
    <cellStyle name="Normal GHG whole table" xfId="153" xr:uid="{00000000-0005-0000-0000-000099000000}"/>
    <cellStyle name="Normal GHG-Shade" xfId="154" xr:uid="{00000000-0005-0000-0000-00009A000000}"/>
    <cellStyle name="Normal GHG-Shade 2" xfId="155" xr:uid="{00000000-0005-0000-0000-00009B000000}"/>
    <cellStyle name="Normál_Munka1" xfId="156" xr:uid="{00000000-0005-0000-0000-00009C000000}"/>
    <cellStyle name="Normale_B2020" xfId="157" xr:uid="{00000000-0005-0000-0000-00009D000000}"/>
    <cellStyle name="Note 2" xfId="158" xr:uid="{00000000-0005-0000-0000-00009E000000}"/>
    <cellStyle name="Note 2 2" xfId="159" xr:uid="{00000000-0005-0000-0000-00009F000000}"/>
    <cellStyle name="Output 2" xfId="160" xr:uid="{00000000-0005-0000-0000-0000A0000000}"/>
    <cellStyle name="Output 2 2" xfId="161" xr:uid="{00000000-0005-0000-0000-0000A1000000}"/>
    <cellStyle name="Pattern" xfId="162" xr:uid="{00000000-0005-0000-0000-0000A2000000}"/>
    <cellStyle name="Percent 2" xfId="163" xr:uid="{00000000-0005-0000-0000-0000A3000000}"/>
    <cellStyle name="Percent 2 2" xfId="164" xr:uid="{00000000-0005-0000-0000-0000A4000000}"/>
    <cellStyle name="Percent 2 2 2" xfId="165" xr:uid="{00000000-0005-0000-0000-0000A5000000}"/>
    <cellStyle name="Percent 3" xfId="166" xr:uid="{00000000-0005-0000-0000-0000A6000000}"/>
    <cellStyle name="Percent 3 2" xfId="167" xr:uid="{00000000-0005-0000-0000-0000A7000000}"/>
    <cellStyle name="Percent 3 3" xfId="168" xr:uid="{00000000-0005-0000-0000-0000A8000000}"/>
    <cellStyle name="Pilkku_Layo9704" xfId="169" xr:uid="{00000000-0005-0000-0000-0000A9000000}"/>
    <cellStyle name="Pyör. luku_Layo9704" xfId="170" xr:uid="{00000000-0005-0000-0000-0000AA000000}"/>
    <cellStyle name="Pyör. valuutta_Layo9704" xfId="171" xr:uid="{00000000-0005-0000-0000-0000AB000000}"/>
    <cellStyle name="Shade" xfId="172" xr:uid="{00000000-0005-0000-0000-0000AC000000}"/>
    <cellStyle name="Standard 2" xfId="173" xr:uid="{00000000-0005-0000-0000-0000AD000000}"/>
    <cellStyle name="Style 21" xfId="174" xr:uid="{00000000-0005-0000-0000-0000AE000000}"/>
    <cellStyle name="Style 21 2" xfId="175" xr:uid="{00000000-0005-0000-0000-0000AF000000}"/>
    <cellStyle name="Style 21 2 2" xfId="176" xr:uid="{00000000-0005-0000-0000-0000B0000000}"/>
    <cellStyle name="Style 21 3" xfId="177" xr:uid="{00000000-0005-0000-0000-0000B1000000}"/>
    <cellStyle name="Style 22" xfId="178" xr:uid="{00000000-0005-0000-0000-0000B2000000}"/>
    <cellStyle name="Style 23" xfId="179" xr:uid="{00000000-0005-0000-0000-0000B3000000}"/>
    <cellStyle name="Style 24" xfId="180" xr:uid="{00000000-0005-0000-0000-0000B4000000}"/>
    <cellStyle name="Style 25" xfId="181" xr:uid="{00000000-0005-0000-0000-0000B5000000}"/>
    <cellStyle name="Style 25 2" xfId="182" xr:uid="{00000000-0005-0000-0000-0000B6000000}"/>
    <cellStyle name="Style 25 2 2" xfId="183" xr:uid="{00000000-0005-0000-0000-0000B7000000}"/>
    <cellStyle name="Style 25 3" xfId="184" xr:uid="{00000000-0005-0000-0000-0000B8000000}"/>
    <cellStyle name="Style 26" xfId="185" xr:uid="{00000000-0005-0000-0000-0000B9000000}"/>
    <cellStyle name="Title 2" xfId="186" xr:uid="{00000000-0005-0000-0000-0000BA000000}"/>
    <cellStyle name="Title 2 2" xfId="187" xr:uid="{00000000-0005-0000-0000-0000BB000000}"/>
    <cellStyle name="Total 2" xfId="188" xr:uid="{00000000-0005-0000-0000-0000BC000000}"/>
    <cellStyle name="Total 2 2" xfId="189" xr:uid="{00000000-0005-0000-0000-0000BD000000}"/>
    <cellStyle name="Valuutta_Layo9704" xfId="190" xr:uid="{00000000-0005-0000-0000-0000BE000000}"/>
    <cellStyle name="Warning Text 2" xfId="191" xr:uid="{00000000-0005-0000-0000-0000BF000000}"/>
    <cellStyle name="Warning Text 2 2" xfId="192" xr:uid="{00000000-0005-0000-0000-0000C0000000}"/>
    <cellStyle name="Гиперссылка" xfId="193" xr:uid="{00000000-0005-0000-0000-0000C1000000}"/>
    <cellStyle name="Обычный_2++" xfId="194" xr:uid="{00000000-0005-0000-0000-0000C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"/>
  <sheetViews>
    <sheetView tabSelected="1" workbookViewId="0">
      <selection activeCell="D8" sqref="D8"/>
    </sheetView>
  </sheetViews>
  <sheetFormatPr defaultRowHeight="15" x14ac:dyDescent="0.25"/>
  <cols>
    <col min="2" max="2" width="11" bestFit="1" customWidth="1"/>
    <col min="3" max="3" width="8.85546875" bestFit="1" customWidth="1"/>
    <col min="4" max="4" width="22.28515625" customWidth="1"/>
    <col min="5" max="5" width="7" customWidth="1"/>
    <col min="6" max="6" width="10.7109375" bestFit="1" customWidth="1"/>
    <col min="7" max="7" width="31.85546875" customWidth="1"/>
  </cols>
  <sheetData>
    <row r="1" spans="1:38" x14ac:dyDescent="0.25">
      <c r="A1" t="s">
        <v>5</v>
      </c>
    </row>
    <row r="2" spans="1:38" x14ac:dyDescent="0.25">
      <c r="J2" t="s">
        <v>48</v>
      </c>
    </row>
    <row r="3" spans="1:38" x14ac:dyDescent="0.25">
      <c r="H3" s="6">
        <v>0.15</v>
      </c>
      <c r="J3" s="5">
        <f>SUM(H7:AL7)</f>
        <v>609839.01778020407</v>
      </c>
    </row>
    <row r="5" spans="1:38" x14ac:dyDescent="0.25">
      <c r="B5" s="1" t="s">
        <v>4</v>
      </c>
      <c r="G5" s="2"/>
    </row>
    <row r="6" spans="1:38" ht="15.75" thickBot="1" x14ac:dyDescent="0.3">
      <c r="B6" s="3" t="s">
        <v>49</v>
      </c>
      <c r="C6" s="3" t="s">
        <v>3</v>
      </c>
      <c r="D6" s="3" t="s">
        <v>2</v>
      </c>
      <c r="E6" s="3" t="s">
        <v>0</v>
      </c>
      <c r="F6" s="9" t="s">
        <v>6</v>
      </c>
      <c r="G6" s="4" t="s">
        <v>1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0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0" t="s">
        <v>25</v>
      </c>
      <c r="U6" s="10" t="s">
        <v>26</v>
      </c>
      <c r="V6" s="10" t="s">
        <v>27</v>
      </c>
      <c r="W6" s="10" t="s">
        <v>28</v>
      </c>
      <c r="X6" s="10" t="s">
        <v>29</v>
      </c>
      <c r="Y6" s="10" t="s">
        <v>30</v>
      </c>
      <c r="Z6" s="10" t="s">
        <v>31</v>
      </c>
      <c r="AA6" s="10" t="s">
        <v>32</v>
      </c>
      <c r="AB6" s="10" t="s">
        <v>33</v>
      </c>
      <c r="AC6" s="10" t="s">
        <v>34</v>
      </c>
      <c r="AD6" s="10" t="s">
        <v>35</v>
      </c>
      <c r="AE6" s="10" t="s">
        <v>36</v>
      </c>
      <c r="AF6" s="10" t="s">
        <v>37</v>
      </c>
      <c r="AG6" s="10" t="s">
        <v>38</v>
      </c>
      <c r="AH6" s="10" t="s">
        <v>39</v>
      </c>
      <c r="AI6" s="10" t="s">
        <v>40</v>
      </c>
      <c r="AJ6" s="10" t="s">
        <v>41</v>
      </c>
      <c r="AK6" s="10" t="s">
        <v>42</v>
      </c>
      <c r="AL6" s="10" t="s">
        <v>43</v>
      </c>
    </row>
    <row r="7" spans="1:38" x14ac:dyDescent="0.25">
      <c r="D7" t="s">
        <v>46</v>
      </c>
      <c r="E7">
        <v>2010</v>
      </c>
      <c r="F7" t="s">
        <v>50</v>
      </c>
      <c r="G7" t="s">
        <v>47</v>
      </c>
      <c r="H7" s="5">
        <f>$H$3*H15</f>
        <v>10527.997662182535</v>
      </c>
      <c r="I7" s="5">
        <f t="shared" ref="I7:AL7" si="0">$H$3*I15</f>
        <v>20170.073340789299</v>
      </c>
      <c r="J7" s="5">
        <f t="shared" si="0"/>
        <v>5898.2256716931597</v>
      </c>
      <c r="K7" s="5">
        <f t="shared" si="0"/>
        <v>5972.0280095034896</v>
      </c>
      <c r="L7" s="5">
        <f t="shared" si="0"/>
        <v>1322.5751901133124</v>
      </c>
      <c r="M7" s="5">
        <f t="shared" si="0"/>
        <v>16523.574193345648</v>
      </c>
      <c r="N7" s="5">
        <f t="shared" si="0"/>
        <v>125457.98006567954</v>
      </c>
      <c r="O7" s="5">
        <f t="shared" si="0"/>
        <v>8370.8369551198048</v>
      </c>
      <c r="P7" s="5">
        <f t="shared" si="0"/>
        <v>2483.6091523744503</v>
      </c>
      <c r="Q7" s="5">
        <f t="shared" si="0"/>
        <v>14075.184360255344</v>
      </c>
      <c r="R7" s="5">
        <f t="shared" si="0"/>
        <v>44394.05006396235</v>
      </c>
      <c r="S7" s="5">
        <f t="shared" si="0"/>
        <v>10086.100715876624</v>
      </c>
      <c r="T7" s="5">
        <f t="shared" si="0"/>
        <v>53561.777504597994</v>
      </c>
      <c r="U7" s="5">
        <f t="shared" si="0"/>
        <v>2896.97160900888</v>
      </c>
      <c r="V7" s="5">
        <f t="shared" si="0"/>
        <v>7018.1509224450601</v>
      </c>
      <c r="W7" s="5">
        <f t="shared" si="0"/>
        <v>6114.2264496716398</v>
      </c>
      <c r="X7" s="5">
        <f t="shared" si="0"/>
        <v>754.6303369602374</v>
      </c>
      <c r="Y7" s="5">
        <f t="shared" si="0"/>
        <v>63228.00314882055</v>
      </c>
      <c r="Z7" s="5">
        <f t="shared" si="0"/>
        <v>1805.1162640659152</v>
      </c>
      <c r="AA7" s="5">
        <f t="shared" si="0"/>
        <v>1752.1478397205649</v>
      </c>
      <c r="AB7" s="5">
        <f t="shared" si="0"/>
        <v>1360.9291366273396</v>
      </c>
      <c r="AC7" s="5">
        <f t="shared" si="0"/>
        <v>1121.8418319880275</v>
      </c>
      <c r="AD7" s="5">
        <f t="shared" si="0"/>
        <v>35022.943861748252</v>
      </c>
      <c r="AE7" s="5">
        <f t="shared" si="0"/>
        <v>6102.325820072655</v>
      </c>
      <c r="AF7" s="5">
        <f t="shared" si="0"/>
        <v>49515.644510242804</v>
      </c>
      <c r="AG7" s="5">
        <f t="shared" si="0"/>
        <v>8054.5056046892996</v>
      </c>
      <c r="AH7" s="5">
        <f t="shared" si="0"/>
        <v>10491.064830162464</v>
      </c>
      <c r="AI7" s="5">
        <f t="shared" si="0"/>
        <v>7856.1605944360499</v>
      </c>
      <c r="AJ7" s="5">
        <f t="shared" si="0"/>
        <v>2257.0222041316347</v>
      </c>
      <c r="AK7" s="5">
        <f t="shared" si="0"/>
        <v>5436.9217239652953</v>
      </c>
      <c r="AL7" s="5">
        <f t="shared" si="0"/>
        <v>80206.398205953737</v>
      </c>
    </row>
    <row r="8" spans="1:38" x14ac:dyDescent="0.25">
      <c r="D8" t="s">
        <v>46</v>
      </c>
      <c r="E8">
        <v>0</v>
      </c>
      <c r="F8" t="s">
        <v>50</v>
      </c>
      <c r="G8" t="s">
        <v>47</v>
      </c>
      <c r="H8">
        <v>15</v>
      </c>
      <c r="I8">
        <v>15</v>
      </c>
      <c r="J8">
        <v>15</v>
      </c>
      <c r="K8">
        <v>15</v>
      </c>
      <c r="L8">
        <v>15</v>
      </c>
      <c r="M8">
        <v>15</v>
      </c>
      <c r="N8">
        <v>15</v>
      </c>
      <c r="O8">
        <v>15</v>
      </c>
      <c r="P8">
        <v>15</v>
      </c>
      <c r="Q8">
        <v>15</v>
      </c>
      <c r="R8">
        <v>15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15</v>
      </c>
      <c r="Z8">
        <v>15</v>
      </c>
      <c r="AA8">
        <v>15</v>
      </c>
      <c r="AB8">
        <v>15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15</v>
      </c>
      <c r="AJ8">
        <v>15</v>
      </c>
      <c r="AK8">
        <v>15</v>
      </c>
      <c r="AL8">
        <v>15</v>
      </c>
    </row>
    <row r="12" spans="1:38" x14ac:dyDescent="0.25">
      <c r="C12" s="8"/>
      <c r="D12" s="8"/>
      <c r="E12" s="8" t="s">
        <v>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</row>
    <row r="13" spans="1:38" x14ac:dyDescent="0.25">
      <c r="C13" s="8"/>
      <c r="D13" s="8"/>
      <c r="E13" s="8" t="s">
        <v>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</row>
    <row r="14" spans="1:38" x14ac:dyDescent="0.25">
      <c r="C14" s="7"/>
      <c r="D14" s="7"/>
      <c r="E14" s="8" t="s">
        <v>10</v>
      </c>
      <c r="F14" s="8" t="s">
        <v>9</v>
      </c>
      <c r="G14" s="8" t="s">
        <v>12</v>
      </c>
      <c r="H14" s="8" t="s">
        <v>13</v>
      </c>
      <c r="I14" s="8" t="s">
        <v>14</v>
      </c>
      <c r="J14" s="8" t="s">
        <v>15</v>
      </c>
      <c r="K14" s="8" t="s">
        <v>16</v>
      </c>
      <c r="L14" s="8" t="s">
        <v>17</v>
      </c>
      <c r="M14" s="8" t="s">
        <v>18</v>
      </c>
      <c r="N14" s="8" t="s">
        <v>19</v>
      </c>
      <c r="O14" s="8" t="s">
        <v>20</v>
      </c>
      <c r="P14" s="8" t="s">
        <v>21</v>
      </c>
      <c r="Q14" s="8" t="s">
        <v>22</v>
      </c>
      <c r="R14" s="8" t="s">
        <v>23</v>
      </c>
      <c r="S14" s="8" t="s">
        <v>24</v>
      </c>
      <c r="T14" s="8" t="s">
        <v>25</v>
      </c>
      <c r="U14" s="8" t="s">
        <v>26</v>
      </c>
      <c r="V14" s="8" t="s">
        <v>27</v>
      </c>
      <c r="W14" s="8" t="s">
        <v>28</v>
      </c>
      <c r="X14" s="8" t="s">
        <v>29</v>
      </c>
      <c r="Y14" s="8" t="s">
        <v>30</v>
      </c>
      <c r="Z14" s="8" t="s">
        <v>31</v>
      </c>
      <c r="AA14" s="8" t="s">
        <v>32</v>
      </c>
      <c r="AB14" s="8" t="s">
        <v>33</v>
      </c>
      <c r="AC14" s="8" t="s">
        <v>34</v>
      </c>
      <c r="AD14" s="8" t="s">
        <v>35</v>
      </c>
      <c r="AE14" s="8" t="s">
        <v>36</v>
      </c>
      <c r="AF14" s="8" t="s">
        <v>37</v>
      </c>
      <c r="AG14" s="8" t="s">
        <v>38</v>
      </c>
      <c r="AH14" s="8" t="s">
        <v>39</v>
      </c>
      <c r="AI14" s="8" t="s">
        <v>40</v>
      </c>
      <c r="AJ14" s="8" t="s">
        <v>41</v>
      </c>
      <c r="AK14" s="8" t="s">
        <v>42</v>
      </c>
      <c r="AL14" s="8" t="s">
        <v>43</v>
      </c>
    </row>
    <row r="15" spans="1:38" x14ac:dyDescent="0.25">
      <c r="C15" s="7"/>
      <c r="D15" s="7"/>
      <c r="E15" s="8" t="s">
        <v>11</v>
      </c>
      <c r="F15" s="8" t="s">
        <v>45</v>
      </c>
      <c r="G15" s="8" t="s">
        <v>44</v>
      </c>
      <c r="H15" s="8">
        <v>70186.6510812169</v>
      </c>
      <c r="I15" s="8">
        <v>134467.155605262</v>
      </c>
      <c r="J15" s="8">
        <v>39321.504477954397</v>
      </c>
      <c r="K15" s="8">
        <v>39813.520063356598</v>
      </c>
      <c r="L15" s="8">
        <v>8817.1679340887495</v>
      </c>
      <c r="M15" s="8">
        <v>110157.16128897099</v>
      </c>
      <c r="N15" s="8">
        <v>836386.53377119696</v>
      </c>
      <c r="O15" s="8">
        <v>55805.579700798698</v>
      </c>
      <c r="P15" s="8">
        <v>16557.394349163002</v>
      </c>
      <c r="Q15" s="8">
        <v>93834.562401702293</v>
      </c>
      <c r="R15" s="8">
        <v>295960.33375974902</v>
      </c>
      <c r="S15" s="8">
        <v>67240.671439177502</v>
      </c>
      <c r="T15" s="8">
        <v>357078.51669731998</v>
      </c>
      <c r="U15" s="8">
        <v>19313.1440600592</v>
      </c>
      <c r="V15" s="8">
        <v>46787.672816300401</v>
      </c>
      <c r="W15" s="8">
        <v>40761.509664477599</v>
      </c>
      <c r="X15" s="8">
        <v>5030.8689130682496</v>
      </c>
      <c r="Y15" s="8">
        <v>421520.02099213703</v>
      </c>
      <c r="Z15" s="8">
        <v>12034.108427106101</v>
      </c>
      <c r="AA15" s="8">
        <v>11680.9855981371</v>
      </c>
      <c r="AB15" s="8">
        <v>9072.8609108489309</v>
      </c>
      <c r="AC15" s="8">
        <v>7478.9455465868496</v>
      </c>
      <c r="AD15" s="8">
        <v>233486.29241165501</v>
      </c>
      <c r="AE15" s="8">
        <v>40682.172133817701</v>
      </c>
      <c r="AF15" s="8">
        <v>330104.29673495202</v>
      </c>
      <c r="AG15" s="8">
        <v>53696.704031262001</v>
      </c>
      <c r="AH15" s="8">
        <v>69940.432201083095</v>
      </c>
      <c r="AI15" s="8">
        <v>52374.403962907003</v>
      </c>
      <c r="AJ15" s="8">
        <v>15046.8146942109</v>
      </c>
      <c r="AK15" s="8">
        <v>36246.144826435302</v>
      </c>
      <c r="AL15" s="8">
        <v>534709.32137302496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B7C8A5-446C-4BBB-8616-C09219D47D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D85E24-A09F-4ED6-B1D1-0504A82C6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1805EB-0212-4445-9BD6-6CFA92B7AA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2024-12-11T12:40:14Z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330693542957305</vt:r8>
  </property>
  <property fmtid="{D5CDD505-2E9C-101B-9397-08002B2CF9AE}" pid="3" name="ContentTypeId">
    <vt:lpwstr>0x01010074EFC6228ED6F043ACDD38E315A3264B</vt:lpwstr>
  </property>
</Properties>
</file>