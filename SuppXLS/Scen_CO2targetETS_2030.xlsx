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5251A2F7-0F21-44F8-9537-64444882BF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ission_CO2TOT1" sheetId="3" r:id="rId1"/>
    <sheet name="boun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8" i="1" l="1"/>
  <c r="P12" i="3"/>
  <c r="F17" i="1" s="1"/>
  <c r="O12" i="3"/>
  <c r="M16" i="3"/>
  <c r="L16" i="3"/>
  <c r="K16" i="3"/>
  <c r="L25" i="3"/>
  <c r="E51" i="3" s="1"/>
  <c r="E50" i="3" s="1"/>
  <c r="E12" i="3" s="1"/>
  <c r="F16" i="1"/>
  <c r="K12" i="3" l="1"/>
  <c r="F12" i="1" s="1"/>
  <c r="M12" i="3"/>
  <c r="J12" i="3"/>
  <c r="F11" i="1" s="1"/>
  <c r="G12" i="3"/>
  <c r="F8" i="1" s="1"/>
  <c r="L12" i="3"/>
  <c r="F13" i="1" s="1"/>
  <c r="I12" i="3"/>
  <c r="F10" i="1" s="1"/>
  <c r="H12" i="3"/>
  <c r="F9" i="1" s="1"/>
  <c r="N12" i="3" l="1"/>
  <c r="F15" i="1" s="1"/>
  <c r="F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Q20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ese-veda04:</t>
        </r>
        <r>
          <rPr>
            <sz val="8"/>
            <color indexed="81"/>
            <rFont val="Tahoma"/>
            <family val="2"/>
          </rPr>
          <t xml:space="preserve">
ese-veda04:
ese-veda04:
ETS target for 2030 proposed in EU2030 Framework
IA table 4 p.54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note the "R_S" to sum across regions</t>
        </r>
      </text>
    </comment>
    <comment ref="C20" authorId="0" shapeId="0" xr:uid="{00000000-0006-0000-01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2/14/2014
ETS emission coeff included the captured part
</t>
        </r>
      </text>
    </comment>
  </commentList>
</comments>
</file>

<file path=xl/sharedStrings.xml><?xml version="1.0" encoding="utf-8"?>
<sst xmlns="http://schemas.openxmlformats.org/spreadsheetml/2006/main" count="79" uniqueCount="67">
  <si>
    <t xml:space="preserve">Table Name: </t>
  </si>
  <si>
    <t xml:space="preserve">Unit: </t>
  </si>
  <si>
    <t xml:space="preserve">Page Fields: </t>
  </si>
  <si>
    <t>Scenario</t>
  </si>
  <si>
    <t>BE</t>
  </si>
  <si>
    <t>DE</t>
  </si>
  <si>
    <t>ES</t>
  </si>
  <si>
    <t>FI</t>
  </si>
  <si>
    <t>FR</t>
  </si>
  <si>
    <t>UK</t>
  </si>
  <si>
    <t>Emission_CO2TOT</t>
  </si>
  <si>
    <t>Region</t>
  </si>
  <si>
    <t>Year</t>
  </si>
  <si>
    <t>Cset_CN</t>
  </si>
  <si>
    <t>UC_N</t>
  </si>
  <si>
    <t>~UC_T: UP</t>
  </si>
  <si>
    <t>UC_COMNET</t>
  </si>
  <si>
    <t>UC_RHSTS</t>
  </si>
  <si>
    <t>Kt</t>
  </si>
  <si>
    <t xml:space="preserve">Statistics per country </t>
  </si>
  <si>
    <t>CO2 only</t>
  </si>
  <si>
    <t>ETS</t>
  </si>
  <si>
    <t>NonETS</t>
  </si>
  <si>
    <t>AT</t>
  </si>
  <si>
    <t>BG</t>
  </si>
  <si>
    <t>CY</t>
  </si>
  <si>
    <t>CZ</t>
  </si>
  <si>
    <t>DK</t>
  </si>
  <si>
    <t>EE</t>
  </si>
  <si>
    <t>GR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</si>
  <si>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</si>
  <si>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</si>
  <si>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</si>
  <si>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</si>
  <si>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</si>
  <si>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</si>
  <si>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</si>
  <si>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</si>
  <si>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</si>
  <si>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</si>
  <si>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</si>
  <si>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</si>
  <si>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</si>
  <si>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</si>
  <si>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EU-27</t>
  </si>
  <si>
    <t>ETSCO2</t>
  </si>
  <si>
    <t>HR emissions assumed to be in EU ETS in 2011 (from national emission inventory consulted 13 Feb 12014)</t>
  </si>
  <si>
    <t>Sofia</t>
  </si>
  <si>
    <t>2011 Mt CO2</t>
  </si>
  <si>
    <t>Refineries+electricity production</t>
  </si>
  <si>
    <t>Industry</t>
  </si>
  <si>
    <t>Fugitive emissions</t>
  </si>
  <si>
    <t>HR</t>
  </si>
  <si>
    <t>assumed as the same from 2011. Looked at the 2011 HR NIR and seemed not very big difference</t>
  </si>
  <si>
    <t>EU-28</t>
  </si>
  <si>
    <t>ELCSCO2*,SUPSCO2*,INDSCO2*</t>
  </si>
  <si>
    <t>UC_COMPRD</t>
  </si>
  <si>
    <t>Values in previous scenario</t>
  </si>
  <si>
    <t>After 2030, assume it stays the same?</t>
  </si>
  <si>
    <t>5 yrs</t>
  </si>
  <si>
    <t>NB</t>
  </si>
  <si>
    <t>ETS reduction in 2050 according to IA</t>
  </si>
  <si>
    <t>ETS Target 2030</t>
  </si>
  <si>
    <t>CO2TargetETS2030</t>
  </si>
  <si>
    <t>~UC_SETS: R_S: AT,BE,BG,CY,CZ,DE,DK,EE,ES,FI,FR,EL,HR,HU,IE,IT,LT,LU,LV,MT,NL,PL,PT,RO,SE,SI,SK,UK</t>
  </si>
  <si>
    <t>ETS sectors</t>
  </si>
  <si>
    <t>LTS baseline nov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</si>
</sst>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_([$€]* #,##0.00_);_([$€]* \(#,##0.00\);_([$€]* &quot;-&quot;??_);_(@_)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#,##0.0000"/>
    <numFmt numFmtId="171" formatCode="_-* #,##0\ _€_-;\-* #,##0\ _€_-;_-* &quot;-&quot;??\ _€_-;_-@_-"/>
  </numFmts>
  <fonts count="44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8"/>
      <color indexed="12"/>
      <name val="Arial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0"/>
      <name val="Arial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b/>
      <sz val="8"/>
      <color indexed="81"/>
      <name val="Tahoma"/>
      <charset val="1"/>
    </font>
    <font>
      <sz val="8"/>
      <color indexed="81"/>
      <name val="Tahoma"/>
      <charset val="1"/>
    </font>
    <font>
      <sz val="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2">
    <xf numFmtId="0" fontId="0" fillId="0" borderId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2"/>
    </xf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34" fillId="20" borderId="0" applyBorder="0" applyAlignment="0"/>
    <xf numFmtId="4" fontId="34" fillId="20" borderId="0" applyBorder="0" applyAlignment="0"/>
    <xf numFmtId="0" fontId="32" fillId="20" borderId="0" applyBorder="0">
      <alignment horizontal="right" vertical="center"/>
    </xf>
    <xf numFmtId="4" fontId="32" fillId="20" borderId="0" applyBorder="0">
      <alignment horizontal="right" vertical="center"/>
    </xf>
    <xf numFmtId="0" fontId="32" fillId="20" borderId="1">
      <alignment horizontal="right" vertical="center"/>
    </xf>
    <xf numFmtId="4" fontId="32" fillId="21" borderId="0" applyBorder="0">
      <alignment horizontal="right" vertical="center"/>
    </xf>
    <xf numFmtId="4" fontId="32" fillId="21" borderId="0" applyBorder="0">
      <alignment horizontal="right" vertical="center"/>
    </xf>
    <xf numFmtId="0" fontId="33" fillId="21" borderId="1">
      <alignment horizontal="right" vertical="center"/>
    </xf>
    <xf numFmtId="4" fontId="33" fillId="21" borderId="1">
      <alignment horizontal="right" vertical="center"/>
    </xf>
    <xf numFmtId="0" fontId="33" fillId="21" borderId="2">
      <alignment horizontal="right" vertical="center"/>
    </xf>
    <xf numFmtId="0" fontId="35" fillId="21" borderId="1">
      <alignment horizontal="right" vertical="center"/>
    </xf>
    <xf numFmtId="4" fontId="35" fillId="21" borderId="1">
      <alignment horizontal="right" vertical="center"/>
    </xf>
    <xf numFmtId="0" fontId="33" fillId="22" borderId="1">
      <alignment horizontal="right" vertical="center"/>
    </xf>
    <xf numFmtId="4" fontId="33" fillId="22" borderId="1">
      <alignment horizontal="right" vertical="center"/>
    </xf>
    <xf numFmtId="0" fontId="33" fillId="22" borderId="2">
      <alignment horizontal="right" vertical="center"/>
    </xf>
    <xf numFmtId="0" fontId="33" fillId="22" borderId="1">
      <alignment horizontal="right" vertical="center"/>
    </xf>
    <xf numFmtId="4" fontId="33" fillId="22" borderId="1">
      <alignment horizontal="right" vertical="center"/>
    </xf>
    <xf numFmtId="0" fontId="33" fillId="22" borderId="3">
      <alignment horizontal="right" vertical="center"/>
    </xf>
    <xf numFmtId="0" fontId="33" fillId="22" borderId="4">
      <alignment horizontal="right" vertical="center"/>
    </xf>
    <xf numFmtId="4" fontId="33" fillId="22" borderId="4">
      <alignment horizontal="right" vertical="center"/>
    </xf>
    <xf numFmtId="0" fontId="33" fillId="22" borderId="5">
      <alignment horizontal="right" vertical="center"/>
    </xf>
    <xf numFmtId="4" fontId="33" fillId="22" borderId="5">
      <alignment horizontal="right" vertical="center"/>
    </xf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4" fontId="34" fillId="0" borderId="6" applyFill="0" applyBorder="0" applyProtection="0">
      <alignment horizontal="right" vertical="center"/>
    </xf>
    <xf numFmtId="0" fontId="11" fillId="23" borderId="7" applyNumberFormat="0" applyAlignment="0" applyProtection="0"/>
    <xf numFmtId="0" fontId="11" fillId="23" borderId="7" applyNumberFormat="0" applyAlignment="0" applyProtection="0"/>
    <xf numFmtId="0" fontId="12" fillId="24" borderId="8" applyNumberFormat="0" applyAlignment="0" applyProtection="0"/>
    <xf numFmtId="0" fontId="12" fillId="24" borderId="8" applyNumberFormat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33" fillId="0" borderId="0" applyNumberFormat="0">
      <alignment horizontal="right"/>
    </xf>
    <xf numFmtId="0" fontId="32" fillId="22" borderId="9">
      <alignment horizontal="left" vertical="center" wrapText="1" indent="2"/>
    </xf>
    <xf numFmtId="0" fontId="32" fillId="0" borderId="9">
      <alignment horizontal="left" vertical="center" wrapText="1" indent="2"/>
    </xf>
    <xf numFmtId="0" fontId="32" fillId="21" borderId="4">
      <alignment horizontal="left" vertical="center"/>
    </xf>
    <xf numFmtId="0" fontId="33" fillId="0" borderId="10">
      <alignment horizontal="left" vertical="top" wrapText="1"/>
    </xf>
    <xf numFmtId="0" fontId="7" fillId="0" borderId="11"/>
    <xf numFmtId="167" fontId="7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8" fillId="7" borderId="7" applyNumberFormat="0" applyAlignment="0" applyProtection="0"/>
    <xf numFmtId="0" fontId="18" fillId="7" borderId="7" applyNumberFormat="0" applyAlignment="0" applyProtection="0"/>
    <xf numFmtId="4" fontId="32" fillId="0" borderId="0" applyBorder="0">
      <alignment horizontal="right" vertical="center"/>
    </xf>
    <xf numFmtId="0" fontId="32" fillId="0" borderId="1">
      <alignment horizontal="right" vertical="center"/>
    </xf>
    <xf numFmtId="4" fontId="32" fillId="0" borderId="1">
      <alignment horizontal="right" vertical="center"/>
    </xf>
    <xf numFmtId="0" fontId="32" fillId="0" borderId="2">
      <alignment horizontal="right" vertical="center"/>
    </xf>
    <xf numFmtId="1" fontId="36" fillId="21" borderId="0" applyBorder="0">
      <alignment horizontal="right" vertical="center"/>
    </xf>
    <xf numFmtId="0" fontId="7" fillId="25" borderId="1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8" fillId="0" borderId="0"/>
    <xf numFmtId="0" fontId="8" fillId="0" borderId="0"/>
    <xf numFmtId="0" fontId="41" fillId="0" borderId="0"/>
    <xf numFmtId="0" fontId="7" fillId="0" borderId="0"/>
    <xf numFmtId="0" fontId="7" fillId="0" borderId="0"/>
    <xf numFmtId="4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2" fillId="0" borderId="0"/>
    <xf numFmtId="0" fontId="7" fillId="0" borderId="0"/>
    <xf numFmtId="0" fontId="8" fillId="0" borderId="0"/>
    <xf numFmtId="0" fontId="27" fillId="0" borderId="0"/>
    <xf numFmtId="0" fontId="7" fillId="0" borderId="0"/>
    <xf numFmtId="0" fontId="27" fillId="0" borderId="0"/>
    <xf numFmtId="0" fontId="7" fillId="0" borderId="0"/>
    <xf numFmtId="0" fontId="8" fillId="0" borderId="0"/>
    <xf numFmtId="0" fontId="2" fillId="0" borderId="0"/>
    <xf numFmtId="0" fontId="8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2" fillId="0" borderId="0"/>
    <xf numFmtId="4" fontId="32" fillId="0" borderId="0" applyFill="0" applyBorder="0" applyProtection="0">
      <alignment horizontal="right" vertical="center"/>
    </xf>
    <xf numFmtId="0" fontId="34" fillId="0" borderId="0" applyNumberFormat="0" applyFill="0" applyBorder="0" applyProtection="0">
      <alignment horizontal="left" vertical="center"/>
    </xf>
    <xf numFmtId="0" fontId="32" fillId="0" borderId="1" applyNumberFormat="0" applyFill="0" applyAlignment="0" applyProtection="0"/>
    <xf numFmtId="0" fontId="7" fillId="27" borderId="0" applyNumberFormat="0" applyFont="0" applyBorder="0" applyAlignment="0" applyProtection="0"/>
    <xf numFmtId="4" fontId="7" fillId="27" borderId="0" applyNumberFormat="0" applyFont="0" applyBorder="0" applyAlignment="0" applyProtection="0"/>
    <xf numFmtId="0" fontId="37" fillId="0" borderId="0"/>
    <xf numFmtId="0" fontId="26" fillId="0" borderId="0"/>
    <xf numFmtId="0" fontId="8" fillId="0" borderId="0"/>
    <xf numFmtId="0" fontId="8" fillId="28" borderId="16" applyNumberFormat="0" applyFont="0" applyAlignment="0" applyProtection="0"/>
    <xf numFmtId="0" fontId="8" fillId="28" borderId="16" applyNumberFormat="0" applyFont="0" applyAlignment="0" applyProtection="0"/>
    <xf numFmtId="0" fontId="21" fillId="23" borderId="17" applyNumberFormat="0" applyAlignment="0" applyProtection="0"/>
    <xf numFmtId="0" fontId="21" fillId="23" borderId="17" applyNumberFormat="0" applyAlignment="0" applyProtection="0"/>
    <xf numFmtId="170" fontId="32" fillId="29" borderId="1" applyNumberFormat="0" applyFont="0" applyBorder="0" applyAlignment="0" applyProtection="0">
      <alignment horizontal="right" vertical="center"/>
    </xf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2" fillId="0" borderId="0" applyFont="0" applyFill="0" applyBorder="0" applyAlignment="0" applyProtection="0"/>
    <xf numFmtId="165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0" fontId="32" fillId="27" borderId="1"/>
    <xf numFmtId="0" fontId="7" fillId="0" borderId="0"/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3" fillId="30" borderId="1" applyNumberFormat="0" applyProtection="0">
      <alignment horizontal="right"/>
    </xf>
    <xf numFmtId="0" fontId="29" fillId="30" borderId="0" applyNumberFormat="0" applyBorder="0" applyProtection="0">
      <alignment horizontal="left"/>
    </xf>
    <xf numFmtId="0" fontId="3" fillId="30" borderId="1" applyNumberFormat="0" applyProtection="0">
      <alignment horizontal="lef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30" fillId="31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169" fontId="2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</cellStyleXfs>
  <cellXfs count="21">
    <xf numFmtId="0" fontId="0" fillId="0" borderId="0" xfId="0"/>
    <xf numFmtId="0" fontId="3" fillId="0" borderId="0" xfId="0" applyFont="1"/>
    <xf numFmtId="0" fontId="5" fillId="32" borderId="0" xfId="0" applyFont="1" applyFill="1"/>
    <xf numFmtId="0" fontId="23" fillId="0" borderId="0" xfId="158" applyFont="1"/>
    <xf numFmtId="0" fontId="23" fillId="32" borderId="0" xfId="158" applyFont="1" applyFill="1"/>
    <xf numFmtId="0" fontId="20" fillId="26" borderId="0" xfId="122"/>
    <xf numFmtId="1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7" fillId="0" borderId="0" xfId="128"/>
    <xf numFmtId="0" fontId="3" fillId="0" borderId="0" xfId="128" applyFont="1"/>
    <xf numFmtId="0" fontId="7" fillId="0" borderId="0" xfId="0" applyFont="1"/>
    <xf numFmtId="2" fontId="3" fillId="33" borderId="0" xfId="0" applyNumberFormat="1" applyFont="1" applyFill="1"/>
    <xf numFmtId="0" fontId="7" fillId="32" borderId="0" xfId="0" applyFont="1" applyFill="1"/>
    <xf numFmtId="171" fontId="7" fillId="33" borderId="0" xfId="88" applyNumberFormat="1" applyFont="1" applyFill="1"/>
    <xf numFmtId="2" fontId="7" fillId="0" borderId="0" xfId="0" applyNumberFormat="1" applyFont="1"/>
    <xf numFmtId="2" fontId="7" fillId="0" borderId="0" xfId="127" applyNumberFormat="1"/>
    <xf numFmtId="0" fontId="7" fillId="33" borderId="0" xfId="0" applyFont="1" applyFill="1"/>
    <xf numFmtId="171" fontId="0" fillId="0" borderId="0" xfId="80" applyNumberFormat="1" applyFont="1"/>
    <xf numFmtId="0" fontId="42" fillId="0" borderId="0" xfId="150"/>
    <xf numFmtId="1" fontId="42" fillId="0" borderId="0" xfId="150" applyNumberFormat="1"/>
  </cellXfs>
  <cellStyles count="192">
    <cellStyle name="20% - Accent1 2" xfId="1" xr:uid="{00000000-0005-0000-0000-000000000000}"/>
    <cellStyle name="20% - Accent1 2 2" xfId="2" xr:uid="{00000000-0005-0000-0000-000001000000}"/>
    <cellStyle name="20% - Accent2 2" xfId="3" xr:uid="{00000000-0005-0000-0000-000002000000}"/>
    <cellStyle name="20% - Accent2 2 2" xfId="4" xr:uid="{00000000-0005-0000-0000-000003000000}"/>
    <cellStyle name="20% - Accent3 2" xfId="5" xr:uid="{00000000-0005-0000-0000-000004000000}"/>
    <cellStyle name="20% - Accent3 2 2" xfId="6" xr:uid="{00000000-0005-0000-0000-000005000000}"/>
    <cellStyle name="20% - Accent4 2" xfId="7" xr:uid="{00000000-0005-0000-0000-000006000000}"/>
    <cellStyle name="20% - Accent4 2 2" xfId="8" xr:uid="{00000000-0005-0000-0000-000007000000}"/>
    <cellStyle name="20% - Accent5 2" xfId="9" xr:uid="{00000000-0005-0000-0000-000008000000}"/>
    <cellStyle name="20% - Accent5 2 2" xfId="10" xr:uid="{00000000-0005-0000-0000-000009000000}"/>
    <cellStyle name="20% - Accent6 2" xfId="11" xr:uid="{00000000-0005-0000-0000-00000A000000}"/>
    <cellStyle name="20% - Accent6 2 2" xfId="12" xr:uid="{00000000-0005-0000-0000-00000B000000}"/>
    <cellStyle name="2x indented GHG Textfiels" xfId="13" xr:uid="{00000000-0005-0000-0000-00000C000000}"/>
    <cellStyle name="40% - Accent1 2" xfId="14" xr:uid="{00000000-0005-0000-0000-00000D000000}"/>
    <cellStyle name="40% - Accent1 2 2" xfId="15" xr:uid="{00000000-0005-0000-0000-00000E000000}"/>
    <cellStyle name="40% - Accent2 2" xfId="16" xr:uid="{00000000-0005-0000-0000-00000F000000}"/>
    <cellStyle name="40% - Accent2 2 2" xfId="17" xr:uid="{00000000-0005-0000-0000-000010000000}"/>
    <cellStyle name="40% - Accent3 2" xfId="18" xr:uid="{00000000-0005-0000-0000-000011000000}"/>
    <cellStyle name="40% - Accent3 2 2" xfId="19" xr:uid="{00000000-0005-0000-0000-000012000000}"/>
    <cellStyle name="40% - Accent4 2" xfId="20" xr:uid="{00000000-0005-0000-0000-000013000000}"/>
    <cellStyle name="40% - Accent4 2 2" xfId="21" xr:uid="{00000000-0005-0000-0000-000014000000}"/>
    <cellStyle name="40% - Accent5 2" xfId="22" xr:uid="{00000000-0005-0000-0000-000015000000}"/>
    <cellStyle name="40% - Accent5 2 2" xfId="23" xr:uid="{00000000-0005-0000-0000-000016000000}"/>
    <cellStyle name="40% - Accent6 2" xfId="24" xr:uid="{00000000-0005-0000-0000-000017000000}"/>
    <cellStyle name="40% - Accent6 2 2" xfId="25" xr:uid="{00000000-0005-0000-0000-000018000000}"/>
    <cellStyle name="5x indented GHG Textfiels" xfId="26" xr:uid="{00000000-0005-0000-0000-000019000000}"/>
    <cellStyle name="60% - Accent1 2" xfId="27" xr:uid="{00000000-0005-0000-0000-00001A000000}"/>
    <cellStyle name="60% - Accent1 2 2" xfId="28" xr:uid="{00000000-0005-0000-0000-00001B000000}"/>
    <cellStyle name="60% - Accent2 2" xfId="29" xr:uid="{00000000-0005-0000-0000-00001C000000}"/>
    <cellStyle name="60% - Accent2 2 2" xfId="30" xr:uid="{00000000-0005-0000-0000-00001D000000}"/>
    <cellStyle name="60% - Accent3 2" xfId="31" xr:uid="{00000000-0005-0000-0000-00001E000000}"/>
    <cellStyle name="60% - Accent3 2 2" xfId="32" xr:uid="{00000000-0005-0000-0000-00001F000000}"/>
    <cellStyle name="60% - Accent4 2" xfId="33" xr:uid="{00000000-0005-0000-0000-000020000000}"/>
    <cellStyle name="60% - Accent4 2 2" xfId="34" xr:uid="{00000000-0005-0000-0000-000021000000}"/>
    <cellStyle name="60% - Accent5 2" xfId="35" xr:uid="{00000000-0005-0000-0000-000022000000}"/>
    <cellStyle name="60% - Accent5 2 2" xfId="36" xr:uid="{00000000-0005-0000-0000-000023000000}"/>
    <cellStyle name="60% - Accent6 2" xfId="37" xr:uid="{00000000-0005-0000-0000-000024000000}"/>
    <cellStyle name="60% - Accent6 2 2" xfId="38" xr:uid="{00000000-0005-0000-0000-000025000000}"/>
    <cellStyle name="Accent1 2" xfId="39" xr:uid="{00000000-0005-0000-0000-000026000000}"/>
    <cellStyle name="Accent1 2 2" xfId="40" xr:uid="{00000000-0005-0000-0000-000027000000}"/>
    <cellStyle name="Accent2 2" xfId="41" xr:uid="{00000000-0005-0000-0000-000028000000}"/>
    <cellStyle name="Accent2 2 2" xfId="42" xr:uid="{00000000-0005-0000-0000-000029000000}"/>
    <cellStyle name="Accent3 2" xfId="43" xr:uid="{00000000-0005-0000-0000-00002A000000}"/>
    <cellStyle name="Accent3 2 2" xfId="44" xr:uid="{00000000-0005-0000-0000-00002B000000}"/>
    <cellStyle name="Accent4 2" xfId="45" xr:uid="{00000000-0005-0000-0000-00002C000000}"/>
    <cellStyle name="Accent4 2 2" xfId="46" xr:uid="{00000000-0005-0000-0000-00002D000000}"/>
    <cellStyle name="Accent5 2" xfId="47" xr:uid="{00000000-0005-0000-0000-00002E000000}"/>
    <cellStyle name="Accent5 2 2" xfId="48" xr:uid="{00000000-0005-0000-0000-00002F000000}"/>
    <cellStyle name="Accent6 2" xfId="49" xr:uid="{00000000-0005-0000-0000-000030000000}"/>
    <cellStyle name="Accent6 2 2" xfId="50" xr:uid="{00000000-0005-0000-0000-000031000000}"/>
    <cellStyle name="AggblueBoldCels" xfId="51" xr:uid="{00000000-0005-0000-0000-000032000000}"/>
    <cellStyle name="AggblueBoldCels 2" xfId="52" xr:uid="{00000000-0005-0000-0000-000033000000}"/>
    <cellStyle name="AggblueCels" xfId="53" xr:uid="{00000000-0005-0000-0000-000034000000}"/>
    <cellStyle name="AggblueCels 2" xfId="54" xr:uid="{00000000-0005-0000-0000-000035000000}"/>
    <cellStyle name="AggblueCels_1x" xfId="55" xr:uid="{00000000-0005-0000-0000-000036000000}"/>
    <cellStyle name="AggBoldCells" xfId="56" xr:uid="{00000000-0005-0000-0000-000037000000}"/>
    <cellStyle name="AggCels" xfId="57" xr:uid="{00000000-0005-0000-0000-000038000000}"/>
    <cellStyle name="AggGreen" xfId="58" xr:uid="{00000000-0005-0000-0000-000039000000}"/>
    <cellStyle name="AggGreen 2" xfId="59" xr:uid="{00000000-0005-0000-0000-00003A000000}"/>
    <cellStyle name="AggGreen_Bbdr" xfId="60" xr:uid="{00000000-0005-0000-0000-00003B000000}"/>
    <cellStyle name="AggGreen12" xfId="61" xr:uid="{00000000-0005-0000-0000-00003C000000}"/>
    <cellStyle name="AggGreen12 2" xfId="62" xr:uid="{00000000-0005-0000-0000-00003D000000}"/>
    <cellStyle name="AggOrange" xfId="63" xr:uid="{00000000-0005-0000-0000-00003E000000}"/>
    <cellStyle name="AggOrange 2" xfId="64" xr:uid="{00000000-0005-0000-0000-00003F000000}"/>
    <cellStyle name="AggOrange_B_border" xfId="65" xr:uid="{00000000-0005-0000-0000-000040000000}"/>
    <cellStyle name="AggOrange9" xfId="66" xr:uid="{00000000-0005-0000-0000-000041000000}"/>
    <cellStyle name="AggOrange9 2" xfId="67" xr:uid="{00000000-0005-0000-0000-000042000000}"/>
    <cellStyle name="AggOrangeLB_2x" xfId="68" xr:uid="{00000000-0005-0000-0000-000043000000}"/>
    <cellStyle name="AggOrangeLBorder" xfId="69" xr:uid="{00000000-0005-0000-0000-000044000000}"/>
    <cellStyle name="AggOrangeLBorder 2" xfId="70" xr:uid="{00000000-0005-0000-0000-000045000000}"/>
    <cellStyle name="AggOrangeRBorder" xfId="71" xr:uid="{00000000-0005-0000-0000-000046000000}"/>
    <cellStyle name="AggOrangeRBorder 2" xfId="72" xr:uid="{00000000-0005-0000-0000-000047000000}"/>
    <cellStyle name="Bad 2" xfId="73" xr:uid="{00000000-0005-0000-0000-000048000000}"/>
    <cellStyle name="Bad 2 2" xfId="74" xr:uid="{00000000-0005-0000-0000-000049000000}"/>
    <cellStyle name="Bold GHG Numbers (0.00)" xfId="75" xr:uid="{00000000-0005-0000-0000-00004A000000}"/>
    <cellStyle name="Calculation 2" xfId="76" xr:uid="{00000000-0005-0000-0000-00004B000000}"/>
    <cellStyle name="Calculation 2 2" xfId="77" xr:uid="{00000000-0005-0000-0000-00004C000000}"/>
    <cellStyle name="Check Cell 2" xfId="78" xr:uid="{00000000-0005-0000-0000-00004D000000}"/>
    <cellStyle name="Check Cell 2 2" xfId="79" xr:uid="{00000000-0005-0000-0000-00004E000000}"/>
    <cellStyle name="Comma" xfId="80" builtinId="3"/>
    <cellStyle name="Comma 2" xfId="81" xr:uid="{00000000-0005-0000-0000-000050000000}"/>
    <cellStyle name="Comma 2 2" xfId="82" xr:uid="{00000000-0005-0000-0000-000051000000}"/>
    <cellStyle name="Comma 2 2 2" xfId="83" xr:uid="{00000000-0005-0000-0000-000052000000}"/>
    <cellStyle name="Comma 2 2 3" xfId="84" xr:uid="{00000000-0005-0000-0000-000053000000}"/>
    <cellStyle name="Comma 2 2 4" xfId="85" xr:uid="{00000000-0005-0000-0000-000054000000}"/>
    <cellStyle name="Comma 2 3" xfId="86" xr:uid="{00000000-0005-0000-0000-000055000000}"/>
    <cellStyle name="Comma 2 4" xfId="87" xr:uid="{00000000-0005-0000-0000-000056000000}"/>
    <cellStyle name="Comma 3" xfId="88" xr:uid="{00000000-0005-0000-0000-000057000000}"/>
    <cellStyle name="Constants" xfId="89" xr:uid="{00000000-0005-0000-0000-000058000000}"/>
    <cellStyle name="CustomCellsOrange" xfId="90" xr:uid="{00000000-0005-0000-0000-000059000000}"/>
    <cellStyle name="CustomizationCells" xfId="91" xr:uid="{00000000-0005-0000-0000-00005A000000}"/>
    <cellStyle name="CustomizationGreenCells" xfId="92" xr:uid="{00000000-0005-0000-0000-00005B000000}"/>
    <cellStyle name="DocBox_EmptyRow" xfId="93" xr:uid="{00000000-0005-0000-0000-00005C000000}"/>
    <cellStyle name="Empty_B_border" xfId="94" xr:uid="{00000000-0005-0000-0000-00005D000000}"/>
    <cellStyle name="Euro" xfId="95" xr:uid="{00000000-0005-0000-0000-00005E000000}"/>
    <cellStyle name="Explanatory Text 2" xfId="96" xr:uid="{00000000-0005-0000-0000-00005F000000}"/>
    <cellStyle name="Explanatory Text 2 2" xfId="97" xr:uid="{00000000-0005-0000-0000-000060000000}"/>
    <cellStyle name="Float" xfId="98" xr:uid="{00000000-0005-0000-0000-000061000000}"/>
    <cellStyle name="Float 2" xfId="99" xr:uid="{00000000-0005-0000-0000-000062000000}"/>
    <cellStyle name="Good 2" xfId="100" xr:uid="{00000000-0005-0000-0000-000063000000}"/>
    <cellStyle name="Good 2 2" xfId="101" xr:uid="{00000000-0005-0000-0000-000064000000}"/>
    <cellStyle name="Heading 1 2" xfId="102" xr:uid="{00000000-0005-0000-0000-000065000000}"/>
    <cellStyle name="Heading 1 2 2" xfId="103" xr:uid="{00000000-0005-0000-0000-000066000000}"/>
    <cellStyle name="Heading 2 2" xfId="104" xr:uid="{00000000-0005-0000-0000-000067000000}"/>
    <cellStyle name="Heading 2 2 2" xfId="105" xr:uid="{00000000-0005-0000-0000-000068000000}"/>
    <cellStyle name="Heading 3 2" xfId="106" xr:uid="{00000000-0005-0000-0000-000069000000}"/>
    <cellStyle name="Heading 3 2 2" xfId="107" xr:uid="{00000000-0005-0000-0000-00006A000000}"/>
    <cellStyle name="Heading 4 2" xfId="108" xr:uid="{00000000-0005-0000-0000-00006B000000}"/>
    <cellStyle name="Heading 4 2 2" xfId="109" xr:uid="{00000000-0005-0000-0000-00006C000000}"/>
    <cellStyle name="Headline" xfId="110" xr:uid="{00000000-0005-0000-0000-00006D000000}"/>
    <cellStyle name="Hyperlink 2" xfId="111" xr:uid="{00000000-0005-0000-0000-00006E000000}"/>
    <cellStyle name="Input 2" xfId="112" xr:uid="{00000000-0005-0000-0000-00006F000000}"/>
    <cellStyle name="Input 2 2" xfId="113" xr:uid="{00000000-0005-0000-0000-000070000000}"/>
    <cellStyle name="InputCells" xfId="114" xr:uid="{00000000-0005-0000-0000-000071000000}"/>
    <cellStyle name="InputCells12" xfId="115" xr:uid="{00000000-0005-0000-0000-000072000000}"/>
    <cellStyle name="InputCells12 2" xfId="116" xr:uid="{00000000-0005-0000-0000-000073000000}"/>
    <cellStyle name="InputCells12_BBorder" xfId="117" xr:uid="{00000000-0005-0000-0000-000074000000}"/>
    <cellStyle name="IntCells" xfId="118" xr:uid="{00000000-0005-0000-0000-000075000000}"/>
    <cellStyle name="KP_thin_border_dark_grey" xfId="119" xr:uid="{00000000-0005-0000-0000-000076000000}"/>
    <cellStyle name="Linked Cell 2" xfId="120" xr:uid="{00000000-0005-0000-0000-000077000000}"/>
    <cellStyle name="Linked Cell 2 2" xfId="121" xr:uid="{00000000-0005-0000-0000-000078000000}"/>
    <cellStyle name="Neutral 2" xfId="122" xr:uid="{00000000-0005-0000-0000-000079000000}"/>
    <cellStyle name="Neutral 2 2" xfId="123" xr:uid="{00000000-0005-0000-0000-00007A000000}"/>
    <cellStyle name="Normal" xfId="0" builtinId="0"/>
    <cellStyle name="Normal 2" xfId="124" xr:uid="{00000000-0005-0000-0000-00007C000000}"/>
    <cellStyle name="Normal 2 2" xfId="125" xr:uid="{00000000-0005-0000-0000-00007D000000}"/>
    <cellStyle name="Normal 2 2 2" xfId="126" xr:uid="{00000000-0005-0000-0000-00007E000000}"/>
    <cellStyle name="Normal 2 3" xfId="127" xr:uid="{00000000-0005-0000-0000-00007F000000}"/>
    <cellStyle name="Normal 2 4" xfId="128" xr:uid="{00000000-0005-0000-0000-000080000000}"/>
    <cellStyle name="Normal 2 5" xfId="129" xr:uid="{00000000-0005-0000-0000-000081000000}"/>
    <cellStyle name="Normal 2_bound" xfId="130" xr:uid="{00000000-0005-0000-0000-000082000000}"/>
    <cellStyle name="Normal 3" xfId="131" xr:uid="{00000000-0005-0000-0000-000083000000}"/>
    <cellStyle name="Normal 3 2" xfId="132" xr:uid="{00000000-0005-0000-0000-000084000000}"/>
    <cellStyle name="Normal 3 3" xfId="133" xr:uid="{00000000-0005-0000-0000-000085000000}"/>
    <cellStyle name="Normal 3 4" xfId="134" xr:uid="{00000000-0005-0000-0000-000086000000}"/>
    <cellStyle name="Normal 3_Heating-COM" xfId="135" xr:uid="{00000000-0005-0000-0000-000087000000}"/>
    <cellStyle name="Normal 4" xfId="136" xr:uid="{00000000-0005-0000-0000-000088000000}"/>
    <cellStyle name="Normal 4 13 2" xfId="137" xr:uid="{00000000-0005-0000-0000-000089000000}"/>
    <cellStyle name="Normal 4 13 2 2" xfId="138" xr:uid="{00000000-0005-0000-0000-00008A000000}"/>
    <cellStyle name="Normal 4 13 2 3" xfId="139" xr:uid="{00000000-0005-0000-0000-00008B000000}"/>
    <cellStyle name="Normal 4 13 2 4" xfId="140" xr:uid="{00000000-0005-0000-0000-00008C000000}"/>
    <cellStyle name="Normal 4 2" xfId="141" xr:uid="{00000000-0005-0000-0000-00008D000000}"/>
    <cellStyle name="Normal 4 3" xfId="142" xr:uid="{00000000-0005-0000-0000-00008E000000}"/>
    <cellStyle name="Normal 5" xfId="143" xr:uid="{00000000-0005-0000-0000-00008F000000}"/>
    <cellStyle name="Normal 6" xfId="144" xr:uid="{00000000-0005-0000-0000-000090000000}"/>
    <cellStyle name="Normal 6 2" xfId="145" xr:uid="{00000000-0005-0000-0000-000091000000}"/>
    <cellStyle name="Normal 7" xfId="146" xr:uid="{00000000-0005-0000-0000-000092000000}"/>
    <cellStyle name="Normal 7 2" xfId="147" xr:uid="{00000000-0005-0000-0000-000093000000}"/>
    <cellStyle name="Normal 8" xfId="148" xr:uid="{00000000-0005-0000-0000-000094000000}"/>
    <cellStyle name="Normal 8 2" xfId="149" xr:uid="{00000000-0005-0000-0000-000095000000}"/>
    <cellStyle name="Normal 9" xfId="150" xr:uid="{00000000-0005-0000-0000-000096000000}"/>
    <cellStyle name="Normal GHG Numbers (0.00)" xfId="151" xr:uid="{00000000-0005-0000-0000-000097000000}"/>
    <cellStyle name="Normal GHG Textfiels Bold" xfId="152" xr:uid="{00000000-0005-0000-0000-000098000000}"/>
    <cellStyle name="Normal GHG whole table" xfId="153" xr:uid="{00000000-0005-0000-0000-000099000000}"/>
    <cellStyle name="Normal GHG-Shade" xfId="154" xr:uid="{00000000-0005-0000-0000-00009A000000}"/>
    <cellStyle name="Normal GHG-Shade 2" xfId="155" xr:uid="{00000000-0005-0000-0000-00009B000000}"/>
    <cellStyle name="Normál_Munka1" xfId="156" xr:uid="{00000000-0005-0000-0000-00009C000000}"/>
    <cellStyle name="Normale_B2020" xfId="157" xr:uid="{00000000-0005-0000-0000-00009D000000}"/>
    <cellStyle name="Normale_Scen_UC_IND-StrucConst" xfId="158" xr:uid="{00000000-0005-0000-0000-00009E000000}"/>
    <cellStyle name="Note 2" xfId="159" xr:uid="{00000000-0005-0000-0000-00009F000000}"/>
    <cellStyle name="Note 2 2" xfId="160" xr:uid="{00000000-0005-0000-0000-0000A0000000}"/>
    <cellStyle name="Output 2" xfId="161" xr:uid="{00000000-0005-0000-0000-0000A1000000}"/>
    <cellStyle name="Output 2 2" xfId="162" xr:uid="{00000000-0005-0000-0000-0000A2000000}"/>
    <cellStyle name="Pattern" xfId="163" xr:uid="{00000000-0005-0000-0000-0000A3000000}"/>
    <cellStyle name="Percent 2" xfId="164" xr:uid="{00000000-0005-0000-0000-0000A4000000}"/>
    <cellStyle name="Percent 2 2" xfId="165" xr:uid="{00000000-0005-0000-0000-0000A5000000}"/>
    <cellStyle name="Percent 3" xfId="166" xr:uid="{00000000-0005-0000-0000-0000A6000000}"/>
    <cellStyle name="Percent 3 2" xfId="167" xr:uid="{00000000-0005-0000-0000-0000A7000000}"/>
    <cellStyle name="Percent 3 3" xfId="168" xr:uid="{00000000-0005-0000-0000-0000A8000000}"/>
    <cellStyle name="Percent 4" xfId="169" xr:uid="{00000000-0005-0000-0000-0000A9000000}"/>
    <cellStyle name="Pilkku_Layo9704" xfId="170" xr:uid="{00000000-0005-0000-0000-0000AA000000}"/>
    <cellStyle name="Pyör. luku_Layo9704" xfId="171" xr:uid="{00000000-0005-0000-0000-0000AB000000}"/>
    <cellStyle name="Pyör. valuutta_Layo9704" xfId="172" xr:uid="{00000000-0005-0000-0000-0000AC000000}"/>
    <cellStyle name="Shade" xfId="173" xr:uid="{00000000-0005-0000-0000-0000AD000000}"/>
    <cellStyle name="Standard 2" xfId="174" xr:uid="{00000000-0005-0000-0000-0000AE000000}"/>
    <cellStyle name="Style 21" xfId="175" xr:uid="{00000000-0005-0000-0000-0000AF000000}"/>
    <cellStyle name="Style 21 2" xfId="176" xr:uid="{00000000-0005-0000-0000-0000B0000000}"/>
    <cellStyle name="Style 22" xfId="177" xr:uid="{00000000-0005-0000-0000-0000B1000000}"/>
    <cellStyle name="Style 23" xfId="178" xr:uid="{00000000-0005-0000-0000-0000B2000000}"/>
    <cellStyle name="Style 24" xfId="179" xr:uid="{00000000-0005-0000-0000-0000B3000000}"/>
    <cellStyle name="Style 25" xfId="180" xr:uid="{00000000-0005-0000-0000-0000B4000000}"/>
    <cellStyle name="Style 25 2" xfId="181" xr:uid="{00000000-0005-0000-0000-0000B5000000}"/>
    <cellStyle name="Style 26" xfId="182" xr:uid="{00000000-0005-0000-0000-0000B6000000}"/>
    <cellStyle name="Title 2" xfId="183" xr:uid="{00000000-0005-0000-0000-0000B7000000}"/>
    <cellStyle name="Title 2 2" xfId="184" xr:uid="{00000000-0005-0000-0000-0000B8000000}"/>
    <cellStyle name="Total 2" xfId="185" xr:uid="{00000000-0005-0000-0000-0000B9000000}"/>
    <cellStyle name="Total 2 2" xfId="186" xr:uid="{00000000-0005-0000-0000-0000BA000000}"/>
    <cellStyle name="Valuutta_Layo9704" xfId="187" xr:uid="{00000000-0005-0000-0000-0000BB000000}"/>
    <cellStyle name="Warning Text 2" xfId="188" xr:uid="{00000000-0005-0000-0000-0000BC000000}"/>
    <cellStyle name="Warning Text 2 2" xfId="189" xr:uid="{00000000-0005-0000-0000-0000BD000000}"/>
    <cellStyle name="Гиперссылка" xfId="190" xr:uid="{00000000-0005-0000-0000-0000BE000000}"/>
    <cellStyle name="Обычный_2++" xfId="191" xr:uid="{00000000-0005-0000-0000-0000B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1"/>
  <sheetViews>
    <sheetView tabSelected="1" topLeftCell="C24" zoomScale="85" zoomScaleNormal="85" workbookViewId="0">
      <selection activeCell="P12" sqref="P12"/>
    </sheetView>
  </sheetViews>
  <sheetFormatPr defaultRowHeight="12.75" x14ac:dyDescent="0.2"/>
  <cols>
    <col min="2" max="2" width="12.140625" customWidth="1"/>
    <col min="3" max="3" width="23.140625" customWidth="1"/>
    <col min="4" max="4" width="16.42578125" bestFit="1" customWidth="1"/>
    <col min="5" max="5" width="11.85546875" bestFit="1" customWidth="1"/>
    <col min="6" max="6" width="12.5703125" customWidth="1"/>
    <col min="7" max="13" width="11.7109375" bestFit="1" customWidth="1"/>
    <col min="14" max="14" width="11.5703125" bestFit="1" customWidth="1"/>
    <col min="15" max="15" width="17.28515625" customWidth="1"/>
    <col min="16" max="16" width="13.5703125" customWidth="1"/>
  </cols>
  <sheetData>
    <row r="2" spans="2:17" x14ac:dyDescent="0.2">
      <c r="D2" t="s">
        <v>66</v>
      </c>
    </row>
    <row r="3" spans="2:17" ht="15" x14ac:dyDescent="0.25">
      <c r="D3" s="19"/>
      <c r="E3" s="20">
        <v>2005</v>
      </c>
      <c r="G3" s="20">
        <v>2010</v>
      </c>
      <c r="H3" s="20">
        <v>2015</v>
      </c>
      <c r="I3" s="20">
        <v>2020</v>
      </c>
      <c r="J3" s="20">
        <v>2025</v>
      </c>
      <c r="K3" s="20">
        <v>2030</v>
      </c>
      <c r="L3" s="20">
        <v>2035</v>
      </c>
      <c r="M3" s="20">
        <v>2040</v>
      </c>
      <c r="N3" s="20">
        <v>2045</v>
      </c>
      <c r="O3" s="20">
        <v>2050</v>
      </c>
      <c r="P3" s="20">
        <v>2060</v>
      </c>
    </row>
    <row r="4" spans="2:17" ht="15" x14ac:dyDescent="0.25">
      <c r="D4" s="19" t="s">
        <v>65</v>
      </c>
      <c r="E4" s="20">
        <v>2501.2492701057886</v>
      </c>
      <c r="G4" s="20">
        <v>2175.1401184851866</v>
      </c>
      <c r="H4" s="20">
        <v>2018.1709765757928</v>
      </c>
      <c r="I4" s="20">
        <v>1815.4635221231815</v>
      </c>
      <c r="J4" s="20">
        <v>1674.169792737878</v>
      </c>
      <c r="K4" s="20">
        <v>1334.212855350198</v>
      </c>
      <c r="L4" s="20">
        <v>1170.2005994357658</v>
      </c>
      <c r="M4" s="20">
        <v>981.26904443371325</v>
      </c>
      <c r="N4" s="20">
        <v>827.58657624554246</v>
      </c>
      <c r="O4" s="20">
        <v>717.76583873652305</v>
      </c>
      <c r="P4" s="20">
        <v>651.58899899006781</v>
      </c>
    </row>
    <row r="6" spans="2:17" x14ac:dyDescent="0.2">
      <c r="B6" t="s">
        <v>0</v>
      </c>
      <c r="C6" t="s">
        <v>10</v>
      </c>
    </row>
    <row r="7" spans="2:17" x14ac:dyDescent="0.2">
      <c r="B7" t="s">
        <v>1</v>
      </c>
      <c r="C7" t="s">
        <v>18</v>
      </c>
    </row>
    <row r="9" spans="2:17" x14ac:dyDescent="0.2">
      <c r="B9" t="s">
        <v>2</v>
      </c>
    </row>
    <row r="11" spans="2:17" x14ac:dyDescent="0.2">
      <c r="B11" t="s">
        <v>3</v>
      </c>
      <c r="C11" t="s">
        <v>11</v>
      </c>
      <c r="E11">
        <v>2005</v>
      </c>
      <c r="F11">
        <v>2006</v>
      </c>
      <c r="G11">
        <v>2010</v>
      </c>
      <c r="H11">
        <v>2015</v>
      </c>
      <c r="I11">
        <v>2020</v>
      </c>
      <c r="J11">
        <v>2025</v>
      </c>
      <c r="K11">
        <v>2030</v>
      </c>
      <c r="L11">
        <v>2035</v>
      </c>
      <c r="M11">
        <v>2040</v>
      </c>
      <c r="N11">
        <v>2045</v>
      </c>
      <c r="O11">
        <v>2050</v>
      </c>
      <c r="P11">
        <v>2060</v>
      </c>
    </row>
    <row r="12" spans="2:17" x14ac:dyDescent="0.2">
      <c r="D12" s="11" t="s">
        <v>21</v>
      </c>
      <c r="E12" s="14">
        <f>E50*1000</f>
        <v>2202969</v>
      </c>
      <c r="F12" s="14"/>
      <c r="G12" s="14">
        <f t="shared" ref="G12:M12" si="0">$E12*(1-G16)</f>
        <v>1971657.2550000001</v>
      </c>
      <c r="H12" s="14">
        <f t="shared" si="0"/>
        <v>1856001.3825000001</v>
      </c>
      <c r="I12" s="14">
        <f t="shared" si="0"/>
        <v>1740345.51</v>
      </c>
      <c r="J12" s="14">
        <f t="shared" si="0"/>
        <v>1498018.92</v>
      </c>
      <c r="K12" s="14">
        <f>$E12*(1-K16)</f>
        <v>1175104.6146686762</v>
      </c>
      <c r="L12" s="14">
        <f t="shared" si="0"/>
        <v>1030651.2330253988</v>
      </c>
      <c r="M12" s="14">
        <f t="shared" si="0"/>
        <v>864250.24142262503</v>
      </c>
      <c r="N12" s="14">
        <f>(M12+O12)/2</f>
        <v>791008.0400795741</v>
      </c>
      <c r="O12" s="14">
        <f>O4*1000</f>
        <v>717765.83873652306</v>
      </c>
      <c r="P12" s="14">
        <f>P4*1000</f>
        <v>651588.99899006786</v>
      </c>
    </row>
    <row r="14" spans="2:17" x14ac:dyDescent="0.2">
      <c r="F14" s="11" t="s">
        <v>57</v>
      </c>
      <c r="G14" s="16">
        <v>0.105</v>
      </c>
      <c r="H14" s="16">
        <v>0.1575</v>
      </c>
      <c r="I14" s="16">
        <v>0.21</v>
      </c>
      <c r="J14" s="16">
        <v>0.26</v>
      </c>
      <c r="K14" s="16">
        <v>0.31</v>
      </c>
      <c r="L14" s="16">
        <v>0.34333333333333332</v>
      </c>
      <c r="M14" s="16">
        <v>0.37666666666666665</v>
      </c>
      <c r="O14" s="16"/>
    </row>
    <row r="15" spans="2:17" x14ac:dyDescent="0.2">
      <c r="L15" s="7"/>
      <c r="M15" s="7"/>
    </row>
    <row r="16" spans="2:17" x14ac:dyDescent="0.2">
      <c r="E16" s="7"/>
      <c r="F16" s="13" t="s">
        <v>62</v>
      </c>
      <c r="G16" s="7">
        <v>0.105</v>
      </c>
      <c r="H16" s="7">
        <v>0.1575</v>
      </c>
      <c r="I16" s="7">
        <v>0.21</v>
      </c>
      <c r="J16" s="7">
        <v>0.32</v>
      </c>
      <c r="K16" s="7">
        <f>1-K4/$E$4</f>
        <v>0.46658141141855547</v>
      </c>
      <c r="L16" s="7">
        <f>1-L4/$E$4</f>
        <v>0.532153546860896</v>
      </c>
      <c r="M16" s="7">
        <f>1-M4/$E$4</f>
        <v>0.60768842347639707</v>
      </c>
      <c r="N16" s="7"/>
      <c r="O16" s="7"/>
      <c r="Q16" s="15"/>
    </row>
    <row r="17" spans="3:20" x14ac:dyDescent="0.2">
      <c r="L17" s="7"/>
    </row>
    <row r="18" spans="3:20" x14ac:dyDescent="0.2">
      <c r="E18" s="6"/>
      <c r="L18" s="7"/>
      <c r="M18" s="7"/>
      <c r="P18" s="11" t="s">
        <v>58</v>
      </c>
    </row>
    <row r="19" spans="3:20" x14ac:dyDescent="0.2">
      <c r="C19" t="s">
        <v>19</v>
      </c>
      <c r="E19" t="s">
        <v>20</v>
      </c>
      <c r="S19">
        <v>-8.8000000000000009E-2</v>
      </c>
      <c r="T19" s="11" t="s">
        <v>59</v>
      </c>
    </row>
    <row r="20" spans="3:20" x14ac:dyDescent="0.2">
      <c r="E20">
        <v>2005</v>
      </c>
      <c r="F20">
        <v>2005</v>
      </c>
      <c r="I20" s="9" t="s">
        <v>46</v>
      </c>
      <c r="P20" s="1" t="s">
        <v>60</v>
      </c>
      <c r="Q20" s="12">
        <v>0.871</v>
      </c>
      <c r="R20" s="17" t="s">
        <v>61</v>
      </c>
    </row>
    <row r="21" spans="3:20" x14ac:dyDescent="0.2">
      <c r="E21" t="s">
        <v>21</v>
      </c>
      <c r="F21" t="s">
        <v>22</v>
      </c>
      <c r="I21" s="9" t="s">
        <v>47</v>
      </c>
      <c r="L21" s="9" t="s">
        <v>48</v>
      </c>
    </row>
    <row r="22" spans="3:20" x14ac:dyDescent="0.2">
      <c r="D22" t="s">
        <v>23</v>
      </c>
      <c r="E22">
        <v>33.799999999999997</v>
      </c>
      <c r="F22">
        <v>49.3</v>
      </c>
      <c r="I22" s="9" t="s">
        <v>49</v>
      </c>
      <c r="L22" s="9">
        <v>6.2530000000000001</v>
      </c>
    </row>
    <row r="23" spans="3:20" x14ac:dyDescent="0.2">
      <c r="D23" t="s">
        <v>4</v>
      </c>
      <c r="E23">
        <v>55.2</v>
      </c>
      <c r="F23">
        <v>62.5</v>
      </c>
      <c r="I23" s="9" t="s">
        <v>50</v>
      </c>
      <c r="L23" s="9">
        <v>3.1389999999999998</v>
      </c>
    </row>
    <row r="24" spans="3:20" x14ac:dyDescent="0.2">
      <c r="D24" t="s">
        <v>24</v>
      </c>
      <c r="E24">
        <v>38.9</v>
      </c>
      <c r="F24">
        <v>10.3</v>
      </c>
      <c r="I24" s="9" t="s">
        <v>51</v>
      </c>
      <c r="L24" s="9">
        <v>0.57699999999999996</v>
      </c>
    </row>
    <row r="25" spans="3:20" x14ac:dyDescent="0.2">
      <c r="D25" t="s">
        <v>25</v>
      </c>
      <c r="E25">
        <v>3.7</v>
      </c>
      <c r="F25">
        <v>3.7</v>
      </c>
      <c r="L25" s="10">
        <f>SUM(L22:L24)</f>
        <v>9.9689999999999994</v>
      </c>
    </row>
    <row r="26" spans="3:20" x14ac:dyDescent="0.2">
      <c r="D26" t="s">
        <v>26</v>
      </c>
      <c r="E26">
        <v>82.5</v>
      </c>
      <c r="F26">
        <v>43.6</v>
      </c>
    </row>
    <row r="27" spans="3:20" x14ac:dyDescent="0.2">
      <c r="D27" t="s">
        <v>5</v>
      </c>
      <c r="E27">
        <v>485</v>
      </c>
      <c r="F27">
        <v>395.6</v>
      </c>
    </row>
    <row r="28" spans="3:20" x14ac:dyDescent="0.2">
      <c r="D28" t="s">
        <v>27</v>
      </c>
      <c r="E28">
        <v>26.5</v>
      </c>
      <c r="F28">
        <v>25.4</v>
      </c>
    </row>
    <row r="29" spans="3:20" x14ac:dyDescent="0.2">
      <c r="D29" t="s">
        <v>28</v>
      </c>
      <c r="E29">
        <v>12.6</v>
      </c>
      <c r="F29">
        <v>3.2</v>
      </c>
    </row>
    <row r="30" spans="3:20" x14ac:dyDescent="0.2">
      <c r="D30" t="s">
        <v>6</v>
      </c>
      <c r="E30">
        <v>189.6</v>
      </c>
      <c r="F30">
        <v>186.2</v>
      </c>
    </row>
    <row r="31" spans="3:20" x14ac:dyDescent="0.2">
      <c r="D31" t="s">
        <v>7</v>
      </c>
      <c r="E31">
        <v>33.5</v>
      </c>
      <c r="F31">
        <v>24.5</v>
      </c>
    </row>
    <row r="32" spans="3:20" x14ac:dyDescent="0.2">
      <c r="D32" t="s">
        <v>8</v>
      </c>
      <c r="E32">
        <v>136.4</v>
      </c>
      <c r="F32">
        <v>273.10000000000002</v>
      </c>
    </row>
    <row r="33" spans="4:6" x14ac:dyDescent="0.2">
      <c r="D33" t="s">
        <v>29</v>
      </c>
      <c r="E33">
        <v>65.2</v>
      </c>
      <c r="F33">
        <v>39.6</v>
      </c>
    </row>
    <row r="34" spans="4:6" x14ac:dyDescent="0.2">
      <c r="D34" t="s">
        <v>30</v>
      </c>
      <c r="E34">
        <v>27.4</v>
      </c>
      <c r="F34">
        <v>30.7</v>
      </c>
    </row>
    <row r="35" spans="4:6" x14ac:dyDescent="0.2">
      <c r="D35" t="s">
        <v>31</v>
      </c>
      <c r="E35">
        <v>22.4</v>
      </c>
      <c r="F35">
        <v>27.7</v>
      </c>
    </row>
    <row r="36" spans="4:6" x14ac:dyDescent="0.2">
      <c r="D36" t="s">
        <v>32</v>
      </c>
      <c r="E36">
        <v>225.5</v>
      </c>
      <c r="F36">
        <v>261.60000000000002</v>
      </c>
    </row>
    <row r="37" spans="4:6" x14ac:dyDescent="0.2">
      <c r="D37" t="s">
        <v>33</v>
      </c>
      <c r="E37">
        <v>6.7</v>
      </c>
      <c r="F37">
        <v>5.9</v>
      </c>
    </row>
    <row r="38" spans="4:6" x14ac:dyDescent="0.2">
      <c r="D38" t="s">
        <v>34</v>
      </c>
      <c r="E38">
        <v>2.6</v>
      </c>
      <c r="F38">
        <v>10.5</v>
      </c>
    </row>
    <row r="39" spans="4:6" x14ac:dyDescent="0.2">
      <c r="D39" t="s">
        <v>35</v>
      </c>
      <c r="E39">
        <v>2.9</v>
      </c>
      <c r="F39">
        <v>4.7</v>
      </c>
    </row>
    <row r="40" spans="4:6" x14ac:dyDescent="0.2">
      <c r="D40" t="s">
        <v>36</v>
      </c>
      <c r="E40">
        <v>1.9</v>
      </c>
      <c r="F40">
        <v>1.05</v>
      </c>
    </row>
    <row r="41" spans="4:6" x14ac:dyDescent="0.2">
      <c r="D41" t="s">
        <v>37</v>
      </c>
      <c r="E41">
        <v>84.4</v>
      </c>
      <c r="F41">
        <v>98</v>
      </c>
    </row>
    <row r="42" spans="4:6" x14ac:dyDescent="0.2">
      <c r="D42" t="s">
        <v>38</v>
      </c>
      <c r="E42">
        <v>209.4</v>
      </c>
      <c r="F42">
        <v>92</v>
      </c>
    </row>
    <row r="43" spans="4:6" x14ac:dyDescent="0.2">
      <c r="D43" t="s">
        <v>39</v>
      </c>
      <c r="E43">
        <v>37.200000000000003</v>
      </c>
      <c r="F43">
        <v>30.9</v>
      </c>
    </row>
    <row r="44" spans="4:6" x14ac:dyDescent="0.2">
      <c r="D44" t="s">
        <v>40</v>
      </c>
      <c r="E44">
        <v>70.8</v>
      </c>
      <c r="F44">
        <v>34.200000000000003</v>
      </c>
    </row>
    <row r="45" spans="4:6" x14ac:dyDescent="0.2">
      <c r="D45" t="s">
        <v>41</v>
      </c>
      <c r="E45">
        <v>21.3</v>
      </c>
      <c r="F45">
        <v>33.9</v>
      </c>
    </row>
    <row r="46" spans="4:6" x14ac:dyDescent="0.2">
      <c r="D46" t="s">
        <v>42</v>
      </c>
      <c r="E46">
        <v>8.6999999999999993</v>
      </c>
      <c r="F46">
        <v>7.5</v>
      </c>
    </row>
    <row r="47" spans="4:6" x14ac:dyDescent="0.2">
      <c r="D47" t="s">
        <v>43</v>
      </c>
      <c r="E47">
        <v>26.9</v>
      </c>
      <c r="F47">
        <v>13.9</v>
      </c>
    </row>
    <row r="48" spans="4:6" x14ac:dyDescent="0.2">
      <c r="D48" t="s">
        <v>9</v>
      </c>
      <c r="E48">
        <v>281.89999999999998</v>
      </c>
      <c r="F48">
        <v>304.60000000000002</v>
      </c>
    </row>
    <row r="49" spans="4:7" x14ac:dyDescent="0.2">
      <c r="D49" t="s">
        <v>44</v>
      </c>
      <c r="E49">
        <v>2193</v>
      </c>
      <c r="F49">
        <v>2074</v>
      </c>
    </row>
    <row r="50" spans="4:7" x14ac:dyDescent="0.2">
      <c r="D50" t="s">
        <v>54</v>
      </c>
      <c r="E50" s="8">
        <f>E49+E51</f>
        <v>2202.9690000000001</v>
      </c>
    </row>
    <row r="51" spans="4:7" x14ac:dyDescent="0.2">
      <c r="D51" t="s">
        <v>52</v>
      </c>
      <c r="E51" s="7">
        <f>L25</f>
        <v>9.9689999999999994</v>
      </c>
      <c r="G51" t="s">
        <v>53</v>
      </c>
    </row>
  </sheetData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20"/>
  <sheetViews>
    <sheetView workbookViewId="0">
      <selection activeCell="F19" sqref="F19"/>
    </sheetView>
  </sheetViews>
  <sheetFormatPr defaultRowHeight="12.75" x14ac:dyDescent="0.2"/>
  <cols>
    <col min="2" max="2" width="14.28515625" customWidth="1"/>
    <col min="3" max="3" width="18.85546875" customWidth="1"/>
    <col min="5" max="5" width="14.42578125" customWidth="1"/>
    <col min="6" max="6" width="17" bestFit="1" customWidth="1"/>
    <col min="9" max="9" width="14.5703125" bestFit="1" customWidth="1"/>
  </cols>
  <sheetData>
    <row r="4" spans="2:10" x14ac:dyDescent="0.2">
      <c r="C4" s="2" t="s">
        <v>64</v>
      </c>
    </row>
    <row r="6" spans="2:10" ht="15" x14ac:dyDescent="0.25">
      <c r="D6" s="4" t="s">
        <v>15</v>
      </c>
    </row>
    <row r="7" spans="2:10" ht="15" x14ac:dyDescent="0.25">
      <c r="B7" s="3" t="s">
        <v>14</v>
      </c>
      <c r="C7" s="3" t="s">
        <v>13</v>
      </c>
      <c r="D7" s="3" t="s">
        <v>12</v>
      </c>
      <c r="E7" s="5" t="s">
        <v>16</v>
      </c>
      <c r="F7" s="5" t="s">
        <v>17</v>
      </c>
      <c r="G7" s="1" t="s">
        <v>56</v>
      </c>
    </row>
    <row r="8" spans="2:10" x14ac:dyDescent="0.2">
      <c r="B8" t="s">
        <v>63</v>
      </c>
      <c r="C8" s="1" t="s">
        <v>45</v>
      </c>
      <c r="D8">
        <v>2010</v>
      </c>
      <c r="E8">
        <v>1</v>
      </c>
      <c r="F8" s="18">
        <f>Emission_CO2TOT1!G12</f>
        <v>1971657.2550000001</v>
      </c>
      <c r="G8" s="18"/>
      <c r="H8" s="18"/>
      <c r="I8" s="18"/>
      <c r="J8" s="6"/>
    </row>
    <row r="9" spans="2:10" x14ac:dyDescent="0.2">
      <c r="C9" s="1" t="s">
        <v>45</v>
      </c>
      <c r="D9">
        <v>2015</v>
      </c>
      <c r="F9" s="18">
        <f>Emission_CO2TOT1!H12</f>
        <v>1856001.3825000001</v>
      </c>
      <c r="G9" s="18"/>
      <c r="H9" s="18"/>
      <c r="I9" s="18"/>
      <c r="J9" s="6"/>
    </row>
    <row r="10" spans="2:10" x14ac:dyDescent="0.2">
      <c r="C10" s="1" t="s">
        <v>45</v>
      </c>
      <c r="D10">
        <v>2020</v>
      </c>
      <c r="F10" s="18">
        <f>Emission_CO2TOT1!I12</f>
        <v>1740345.51</v>
      </c>
      <c r="G10" s="18"/>
      <c r="H10" s="18"/>
      <c r="I10" s="18"/>
      <c r="J10" s="6"/>
    </row>
    <row r="11" spans="2:10" x14ac:dyDescent="0.2">
      <c r="C11" s="1" t="s">
        <v>45</v>
      </c>
      <c r="D11">
        <v>2025</v>
      </c>
      <c r="F11" s="18">
        <f>Emission_CO2TOT1!J12</f>
        <v>1498018.92</v>
      </c>
      <c r="G11" s="18"/>
      <c r="H11" s="18"/>
      <c r="I11" s="18"/>
      <c r="J11" s="6"/>
    </row>
    <row r="12" spans="2:10" x14ac:dyDescent="0.2">
      <c r="C12" s="1" t="s">
        <v>45</v>
      </c>
      <c r="D12">
        <v>2030</v>
      </c>
      <c r="F12" s="18">
        <f>Emission_CO2TOT1!K12</f>
        <v>1175104.6146686762</v>
      </c>
      <c r="G12" s="18"/>
      <c r="H12" s="18"/>
      <c r="I12" s="18"/>
      <c r="J12" s="6"/>
    </row>
    <row r="13" spans="2:10" x14ac:dyDescent="0.2">
      <c r="C13" s="1" t="s">
        <v>45</v>
      </c>
      <c r="D13">
        <v>2035</v>
      </c>
      <c r="F13" s="18">
        <f>Emission_CO2TOT1!L12</f>
        <v>1030651.2330253988</v>
      </c>
      <c r="G13" s="18"/>
      <c r="H13" s="18"/>
      <c r="I13" s="18"/>
      <c r="J13" s="6"/>
    </row>
    <row r="14" spans="2:10" x14ac:dyDescent="0.2">
      <c r="C14" s="1" t="s">
        <v>45</v>
      </c>
      <c r="D14">
        <v>2040</v>
      </c>
      <c r="F14" s="18">
        <f>Emission_CO2TOT1!M12</f>
        <v>864250.24142262503</v>
      </c>
      <c r="G14" s="18"/>
      <c r="H14" s="18"/>
      <c r="I14" s="18"/>
      <c r="J14" s="6"/>
    </row>
    <row r="15" spans="2:10" x14ac:dyDescent="0.2">
      <c r="C15" s="1" t="s">
        <v>45</v>
      </c>
      <c r="D15">
        <v>2045</v>
      </c>
      <c r="F15" s="18">
        <f>Emission_CO2TOT1!N12</f>
        <v>791008.0400795741</v>
      </c>
      <c r="G15" s="18"/>
      <c r="H15" s="18"/>
      <c r="I15" s="18"/>
      <c r="J15" s="6"/>
    </row>
    <row r="16" spans="2:10" x14ac:dyDescent="0.2">
      <c r="C16" s="1" t="s">
        <v>45</v>
      </c>
      <c r="D16">
        <v>2050</v>
      </c>
      <c r="F16" s="18">
        <f>Emission_CO2TOT1!O12</f>
        <v>717765.83873652306</v>
      </c>
      <c r="G16" s="18"/>
      <c r="H16" s="18"/>
      <c r="I16" s="18"/>
      <c r="J16" s="6"/>
    </row>
    <row r="17" spans="3:10" x14ac:dyDescent="0.2">
      <c r="C17" s="1" t="s">
        <v>45</v>
      </c>
      <c r="D17">
        <v>2060</v>
      </c>
      <c r="F17" s="18">
        <f>Emission_CO2TOT1!P12</f>
        <v>651588.99899006786</v>
      </c>
      <c r="G17" s="18"/>
      <c r="H17" s="18"/>
      <c r="I17" s="18"/>
      <c r="J17" s="6"/>
    </row>
    <row r="18" spans="3:10" x14ac:dyDescent="0.2">
      <c r="C18" s="1" t="s">
        <v>45</v>
      </c>
      <c r="D18">
        <v>2070</v>
      </c>
      <c r="F18" s="18">
        <f>F17</f>
        <v>651588.99899006786</v>
      </c>
      <c r="G18" s="18"/>
      <c r="H18" s="18"/>
      <c r="I18" s="18"/>
      <c r="J18" s="6"/>
    </row>
    <row r="19" spans="3:10" x14ac:dyDescent="0.2">
      <c r="C19" s="1" t="s">
        <v>45</v>
      </c>
      <c r="D19">
        <v>0</v>
      </c>
      <c r="F19">
        <v>5</v>
      </c>
      <c r="J19" s="6"/>
    </row>
    <row r="20" spans="3:10" x14ac:dyDescent="0.2">
      <c r="C20" t="s">
        <v>55</v>
      </c>
      <c r="G20">
        <v>-1</v>
      </c>
    </row>
  </sheetData>
  <phoneticPr fontId="2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9E83B8-EAE9-4D66-B2CA-EFF4AD052E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0DA4A9-625C-413E-A8A4-6A1EFFCE88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0B68FB-B52E-4EB5-833B-2E99D32D3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Emission_CO2TOT1</vt:lpstr>
      <vt:lpstr>bound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</dc:creator>
  <cp:lastModifiedBy>Danish Hameed</cp:lastModifiedBy>
  <dcterms:created xsi:type="dcterms:W3CDTF">2008-06-05T16:51:18Z</dcterms:created>
  <dcterms:modified xsi:type="dcterms:W3CDTF">2024-12-10T18:52:26Z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841587841510773</vt:lpwstr>
  </property>
  <property fmtid="{D5CDD505-2E9C-101B-9397-08002B2CF9AE}" pid="3" name="ContentTypeId">
    <vt:lpwstr>0x01010074EFC6228ED6F043ACDD38E315A3264B</vt:lpwstr>
  </property>
</Properties>
</file>