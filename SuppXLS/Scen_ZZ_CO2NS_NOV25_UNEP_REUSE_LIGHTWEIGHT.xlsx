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57C101E2-4484-4FE0-A5AB-84FF090CAE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lculation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G21" i="2"/>
  <c r="G17" i="2"/>
  <c r="G18" i="2"/>
  <c r="G19" i="2"/>
  <c r="G20" i="2"/>
  <c r="G16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G15" i="2"/>
  <c r="G11" i="2"/>
  <c r="G12" i="2"/>
  <c r="G13" i="2"/>
  <c r="G14" i="2"/>
  <c r="G10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G9" i="2"/>
  <c r="G5" i="2"/>
  <c r="G6" i="2"/>
  <c r="G7" i="2"/>
  <c r="G8" i="2"/>
  <c r="G4" i="2"/>
  <c r="D16" i="2"/>
  <c r="E16" i="2"/>
  <c r="F16" i="2"/>
  <c r="D17" i="2"/>
  <c r="E17" i="2"/>
  <c r="F17" i="2"/>
  <c r="D18" i="2"/>
  <c r="E18" i="2"/>
  <c r="F18" i="2"/>
  <c r="D19" i="2"/>
  <c r="E19" i="2"/>
  <c r="F19" i="2"/>
  <c r="D20" i="2"/>
  <c r="E20" i="2"/>
  <c r="F20" i="2"/>
  <c r="D21" i="2"/>
  <c r="E21" i="2"/>
  <c r="F21" i="2"/>
  <c r="D15" i="2"/>
  <c r="E15" i="2"/>
  <c r="F15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D13" i="2"/>
  <c r="E13" i="2"/>
  <c r="F13" i="2"/>
  <c r="D14" i="2"/>
  <c r="E14" i="2"/>
  <c r="F14" i="2"/>
  <c r="D5" i="2"/>
  <c r="E5" i="2"/>
  <c r="F5" i="2"/>
  <c r="D6" i="2"/>
  <c r="E6" i="2"/>
  <c r="F6" i="2"/>
  <c r="D7" i="2"/>
  <c r="E7" i="2"/>
  <c r="F7" i="2"/>
  <c r="D8" i="2"/>
  <c r="E8" i="2"/>
  <c r="F8" i="2"/>
  <c r="D9" i="2"/>
  <c r="E9" i="2"/>
  <c r="F9" i="2"/>
  <c r="D10" i="2"/>
  <c r="E10" i="2"/>
  <c r="F10" i="2"/>
  <c r="D11" i="2"/>
  <c r="E11" i="2"/>
  <c r="F11" i="2"/>
  <c r="D12" i="2"/>
  <c r="E12" i="2"/>
  <c r="F12" i="2"/>
  <c r="F4" i="2"/>
  <c r="E4" i="2"/>
  <c r="D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H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<sst xmlns="http://schemas.openxmlformats.org/spreadsheetml/2006/main" count="284" uniqueCount="76">
  <si>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</si>
  <si>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</si>
  <si>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</si>
  <si>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</si>
  <si>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</si>
  <si>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</si>
  <si>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</si>
  <si>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</si>
  <si>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</si>
  <si>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</si>
  <si>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</si>
  <si>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</si>
  <si>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</si>
  <si>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</si>
  <si>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</si>
  <si>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</si>
  <si>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</si>
  <si>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</si>
  <si>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</si>
  <si>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</si>
  <si>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</si>
  <si>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</si>
  <si>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</si>
  <si>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</si>
  <si>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</si>
  <si>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</si>
  <si>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</si>
  <si>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</si>
  <si>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Update</t>
  </si>
  <si>
    <t>AL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</si>
  <si>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</si>
  <si>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</si>
  <si>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</si>
  <si>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</si>
  <si>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</si>
  <si>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</si>
  <si>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</si>
  <si>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</si>
  <si>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</si>
  <si>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</si>
  <si>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</si>
  <si>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</si>
  <si>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</si>
  <si>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</si>
  <si>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</si>
  <si>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</si>
  <si>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</si>
  <si>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</si>
  <si>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KS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</si>
  <si>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</si>
  <si>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</si>
  <si>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</si>
  <si>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</si>
  <si>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</si>
  <si>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</si>
  <si>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</si>
  <si>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</si>
  <si>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</si>
  <si>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</si>
  <si>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</si>
  <si>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</si>
  <si>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</si>
  <si>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</si>
  <si>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</si>
  <si>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</si>
  <si>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COM_PROJ</t>
  </si>
  <si>
    <t>ICM</t>
  </si>
  <si>
    <t>IGF</t>
  </si>
  <si>
    <t>IIS</t>
  </si>
  <si>
    <t>Steel</t>
  </si>
  <si>
    <t>Concrete</t>
  </si>
  <si>
    <t>Glass</t>
  </si>
  <si>
    <t>REUSE</t>
  </si>
  <si>
    <t>REDESIGN</t>
  </si>
  <si>
    <t>TOTAL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</si>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</sst>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2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10" fontId="0" fillId="0" borderId="0" xfId="0" applyNumberFormat="1"/>
    <xf numFmtId="9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9" fontId="0" fillId="0" borderId="2" xfId="0" applyNumberFormat="1" applyBorder="1"/>
    <xf numFmtId="0" fontId="0" fillId="0" borderId="9" xfId="0" applyBorder="1"/>
    <xf numFmtId="10" fontId="0" fillId="0" borderId="3" xfId="0" applyNumberFormat="1" applyBorder="1"/>
    <xf numFmtId="9" fontId="0" fillId="0" borderId="3" xfId="0" applyNumberFormat="1" applyBorder="1"/>
    <xf numFmtId="9" fontId="0" fillId="0" borderId="4" xfId="0" applyNumberFormat="1" applyBorder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304800</xdr:colOff>
      <xdr:row>22</xdr:row>
      <xdr:rowOff>175260</xdr:rowOff>
    </xdr:from>
    <xdr:to>
      <xdr:col>27</xdr:col>
      <xdr:colOff>207625</xdr:colOff>
      <xdr:row>45</xdr:row>
      <xdr:rowOff>137522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73376-DD07-1ABC-07E5-052443C82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4860" y="4213860"/>
          <a:ext cx="4170025" cy="4176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P51"/>
  <sheetViews>
    <sheetView workbookViewId="0">
      <selection activeCell="B13" sqref="B13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9.6640625" bestFit="1" customWidth="1"/>
    <col min="7" max="7" width="10.6640625" bestFit="1" customWidth="1"/>
    <col min="8" max="8" width="8.6640625" bestFit="1" customWidth="1"/>
    <col min="9" max="10" width="8.44140625" bestFit="1" customWidth="1"/>
    <col min="11" max="11" width="7.5546875" bestFit="1" customWidth="1"/>
    <col min="12" max="12" width="8.5546875" bestFit="1" customWidth="1"/>
    <col min="13" max="13" width="8.6640625" bestFit="1" customWidth="1"/>
    <col min="14" max="15" width="8.44140625" bestFit="1" customWidth="1"/>
  </cols>
  <sheetData>
    <row r="2" spans="2:42" x14ac:dyDescent="0.3">
      <c r="B2" s="9"/>
      <c r="H2" s="10"/>
      <c r="I2" s="11"/>
      <c r="J2" s="11"/>
      <c r="K2" s="11"/>
      <c r="L2" s="11"/>
      <c r="M2" s="11"/>
      <c r="N2" s="11"/>
      <c r="O2" s="11"/>
    </row>
    <row r="3" spans="2:42" ht="15" thickBot="1" x14ac:dyDescent="0.35">
      <c r="B3" s="12" t="s">
        <v>16</v>
      </c>
      <c r="C3" s="12" t="s">
        <v>12</v>
      </c>
      <c r="D3" s="12" t="s">
        <v>11</v>
      </c>
      <c r="E3" s="12" t="s">
        <v>3</v>
      </c>
      <c r="F3" s="12" t="s">
        <v>6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</row>
    <row r="4" spans="2:42" x14ac:dyDescent="0.3">
      <c r="D4" t="str">
        <f>B34</f>
        <v>COM_PROJ</v>
      </c>
      <c r="E4">
        <f>C34</f>
        <v>2020</v>
      </c>
      <c r="F4" t="str">
        <f>D34</f>
        <v>ICM</v>
      </c>
      <c r="G4">
        <f>E34*(1-(VLOOKUP($E4,$B$23:$J$29,8,0)))</f>
        <v>1.3</v>
      </c>
      <c r="H4">
        <f t="shared" ref="H4:AP8" si="0">F34*(1-(VLOOKUP($E4,$B$23:$J$29,8,0)))</f>
        <v>9.4899999999999998E-2</v>
      </c>
      <c r="I4">
        <f t="shared" si="0"/>
        <v>3.8902610000000002</v>
      </c>
      <c r="J4">
        <f t="shared" si="0"/>
        <v>1.374234</v>
      </c>
      <c r="K4">
        <f t="shared" si="0"/>
        <v>2</v>
      </c>
      <c r="L4">
        <f t="shared" si="0"/>
        <v>3.259274</v>
      </c>
      <c r="M4">
        <f t="shared" si="0"/>
        <v>2.6961189999999999</v>
      </c>
      <c r="N4">
        <f t="shared" si="0"/>
        <v>24.892910000000001</v>
      </c>
      <c r="O4">
        <f t="shared" si="0"/>
        <v>2.422288</v>
      </c>
      <c r="P4">
        <f t="shared" si="0"/>
        <v>0.18029800000000001</v>
      </c>
      <c r="Q4">
        <f t="shared" si="0"/>
        <v>8.4708100000000002</v>
      </c>
      <c r="R4">
        <f t="shared" si="0"/>
        <v>22.133900000000001</v>
      </c>
      <c r="S4">
        <f t="shared" si="0"/>
        <v>0.795122</v>
      </c>
      <c r="T4">
        <f t="shared" si="0"/>
        <v>12.26113</v>
      </c>
      <c r="U4">
        <f t="shared" si="0"/>
        <v>2.887057</v>
      </c>
      <c r="V4">
        <f t="shared" si="0"/>
        <v>2.2856610000000002</v>
      </c>
      <c r="W4">
        <f t="shared" si="0"/>
        <v>3.8230629999999999</v>
      </c>
      <c r="X4">
        <f t="shared" si="0"/>
        <v>0.14000000000000001</v>
      </c>
      <c r="Y4">
        <f t="shared" si="0"/>
        <v>18.224019999999999</v>
      </c>
      <c r="Z4">
        <f t="shared" si="0"/>
        <v>0.03</v>
      </c>
      <c r="AA4">
        <f t="shared" si="0"/>
        <v>1.3845700000000001</v>
      </c>
      <c r="AB4">
        <f t="shared" si="0"/>
        <v>0.35056999999999999</v>
      </c>
      <c r="AC4">
        <f t="shared" si="0"/>
        <v>0.624247</v>
      </c>
      <c r="AD4">
        <f t="shared" si="0"/>
        <v>0</v>
      </c>
      <c r="AE4">
        <f t="shared" si="0"/>
        <v>0.82</v>
      </c>
      <c r="AF4">
        <f t="shared" si="0"/>
        <v>0</v>
      </c>
      <c r="AG4">
        <f t="shared" si="0"/>
        <v>2.0814699999999999</v>
      </c>
      <c r="AH4">
        <f t="shared" si="0"/>
        <v>1.02</v>
      </c>
      <c r="AI4">
        <f t="shared" si="0"/>
        <v>13.15278</v>
      </c>
      <c r="AJ4">
        <f t="shared" si="0"/>
        <v>6.0612459999999997</v>
      </c>
      <c r="AK4">
        <f t="shared" si="0"/>
        <v>4.3670660000000003</v>
      </c>
      <c r="AL4">
        <f t="shared" si="0"/>
        <v>2.0950000000000002</v>
      </c>
      <c r="AM4">
        <f t="shared" si="0"/>
        <v>2.2484790000000001</v>
      </c>
      <c r="AN4">
        <f t="shared" si="0"/>
        <v>0.39801300000000001</v>
      </c>
      <c r="AO4">
        <f t="shared" si="0"/>
        <v>4.1379489999999999</v>
      </c>
      <c r="AP4">
        <f t="shared" si="0"/>
        <v>9.0159599999999998</v>
      </c>
    </row>
    <row r="5" spans="2:42" x14ac:dyDescent="0.3">
      <c r="D5" t="str">
        <f t="shared" ref="D5:D12" si="1">B35</f>
        <v>COM_PROJ</v>
      </c>
      <c r="E5">
        <f t="shared" ref="E5:E12" si="2">C35</f>
        <v>2030</v>
      </c>
      <c r="F5" t="str">
        <f t="shared" ref="F5:F12" si="3">D35</f>
        <v>ICM</v>
      </c>
      <c r="G5">
        <f t="shared" ref="G5:G9" si="4">E35*(1-(VLOOKUP($E5,$B$23:$J$29,8,0)))</f>
        <v>1.2233000000000001</v>
      </c>
      <c r="H5">
        <f t="shared" si="0"/>
        <v>8.9300899999999989E-2</v>
      </c>
      <c r="I5">
        <f t="shared" si="0"/>
        <v>4.3958909099999994</v>
      </c>
      <c r="J5">
        <f t="shared" si="0"/>
        <v>1.6230593839999998</v>
      </c>
      <c r="K5">
        <f t="shared" si="0"/>
        <v>1.8819999999999999</v>
      </c>
      <c r="L5">
        <f t="shared" si="0"/>
        <v>3.3296663939999998</v>
      </c>
      <c r="M5">
        <f t="shared" si="0"/>
        <v>3.120635477</v>
      </c>
      <c r="N5">
        <f t="shared" si="0"/>
        <v>26.851538509999997</v>
      </c>
      <c r="O5">
        <f t="shared" si="0"/>
        <v>3.0948793659999998</v>
      </c>
      <c r="P5">
        <f t="shared" si="0"/>
        <v>0.20354582799999998</v>
      </c>
      <c r="Q5">
        <f t="shared" si="0"/>
        <v>10.70113669</v>
      </c>
      <c r="R5">
        <f t="shared" si="0"/>
        <v>28.799446149999998</v>
      </c>
      <c r="S5">
        <f t="shared" si="0"/>
        <v>0.86575105299999999</v>
      </c>
      <c r="T5">
        <f t="shared" si="0"/>
        <v>13.339390159999999</v>
      </c>
      <c r="U5">
        <f t="shared" si="0"/>
        <v>3.203321147</v>
      </c>
      <c r="V5">
        <f t="shared" si="0"/>
        <v>2.7072108909999999</v>
      </c>
      <c r="W5">
        <f t="shared" si="0"/>
        <v>4.8262064459999996</v>
      </c>
      <c r="X5">
        <f t="shared" si="0"/>
        <v>0.13174</v>
      </c>
      <c r="Y5">
        <f t="shared" si="0"/>
        <v>22.381741460000001</v>
      </c>
      <c r="Z5">
        <f t="shared" si="0"/>
        <v>2.8229999999999998E-2</v>
      </c>
      <c r="AA5">
        <f t="shared" si="0"/>
        <v>1.6541227349999998</v>
      </c>
      <c r="AB5">
        <f t="shared" si="0"/>
        <v>0.35281195300000001</v>
      </c>
      <c r="AC5">
        <f t="shared" si="0"/>
        <v>0.76101022499999993</v>
      </c>
      <c r="AD5">
        <f t="shared" si="0"/>
        <v>0</v>
      </c>
      <c r="AE5">
        <f t="shared" si="0"/>
        <v>0.77161999999999986</v>
      </c>
      <c r="AF5">
        <f t="shared" si="0"/>
        <v>0</v>
      </c>
      <c r="AG5">
        <f t="shared" si="0"/>
        <v>2.3378335739999998</v>
      </c>
      <c r="AH5">
        <f t="shared" si="0"/>
        <v>0.95982000000000001</v>
      </c>
      <c r="AI5">
        <f t="shared" si="0"/>
        <v>15.023036769999999</v>
      </c>
      <c r="AJ5">
        <f t="shared" si="0"/>
        <v>7.2504755749999994</v>
      </c>
      <c r="AK5">
        <f t="shared" si="0"/>
        <v>5.0383125509999998</v>
      </c>
      <c r="AL5">
        <f t="shared" si="0"/>
        <v>1.971395</v>
      </c>
      <c r="AM5">
        <f t="shared" si="0"/>
        <v>2.5200488139999999</v>
      </c>
      <c r="AN5">
        <f t="shared" si="0"/>
        <v>0.495260533</v>
      </c>
      <c r="AO5">
        <f t="shared" si="0"/>
        <v>4.3118925450000001</v>
      </c>
      <c r="AP5">
        <f t="shared" si="0"/>
        <v>8.5097923499999997</v>
      </c>
    </row>
    <row r="6" spans="2:42" x14ac:dyDescent="0.3">
      <c r="D6" t="str">
        <f t="shared" si="1"/>
        <v>COM_PROJ</v>
      </c>
      <c r="E6">
        <f t="shared" si="2"/>
        <v>2040</v>
      </c>
      <c r="F6" t="str">
        <f t="shared" si="3"/>
        <v>ICM</v>
      </c>
      <c r="G6">
        <f t="shared" si="4"/>
        <v>1.1466000000000001</v>
      </c>
      <c r="H6">
        <f t="shared" si="0"/>
        <v>8.3701799999999993E-2</v>
      </c>
      <c r="I6">
        <f t="shared" si="0"/>
        <v>4.4661234240000001</v>
      </c>
      <c r="J6">
        <f t="shared" si="0"/>
        <v>1.68771582</v>
      </c>
      <c r="K6">
        <f t="shared" si="0"/>
        <v>1.764</v>
      </c>
      <c r="L6">
        <f t="shared" si="0"/>
        <v>3.3832285199999999</v>
      </c>
      <c r="M6">
        <f t="shared" si="0"/>
        <v>3.0751803180000001</v>
      </c>
      <c r="N6">
        <f t="shared" si="0"/>
        <v>25.87243806</v>
      </c>
      <c r="O6">
        <f t="shared" si="0"/>
        <v>3.0905403480000002</v>
      </c>
      <c r="P6">
        <f t="shared" si="0"/>
        <v>0.206528238</v>
      </c>
      <c r="Q6">
        <f t="shared" si="0"/>
        <v>10.38411234</v>
      </c>
      <c r="R6">
        <f t="shared" si="0"/>
        <v>28.108175760000002</v>
      </c>
      <c r="S6">
        <f t="shared" si="0"/>
        <v>0.87055605000000003</v>
      </c>
      <c r="T6">
        <f t="shared" si="0"/>
        <v>13.17383424</v>
      </c>
      <c r="U6">
        <f t="shared" si="0"/>
        <v>3.2387921999999998</v>
      </c>
      <c r="V6">
        <f t="shared" si="0"/>
        <v>2.790431028</v>
      </c>
      <c r="W6">
        <f t="shared" si="0"/>
        <v>5.0220400859999996</v>
      </c>
      <c r="X6">
        <f t="shared" si="0"/>
        <v>0.12348000000000001</v>
      </c>
      <c r="Y6">
        <f t="shared" si="0"/>
        <v>21.31883964</v>
      </c>
      <c r="Z6">
        <f t="shared" si="0"/>
        <v>2.6460000000000001E-2</v>
      </c>
      <c r="AA6">
        <f t="shared" si="0"/>
        <v>1.7120872439999999</v>
      </c>
      <c r="AB6">
        <f t="shared" si="0"/>
        <v>0.34869869999999997</v>
      </c>
      <c r="AC6">
        <f t="shared" si="0"/>
        <v>0.77002039799999999</v>
      </c>
      <c r="AD6">
        <f t="shared" si="0"/>
        <v>0</v>
      </c>
      <c r="AE6">
        <f t="shared" si="0"/>
        <v>0.72323999999999999</v>
      </c>
      <c r="AF6">
        <f t="shared" si="0"/>
        <v>0</v>
      </c>
      <c r="AG6">
        <f t="shared" si="0"/>
        <v>2.299297266</v>
      </c>
      <c r="AH6">
        <f t="shared" si="0"/>
        <v>0.89964</v>
      </c>
      <c r="AI6">
        <f t="shared" si="0"/>
        <v>16.109509499999998</v>
      </c>
      <c r="AJ6">
        <f t="shared" si="0"/>
        <v>7.0312228560000003</v>
      </c>
      <c r="AK6">
        <f t="shared" si="0"/>
        <v>5.2339194180000002</v>
      </c>
      <c r="AL6">
        <f t="shared" si="0"/>
        <v>1.8477900000000003</v>
      </c>
      <c r="AM6">
        <f t="shared" si="0"/>
        <v>2.5509203999999999</v>
      </c>
      <c r="AN6">
        <f t="shared" si="0"/>
        <v>0.51183518400000005</v>
      </c>
      <c r="AO6">
        <f t="shared" si="0"/>
        <v>4.5728022060000004</v>
      </c>
      <c r="AP6">
        <f t="shared" si="0"/>
        <v>8.0558351999999989</v>
      </c>
    </row>
    <row r="7" spans="2:42" x14ac:dyDescent="0.3">
      <c r="D7" t="str">
        <f t="shared" si="1"/>
        <v>COM_PROJ</v>
      </c>
      <c r="E7">
        <f t="shared" si="2"/>
        <v>2050</v>
      </c>
      <c r="F7" t="str">
        <f t="shared" si="3"/>
        <v>ICM</v>
      </c>
      <c r="G7">
        <f t="shared" si="4"/>
        <v>1.0309000000000001</v>
      </c>
      <c r="H7">
        <f t="shared" si="0"/>
        <v>7.5255700000000009E-2</v>
      </c>
      <c r="I7">
        <f t="shared" si="0"/>
        <v>4.3239260740000001</v>
      </c>
      <c r="J7">
        <f t="shared" si="0"/>
        <v>1.643987332</v>
      </c>
      <c r="K7">
        <f t="shared" si="0"/>
        <v>1.5860000000000001</v>
      </c>
      <c r="L7">
        <f t="shared" si="0"/>
        <v>3.3267444340000001</v>
      </c>
      <c r="M7">
        <f t="shared" si="0"/>
        <v>2.9099301530000004</v>
      </c>
      <c r="N7">
        <f t="shared" si="0"/>
        <v>24.112465520000001</v>
      </c>
      <c r="O7">
        <f t="shared" si="0"/>
        <v>3.0273068410000001</v>
      </c>
      <c r="P7">
        <f t="shared" si="0"/>
        <v>0.206804091</v>
      </c>
      <c r="Q7">
        <f t="shared" si="0"/>
        <v>10.016835010000001</v>
      </c>
      <c r="R7">
        <f t="shared" si="0"/>
        <v>26.845325910000003</v>
      </c>
      <c r="S7">
        <f t="shared" si="0"/>
        <v>0.85434806600000002</v>
      </c>
      <c r="T7">
        <f t="shared" si="0"/>
        <v>12.830898599999999</v>
      </c>
      <c r="U7">
        <f t="shared" si="0"/>
        <v>3.1723433690000005</v>
      </c>
      <c r="V7">
        <f t="shared" si="0"/>
        <v>2.7285694669999998</v>
      </c>
      <c r="W7">
        <f t="shared" si="0"/>
        <v>4.7549295039999997</v>
      </c>
      <c r="X7">
        <f t="shared" si="0"/>
        <v>0.11102000000000002</v>
      </c>
      <c r="Y7">
        <f t="shared" si="0"/>
        <v>20.47610851</v>
      </c>
      <c r="Z7">
        <f t="shared" si="0"/>
        <v>2.3789999999999999E-2</v>
      </c>
      <c r="AA7">
        <f t="shared" si="0"/>
        <v>1.6693839500000001</v>
      </c>
      <c r="AB7">
        <f t="shared" si="0"/>
        <v>0.32491906199999998</v>
      </c>
      <c r="AC7">
        <f t="shared" si="0"/>
        <v>0.7225419500000001</v>
      </c>
      <c r="AD7">
        <f t="shared" si="0"/>
        <v>0</v>
      </c>
      <c r="AE7">
        <f t="shared" si="0"/>
        <v>0.65025999999999995</v>
      </c>
      <c r="AF7">
        <f t="shared" si="0"/>
        <v>0</v>
      </c>
      <c r="AG7">
        <f t="shared" si="0"/>
        <v>2.252045458</v>
      </c>
      <c r="AH7">
        <f t="shared" si="0"/>
        <v>0.80886000000000002</v>
      </c>
      <c r="AI7">
        <f t="shared" si="0"/>
        <v>15.558081110000002</v>
      </c>
      <c r="AJ7">
        <f t="shared" si="0"/>
        <v>6.5928251610000004</v>
      </c>
      <c r="AK7">
        <f t="shared" si="0"/>
        <v>5.1494113190000004</v>
      </c>
      <c r="AL7">
        <f t="shared" si="0"/>
        <v>1.6613350000000002</v>
      </c>
      <c r="AM7">
        <f t="shared" si="0"/>
        <v>2.4632959000000003</v>
      </c>
      <c r="AN7">
        <f t="shared" si="0"/>
        <v>0.48526207600000004</v>
      </c>
      <c r="AO7">
        <f t="shared" si="0"/>
        <v>4.35700369</v>
      </c>
      <c r="AP7">
        <f t="shared" si="0"/>
        <v>7.2429448000000001</v>
      </c>
    </row>
    <row r="8" spans="2:42" x14ac:dyDescent="0.3">
      <c r="D8" t="str">
        <f t="shared" si="1"/>
        <v>COM_PROJ</v>
      </c>
      <c r="E8">
        <f t="shared" si="2"/>
        <v>2060</v>
      </c>
      <c r="F8" t="str">
        <f t="shared" si="3"/>
        <v>ICM</v>
      </c>
      <c r="G8">
        <f t="shared" si="4"/>
        <v>0</v>
      </c>
      <c r="H8">
        <f t="shared" si="0"/>
        <v>0</v>
      </c>
      <c r="I8">
        <f t="shared" si="0"/>
        <v>4.3898257000000003</v>
      </c>
      <c r="J8">
        <f t="shared" si="0"/>
        <v>1.6900419900000001</v>
      </c>
      <c r="K8">
        <f t="shared" si="0"/>
        <v>1.508</v>
      </c>
      <c r="L8">
        <f t="shared" si="0"/>
        <v>3.4397932399999998</v>
      </c>
      <c r="M8">
        <f t="shared" si="0"/>
        <v>2.8983021079999998</v>
      </c>
      <c r="N8">
        <f t="shared" si="0"/>
        <v>23.692097520000001</v>
      </c>
      <c r="O8">
        <f t="shared" si="0"/>
        <v>3.1419700259999996</v>
      </c>
      <c r="P8">
        <f t="shared" si="0"/>
        <v>0.21839006800000002</v>
      </c>
      <c r="Q8">
        <f t="shared" si="0"/>
        <v>10.307330799999999</v>
      </c>
      <c r="R8">
        <f t="shared" si="0"/>
        <v>27.293638839999996</v>
      </c>
      <c r="S8">
        <f t="shared" si="0"/>
        <v>0.87975211999999992</v>
      </c>
      <c r="T8">
        <f t="shared" si="0"/>
        <v>13.177002020000002</v>
      </c>
      <c r="U8">
        <f t="shared" si="0"/>
        <v>3.2710533179999999</v>
      </c>
      <c r="V8">
        <f t="shared" si="0"/>
        <v>2.8226804319999999</v>
      </c>
      <c r="W8">
        <f t="shared" si="0"/>
        <v>4.7490162199999997</v>
      </c>
      <c r="X8">
        <f t="shared" si="0"/>
        <v>0.10556000000000001</v>
      </c>
      <c r="Y8">
        <f t="shared" si="0"/>
        <v>21.007895220000002</v>
      </c>
      <c r="Z8">
        <f t="shared" si="0"/>
        <v>0</v>
      </c>
      <c r="AA8">
        <f t="shared" si="0"/>
        <v>1.6924118120000002</v>
      </c>
      <c r="AB8">
        <f t="shared" si="0"/>
        <v>0.31714898800000002</v>
      </c>
      <c r="AC8">
        <f t="shared" si="0"/>
        <v>0.71159127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2.349326772</v>
      </c>
      <c r="AH8">
        <f t="shared" si="0"/>
        <v>0.76907999999999999</v>
      </c>
      <c r="AI8">
        <f t="shared" si="0"/>
        <v>15.790660079999999</v>
      </c>
      <c r="AJ8">
        <f t="shared" si="0"/>
        <v>6.5526045780000004</v>
      </c>
      <c r="AK8">
        <f t="shared" si="0"/>
        <v>5.3387098179999999</v>
      </c>
      <c r="AL8">
        <f t="shared" si="0"/>
        <v>0</v>
      </c>
      <c r="AM8">
        <f t="shared" si="0"/>
        <v>2.4957151180000001</v>
      </c>
      <c r="AN8">
        <f t="shared" si="0"/>
        <v>0.48324236999999998</v>
      </c>
      <c r="AO8">
        <f t="shared" si="0"/>
        <v>4.3237956579999999</v>
      </c>
      <c r="AP8">
        <f t="shared" si="0"/>
        <v>6.8867343999999999</v>
      </c>
    </row>
    <row r="9" spans="2:42" x14ac:dyDescent="0.3">
      <c r="D9" t="str">
        <f t="shared" si="1"/>
        <v>COM_PROJ</v>
      </c>
      <c r="E9">
        <f t="shared" si="2"/>
        <v>2070</v>
      </c>
      <c r="F9" t="str">
        <f t="shared" si="3"/>
        <v>ICM</v>
      </c>
      <c r="G9">
        <f>E39*(1-(VLOOKUP($E8,$B$23:$J$29,8,0)))</f>
        <v>0</v>
      </c>
      <c r="H9">
        <f t="shared" ref="H9:AP9" si="5">F39*(1-(VLOOKUP($E8,$B$23:$J$29,8,0)))</f>
        <v>0</v>
      </c>
      <c r="I9">
        <f t="shared" si="5"/>
        <v>4.6872500480000001</v>
      </c>
      <c r="J9">
        <f t="shared" si="5"/>
        <v>1.827250386</v>
      </c>
      <c r="K9">
        <f t="shared" si="5"/>
        <v>1.508</v>
      </c>
      <c r="L9">
        <f t="shared" si="5"/>
        <v>3.7406505500000002</v>
      </c>
      <c r="M9">
        <f t="shared" si="5"/>
        <v>3.0360337800000003</v>
      </c>
      <c r="N9">
        <f t="shared" si="5"/>
        <v>24.483141539999998</v>
      </c>
      <c r="O9">
        <f t="shared" si="5"/>
        <v>3.4296481700000001</v>
      </c>
      <c r="P9">
        <f t="shared" si="5"/>
        <v>0.24255275199999998</v>
      </c>
      <c r="Q9">
        <f t="shared" si="5"/>
        <v>11.15485696</v>
      </c>
      <c r="R9">
        <f t="shared" si="5"/>
        <v>29.184753780000001</v>
      </c>
      <c r="S9">
        <f t="shared" si="5"/>
        <v>0.95276872600000007</v>
      </c>
      <c r="T9">
        <f t="shared" si="5"/>
        <v>14.2323909</v>
      </c>
      <c r="U9">
        <f t="shared" si="5"/>
        <v>3.5472910199999999</v>
      </c>
      <c r="V9">
        <f t="shared" si="5"/>
        <v>3.0710744220000001</v>
      </c>
      <c r="W9">
        <f t="shared" si="5"/>
        <v>4.9884443959999993</v>
      </c>
      <c r="X9">
        <f t="shared" si="5"/>
        <v>0.10556000000000001</v>
      </c>
      <c r="Y9">
        <f t="shared" si="5"/>
        <v>22.6683314</v>
      </c>
      <c r="Z9">
        <f t="shared" si="5"/>
        <v>0</v>
      </c>
      <c r="AA9">
        <f t="shared" si="5"/>
        <v>1.8045037140000002</v>
      </c>
      <c r="AB9">
        <f t="shared" si="5"/>
        <v>0.32557644600000002</v>
      </c>
      <c r="AC9">
        <f t="shared" si="5"/>
        <v>0.73705535799999999</v>
      </c>
      <c r="AD9">
        <f t="shared" si="5"/>
        <v>0</v>
      </c>
      <c r="AE9">
        <f t="shared" si="5"/>
        <v>0</v>
      </c>
      <c r="AF9">
        <f t="shared" si="5"/>
        <v>0</v>
      </c>
      <c r="AG9">
        <f t="shared" si="5"/>
        <v>2.5775768980000002</v>
      </c>
      <c r="AH9">
        <f t="shared" si="5"/>
        <v>0.76907999999999999</v>
      </c>
      <c r="AI9">
        <f t="shared" si="5"/>
        <v>16.855685080000001</v>
      </c>
      <c r="AJ9">
        <f t="shared" si="5"/>
        <v>6.849489062</v>
      </c>
      <c r="AK9">
        <f t="shared" si="5"/>
        <v>5.8212585079999997</v>
      </c>
      <c r="AL9">
        <f t="shared" si="5"/>
        <v>0</v>
      </c>
      <c r="AM9">
        <f t="shared" si="5"/>
        <v>2.659348198</v>
      </c>
      <c r="AN9">
        <f t="shared" si="5"/>
        <v>0.50612250000000003</v>
      </c>
      <c r="AO9">
        <f t="shared" si="5"/>
        <v>4.5127819879999995</v>
      </c>
      <c r="AP9">
        <f t="shared" si="5"/>
        <v>6.8867343999999999</v>
      </c>
    </row>
    <row r="10" spans="2:42" x14ac:dyDescent="0.3">
      <c r="D10" t="str">
        <f t="shared" si="1"/>
        <v>COM_PROJ</v>
      </c>
      <c r="E10">
        <f t="shared" si="2"/>
        <v>2020</v>
      </c>
      <c r="F10" t="str">
        <f t="shared" si="3"/>
        <v>IGF</v>
      </c>
      <c r="G10">
        <f>E40*(1-(VLOOKUP($E10,$B$23:$J$29,9,0)))</f>
        <v>0</v>
      </c>
      <c r="H10">
        <f t="shared" ref="H10:AP14" si="6">F40*(1-(VLOOKUP($E10,$B$23:$J$29,9,0)))</f>
        <v>8.4599999999999988E-3</v>
      </c>
      <c r="I10">
        <f t="shared" si="6"/>
        <v>0.47496226000000002</v>
      </c>
      <c r="J10">
        <f t="shared" si="6"/>
        <v>0</v>
      </c>
      <c r="K10">
        <f t="shared" si="6"/>
        <v>0</v>
      </c>
      <c r="L10">
        <f t="shared" si="6"/>
        <v>0</v>
      </c>
      <c r="M10">
        <f t="shared" si="6"/>
        <v>1.04994992</v>
      </c>
      <c r="N10">
        <f t="shared" si="6"/>
        <v>1.9014094399999999</v>
      </c>
      <c r="O10">
        <f t="shared" si="6"/>
        <v>0</v>
      </c>
      <c r="P10">
        <f t="shared" si="6"/>
        <v>4.3828439999999996E-2</v>
      </c>
      <c r="Q10">
        <f t="shared" si="6"/>
        <v>0</v>
      </c>
      <c r="R10">
        <f t="shared" si="6"/>
        <v>1.2844705199999999</v>
      </c>
      <c r="S10">
        <f t="shared" si="6"/>
        <v>0</v>
      </c>
      <c r="T10">
        <f t="shared" si="6"/>
        <v>1.0477503199999998</v>
      </c>
      <c r="U10">
        <f t="shared" si="6"/>
        <v>7.5492339999999991E-2</v>
      </c>
      <c r="V10">
        <f t="shared" si="6"/>
        <v>5.7043900000000002E-2</v>
      </c>
      <c r="W10">
        <f t="shared" si="6"/>
        <v>0</v>
      </c>
      <c r="X10">
        <f t="shared" si="6"/>
        <v>0</v>
      </c>
      <c r="Y10">
        <f t="shared" si="6"/>
        <v>1.1698920399999999</v>
      </c>
      <c r="Z10">
        <f t="shared" si="6"/>
        <v>0</v>
      </c>
      <c r="AA10">
        <f t="shared" si="6"/>
        <v>4.5744159999999999E-2</v>
      </c>
      <c r="AB10">
        <f t="shared" si="6"/>
        <v>7.9144239999999991E-2</v>
      </c>
      <c r="AC10">
        <f t="shared" si="6"/>
        <v>1.8949459999999998E-2</v>
      </c>
      <c r="AD10">
        <f t="shared" si="6"/>
        <v>0</v>
      </c>
      <c r="AE10">
        <f t="shared" si="6"/>
        <v>0</v>
      </c>
      <c r="AF10">
        <f t="shared" si="6"/>
        <v>0</v>
      </c>
      <c r="AG10">
        <f t="shared" si="6"/>
        <v>1.3465217999999999</v>
      </c>
      <c r="AH10">
        <f t="shared" si="6"/>
        <v>0</v>
      </c>
      <c r="AI10">
        <f t="shared" si="6"/>
        <v>9.3850539999999996E-2</v>
      </c>
      <c r="AJ10">
        <f t="shared" si="6"/>
        <v>0.17871843999999998</v>
      </c>
      <c r="AK10">
        <f t="shared" si="6"/>
        <v>0.13249581999999999</v>
      </c>
      <c r="AL10">
        <f t="shared" si="6"/>
        <v>0.25568000000000002</v>
      </c>
      <c r="AM10">
        <f t="shared" si="6"/>
        <v>8.1388019999999991E-2</v>
      </c>
      <c r="AN10">
        <f t="shared" si="6"/>
        <v>1.070284E-2</v>
      </c>
      <c r="AO10">
        <f t="shared" si="6"/>
        <v>4.5915239999999996E-2</v>
      </c>
      <c r="AP10">
        <f t="shared" si="6"/>
        <v>0.99490540000000005</v>
      </c>
    </row>
    <row r="11" spans="2:42" x14ac:dyDescent="0.3">
      <c r="D11" t="str">
        <f t="shared" si="1"/>
        <v>COM_PROJ</v>
      </c>
      <c r="E11">
        <f t="shared" si="2"/>
        <v>2030</v>
      </c>
      <c r="F11" t="str">
        <f t="shared" si="3"/>
        <v>IGF</v>
      </c>
      <c r="G11">
        <f t="shared" ref="G11:G15" si="7">E41*(1-(VLOOKUP($E11,$B$23:$J$29,9,0)))</f>
        <v>0</v>
      </c>
      <c r="H11">
        <f t="shared" si="6"/>
        <v>7.6499999999999988E-3</v>
      </c>
      <c r="I11">
        <f t="shared" si="6"/>
        <v>0.51573749999999996</v>
      </c>
      <c r="J11">
        <f t="shared" si="6"/>
        <v>0</v>
      </c>
      <c r="K11">
        <f t="shared" si="6"/>
        <v>0</v>
      </c>
      <c r="L11">
        <f t="shared" si="6"/>
        <v>0</v>
      </c>
      <c r="M11">
        <f t="shared" si="6"/>
        <v>1.1678149999999998</v>
      </c>
      <c r="N11">
        <f t="shared" si="6"/>
        <v>1.9709273</v>
      </c>
      <c r="O11">
        <f t="shared" si="6"/>
        <v>0</v>
      </c>
      <c r="P11">
        <f t="shared" si="6"/>
        <v>4.7548150000000004E-2</v>
      </c>
      <c r="Q11">
        <f t="shared" si="6"/>
        <v>0</v>
      </c>
      <c r="R11">
        <f t="shared" si="6"/>
        <v>1.60602315</v>
      </c>
      <c r="S11">
        <f t="shared" si="6"/>
        <v>0</v>
      </c>
      <c r="T11">
        <f t="shared" si="6"/>
        <v>1.0953797000000001</v>
      </c>
      <c r="U11">
        <f t="shared" si="6"/>
        <v>8.0491599999999996E-2</v>
      </c>
      <c r="V11">
        <f t="shared" si="6"/>
        <v>6.4925549999999999E-2</v>
      </c>
      <c r="W11">
        <f t="shared" si="6"/>
        <v>0</v>
      </c>
      <c r="X11">
        <f t="shared" si="6"/>
        <v>0</v>
      </c>
      <c r="Y11">
        <f t="shared" si="6"/>
        <v>1.3806924</v>
      </c>
      <c r="Z11">
        <f t="shared" si="6"/>
        <v>0</v>
      </c>
      <c r="AA11">
        <f t="shared" si="6"/>
        <v>5.2516399999999998E-2</v>
      </c>
      <c r="AB11">
        <f t="shared" si="6"/>
        <v>7.6539949999999995E-2</v>
      </c>
      <c r="AC11">
        <f t="shared" si="6"/>
        <v>1.7135149999999998E-2</v>
      </c>
      <c r="AD11">
        <f t="shared" si="6"/>
        <v>0</v>
      </c>
      <c r="AE11">
        <f t="shared" si="6"/>
        <v>0</v>
      </c>
      <c r="AF11">
        <f t="shared" si="6"/>
        <v>0</v>
      </c>
      <c r="AG11">
        <f t="shared" si="6"/>
        <v>1.45331045</v>
      </c>
      <c r="AH11">
        <f t="shared" si="6"/>
        <v>0</v>
      </c>
      <c r="AI11">
        <f t="shared" si="6"/>
        <v>0.10300895</v>
      </c>
      <c r="AJ11">
        <f t="shared" si="6"/>
        <v>0.20543479999999997</v>
      </c>
      <c r="AK11">
        <f t="shared" si="6"/>
        <v>0.14689189999999999</v>
      </c>
      <c r="AL11">
        <f t="shared" si="6"/>
        <v>0.23120000000000002</v>
      </c>
      <c r="AM11">
        <f t="shared" si="6"/>
        <v>8.7656249999999991E-2</v>
      </c>
      <c r="AN11">
        <f t="shared" si="6"/>
        <v>1.2797599999999999E-2</v>
      </c>
      <c r="AO11">
        <f t="shared" si="6"/>
        <v>4.597735E-2</v>
      </c>
      <c r="AP11">
        <f t="shared" si="6"/>
        <v>1.0303785000000001</v>
      </c>
    </row>
    <row r="12" spans="2:42" x14ac:dyDescent="0.3">
      <c r="D12" t="str">
        <f t="shared" si="1"/>
        <v>COM_PROJ</v>
      </c>
      <c r="E12">
        <f t="shared" si="2"/>
        <v>2040</v>
      </c>
      <c r="F12" t="str">
        <f t="shared" si="3"/>
        <v>IGF</v>
      </c>
      <c r="G12">
        <f t="shared" si="7"/>
        <v>0</v>
      </c>
      <c r="H12">
        <f t="shared" si="6"/>
        <v>5.3999999999999994E-3</v>
      </c>
      <c r="I12">
        <f t="shared" si="6"/>
        <v>0.39460800000000001</v>
      </c>
      <c r="J12">
        <f t="shared" si="6"/>
        <v>0</v>
      </c>
      <c r="K12">
        <f t="shared" si="6"/>
        <v>0</v>
      </c>
      <c r="L12">
        <f t="shared" si="6"/>
        <v>0</v>
      </c>
      <c r="M12">
        <f t="shared" si="6"/>
        <v>0.8666723999999999</v>
      </c>
      <c r="N12">
        <f t="shared" si="6"/>
        <v>1.4301845999999998</v>
      </c>
      <c r="O12">
        <f t="shared" si="6"/>
        <v>0</v>
      </c>
      <c r="P12">
        <f t="shared" si="6"/>
        <v>3.6332999999999997E-2</v>
      </c>
      <c r="Q12">
        <f t="shared" si="6"/>
        <v>0</v>
      </c>
      <c r="R12">
        <f t="shared" si="6"/>
        <v>1.1804664</v>
      </c>
      <c r="S12">
        <f t="shared" si="6"/>
        <v>0</v>
      </c>
      <c r="T12">
        <f t="shared" si="6"/>
        <v>0.81469380000000002</v>
      </c>
      <c r="U12">
        <f t="shared" si="6"/>
        <v>6.1289400000000001E-2</v>
      </c>
      <c r="V12">
        <f t="shared" si="6"/>
        <v>5.0398800000000001E-2</v>
      </c>
      <c r="W12">
        <f t="shared" si="6"/>
        <v>0</v>
      </c>
      <c r="X12">
        <f t="shared" si="6"/>
        <v>0</v>
      </c>
      <c r="Y12">
        <f t="shared" si="6"/>
        <v>0.99042180000000002</v>
      </c>
      <c r="Z12">
        <f t="shared" si="6"/>
        <v>0</v>
      </c>
      <c r="AA12">
        <f t="shared" si="6"/>
        <v>4.0936199999999999E-2</v>
      </c>
      <c r="AB12">
        <f t="shared" si="6"/>
        <v>5.697E-2</v>
      </c>
      <c r="AC12">
        <f t="shared" si="6"/>
        <v>1.2095399999999999E-2</v>
      </c>
      <c r="AD12">
        <f t="shared" si="6"/>
        <v>0</v>
      </c>
      <c r="AE12">
        <f t="shared" si="6"/>
        <v>0</v>
      </c>
      <c r="AF12">
        <f t="shared" si="6"/>
        <v>0</v>
      </c>
      <c r="AG12">
        <f t="shared" si="6"/>
        <v>1.0764486</v>
      </c>
      <c r="AH12">
        <f t="shared" si="6"/>
        <v>0</v>
      </c>
      <c r="AI12">
        <f t="shared" si="6"/>
        <v>8.3186999999999997E-2</v>
      </c>
      <c r="AJ12">
        <f t="shared" si="6"/>
        <v>0.1500348</v>
      </c>
      <c r="AK12">
        <f t="shared" si="6"/>
        <v>0.1149192</v>
      </c>
      <c r="AL12">
        <f t="shared" si="6"/>
        <v>0.16320000000000001</v>
      </c>
      <c r="AM12">
        <f t="shared" si="6"/>
        <v>6.6822599999999996E-2</v>
      </c>
      <c r="AN12">
        <f t="shared" si="6"/>
        <v>9.9600000000000001E-3</v>
      </c>
      <c r="AO12">
        <f t="shared" si="6"/>
        <v>3.6720599999999999E-2</v>
      </c>
      <c r="AP12">
        <f t="shared" si="6"/>
        <v>0.81707399999999997</v>
      </c>
    </row>
    <row r="13" spans="2:42" x14ac:dyDescent="0.3">
      <c r="D13" t="str">
        <f t="shared" ref="D13:D14" si="8">B43</f>
        <v>COM_PROJ</v>
      </c>
      <c r="E13">
        <f t="shared" ref="E13:E14" si="9">C43</f>
        <v>2050</v>
      </c>
      <c r="F13" t="str">
        <f t="shared" ref="F13:F14" si="10">D43</f>
        <v>IGF</v>
      </c>
      <c r="G13">
        <f t="shared" si="7"/>
        <v>0</v>
      </c>
      <c r="H13">
        <f t="shared" si="6"/>
        <v>4.4999999999999997E-3</v>
      </c>
      <c r="I13">
        <f t="shared" si="6"/>
        <v>0.354101</v>
      </c>
      <c r="J13">
        <f t="shared" si="6"/>
        <v>0</v>
      </c>
      <c r="K13">
        <f t="shared" si="6"/>
        <v>0</v>
      </c>
      <c r="L13">
        <f t="shared" si="6"/>
        <v>0</v>
      </c>
      <c r="M13">
        <f t="shared" si="6"/>
        <v>0.76011799999999996</v>
      </c>
      <c r="N13">
        <f t="shared" si="6"/>
        <v>1.2354084999999999</v>
      </c>
      <c r="O13">
        <f t="shared" si="6"/>
        <v>0</v>
      </c>
      <c r="P13">
        <f t="shared" si="6"/>
        <v>3.37205E-2</v>
      </c>
      <c r="Q13">
        <f t="shared" si="6"/>
        <v>0</v>
      </c>
      <c r="R13">
        <f t="shared" si="6"/>
        <v>1.04497</v>
      </c>
      <c r="S13">
        <f t="shared" si="6"/>
        <v>0</v>
      </c>
      <c r="T13">
        <f t="shared" si="6"/>
        <v>0.73545050000000001</v>
      </c>
      <c r="U13">
        <f t="shared" si="6"/>
        <v>5.5641000000000003E-2</v>
      </c>
      <c r="V13">
        <f t="shared" si="6"/>
        <v>4.5677000000000002E-2</v>
      </c>
      <c r="W13">
        <f t="shared" si="6"/>
        <v>0</v>
      </c>
      <c r="X13">
        <f t="shared" si="6"/>
        <v>0</v>
      </c>
      <c r="Y13">
        <f t="shared" si="6"/>
        <v>0.88169450000000005</v>
      </c>
      <c r="Z13">
        <f t="shared" si="6"/>
        <v>0</v>
      </c>
      <c r="AA13">
        <f t="shared" si="6"/>
        <v>3.6995500000000001E-2</v>
      </c>
      <c r="AB13">
        <f t="shared" si="6"/>
        <v>4.9202500000000003E-2</v>
      </c>
      <c r="AC13">
        <f t="shared" si="6"/>
        <v>1.00795E-2</v>
      </c>
      <c r="AD13">
        <f t="shared" si="6"/>
        <v>0</v>
      </c>
      <c r="AE13">
        <f t="shared" si="6"/>
        <v>0</v>
      </c>
      <c r="AF13">
        <f t="shared" si="6"/>
        <v>0</v>
      </c>
      <c r="AG13">
        <f t="shared" si="6"/>
        <v>0.97721349999999996</v>
      </c>
      <c r="AH13">
        <f t="shared" si="6"/>
        <v>0</v>
      </c>
      <c r="AI13">
        <f t="shared" si="6"/>
        <v>7.4463500000000002E-2</v>
      </c>
      <c r="AJ13">
        <f t="shared" si="6"/>
        <v>0.13039100000000001</v>
      </c>
      <c r="AK13">
        <f t="shared" si="6"/>
        <v>0.1047945</v>
      </c>
      <c r="AL13">
        <f t="shared" si="6"/>
        <v>0.13600000000000001</v>
      </c>
      <c r="AM13">
        <f t="shared" si="6"/>
        <v>5.98075E-2</v>
      </c>
      <c r="AN13">
        <f t="shared" si="6"/>
        <v>8.7524999999999999E-3</v>
      </c>
      <c r="AO13">
        <f t="shared" si="6"/>
        <v>3.2428999999999999E-2</v>
      </c>
      <c r="AP13">
        <f t="shared" si="6"/>
        <v>0.77962500000000001</v>
      </c>
    </row>
    <row r="14" spans="2:42" x14ac:dyDescent="0.3">
      <c r="D14" t="str">
        <f t="shared" si="8"/>
        <v>COM_PROJ</v>
      </c>
      <c r="E14">
        <f t="shared" si="9"/>
        <v>2060</v>
      </c>
      <c r="F14" t="str">
        <f t="shared" si="10"/>
        <v>IGF</v>
      </c>
      <c r="G14">
        <f t="shared" si="7"/>
        <v>0</v>
      </c>
      <c r="H14">
        <f t="shared" si="6"/>
        <v>0</v>
      </c>
      <c r="I14">
        <f t="shared" si="6"/>
        <v>0.24197919999999995</v>
      </c>
      <c r="J14">
        <f t="shared" si="6"/>
        <v>0</v>
      </c>
      <c r="K14">
        <f t="shared" si="6"/>
        <v>0</v>
      </c>
      <c r="L14">
        <f t="shared" si="6"/>
        <v>0</v>
      </c>
      <c r="M14">
        <f t="shared" si="6"/>
        <v>0.50959359999999987</v>
      </c>
      <c r="N14">
        <f t="shared" si="6"/>
        <v>0.81706047999999987</v>
      </c>
      <c r="O14">
        <f t="shared" si="6"/>
        <v>0</v>
      </c>
      <c r="P14">
        <f t="shared" si="6"/>
        <v>2.3968959999999994E-2</v>
      </c>
      <c r="Q14">
        <f t="shared" si="6"/>
        <v>0</v>
      </c>
      <c r="R14">
        <f t="shared" si="6"/>
        <v>0.71511903999999993</v>
      </c>
      <c r="S14">
        <f t="shared" si="6"/>
        <v>0</v>
      </c>
      <c r="T14">
        <f t="shared" si="6"/>
        <v>0.50838751999999987</v>
      </c>
      <c r="U14">
        <f t="shared" si="6"/>
        <v>3.8617599999999995E-2</v>
      </c>
      <c r="V14">
        <f t="shared" si="6"/>
        <v>3.1805759999999995E-2</v>
      </c>
      <c r="W14">
        <f t="shared" si="6"/>
        <v>0</v>
      </c>
      <c r="X14">
        <f t="shared" si="6"/>
        <v>0</v>
      </c>
      <c r="Y14">
        <f t="shared" si="6"/>
        <v>0.60888447999999984</v>
      </c>
      <c r="Z14">
        <f t="shared" si="6"/>
        <v>0</v>
      </c>
      <c r="AA14">
        <f t="shared" si="6"/>
        <v>2.5245439999999997E-2</v>
      </c>
      <c r="AB14">
        <f t="shared" si="6"/>
        <v>3.2326399999999991E-2</v>
      </c>
      <c r="AC14">
        <f t="shared" si="6"/>
        <v>6.4508799999999991E-3</v>
      </c>
      <c r="AD14">
        <f t="shared" si="6"/>
        <v>0</v>
      </c>
      <c r="AE14">
        <f t="shared" si="6"/>
        <v>0</v>
      </c>
      <c r="AF14">
        <f t="shared" si="6"/>
        <v>0</v>
      </c>
      <c r="AG14">
        <f t="shared" si="6"/>
        <v>0.68617919999999988</v>
      </c>
      <c r="AH14">
        <f t="shared" si="6"/>
        <v>0</v>
      </c>
      <c r="AI14">
        <f t="shared" si="6"/>
        <v>5.0870719999999994E-2</v>
      </c>
      <c r="AJ14">
        <f t="shared" si="6"/>
        <v>8.7231039999999982E-2</v>
      </c>
      <c r="AK14">
        <f t="shared" si="6"/>
        <v>7.3130559999999983E-2</v>
      </c>
      <c r="AL14">
        <f t="shared" si="6"/>
        <v>0</v>
      </c>
      <c r="AM14">
        <f t="shared" si="6"/>
        <v>4.0786559999999993E-2</v>
      </c>
      <c r="AN14">
        <f t="shared" si="6"/>
        <v>5.8668799999999988E-3</v>
      </c>
      <c r="AO14">
        <f t="shared" si="6"/>
        <v>2.1661759999999999E-2</v>
      </c>
      <c r="AP14">
        <f t="shared" si="6"/>
        <v>0.49895999999999996</v>
      </c>
    </row>
    <row r="15" spans="2:42" x14ac:dyDescent="0.3">
      <c r="D15" t="str">
        <f t="shared" ref="D15" si="11">B45</f>
        <v>COM_PROJ</v>
      </c>
      <c r="E15">
        <f t="shared" ref="E15" si="12">C45</f>
        <v>2070</v>
      </c>
      <c r="F15" t="str">
        <f t="shared" ref="F15" si="13">D45</f>
        <v>IGF</v>
      </c>
      <c r="G15">
        <f>E45*(1-(VLOOKUP($E14,$B$23:$J$29,9,0)))</f>
        <v>0</v>
      </c>
      <c r="H15">
        <f t="shared" ref="H15:AP15" si="14">F45*(1-(VLOOKUP($E14,$B$23:$J$29,9,0)))</f>
        <v>0</v>
      </c>
      <c r="I15">
        <f t="shared" si="14"/>
        <v>0.25837407999999995</v>
      </c>
      <c r="J15">
        <f t="shared" si="14"/>
        <v>0</v>
      </c>
      <c r="K15">
        <f t="shared" si="14"/>
        <v>0</v>
      </c>
      <c r="L15">
        <f t="shared" si="14"/>
        <v>0</v>
      </c>
      <c r="M15">
        <f t="shared" si="14"/>
        <v>0.53381023999999988</v>
      </c>
      <c r="N15">
        <f t="shared" si="14"/>
        <v>0.84434079999999978</v>
      </c>
      <c r="O15">
        <f t="shared" si="14"/>
        <v>0</v>
      </c>
      <c r="P15">
        <f t="shared" si="14"/>
        <v>2.6621119999999995E-2</v>
      </c>
      <c r="Q15">
        <f t="shared" si="14"/>
        <v>0</v>
      </c>
      <c r="R15">
        <f t="shared" si="14"/>
        <v>0.76466815999999982</v>
      </c>
      <c r="S15">
        <f t="shared" si="14"/>
        <v>0</v>
      </c>
      <c r="T15">
        <f t="shared" si="14"/>
        <v>0.54910591999999991</v>
      </c>
      <c r="U15">
        <f t="shared" si="14"/>
        <v>4.1878719999999987E-2</v>
      </c>
      <c r="V15">
        <f t="shared" si="14"/>
        <v>3.4604799999999998E-2</v>
      </c>
      <c r="W15">
        <f t="shared" si="14"/>
        <v>0</v>
      </c>
      <c r="X15">
        <f t="shared" si="14"/>
        <v>0</v>
      </c>
      <c r="Y15">
        <f t="shared" si="14"/>
        <v>0.65700991999999991</v>
      </c>
      <c r="Z15">
        <f t="shared" si="14"/>
        <v>0</v>
      </c>
      <c r="AA15">
        <f t="shared" si="14"/>
        <v>2.6917439999999994E-2</v>
      </c>
      <c r="AB15">
        <f t="shared" si="14"/>
        <v>3.3185279999999998E-2</v>
      </c>
      <c r="AC15">
        <f t="shared" si="14"/>
        <v>6.4508799999999991E-3</v>
      </c>
      <c r="AD15">
        <f t="shared" si="14"/>
        <v>0</v>
      </c>
      <c r="AE15">
        <f t="shared" si="14"/>
        <v>0</v>
      </c>
      <c r="AF15">
        <f t="shared" si="14"/>
        <v>0</v>
      </c>
      <c r="AG15">
        <f t="shared" si="14"/>
        <v>0.75284511999999992</v>
      </c>
      <c r="AH15">
        <f t="shared" si="14"/>
        <v>0</v>
      </c>
      <c r="AI15">
        <f t="shared" si="14"/>
        <v>5.4301759999999998E-2</v>
      </c>
      <c r="AJ15">
        <f t="shared" si="14"/>
        <v>9.1183359999999977E-2</v>
      </c>
      <c r="AK15">
        <f t="shared" si="14"/>
        <v>7.9740479999999989E-2</v>
      </c>
      <c r="AL15">
        <f t="shared" si="14"/>
        <v>0</v>
      </c>
      <c r="AM15">
        <f t="shared" si="14"/>
        <v>4.3460799999999994E-2</v>
      </c>
      <c r="AN15">
        <f t="shared" si="14"/>
        <v>6.144639999999999E-3</v>
      </c>
      <c r="AO15">
        <f t="shared" si="14"/>
        <v>2.2608319999999998E-2</v>
      </c>
      <c r="AP15">
        <f t="shared" si="14"/>
        <v>0.49895999999999996</v>
      </c>
    </row>
    <row r="16" spans="2:42" x14ac:dyDescent="0.3">
      <c r="D16" t="str">
        <f t="shared" ref="D16:D21" si="15">B46</f>
        <v>COM_PROJ</v>
      </c>
      <c r="E16">
        <f t="shared" ref="E16:E21" si="16">C46</f>
        <v>2020</v>
      </c>
      <c r="F16" t="str">
        <f t="shared" ref="F16:F21" si="17">D46</f>
        <v>IIS</v>
      </c>
      <c r="G16">
        <f>E46*(1-(VLOOKUP($E16,$B$23:$J$29,7,0)))</f>
        <v>0.37596000000000002</v>
      </c>
      <c r="H16">
        <f t="shared" ref="H16:AP20" si="18">F46*(1-(VLOOKUP($E16,$B$23:$J$29,7,0)))</f>
        <v>0.56948974799999996</v>
      </c>
      <c r="I16">
        <f t="shared" si="18"/>
        <v>7.127267483999999</v>
      </c>
      <c r="J16">
        <f t="shared" si="18"/>
        <v>0.72724641999999995</v>
      </c>
      <c r="K16">
        <f t="shared" si="18"/>
        <v>1.2821199999999999</v>
      </c>
      <c r="L16">
        <f t="shared" si="18"/>
        <v>0</v>
      </c>
      <c r="M16">
        <f t="shared" si="18"/>
        <v>5.0160814559999993</v>
      </c>
      <c r="N16">
        <f t="shared" si="18"/>
        <v>40.568224079999993</v>
      </c>
      <c r="O16">
        <f t="shared" si="18"/>
        <v>0.31176916799999999</v>
      </c>
      <c r="P16">
        <f t="shared" si="18"/>
        <v>0</v>
      </c>
      <c r="Q16">
        <f t="shared" si="18"/>
        <v>0.97626690000000005</v>
      </c>
      <c r="R16">
        <f t="shared" si="18"/>
        <v>12.663875199999998</v>
      </c>
      <c r="S16">
        <f t="shared" si="18"/>
        <v>3.2226847759999999</v>
      </c>
      <c r="T16">
        <f t="shared" si="18"/>
        <v>13.511713199999999</v>
      </c>
      <c r="U16">
        <f t="shared" si="18"/>
        <v>0.10042470000000001</v>
      </c>
      <c r="V16">
        <f t="shared" si="18"/>
        <v>1.698624876</v>
      </c>
      <c r="W16">
        <f t="shared" si="18"/>
        <v>0</v>
      </c>
      <c r="X16">
        <f t="shared" si="18"/>
        <v>0</v>
      </c>
      <c r="Y16">
        <f t="shared" si="18"/>
        <v>17.710714039999999</v>
      </c>
      <c r="Z16">
        <f t="shared" si="18"/>
        <v>0.12531999999999999</v>
      </c>
      <c r="AA16">
        <f t="shared" si="18"/>
        <v>3.6925055999999998E-2</v>
      </c>
      <c r="AB16">
        <f t="shared" si="18"/>
        <v>3.0854121399999999</v>
      </c>
      <c r="AC16">
        <f t="shared" si="18"/>
        <v>0.78531103199999996</v>
      </c>
      <c r="AD16">
        <f t="shared" si="18"/>
        <v>9.1579999999999995E-2</v>
      </c>
      <c r="AE16">
        <f t="shared" si="18"/>
        <v>0.280524</v>
      </c>
      <c r="AF16">
        <f t="shared" si="18"/>
        <v>0</v>
      </c>
      <c r="AG16">
        <f t="shared" si="18"/>
        <v>5.9197504799999994</v>
      </c>
      <c r="AH16">
        <f t="shared" si="18"/>
        <v>0.49549599999999999</v>
      </c>
      <c r="AI16">
        <f t="shared" si="18"/>
        <v>8.8359179599999997</v>
      </c>
      <c r="AJ16">
        <f t="shared" si="18"/>
        <v>1.118151312</v>
      </c>
      <c r="AK16">
        <f t="shared" si="18"/>
        <v>4.6469851359999996</v>
      </c>
      <c r="AL16">
        <f t="shared" si="18"/>
        <v>1.2088559999999999</v>
      </c>
      <c r="AM16">
        <f t="shared" si="18"/>
        <v>4.3606347200000002</v>
      </c>
      <c r="AN16">
        <f t="shared" si="18"/>
        <v>0.53920857999999994</v>
      </c>
      <c r="AO16">
        <f t="shared" si="18"/>
        <v>6.1097760879999994</v>
      </c>
      <c r="AP16">
        <f t="shared" si="18"/>
        <v>10.2253408</v>
      </c>
    </row>
    <row r="17" spans="2:42" x14ac:dyDescent="0.3">
      <c r="D17" t="str">
        <f t="shared" si="15"/>
        <v>COM_PROJ</v>
      </c>
      <c r="E17">
        <f t="shared" si="16"/>
        <v>2030</v>
      </c>
      <c r="F17" t="str">
        <f t="shared" si="17"/>
        <v>IIS</v>
      </c>
      <c r="G17">
        <f t="shared" ref="G17:G21" si="19">E47*(1-(VLOOKUP($E17,$B$23:$J$29,7,0)))</f>
        <v>0.36572250000000001</v>
      </c>
      <c r="H17">
        <f t="shared" si="18"/>
        <v>0.55398237674999995</v>
      </c>
      <c r="I17">
        <f t="shared" si="18"/>
        <v>7.5294545067500005</v>
      </c>
      <c r="J17">
        <f t="shared" si="18"/>
        <v>0.80302251974999994</v>
      </c>
      <c r="K17">
        <f t="shared" si="18"/>
        <v>1.2472075</v>
      </c>
      <c r="L17">
        <f t="shared" si="18"/>
        <v>0</v>
      </c>
      <c r="M17">
        <f t="shared" si="18"/>
        <v>5.4280139595000003</v>
      </c>
      <c r="N17">
        <f t="shared" si="18"/>
        <v>40.912110112499995</v>
      </c>
      <c r="O17">
        <f t="shared" si="18"/>
        <v>0.37241240849999996</v>
      </c>
      <c r="P17">
        <f t="shared" si="18"/>
        <v>0</v>
      </c>
      <c r="Q17">
        <f t="shared" si="18"/>
        <v>1.1530442715</v>
      </c>
      <c r="R17">
        <f t="shared" si="18"/>
        <v>15.405131939999999</v>
      </c>
      <c r="S17">
        <f t="shared" si="18"/>
        <v>3.2805702105000001</v>
      </c>
      <c r="T17">
        <f t="shared" si="18"/>
        <v>13.743213879999999</v>
      </c>
      <c r="U17">
        <f t="shared" si="18"/>
        <v>0.104172772</v>
      </c>
      <c r="V17">
        <f t="shared" si="18"/>
        <v>1.8809623937500002</v>
      </c>
      <c r="W17">
        <f t="shared" si="18"/>
        <v>0</v>
      </c>
      <c r="X17">
        <f t="shared" si="18"/>
        <v>0</v>
      </c>
      <c r="Y17">
        <f t="shared" si="18"/>
        <v>20.335652645</v>
      </c>
      <c r="Z17">
        <f t="shared" si="18"/>
        <v>0.1219075</v>
      </c>
      <c r="AA17">
        <f t="shared" si="18"/>
        <v>4.1242244999999997E-2</v>
      </c>
      <c r="AB17">
        <f t="shared" si="18"/>
        <v>2.9030405002499999</v>
      </c>
      <c r="AC17">
        <f t="shared" si="18"/>
        <v>0.8950523669999999</v>
      </c>
      <c r="AD17">
        <f t="shared" si="18"/>
        <v>8.9086249999999992E-2</v>
      </c>
      <c r="AE17">
        <f t="shared" si="18"/>
        <v>0.27288524999999997</v>
      </c>
      <c r="AF17">
        <f t="shared" si="18"/>
        <v>0</v>
      </c>
      <c r="AG17">
        <f t="shared" si="18"/>
        <v>6.2161187522499999</v>
      </c>
      <c r="AH17">
        <f t="shared" si="18"/>
        <v>0.48200349999999997</v>
      </c>
      <c r="AI17">
        <f t="shared" si="18"/>
        <v>9.4354904600000005</v>
      </c>
      <c r="AJ17">
        <f t="shared" si="18"/>
        <v>1.2504830607499999</v>
      </c>
      <c r="AK17">
        <f t="shared" si="18"/>
        <v>5.012322513</v>
      </c>
      <c r="AL17">
        <f t="shared" si="18"/>
        <v>1.1759385</v>
      </c>
      <c r="AM17">
        <f t="shared" si="18"/>
        <v>4.5692225094999994</v>
      </c>
      <c r="AN17">
        <f t="shared" si="18"/>
        <v>0.62728535649999995</v>
      </c>
      <c r="AO17">
        <f t="shared" si="18"/>
        <v>5.9522405909999998</v>
      </c>
      <c r="AP17">
        <f t="shared" si="18"/>
        <v>9.282655965</v>
      </c>
    </row>
    <row r="18" spans="2:42" x14ac:dyDescent="0.3">
      <c r="D18" t="str">
        <f t="shared" si="15"/>
        <v>COM_PROJ</v>
      </c>
      <c r="E18">
        <f t="shared" si="16"/>
        <v>2040</v>
      </c>
      <c r="F18" t="str">
        <f t="shared" si="17"/>
        <v>IIS</v>
      </c>
      <c r="G18">
        <f t="shared" si="19"/>
        <v>0.341445</v>
      </c>
      <c r="H18">
        <f t="shared" si="18"/>
        <v>0.51720775349999992</v>
      </c>
      <c r="I18">
        <f t="shared" si="18"/>
        <v>6.8911130299999996</v>
      </c>
      <c r="J18">
        <f t="shared" si="18"/>
        <v>0.75220245949999986</v>
      </c>
      <c r="K18">
        <f t="shared" si="18"/>
        <v>1.164415</v>
      </c>
      <c r="L18">
        <f t="shared" si="18"/>
        <v>0</v>
      </c>
      <c r="M18">
        <f t="shared" si="18"/>
        <v>4.818485847999999</v>
      </c>
      <c r="N18">
        <f t="shared" si="18"/>
        <v>35.510927870000003</v>
      </c>
      <c r="O18">
        <f t="shared" si="18"/>
        <v>0.33500919950000002</v>
      </c>
      <c r="P18">
        <f t="shared" si="18"/>
        <v>0</v>
      </c>
      <c r="Q18">
        <f t="shared" si="18"/>
        <v>1.0079237524999998</v>
      </c>
      <c r="R18">
        <f t="shared" si="18"/>
        <v>13.544273915</v>
      </c>
      <c r="S18">
        <f t="shared" si="18"/>
        <v>2.9716343569999997</v>
      </c>
      <c r="T18">
        <f t="shared" si="18"/>
        <v>12.226628905</v>
      </c>
      <c r="U18">
        <f t="shared" si="18"/>
        <v>9.4881436999999999E-2</v>
      </c>
      <c r="V18">
        <f t="shared" si="18"/>
        <v>1.7465113114999997</v>
      </c>
      <c r="W18">
        <f t="shared" si="18"/>
        <v>0</v>
      </c>
      <c r="X18">
        <f t="shared" si="18"/>
        <v>0</v>
      </c>
      <c r="Y18">
        <f t="shared" si="18"/>
        <v>17.44897765</v>
      </c>
      <c r="Z18">
        <f t="shared" si="18"/>
        <v>0.113815</v>
      </c>
      <c r="AA18">
        <f t="shared" si="18"/>
        <v>3.8453711000000002E-2</v>
      </c>
      <c r="AB18">
        <f t="shared" si="18"/>
        <v>2.584652851</v>
      </c>
      <c r="AC18">
        <f t="shared" si="18"/>
        <v>0.81583467499999995</v>
      </c>
      <c r="AD18">
        <f t="shared" si="18"/>
        <v>8.3172499999999996E-2</v>
      </c>
      <c r="AE18">
        <f t="shared" si="18"/>
        <v>0.25477049999999996</v>
      </c>
      <c r="AF18">
        <f t="shared" si="18"/>
        <v>0</v>
      </c>
      <c r="AG18">
        <f t="shared" si="18"/>
        <v>5.5073528864999997</v>
      </c>
      <c r="AH18">
        <f t="shared" si="18"/>
        <v>0.45000699999999999</v>
      </c>
      <c r="AI18">
        <f t="shared" si="18"/>
        <v>9.1144627899999993</v>
      </c>
      <c r="AJ18">
        <f t="shared" si="18"/>
        <v>1.0924060005</v>
      </c>
      <c r="AK18">
        <f t="shared" si="18"/>
        <v>4.6905420289999995</v>
      </c>
      <c r="AL18">
        <f t="shared" si="18"/>
        <v>1.097877</v>
      </c>
      <c r="AM18">
        <f t="shared" si="18"/>
        <v>4.1665088775000001</v>
      </c>
      <c r="AN18">
        <f t="shared" si="18"/>
        <v>0.5839873914999999</v>
      </c>
      <c r="AO18">
        <f t="shared" si="18"/>
        <v>5.6863943875</v>
      </c>
      <c r="AP18">
        <f t="shared" si="18"/>
        <v>8.2955638650000001</v>
      </c>
    </row>
    <row r="19" spans="2:42" x14ac:dyDescent="0.3">
      <c r="D19" t="str">
        <f t="shared" si="15"/>
        <v>COM_PROJ</v>
      </c>
      <c r="E19">
        <f t="shared" si="16"/>
        <v>2050</v>
      </c>
      <c r="F19" t="str">
        <f t="shared" si="17"/>
        <v>IIS</v>
      </c>
      <c r="G19">
        <f t="shared" si="19"/>
        <v>0.31326750000000003</v>
      </c>
      <c r="H19">
        <f t="shared" si="18"/>
        <v>0.47452556024999998</v>
      </c>
      <c r="I19">
        <f t="shared" si="18"/>
        <v>6.1571369632500002</v>
      </c>
      <c r="J19">
        <f t="shared" si="18"/>
        <v>0.67620155400000004</v>
      </c>
      <c r="K19">
        <f t="shared" si="18"/>
        <v>1.0683225000000001</v>
      </c>
      <c r="L19">
        <f t="shared" si="18"/>
        <v>0</v>
      </c>
      <c r="M19">
        <f t="shared" si="18"/>
        <v>4.2078909915000002</v>
      </c>
      <c r="N19">
        <f t="shared" si="18"/>
        <v>30.542761935000001</v>
      </c>
      <c r="O19">
        <f t="shared" si="18"/>
        <v>0.30284533125000002</v>
      </c>
      <c r="P19">
        <f t="shared" si="18"/>
        <v>0</v>
      </c>
      <c r="Q19">
        <f t="shared" si="18"/>
        <v>0.89728567425000005</v>
      </c>
      <c r="R19">
        <f t="shared" si="18"/>
        <v>11.93806215</v>
      </c>
      <c r="S19">
        <f t="shared" si="18"/>
        <v>2.6913823020000001</v>
      </c>
      <c r="T19">
        <f t="shared" si="18"/>
        <v>10.989889785000001</v>
      </c>
      <c r="U19">
        <f t="shared" si="18"/>
        <v>8.5767018749999993E-2</v>
      </c>
      <c r="V19">
        <f t="shared" si="18"/>
        <v>1.57607529975</v>
      </c>
      <c r="W19">
        <f t="shared" si="18"/>
        <v>0</v>
      </c>
      <c r="X19">
        <f t="shared" si="18"/>
        <v>0</v>
      </c>
      <c r="Y19">
        <f t="shared" si="18"/>
        <v>15.466626945</v>
      </c>
      <c r="Z19">
        <f t="shared" si="18"/>
        <v>0.1044225</v>
      </c>
      <c r="AA19">
        <f t="shared" si="18"/>
        <v>3.4603206749999997E-2</v>
      </c>
      <c r="AB19">
        <f t="shared" si="18"/>
        <v>2.2226433547499997</v>
      </c>
      <c r="AC19">
        <f t="shared" si="18"/>
        <v>0.70648809525</v>
      </c>
      <c r="AD19">
        <f t="shared" si="18"/>
        <v>7.6308750000000009E-2</v>
      </c>
      <c r="AE19">
        <f t="shared" si="18"/>
        <v>0.23374575</v>
      </c>
      <c r="AF19">
        <f t="shared" si="18"/>
        <v>0</v>
      </c>
      <c r="AG19">
        <f t="shared" si="18"/>
        <v>4.9781362522499997</v>
      </c>
      <c r="AH19">
        <f t="shared" si="18"/>
        <v>0.41287050000000003</v>
      </c>
      <c r="AI19">
        <f t="shared" si="18"/>
        <v>8.1235644525000001</v>
      </c>
      <c r="AJ19">
        <f t="shared" si="18"/>
        <v>0.94529351699999997</v>
      </c>
      <c r="AK19">
        <f t="shared" si="18"/>
        <v>4.2588804982499999</v>
      </c>
      <c r="AL19">
        <f t="shared" si="18"/>
        <v>1.0072755</v>
      </c>
      <c r="AM19">
        <f t="shared" si="18"/>
        <v>3.7130761395</v>
      </c>
      <c r="AN19">
        <f t="shared" si="18"/>
        <v>0.51096579975</v>
      </c>
      <c r="AO19">
        <f t="shared" si="18"/>
        <v>5.0001661867499996</v>
      </c>
      <c r="AP19">
        <f t="shared" si="18"/>
        <v>7.4979531899999996</v>
      </c>
    </row>
    <row r="20" spans="2:42" x14ac:dyDescent="0.3">
      <c r="D20" t="str">
        <f t="shared" si="15"/>
        <v>COM_PROJ</v>
      </c>
      <c r="E20">
        <f t="shared" si="16"/>
        <v>2060</v>
      </c>
      <c r="F20" t="str">
        <f t="shared" si="17"/>
        <v>IIS</v>
      </c>
      <c r="G20">
        <f t="shared" si="19"/>
        <v>0</v>
      </c>
      <c r="H20">
        <f t="shared" si="18"/>
        <v>0</v>
      </c>
      <c r="I20">
        <f t="shared" si="18"/>
        <v>5.714367932</v>
      </c>
      <c r="J20">
        <f t="shared" si="18"/>
        <v>0.63547025599999996</v>
      </c>
      <c r="K20">
        <f t="shared" si="18"/>
        <v>1.0267600000000001</v>
      </c>
      <c r="L20">
        <f t="shared" si="18"/>
        <v>0</v>
      </c>
      <c r="M20">
        <f t="shared" si="18"/>
        <v>3.8312978119999999</v>
      </c>
      <c r="N20">
        <f t="shared" si="18"/>
        <v>27.434085360000001</v>
      </c>
      <c r="O20">
        <f t="shared" si="18"/>
        <v>0.28733376800000004</v>
      </c>
      <c r="P20">
        <f t="shared" si="18"/>
        <v>0</v>
      </c>
      <c r="Q20">
        <f t="shared" si="18"/>
        <v>0.84404690000000016</v>
      </c>
      <c r="R20">
        <f t="shared" si="18"/>
        <v>11.09550052</v>
      </c>
      <c r="S20">
        <f t="shared" si="18"/>
        <v>2.5335009640000004</v>
      </c>
      <c r="T20">
        <f t="shared" si="18"/>
        <v>10.3174712</v>
      </c>
      <c r="U20">
        <f t="shared" si="18"/>
        <v>8.084384E-2</v>
      </c>
      <c r="V20">
        <f t="shared" si="18"/>
        <v>1.4904733800000001</v>
      </c>
      <c r="W20">
        <f t="shared" si="18"/>
        <v>0</v>
      </c>
      <c r="X20">
        <f t="shared" si="18"/>
        <v>0</v>
      </c>
      <c r="Y20">
        <f t="shared" si="18"/>
        <v>14.506111599999999</v>
      </c>
      <c r="Z20">
        <f t="shared" si="18"/>
        <v>0</v>
      </c>
      <c r="AA20">
        <f t="shared" si="18"/>
        <v>3.2068880000000001E-2</v>
      </c>
      <c r="AB20">
        <f t="shared" si="18"/>
        <v>1.9832525599999999</v>
      </c>
      <c r="AC20">
        <f t="shared" si="18"/>
        <v>0.63605234399999999</v>
      </c>
      <c r="AD20">
        <f t="shared" si="18"/>
        <v>0</v>
      </c>
      <c r="AE20">
        <f t="shared" si="18"/>
        <v>0</v>
      </c>
      <c r="AF20">
        <f t="shared" si="18"/>
        <v>0</v>
      </c>
      <c r="AG20">
        <f t="shared" si="18"/>
        <v>4.7473738559999994</v>
      </c>
      <c r="AH20">
        <f t="shared" si="18"/>
        <v>0.39680799999999999</v>
      </c>
      <c r="AI20">
        <f t="shared" si="18"/>
        <v>7.5372197359999999</v>
      </c>
      <c r="AJ20">
        <f t="shared" si="18"/>
        <v>0.85887393199999995</v>
      </c>
      <c r="AK20">
        <f t="shared" si="18"/>
        <v>4.0364035439999997</v>
      </c>
      <c r="AL20">
        <f t="shared" si="18"/>
        <v>0</v>
      </c>
      <c r="AM20">
        <f t="shared" si="18"/>
        <v>3.4390036959999999</v>
      </c>
      <c r="AN20">
        <f t="shared" si="18"/>
        <v>0.465158564</v>
      </c>
      <c r="AO20">
        <f t="shared" si="18"/>
        <v>4.5360944400000003</v>
      </c>
      <c r="AP20">
        <f t="shared" si="18"/>
        <v>7.2062494399999997</v>
      </c>
    </row>
    <row r="21" spans="2:42" x14ac:dyDescent="0.3">
      <c r="D21" t="str">
        <f t="shared" si="15"/>
        <v>COM_PROJ</v>
      </c>
      <c r="E21">
        <f t="shared" si="16"/>
        <v>2070</v>
      </c>
      <c r="F21" t="str">
        <f t="shared" si="17"/>
        <v>IIS</v>
      </c>
      <c r="G21">
        <f>E51*(1-(VLOOKUP($E20,$B$23:$J$29,7,0)))</f>
        <v>0</v>
      </c>
      <c r="H21">
        <f t="shared" ref="H21:AP21" si="20">F51*(1-(VLOOKUP($E20,$B$23:$J$29,7,0)))</f>
        <v>0</v>
      </c>
      <c r="I21">
        <f t="shared" si="20"/>
        <v>5.5181185839999998</v>
      </c>
      <c r="J21">
        <f t="shared" si="20"/>
        <v>0.621366588</v>
      </c>
      <c r="K21">
        <f t="shared" si="20"/>
        <v>1.0267600000000001</v>
      </c>
      <c r="L21">
        <f t="shared" si="20"/>
        <v>0</v>
      </c>
      <c r="M21">
        <f t="shared" si="20"/>
        <v>3.629616672</v>
      </c>
      <c r="N21">
        <f t="shared" si="20"/>
        <v>25.639293439999999</v>
      </c>
      <c r="O21">
        <f t="shared" si="20"/>
        <v>0.28365210000000002</v>
      </c>
      <c r="P21">
        <f t="shared" si="20"/>
        <v>0</v>
      </c>
      <c r="Q21">
        <f t="shared" si="20"/>
        <v>0.82610639200000013</v>
      </c>
      <c r="R21">
        <f t="shared" si="20"/>
        <v>10.729842720000001</v>
      </c>
      <c r="S21">
        <f t="shared" si="20"/>
        <v>2.4814203000000004</v>
      </c>
      <c r="T21">
        <f t="shared" si="20"/>
        <v>10.078282440000001</v>
      </c>
      <c r="U21">
        <f t="shared" si="20"/>
        <v>7.9288259999999999E-2</v>
      </c>
      <c r="V21">
        <f t="shared" si="20"/>
        <v>1.46657612</v>
      </c>
      <c r="W21">
        <f t="shared" si="20"/>
        <v>0</v>
      </c>
      <c r="X21">
        <f t="shared" si="20"/>
        <v>0</v>
      </c>
      <c r="Y21">
        <f t="shared" si="20"/>
        <v>14.155986440000001</v>
      </c>
      <c r="Z21">
        <f t="shared" si="20"/>
        <v>0</v>
      </c>
      <c r="AA21">
        <f t="shared" si="20"/>
        <v>3.0923232000000002E-2</v>
      </c>
      <c r="AB21">
        <f t="shared" si="20"/>
        <v>1.841279444</v>
      </c>
      <c r="AC21">
        <f t="shared" si="20"/>
        <v>0.59581879199999999</v>
      </c>
      <c r="AD21">
        <f t="shared" si="20"/>
        <v>0</v>
      </c>
      <c r="AE21">
        <f t="shared" si="20"/>
        <v>0</v>
      </c>
      <c r="AF21">
        <f t="shared" si="20"/>
        <v>0</v>
      </c>
      <c r="AG21">
        <f t="shared" si="20"/>
        <v>4.7105710720000005</v>
      </c>
      <c r="AH21">
        <f t="shared" si="20"/>
        <v>0.39680799999999999</v>
      </c>
      <c r="AI21">
        <f t="shared" si="20"/>
        <v>7.2762767879999997</v>
      </c>
      <c r="AJ21">
        <f t="shared" si="20"/>
        <v>0.81194327999999993</v>
      </c>
      <c r="AK21">
        <f t="shared" si="20"/>
        <v>3.980403436</v>
      </c>
      <c r="AL21">
        <f t="shared" si="20"/>
        <v>0</v>
      </c>
      <c r="AM21">
        <f t="shared" si="20"/>
        <v>3.3140940960000003</v>
      </c>
      <c r="AN21">
        <f t="shared" si="20"/>
        <v>0.440598928</v>
      </c>
      <c r="AO21">
        <f t="shared" si="20"/>
        <v>4.2816702599999994</v>
      </c>
      <c r="AP21">
        <f t="shared" si="20"/>
        <v>7.2062494399999997</v>
      </c>
    </row>
    <row r="22" spans="2:42" ht="15" thickBot="1" x14ac:dyDescent="0.35"/>
    <row r="23" spans="2:42" x14ac:dyDescent="0.3">
      <c r="B23" s="15"/>
      <c r="C23" s="16" t="s">
        <v>72</v>
      </c>
      <c r="D23" s="16" t="s">
        <v>72</v>
      </c>
      <c r="E23" s="16" t="s">
        <v>72</v>
      </c>
      <c r="F23" s="16" t="s">
        <v>73</v>
      </c>
      <c r="G23" s="16" t="s">
        <v>73</v>
      </c>
      <c r="H23" s="16" t="s">
        <v>74</v>
      </c>
      <c r="I23" s="16" t="s">
        <v>74</v>
      </c>
      <c r="J23" s="17" t="s">
        <v>74</v>
      </c>
    </row>
    <row r="24" spans="2:42" x14ac:dyDescent="0.3">
      <c r="B24" s="18"/>
      <c r="C24" t="s">
        <v>69</v>
      </c>
      <c r="D24" t="s">
        <v>70</v>
      </c>
      <c r="E24" t="s">
        <v>71</v>
      </c>
      <c r="F24" t="s">
        <v>69</v>
      </c>
      <c r="G24" t="s">
        <v>70</v>
      </c>
      <c r="H24" t="s">
        <v>69</v>
      </c>
      <c r="I24" t="s">
        <v>70</v>
      </c>
      <c r="J24" s="19" t="s">
        <v>71</v>
      </c>
    </row>
    <row r="25" spans="2:42" x14ac:dyDescent="0.3">
      <c r="B25" s="18">
        <v>2020</v>
      </c>
      <c r="C25" s="13">
        <v>3.5999999999999997E-2</v>
      </c>
      <c r="D25" s="14">
        <v>0</v>
      </c>
      <c r="E25" s="14">
        <v>0.06</v>
      </c>
      <c r="F25">
        <v>0</v>
      </c>
      <c r="G25">
        <v>0</v>
      </c>
      <c r="H25" s="13">
        <f>C25+F25</f>
        <v>3.5999999999999997E-2</v>
      </c>
      <c r="I25" s="13">
        <f>D25+G25</f>
        <v>0</v>
      </c>
      <c r="J25" s="20">
        <f>E25</f>
        <v>0.06</v>
      </c>
      <c r="K25" s="14"/>
      <c r="L25" s="14"/>
      <c r="O25" s="13"/>
      <c r="P25" s="13"/>
      <c r="Q25" s="14"/>
    </row>
    <row r="26" spans="2:42" x14ac:dyDescent="0.3">
      <c r="B26" s="18">
        <v>2030</v>
      </c>
      <c r="C26" s="14">
        <v>0.05</v>
      </c>
      <c r="D26" s="14">
        <v>0.05</v>
      </c>
      <c r="E26" s="14">
        <v>0.15</v>
      </c>
      <c r="F26" s="13">
        <v>1.225E-2</v>
      </c>
      <c r="G26" s="13">
        <v>8.9999999999999993E-3</v>
      </c>
      <c r="H26" s="13">
        <f t="shared" ref="H26:H29" si="21">C26+F26</f>
        <v>6.225E-2</v>
      </c>
      <c r="I26" s="13">
        <f t="shared" ref="I26:I29" si="22">D26+G26</f>
        <v>5.9000000000000004E-2</v>
      </c>
      <c r="J26" s="20">
        <f t="shared" ref="J26:J29" si="23">E26</f>
        <v>0.15</v>
      </c>
      <c r="K26" s="14"/>
      <c r="L26" s="14"/>
      <c r="M26" s="13"/>
      <c r="N26" s="13"/>
      <c r="O26" s="13"/>
      <c r="P26" s="13"/>
      <c r="Q26" s="14"/>
    </row>
    <row r="27" spans="2:42" x14ac:dyDescent="0.3">
      <c r="B27" s="18">
        <v>2040</v>
      </c>
      <c r="C27" s="14">
        <v>0.1</v>
      </c>
      <c r="D27" s="14">
        <v>0.1</v>
      </c>
      <c r="E27" s="14">
        <v>0.4</v>
      </c>
      <c r="F27" s="13">
        <v>2.4500000000000001E-2</v>
      </c>
      <c r="G27" s="13">
        <v>1.7999999999999999E-2</v>
      </c>
      <c r="H27" s="13">
        <f t="shared" si="21"/>
        <v>0.1245</v>
      </c>
      <c r="I27" s="13">
        <f t="shared" si="22"/>
        <v>0.11800000000000001</v>
      </c>
      <c r="J27" s="20">
        <f t="shared" si="23"/>
        <v>0.4</v>
      </c>
      <c r="K27" s="14"/>
      <c r="L27" s="14"/>
      <c r="M27" s="13"/>
      <c r="N27" s="13"/>
      <c r="O27" s="13"/>
      <c r="P27" s="13"/>
      <c r="Q27" s="14"/>
    </row>
    <row r="28" spans="2:42" x14ac:dyDescent="0.3">
      <c r="B28" s="18">
        <v>2050</v>
      </c>
      <c r="C28" s="14">
        <v>0.16</v>
      </c>
      <c r="D28" s="14">
        <v>0.18</v>
      </c>
      <c r="E28" s="14">
        <v>0.5</v>
      </c>
      <c r="F28" s="13">
        <v>3.6749999999999998E-2</v>
      </c>
      <c r="G28" s="13">
        <v>2.7E-2</v>
      </c>
      <c r="H28" s="13">
        <f t="shared" si="21"/>
        <v>0.19675000000000001</v>
      </c>
      <c r="I28" s="13">
        <f t="shared" si="22"/>
        <v>0.20699999999999999</v>
      </c>
      <c r="J28" s="20">
        <f t="shared" si="23"/>
        <v>0.5</v>
      </c>
      <c r="K28" s="14"/>
      <c r="L28" s="14"/>
      <c r="M28" s="13"/>
      <c r="N28" s="13"/>
      <c r="O28" s="13"/>
      <c r="P28" s="13"/>
      <c r="Q28" s="14"/>
    </row>
    <row r="29" spans="2:42" ht="15" thickBot="1" x14ac:dyDescent="0.35">
      <c r="B29" s="21">
        <v>2060</v>
      </c>
      <c r="C29" s="22">
        <v>0.17899999999999999</v>
      </c>
      <c r="D29" s="23">
        <v>0.21</v>
      </c>
      <c r="E29" s="23">
        <v>0.68</v>
      </c>
      <c r="F29" s="22">
        <v>4.9000000000000002E-2</v>
      </c>
      <c r="G29" s="22">
        <v>3.5999999999999997E-2</v>
      </c>
      <c r="H29" s="22">
        <f t="shared" si="21"/>
        <v>0.22799999999999998</v>
      </c>
      <c r="I29" s="22">
        <f t="shared" si="22"/>
        <v>0.246</v>
      </c>
      <c r="J29" s="24">
        <f t="shared" si="23"/>
        <v>0.68</v>
      </c>
      <c r="K29" s="14"/>
      <c r="L29" s="14"/>
      <c r="M29" s="13"/>
      <c r="N29" s="13"/>
      <c r="O29" s="13"/>
      <c r="P29" s="13"/>
      <c r="Q29" s="14"/>
    </row>
    <row r="32" spans="2:42" x14ac:dyDescent="0.3">
      <c r="B32" t="s">
        <v>75</v>
      </c>
    </row>
    <row r="33" spans="2:40" x14ac:dyDescent="0.3">
      <c r="B33" t="s">
        <v>11</v>
      </c>
      <c r="C33" t="s">
        <v>3</v>
      </c>
      <c r="D33" t="s">
        <v>6</v>
      </c>
      <c r="E33" t="s">
        <v>29</v>
      </c>
      <c r="F33" t="s">
        <v>30</v>
      </c>
      <c r="G33" t="s">
        <v>31</v>
      </c>
      <c r="H33" t="s">
        <v>32</v>
      </c>
      <c r="I33" t="s">
        <v>33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t="s">
        <v>39</v>
      </c>
      <c r="P33" t="s">
        <v>40</v>
      </c>
      <c r="Q33" t="s">
        <v>41</v>
      </c>
      <c r="R33" t="s">
        <v>42</v>
      </c>
      <c r="S33" t="s">
        <v>43</v>
      </c>
      <c r="T33" t="s">
        <v>44</v>
      </c>
      <c r="U33" t="s">
        <v>45</v>
      </c>
      <c r="V33" t="s">
        <v>46</v>
      </c>
      <c r="W33" t="s">
        <v>47</v>
      </c>
      <c r="X33" t="s">
        <v>48</v>
      </c>
      <c r="Y33" t="s">
        <v>49</v>
      </c>
      <c r="Z33" t="s">
        <v>50</v>
      </c>
      <c r="AA33" t="s">
        <v>51</v>
      </c>
      <c r="AB33" t="s">
        <v>52</v>
      </c>
      <c r="AC33" t="s">
        <v>53</v>
      </c>
      <c r="AD33" t="s">
        <v>54</v>
      </c>
      <c r="AE33" t="s">
        <v>55</v>
      </c>
      <c r="AF33" t="s">
        <v>56</v>
      </c>
      <c r="AG33" t="s">
        <v>57</v>
      </c>
      <c r="AH33" t="s">
        <v>58</v>
      </c>
      <c r="AI33" t="s">
        <v>59</v>
      </c>
      <c r="AJ33" t="s">
        <v>60</v>
      </c>
      <c r="AK33" t="s">
        <v>61</v>
      </c>
      <c r="AL33" t="s">
        <v>62</v>
      </c>
      <c r="AM33" t="s">
        <v>63</v>
      </c>
      <c r="AN33" t="s">
        <v>64</v>
      </c>
    </row>
    <row r="34" spans="2:40" x14ac:dyDescent="0.3">
      <c r="B34" t="s">
        <v>65</v>
      </c>
      <c r="C34">
        <v>2020</v>
      </c>
      <c r="D34" t="s">
        <v>66</v>
      </c>
      <c r="E34">
        <v>1.3</v>
      </c>
      <c r="F34">
        <v>9.4899999999999998E-2</v>
      </c>
      <c r="G34">
        <v>3.8902610000000002</v>
      </c>
      <c r="H34">
        <v>1.374234</v>
      </c>
      <c r="I34">
        <v>2</v>
      </c>
      <c r="J34">
        <v>3.259274</v>
      </c>
      <c r="K34">
        <v>2.6961189999999999</v>
      </c>
      <c r="L34">
        <v>24.892910000000001</v>
      </c>
      <c r="M34">
        <v>2.422288</v>
      </c>
      <c r="N34">
        <v>0.18029800000000001</v>
      </c>
      <c r="O34">
        <v>8.4708100000000002</v>
      </c>
      <c r="P34">
        <v>22.133900000000001</v>
      </c>
      <c r="Q34">
        <v>0.795122</v>
      </c>
      <c r="R34">
        <v>12.26113</v>
      </c>
      <c r="S34">
        <v>2.887057</v>
      </c>
      <c r="T34">
        <v>2.2856610000000002</v>
      </c>
      <c r="U34">
        <v>3.8230629999999999</v>
      </c>
      <c r="V34">
        <v>0.14000000000000001</v>
      </c>
      <c r="W34">
        <v>18.224019999999999</v>
      </c>
      <c r="X34">
        <v>0.03</v>
      </c>
      <c r="Y34">
        <v>1.3845700000000001</v>
      </c>
      <c r="Z34">
        <v>0.35056999999999999</v>
      </c>
      <c r="AA34">
        <v>0.624247</v>
      </c>
      <c r="AB34">
        <v>0</v>
      </c>
      <c r="AC34">
        <v>0.82</v>
      </c>
      <c r="AD34">
        <v>0</v>
      </c>
      <c r="AE34">
        <v>2.0814699999999999</v>
      </c>
      <c r="AF34">
        <v>1.02</v>
      </c>
      <c r="AG34">
        <v>13.15278</v>
      </c>
      <c r="AH34">
        <v>6.0612459999999997</v>
      </c>
      <c r="AI34">
        <v>4.3670660000000003</v>
      </c>
      <c r="AJ34">
        <v>2.0950000000000002</v>
      </c>
      <c r="AK34">
        <v>2.2484790000000001</v>
      </c>
      <c r="AL34">
        <v>0.39801300000000001</v>
      </c>
      <c r="AM34">
        <v>4.1379489999999999</v>
      </c>
      <c r="AN34">
        <v>9.0159599999999998</v>
      </c>
    </row>
    <row r="35" spans="2:40" x14ac:dyDescent="0.3">
      <c r="B35" t="s">
        <v>65</v>
      </c>
      <c r="C35">
        <v>2030</v>
      </c>
      <c r="D35" t="s">
        <v>66</v>
      </c>
      <c r="E35">
        <v>1.3</v>
      </c>
      <c r="F35">
        <v>9.4899999999999998E-2</v>
      </c>
      <c r="G35">
        <v>4.6715099999999996</v>
      </c>
      <c r="H35">
        <v>1.7248239999999999</v>
      </c>
      <c r="I35">
        <v>2</v>
      </c>
      <c r="J35">
        <v>3.5384340000000001</v>
      </c>
      <c r="K35">
        <v>3.3162970000000001</v>
      </c>
      <c r="L35">
        <v>28.53511</v>
      </c>
      <c r="M35">
        <v>3.288926</v>
      </c>
      <c r="N35">
        <v>0.216308</v>
      </c>
      <c r="O35">
        <v>11.37209</v>
      </c>
      <c r="P35">
        <v>30.605149999999998</v>
      </c>
      <c r="Q35">
        <v>0.92003299999999999</v>
      </c>
      <c r="R35">
        <v>14.17576</v>
      </c>
      <c r="S35">
        <v>3.4041670000000002</v>
      </c>
      <c r="T35">
        <v>2.876951</v>
      </c>
      <c r="U35">
        <v>5.128806</v>
      </c>
      <c r="V35">
        <v>0.14000000000000001</v>
      </c>
      <c r="W35">
        <v>23.785060000000001</v>
      </c>
      <c r="X35">
        <v>0.03</v>
      </c>
      <c r="Y35">
        <v>1.757835</v>
      </c>
      <c r="Z35">
        <v>0.37493300000000002</v>
      </c>
      <c r="AA35">
        <v>0.80872500000000003</v>
      </c>
      <c r="AB35">
        <v>0</v>
      </c>
      <c r="AC35">
        <v>0.82</v>
      </c>
      <c r="AD35">
        <v>0</v>
      </c>
      <c r="AE35">
        <v>2.4844140000000001</v>
      </c>
      <c r="AF35">
        <v>1.02</v>
      </c>
      <c r="AG35">
        <v>15.964969999999999</v>
      </c>
      <c r="AH35">
        <v>7.7050749999999999</v>
      </c>
      <c r="AI35">
        <v>5.3542110000000003</v>
      </c>
      <c r="AJ35">
        <v>2.0950000000000002</v>
      </c>
      <c r="AK35">
        <v>2.6780539999999999</v>
      </c>
      <c r="AL35">
        <v>0.52631300000000003</v>
      </c>
      <c r="AM35">
        <v>4.5822450000000003</v>
      </c>
      <c r="AN35">
        <v>9.0433500000000002</v>
      </c>
    </row>
    <row r="36" spans="2:40" x14ac:dyDescent="0.3">
      <c r="B36" t="s">
        <v>65</v>
      </c>
      <c r="C36">
        <v>2040</v>
      </c>
      <c r="D36" t="s">
        <v>66</v>
      </c>
      <c r="E36">
        <v>1.3</v>
      </c>
      <c r="F36">
        <v>9.4899999999999998E-2</v>
      </c>
      <c r="G36">
        <v>5.0636320000000001</v>
      </c>
      <c r="H36">
        <v>1.91351</v>
      </c>
      <c r="I36">
        <v>2</v>
      </c>
      <c r="J36">
        <v>3.8358599999999998</v>
      </c>
      <c r="K36">
        <v>3.486599</v>
      </c>
      <c r="L36">
        <v>29.333829999999999</v>
      </c>
      <c r="M36">
        <v>3.5040140000000002</v>
      </c>
      <c r="N36">
        <v>0.23415900000000001</v>
      </c>
      <c r="O36">
        <v>11.77337</v>
      </c>
      <c r="P36">
        <v>31.868680000000001</v>
      </c>
      <c r="Q36">
        <v>0.98702500000000004</v>
      </c>
      <c r="R36">
        <v>14.93632</v>
      </c>
      <c r="S36">
        <v>3.6720999999999999</v>
      </c>
      <c r="T36">
        <v>3.163754</v>
      </c>
      <c r="U36">
        <v>5.6939229999999998</v>
      </c>
      <c r="V36">
        <v>0.14000000000000001</v>
      </c>
      <c r="W36">
        <v>24.171019999999999</v>
      </c>
      <c r="X36">
        <v>0.03</v>
      </c>
      <c r="Y36">
        <v>1.9411419999999999</v>
      </c>
      <c r="Z36">
        <v>0.39534999999999998</v>
      </c>
      <c r="AA36">
        <v>0.87303900000000001</v>
      </c>
      <c r="AB36">
        <v>0</v>
      </c>
      <c r="AC36">
        <v>0.82</v>
      </c>
      <c r="AD36">
        <v>0</v>
      </c>
      <c r="AE36">
        <v>2.606913</v>
      </c>
      <c r="AF36">
        <v>1.02</v>
      </c>
      <c r="AG36">
        <v>18.264749999999999</v>
      </c>
      <c r="AH36">
        <v>7.971908</v>
      </c>
      <c r="AI36">
        <v>5.9341489999999997</v>
      </c>
      <c r="AJ36">
        <v>2.0950000000000002</v>
      </c>
      <c r="AK36">
        <v>2.8921999999999999</v>
      </c>
      <c r="AL36">
        <v>0.58031200000000005</v>
      </c>
      <c r="AM36">
        <v>5.1845829999999999</v>
      </c>
      <c r="AN36">
        <v>9.1335999999999995</v>
      </c>
    </row>
    <row r="37" spans="2:40" x14ac:dyDescent="0.3">
      <c r="B37" t="s">
        <v>65</v>
      </c>
      <c r="C37">
        <v>2050</v>
      </c>
      <c r="D37" t="s">
        <v>66</v>
      </c>
      <c r="E37">
        <v>1.3</v>
      </c>
      <c r="F37">
        <v>9.4899999999999998E-2</v>
      </c>
      <c r="G37">
        <v>5.4526180000000002</v>
      </c>
      <c r="H37">
        <v>2.073124</v>
      </c>
      <c r="I37">
        <v>2</v>
      </c>
      <c r="J37">
        <v>4.195138</v>
      </c>
      <c r="K37">
        <v>3.669521</v>
      </c>
      <c r="L37">
        <v>30.406639999999999</v>
      </c>
      <c r="M37">
        <v>3.8175370000000002</v>
      </c>
      <c r="N37">
        <v>0.26078699999999999</v>
      </c>
      <c r="O37">
        <v>12.63157</v>
      </c>
      <c r="P37">
        <v>33.852870000000003</v>
      </c>
      <c r="Q37">
        <v>1.0773619999999999</v>
      </c>
      <c r="R37">
        <v>16.180199999999999</v>
      </c>
      <c r="S37">
        <v>4.0004330000000001</v>
      </c>
      <c r="T37">
        <v>3.4408189999999998</v>
      </c>
      <c r="U37">
        <v>5.9961279999999997</v>
      </c>
      <c r="V37">
        <v>0.14000000000000001</v>
      </c>
      <c r="W37">
        <v>25.821069999999999</v>
      </c>
      <c r="X37">
        <v>0.03</v>
      </c>
      <c r="Y37">
        <v>2.1051500000000001</v>
      </c>
      <c r="Z37">
        <v>0.40973399999999999</v>
      </c>
      <c r="AA37">
        <v>0.91115000000000002</v>
      </c>
      <c r="AB37">
        <v>0</v>
      </c>
      <c r="AC37">
        <v>0.82</v>
      </c>
      <c r="AD37">
        <v>0</v>
      </c>
      <c r="AE37">
        <v>2.839906</v>
      </c>
      <c r="AF37">
        <v>1.02</v>
      </c>
      <c r="AG37">
        <v>19.61927</v>
      </c>
      <c r="AH37">
        <v>8.313777</v>
      </c>
      <c r="AI37">
        <v>6.4935830000000001</v>
      </c>
      <c r="AJ37">
        <v>2.0950000000000002</v>
      </c>
      <c r="AK37">
        <v>3.1063000000000001</v>
      </c>
      <c r="AL37">
        <v>0.61193200000000003</v>
      </c>
      <c r="AM37">
        <v>5.4943299999999997</v>
      </c>
      <c r="AN37">
        <v>9.1335999999999995</v>
      </c>
    </row>
    <row r="38" spans="2:40" x14ac:dyDescent="0.3">
      <c r="B38" t="s">
        <v>65</v>
      </c>
      <c r="C38">
        <v>2060</v>
      </c>
      <c r="D38" t="s">
        <v>66</v>
      </c>
      <c r="E38">
        <v>0</v>
      </c>
      <c r="F38">
        <v>0</v>
      </c>
      <c r="G38">
        <v>5.8220499999999999</v>
      </c>
      <c r="H38">
        <v>2.2414350000000001</v>
      </c>
      <c r="I38">
        <v>2</v>
      </c>
      <c r="J38">
        <v>4.5620599999999998</v>
      </c>
      <c r="K38">
        <v>3.8439019999999999</v>
      </c>
      <c r="L38">
        <v>31.421880000000002</v>
      </c>
      <c r="M38">
        <v>4.1670689999999997</v>
      </c>
      <c r="N38">
        <v>0.28964200000000001</v>
      </c>
      <c r="O38">
        <v>13.670199999999999</v>
      </c>
      <c r="P38">
        <v>36.198459999999997</v>
      </c>
      <c r="Q38">
        <v>1.1667799999999999</v>
      </c>
      <c r="R38">
        <v>17.476130000000001</v>
      </c>
      <c r="S38">
        <v>4.3382670000000001</v>
      </c>
      <c r="T38">
        <v>3.743608</v>
      </c>
      <c r="U38">
        <v>6.2984299999999998</v>
      </c>
      <c r="V38">
        <v>0.14000000000000001</v>
      </c>
      <c r="W38">
        <v>27.861930000000001</v>
      </c>
      <c r="X38">
        <v>0</v>
      </c>
      <c r="Y38">
        <v>2.2445780000000002</v>
      </c>
      <c r="Z38">
        <v>0.420622</v>
      </c>
      <c r="AA38">
        <v>0.94375500000000001</v>
      </c>
      <c r="AB38">
        <v>0</v>
      </c>
      <c r="AC38">
        <v>0</v>
      </c>
      <c r="AD38">
        <v>0</v>
      </c>
      <c r="AE38">
        <v>3.115818</v>
      </c>
      <c r="AF38">
        <v>1.02</v>
      </c>
      <c r="AG38">
        <v>20.942519999999998</v>
      </c>
      <c r="AH38">
        <v>8.6904570000000003</v>
      </c>
      <c r="AI38">
        <v>7.0805170000000004</v>
      </c>
      <c r="AJ38">
        <v>0</v>
      </c>
      <c r="AK38">
        <v>3.3099669999999999</v>
      </c>
      <c r="AL38">
        <v>0.64090499999999995</v>
      </c>
      <c r="AM38">
        <v>5.734477</v>
      </c>
      <c r="AN38">
        <v>9.1335999999999995</v>
      </c>
    </row>
    <row r="39" spans="2:40" x14ac:dyDescent="0.3">
      <c r="B39" t="s">
        <v>65</v>
      </c>
      <c r="C39">
        <v>2070</v>
      </c>
      <c r="D39" t="s">
        <v>66</v>
      </c>
      <c r="E39">
        <v>0</v>
      </c>
      <c r="F39">
        <v>0</v>
      </c>
      <c r="G39">
        <v>6.2165119999999998</v>
      </c>
      <c r="H39">
        <v>2.4234089999999999</v>
      </c>
      <c r="I39">
        <v>2</v>
      </c>
      <c r="J39">
        <v>4.9610750000000001</v>
      </c>
      <c r="K39">
        <v>4.0265700000000004</v>
      </c>
      <c r="L39">
        <v>32.47101</v>
      </c>
      <c r="M39">
        <v>4.5486050000000002</v>
      </c>
      <c r="N39">
        <v>0.32168799999999997</v>
      </c>
      <c r="O39">
        <v>14.79424</v>
      </c>
      <c r="P39">
        <v>38.706569999999999</v>
      </c>
      <c r="Q39">
        <v>1.263619</v>
      </c>
      <c r="R39">
        <v>18.87585</v>
      </c>
      <c r="S39">
        <v>4.7046299999999999</v>
      </c>
      <c r="T39">
        <v>4.0730430000000002</v>
      </c>
      <c r="U39">
        <v>6.6159739999999996</v>
      </c>
      <c r="V39">
        <v>0.14000000000000001</v>
      </c>
      <c r="W39">
        <v>30.0641</v>
      </c>
      <c r="X39">
        <v>0</v>
      </c>
      <c r="Y39">
        <v>2.3932410000000002</v>
      </c>
      <c r="Z39">
        <v>0.43179899999999999</v>
      </c>
      <c r="AA39">
        <v>0.97752700000000003</v>
      </c>
      <c r="AB39">
        <v>0</v>
      </c>
      <c r="AC39">
        <v>0</v>
      </c>
      <c r="AD39">
        <v>0</v>
      </c>
      <c r="AE39">
        <v>3.4185370000000002</v>
      </c>
      <c r="AF39">
        <v>1.02</v>
      </c>
      <c r="AG39">
        <v>22.35502</v>
      </c>
      <c r="AH39">
        <v>9.0842030000000005</v>
      </c>
      <c r="AI39">
        <v>7.7205019999999998</v>
      </c>
      <c r="AJ39">
        <v>0</v>
      </c>
      <c r="AK39">
        <v>3.5269870000000001</v>
      </c>
      <c r="AL39">
        <v>0.67125000000000001</v>
      </c>
      <c r="AM39">
        <v>5.9851219999999996</v>
      </c>
      <c r="AN39">
        <v>9.1335999999999995</v>
      </c>
    </row>
    <row r="40" spans="2:40" x14ac:dyDescent="0.3">
      <c r="B40" t="s">
        <v>65</v>
      </c>
      <c r="C40">
        <v>2020</v>
      </c>
      <c r="D40" t="s">
        <v>67</v>
      </c>
      <c r="E40">
        <v>0</v>
      </c>
      <c r="F40">
        <v>8.9999999999999993E-3</v>
      </c>
      <c r="G40">
        <v>0.50527900000000003</v>
      </c>
      <c r="H40">
        <v>0</v>
      </c>
      <c r="I40">
        <v>0</v>
      </c>
      <c r="J40">
        <v>0</v>
      </c>
      <c r="K40">
        <v>1.116968</v>
      </c>
      <c r="L40">
        <v>2.0227759999999999</v>
      </c>
      <c r="M40">
        <v>0</v>
      </c>
      <c r="N40">
        <v>4.6626000000000001E-2</v>
      </c>
      <c r="O40">
        <v>0</v>
      </c>
      <c r="P40">
        <v>1.366458</v>
      </c>
      <c r="Q40">
        <v>0</v>
      </c>
      <c r="R40">
        <v>1.114628</v>
      </c>
      <c r="S40">
        <v>8.0310999999999994E-2</v>
      </c>
      <c r="T40">
        <v>6.0685000000000003E-2</v>
      </c>
      <c r="U40">
        <v>0</v>
      </c>
      <c r="V40">
        <v>0</v>
      </c>
      <c r="W40">
        <v>1.2445660000000001</v>
      </c>
      <c r="X40">
        <v>0</v>
      </c>
      <c r="Y40">
        <v>4.8663999999999999E-2</v>
      </c>
      <c r="Z40">
        <v>8.4195999999999993E-2</v>
      </c>
      <c r="AA40">
        <v>2.0159E-2</v>
      </c>
      <c r="AB40">
        <v>0</v>
      </c>
      <c r="AC40">
        <v>0</v>
      </c>
      <c r="AD40">
        <v>0</v>
      </c>
      <c r="AE40">
        <v>1.4324699999999999</v>
      </c>
      <c r="AF40">
        <v>0</v>
      </c>
      <c r="AG40">
        <v>9.9840999999999999E-2</v>
      </c>
      <c r="AH40">
        <v>0.19012599999999999</v>
      </c>
      <c r="AI40">
        <v>0.14095299999999999</v>
      </c>
      <c r="AJ40">
        <v>0.27200000000000002</v>
      </c>
      <c r="AK40">
        <v>8.6582999999999993E-2</v>
      </c>
      <c r="AL40">
        <v>1.1386E-2</v>
      </c>
      <c r="AM40">
        <v>4.8846000000000001E-2</v>
      </c>
      <c r="AN40">
        <v>1.0584100000000001</v>
      </c>
    </row>
    <row r="41" spans="2:40" x14ac:dyDescent="0.3">
      <c r="B41" t="s">
        <v>65</v>
      </c>
      <c r="C41">
        <v>2030</v>
      </c>
      <c r="D41" t="s">
        <v>67</v>
      </c>
      <c r="E41">
        <v>0</v>
      </c>
      <c r="F41">
        <v>8.9999999999999993E-3</v>
      </c>
      <c r="G41">
        <v>0.60675000000000001</v>
      </c>
      <c r="H41">
        <v>0</v>
      </c>
      <c r="I41">
        <v>0</v>
      </c>
      <c r="J41">
        <v>0</v>
      </c>
      <c r="K41">
        <v>1.3738999999999999</v>
      </c>
      <c r="L41">
        <v>2.3187380000000002</v>
      </c>
      <c r="M41">
        <v>0</v>
      </c>
      <c r="N41">
        <v>5.5939000000000003E-2</v>
      </c>
      <c r="O41">
        <v>0</v>
      </c>
      <c r="P41">
        <v>1.8894390000000001</v>
      </c>
      <c r="Q41">
        <v>0</v>
      </c>
      <c r="R41">
        <v>1.2886820000000001</v>
      </c>
      <c r="S41">
        <v>9.4696000000000002E-2</v>
      </c>
      <c r="T41">
        <v>7.6383000000000006E-2</v>
      </c>
      <c r="U41">
        <v>0</v>
      </c>
      <c r="V41">
        <v>0</v>
      </c>
      <c r="W41">
        <v>1.624344</v>
      </c>
      <c r="X41">
        <v>0</v>
      </c>
      <c r="Y41">
        <v>6.1783999999999999E-2</v>
      </c>
      <c r="Z41">
        <v>9.0047000000000002E-2</v>
      </c>
      <c r="AA41">
        <v>2.0159E-2</v>
      </c>
      <c r="AB41">
        <v>0</v>
      </c>
      <c r="AC41">
        <v>0</v>
      </c>
      <c r="AD41">
        <v>0</v>
      </c>
      <c r="AE41">
        <v>1.7097770000000001</v>
      </c>
      <c r="AF41">
        <v>0</v>
      </c>
      <c r="AG41">
        <v>0.121187</v>
      </c>
      <c r="AH41">
        <v>0.24168799999999999</v>
      </c>
      <c r="AI41">
        <v>0.172814</v>
      </c>
      <c r="AJ41">
        <v>0.27200000000000002</v>
      </c>
      <c r="AK41">
        <v>0.10312499999999999</v>
      </c>
      <c r="AL41">
        <v>1.5056E-2</v>
      </c>
      <c r="AM41">
        <v>5.4091E-2</v>
      </c>
      <c r="AN41">
        <v>1.21221</v>
      </c>
    </row>
    <row r="42" spans="2:40" x14ac:dyDescent="0.3">
      <c r="B42" t="s">
        <v>65</v>
      </c>
      <c r="C42">
        <v>2040</v>
      </c>
      <c r="D42" t="s">
        <v>67</v>
      </c>
      <c r="E42">
        <v>0</v>
      </c>
      <c r="F42">
        <v>8.9999999999999993E-3</v>
      </c>
      <c r="G42">
        <v>0.65768000000000004</v>
      </c>
      <c r="H42">
        <v>0</v>
      </c>
      <c r="I42">
        <v>0</v>
      </c>
      <c r="J42">
        <v>0</v>
      </c>
      <c r="K42">
        <v>1.4444539999999999</v>
      </c>
      <c r="L42">
        <v>2.3836409999999999</v>
      </c>
      <c r="M42">
        <v>0</v>
      </c>
      <c r="N42">
        <v>6.0554999999999998E-2</v>
      </c>
      <c r="O42">
        <v>0</v>
      </c>
      <c r="P42">
        <v>1.967444</v>
      </c>
      <c r="Q42">
        <v>0</v>
      </c>
      <c r="R42">
        <v>1.357823</v>
      </c>
      <c r="S42">
        <v>0.102149</v>
      </c>
      <c r="T42">
        <v>8.3998000000000003E-2</v>
      </c>
      <c r="U42">
        <v>0</v>
      </c>
      <c r="V42">
        <v>0</v>
      </c>
      <c r="W42">
        <v>1.650703</v>
      </c>
      <c r="X42">
        <v>0</v>
      </c>
      <c r="Y42">
        <v>6.8226999999999996E-2</v>
      </c>
      <c r="Z42">
        <v>9.4950000000000007E-2</v>
      </c>
      <c r="AA42">
        <v>2.0159E-2</v>
      </c>
      <c r="AB42">
        <v>0</v>
      </c>
      <c r="AC42">
        <v>0</v>
      </c>
      <c r="AD42">
        <v>0</v>
      </c>
      <c r="AE42">
        <v>1.794081</v>
      </c>
      <c r="AF42">
        <v>0</v>
      </c>
      <c r="AG42">
        <v>0.13864499999999999</v>
      </c>
      <c r="AH42">
        <v>0.250058</v>
      </c>
      <c r="AI42">
        <v>0.19153200000000001</v>
      </c>
      <c r="AJ42">
        <v>0.27200000000000002</v>
      </c>
      <c r="AK42">
        <v>0.111371</v>
      </c>
      <c r="AL42">
        <v>1.66E-2</v>
      </c>
      <c r="AM42">
        <v>6.1200999999999998E-2</v>
      </c>
      <c r="AN42">
        <v>1.3617900000000001</v>
      </c>
    </row>
    <row r="43" spans="2:40" x14ac:dyDescent="0.3">
      <c r="B43" t="s">
        <v>65</v>
      </c>
      <c r="C43">
        <v>2050</v>
      </c>
      <c r="D43" t="s">
        <v>67</v>
      </c>
      <c r="E43">
        <v>0</v>
      </c>
      <c r="F43">
        <v>8.9999999999999993E-3</v>
      </c>
      <c r="G43">
        <v>0.708202</v>
      </c>
      <c r="H43">
        <v>0</v>
      </c>
      <c r="I43">
        <v>0</v>
      </c>
      <c r="J43">
        <v>0</v>
      </c>
      <c r="K43">
        <v>1.5202359999999999</v>
      </c>
      <c r="L43">
        <v>2.4708169999999998</v>
      </c>
      <c r="M43">
        <v>0</v>
      </c>
      <c r="N43">
        <v>6.7441000000000001E-2</v>
      </c>
      <c r="O43">
        <v>0</v>
      </c>
      <c r="P43">
        <v>2.0899399999999999</v>
      </c>
      <c r="Q43">
        <v>0</v>
      </c>
      <c r="R43">
        <v>1.470901</v>
      </c>
      <c r="S43">
        <v>0.11128200000000001</v>
      </c>
      <c r="T43">
        <v>9.1354000000000005E-2</v>
      </c>
      <c r="U43">
        <v>0</v>
      </c>
      <c r="V43">
        <v>0</v>
      </c>
      <c r="W43">
        <v>1.7633890000000001</v>
      </c>
      <c r="X43">
        <v>0</v>
      </c>
      <c r="Y43">
        <v>7.3991000000000001E-2</v>
      </c>
      <c r="Z43">
        <v>9.8405000000000006E-2</v>
      </c>
      <c r="AA43">
        <v>2.0159E-2</v>
      </c>
      <c r="AB43">
        <v>0</v>
      </c>
      <c r="AC43">
        <v>0</v>
      </c>
      <c r="AD43">
        <v>0</v>
      </c>
      <c r="AE43">
        <v>1.9544269999999999</v>
      </c>
      <c r="AF43">
        <v>0</v>
      </c>
      <c r="AG43">
        <v>0.148927</v>
      </c>
      <c r="AH43">
        <v>0.26078200000000001</v>
      </c>
      <c r="AI43">
        <v>0.209589</v>
      </c>
      <c r="AJ43">
        <v>0.27200000000000002</v>
      </c>
      <c r="AK43">
        <v>0.119615</v>
      </c>
      <c r="AL43">
        <v>1.7505E-2</v>
      </c>
      <c r="AM43">
        <v>6.4857999999999999E-2</v>
      </c>
      <c r="AN43">
        <v>1.55925</v>
      </c>
    </row>
    <row r="44" spans="2:40" x14ac:dyDescent="0.3">
      <c r="B44" t="s">
        <v>65</v>
      </c>
      <c r="C44">
        <v>2060</v>
      </c>
      <c r="D44" t="s">
        <v>67</v>
      </c>
      <c r="E44">
        <v>0</v>
      </c>
      <c r="F44">
        <v>0</v>
      </c>
      <c r="G44">
        <v>0.756185</v>
      </c>
      <c r="H44">
        <v>0</v>
      </c>
      <c r="I44">
        <v>0</v>
      </c>
      <c r="J44">
        <v>0</v>
      </c>
      <c r="K44">
        <v>1.5924799999999999</v>
      </c>
      <c r="L44">
        <v>2.5533139999999999</v>
      </c>
      <c r="M44">
        <v>0</v>
      </c>
      <c r="N44">
        <v>7.4902999999999997E-2</v>
      </c>
      <c r="O44">
        <v>0</v>
      </c>
      <c r="P44">
        <v>2.234747</v>
      </c>
      <c r="Q44">
        <v>0</v>
      </c>
      <c r="R44">
        <v>1.588711</v>
      </c>
      <c r="S44">
        <v>0.12068</v>
      </c>
      <c r="T44">
        <v>9.9392999999999995E-2</v>
      </c>
      <c r="U44">
        <v>0</v>
      </c>
      <c r="V44">
        <v>0</v>
      </c>
      <c r="W44">
        <v>1.9027639999999999</v>
      </c>
      <c r="X44">
        <v>0</v>
      </c>
      <c r="Y44">
        <v>7.8892000000000004E-2</v>
      </c>
      <c r="Z44">
        <v>0.10102</v>
      </c>
      <c r="AA44">
        <v>2.0159E-2</v>
      </c>
      <c r="AB44">
        <v>0</v>
      </c>
      <c r="AC44">
        <v>0</v>
      </c>
      <c r="AD44">
        <v>0</v>
      </c>
      <c r="AE44">
        <v>2.1443099999999999</v>
      </c>
      <c r="AF44">
        <v>0</v>
      </c>
      <c r="AG44">
        <v>0.158971</v>
      </c>
      <c r="AH44">
        <v>0.27259699999999998</v>
      </c>
      <c r="AI44">
        <v>0.22853299999999999</v>
      </c>
      <c r="AJ44">
        <v>0</v>
      </c>
      <c r="AK44">
        <v>0.12745799999999999</v>
      </c>
      <c r="AL44">
        <v>1.8334E-2</v>
      </c>
      <c r="AM44">
        <v>6.7693000000000003E-2</v>
      </c>
      <c r="AN44">
        <v>1.55925</v>
      </c>
    </row>
    <row r="45" spans="2:40" x14ac:dyDescent="0.3">
      <c r="B45" t="s">
        <v>65</v>
      </c>
      <c r="C45">
        <v>2070</v>
      </c>
      <c r="D45" t="s">
        <v>67</v>
      </c>
      <c r="E45">
        <v>0</v>
      </c>
      <c r="F45">
        <v>0</v>
      </c>
      <c r="G45">
        <v>0.807419</v>
      </c>
      <c r="H45">
        <v>0</v>
      </c>
      <c r="I45">
        <v>0</v>
      </c>
      <c r="J45">
        <v>0</v>
      </c>
      <c r="K45">
        <v>1.6681569999999999</v>
      </c>
      <c r="L45">
        <v>2.6385649999999998</v>
      </c>
      <c r="M45">
        <v>0</v>
      </c>
      <c r="N45">
        <v>8.3191000000000001E-2</v>
      </c>
      <c r="O45">
        <v>0</v>
      </c>
      <c r="P45">
        <v>2.3895879999999998</v>
      </c>
      <c r="Q45">
        <v>0</v>
      </c>
      <c r="R45">
        <v>1.715956</v>
      </c>
      <c r="S45">
        <v>0.13087099999999999</v>
      </c>
      <c r="T45">
        <v>0.10814</v>
      </c>
      <c r="U45">
        <v>0</v>
      </c>
      <c r="V45">
        <v>0</v>
      </c>
      <c r="W45">
        <v>2.053156</v>
      </c>
      <c r="X45">
        <v>0</v>
      </c>
      <c r="Y45">
        <v>8.4116999999999997E-2</v>
      </c>
      <c r="Z45">
        <v>0.103704</v>
      </c>
      <c r="AA45">
        <v>2.0159E-2</v>
      </c>
      <c r="AB45">
        <v>0</v>
      </c>
      <c r="AC45">
        <v>0</v>
      </c>
      <c r="AD45">
        <v>0</v>
      </c>
      <c r="AE45">
        <v>2.3526410000000002</v>
      </c>
      <c r="AF45">
        <v>0</v>
      </c>
      <c r="AG45">
        <v>0.16969300000000001</v>
      </c>
      <c r="AH45">
        <v>0.28494799999999998</v>
      </c>
      <c r="AI45">
        <v>0.24918899999999999</v>
      </c>
      <c r="AJ45">
        <v>0</v>
      </c>
      <c r="AK45">
        <v>0.13581499999999999</v>
      </c>
      <c r="AL45">
        <v>1.9202E-2</v>
      </c>
      <c r="AM45">
        <v>7.0651000000000005E-2</v>
      </c>
      <c r="AN45">
        <v>1.55925</v>
      </c>
    </row>
    <row r="46" spans="2:40" x14ac:dyDescent="0.3">
      <c r="B46" t="s">
        <v>65</v>
      </c>
      <c r="C46">
        <v>2020</v>
      </c>
      <c r="D46" t="s">
        <v>68</v>
      </c>
      <c r="E46">
        <v>0.39</v>
      </c>
      <c r="F46">
        <v>0.59075699999999998</v>
      </c>
      <c r="G46">
        <v>7.3934309999999996</v>
      </c>
      <c r="H46">
        <v>0.75440499999999999</v>
      </c>
      <c r="I46">
        <v>1.33</v>
      </c>
      <c r="J46">
        <v>0</v>
      </c>
      <c r="K46">
        <v>5.2034039999999999</v>
      </c>
      <c r="L46">
        <v>42.083219999999997</v>
      </c>
      <c r="M46">
        <v>0.32341199999999998</v>
      </c>
      <c r="N46">
        <v>0</v>
      </c>
      <c r="O46">
        <v>1.0127250000000001</v>
      </c>
      <c r="P46">
        <v>13.136799999999999</v>
      </c>
      <c r="Q46">
        <v>3.3430339999999998</v>
      </c>
      <c r="R46">
        <v>14.016299999999999</v>
      </c>
      <c r="S46">
        <v>0.104175</v>
      </c>
      <c r="T46">
        <v>1.762059</v>
      </c>
      <c r="U46">
        <v>0</v>
      </c>
      <c r="V46">
        <v>0</v>
      </c>
      <c r="W46">
        <v>18.372109999999999</v>
      </c>
      <c r="X46">
        <v>0.13</v>
      </c>
      <c r="Y46">
        <v>3.8303999999999998E-2</v>
      </c>
      <c r="Z46">
        <v>3.2006350000000001</v>
      </c>
      <c r="AA46">
        <v>0.81463799999999997</v>
      </c>
      <c r="AB46">
        <v>9.5000000000000001E-2</v>
      </c>
      <c r="AC46">
        <v>0.29099999999999998</v>
      </c>
      <c r="AD46">
        <v>0</v>
      </c>
      <c r="AE46">
        <v>6.1408199999999997</v>
      </c>
      <c r="AF46">
        <v>0.51400000000000001</v>
      </c>
      <c r="AG46">
        <v>9.1658899999999992</v>
      </c>
      <c r="AH46">
        <v>1.1599079999999999</v>
      </c>
      <c r="AI46">
        <v>4.8205239999999998</v>
      </c>
      <c r="AJ46">
        <v>1.254</v>
      </c>
      <c r="AK46">
        <v>4.5234800000000002</v>
      </c>
      <c r="AL46">
        <v>0.55934499999999998</v>
      </c>
      <c r="AM46">
        <v>6.337942</v>
      </c>
      <c r="AN46">
        <v>10.607200000000001</v>
      </c>
    </row>
    <row r="47" spans="2:40" x14ac:dyDescent="0.3">
      <c r="B47" t="s">
        <v>65</v>
      </c>
      <c r="C47">
        <v>2030</v>
      </c>
      <c r="D47" t="s">
        <v>68</v>
      </c>
      <c r="E47">
        <v>0.39</v>
      </c>
      <c r="F47">
        <v>0.59075699999999998</v>
      </c>
      <c r="G47">
        <v>8.0292770000000004</v>
      </c>
      <c r="H47">
        <v>0.85632900000000001</v>
      </c>
      <c r="I47">
        <v>1.33</v>
      </c>
      <c r="J47">
        <v>0</v>
      </c>
      <c r="K47">
        <v>5.7883380000000004</v>
      </c>
      <c r="L47">
        <v>43.627949999999998</v>
      </c>
      <c r="M47">
        <v>0.39713399999999999</v>
      </c>
      <c r="N47">
        <v>0</v>
      </c>
      <c r="O47">
        <v>1.2295860000000001</v>
      </c>
      <c r="P47">
        <v>16.427759999999999</v>
      </c>
      <c r="Q47">
        <v>3.4983420000000001</v>
      </c>
      <c r="R47">
        <v>14.655519999999999</v>
      </c>
      <c r="S47">
        <v>0.11108800000000001</v>
      </c>
      <c r="T47">
        <v>2.0058250000000002</v>
      </c>
      <c r="U47">
        <v>0</v>
      </c>
      <c r="V47">
        <v>0</v>
      </c>
      <c r="W47">
        <v>21.685580000000002</v>
      </c>
      <c r="X47">
        <v>0.13</v>
      </c>
      <c r="Y47">
        <v>4.3979999999999998E-2</v>
      </c>
      <c r="Z47">
        <v>3.0957509999999999</v>
      </c>
      <c r="AA47">
        <v>0.95446799999999998</v>
      </c>
      <c r="AB47">
        <v>9.5000000000000001E-2</v>
      </c>
      <c r="AC47">
        <v>0.29099999999999998</v>
      </c>
      <c r="AD47">
        <v>0</v>
      </c>
      <c r="AE47">
        <v>6.6287589999999996</v>
      </c>
      <c r="AF47">
        <v>0.51400000000000001</v>
      </c>
      <c r="AG47">
        <v>10.06184</v>
      </c>
      <c r="AH47">
        <v>1.333493</v>
      </c>
      <c r="AI47">
        <v>5.3450519999999999</v>
      </c>
      <c r="AJ47">
        <v>1.254</v>
      </c>
      <c r="AK47">
        <v>4.8725379999999996</v>
      </c>
      <c r="AL47">
        <v>0.66892600000000002</v>
      </c>
      <c r="AM47">
        <v>6.3473639999999998</v>
      </c>
      <c r="AN47">
        <v>9.8988600000000009</v>
      </c>
    </row>
    <row r="48" spans="2:40" x14ac:dyDescent="0.3">
      <c r="B48" t="s">
        <v>65</v>
      </c>
      <c r="C48">
        <v>2040</v>
      </c>
      <c r="D48" t="s">
        <v>68</v>
      </c>
      <c r="E48">
        <v>0.39</v>
      </c>
      <c r="F48">
        <v>0.59075699999999998</v>
      </c>
      <c r="G48">
        <v>7.8710599999999999</v>
      </c>
      <c r="H48">
        <v>0.85916899999999996</v>
      </c>
      <c r="I48">
        <v>1.33</v>
      </c>
      <c r="J48">
        <v>0</v>
      </c>
      <c r="K48">
        <v>5.5036959999999997</v>
      </c>
      <c r="L48">
        <v>40.560740000000003</v>
      </c>
      <c r="M48">
        <v>0.38264900000000002</v>
      </c>
      <c r="N48">
        <v>0</v>
      </c>
      <c r="O48">
        <v>1.1512549999999999</v>
      </c>
      <c r="P48">
        <v>15.470330000000001</v>
      </c>
      <c r="Q48">
        <v>3.3942139999999998</v>
      </c>
      <c r="R48">
        <v>13.965310000000001</v>
      </c>
      <c r="S48">
        <v>0.108374</v>
      </c>
      <c r="T48">
        <v>1.9948729999999999</v>
      </c>
      <c r="U48">
        <v>0</v>
      </c>
      <c r="V48">
        <v>0</v>
      </c>
      <c r="W48">
        <v>19.930299999999999</v>
      </c>
      <c r="X48">
        <v>0.13</v>
      </c>
      <c r="Y48">
        <v>4.3922000000000003E-2</v>
      </c>
      <c r="Z48">
        <v>2.9522020000000002</v>
      </c>
      <c r="AA48">
        <v>0.93184999999999996</v>
      </c>
      <c r="AB48">
        <v>9.5000000000000001E-2</v>
      </c>
      <c r="AC48">
        <v>0.29099999999999998</v>
      </c>
      <c r="AD48">
        <v>0</v>
      </c>
      <c r="AE48">
        <v>6.2905230000000003</v>
      </c>
      <c r="AF48">
        <v>0.51400000000000001</v>
      </c>
      <c r="AG48">
        <v>10.41058</v>
      </c>
      <c r="AH48">
        <v>1.2477510000000001</v>
      </c>
      <c r="AI48">
        <v>5.357558</v>
      </c>
      <c r="AJ48">
        <v>1.254</v>
      </c>
      <c r="AK48">
        <v>4.7590050000000002</v>
      </c>
      <c r="AL48">
        <v>0.66703299999999999</v>
      </c>
      <c r="AM48">
        <v>6.495025</v>
      </c>
      <c r="AN48">
        <v>9.4752299999999998</v>
      </c>
    </row>
    <row r="49" spans="2:40" x14ac:dyDescent="0.3">
      <c r="B49" t="s">
        <v>65</v>
      </c>
      <c r="C49">
        <v>2050</v>
      </c>
      <c r="D49" t="s">
        <v>68</v>
      </c>
      <c r="E49">
        <v>0.39</v>
      </c>
      <c r="F49">
        <v>0.59075699999999998</v>
      </c>
      <c r="G49">
        <v>7.6652810000000002</v>
      </c>
      <c r="H49">
        <v>0.84183200000000002</v>
      </c>
      <c r="I49">
        <v>1.33</v>
      </c>
      <c r="J49">
        <v>0</v>
      </c>
      <c r="K49">
        <v>5.2385820000000001</v>
      </c>
      <c r="L49">
        <v>38.023980000000002</v>
      </c>
      <c r="M49">
        <v>0.377025</v>
      </c>
      <c r="N49">
        <v>0</v>
      </c>
      <c r="O49">
        <v>1.1170690000000001</v>
      </c>
      <c r="P49">
        <v>14.8622</v>
      </c>
      <c r="Q49">
        <v>3.350616</v>
      </c>
      <c r="R49">
        <v>13.68178</v>
      </c>
      <c r="S49">
        <v>0.10677499999999999</v>
      </c>
      <c r="T49">
        <v>1.9621230000000001</v>
      </c>
      <c r="U49">
        <v>0</v>
      </c>
      <c r="V49">
        <v>0</v>
      </c>
      <c r="W49">
        <v>19.25506</v>
      </c>
      <c r="X49">
        <v>0.13</v>
      </c>
      <c r="Y49">
        <v>4.3078999999999999E-2</v>
      </c>
      <c r="Z49">
        <v>2.7670629999999998</v>
      </c>
      <c r="AA49">
        <v>0.87953700000000001</v>
      </c>
      <c r="AB49">
        <v>9.5000000000000001E-2</v>
      </c>
      <c r="AC49">
        <v>0.29099999999999998</v>
      </c>
      <c r="AD49">
        <v>0</v>
      </c>
      <c r="AE49">
        <v>6.1974929999999997</v>
      </c>
      <c r="AF49">
        <v>0.51400000000000001</v>
      </c>
      <c r="AG49">
        <v>10.11337</v>
      </c>
      <c r="AH49">
        <v>1.176836</v>
      </c>
      <c r="AI49">
        <v>5.3020610000000001</v>
      </c>
      <c r="AJ49">
        <v>1.254</v>
      </c>
      <c r="AK49">
        <v>4.622566</v>
      </c>
      <c r="AL49">
        <v>0.63612299999999999</v>
      </c>
      <c r="AM49">
        <v>6.2249189999999999</v>
      </c>
      <c r="AN49">
        <v>9.3345199999999995</v>
      </c>
    </row>
    <row r="50" spans="2:40" x14ac:dyDescent="0.3">
      <c r="B50" t="s">
        <v>65</v>
      </c>
      <c r="C50">
        <v>2060</v>
      </c>
      <c r="D50" t="s">
        <v>68</v>
      </c>
      <c r="E50">
        <v>0</v>
      </c>
      <c r="F50">
        <v>0</v>
      </c>
      <c r="G50">
        <v>7.402031</v>
      </c>
      <c r="H50">
        <v>0.82314799999999999</v>
      </c>
      <c r="I50">
        <v>1.33</v>
      </c>
      <c r="J50">
        <v>0</v>
      </c>
      <c r="K50">
        <v>4.9628209999999999</v>
      </c>
      <c r="L50">
        <v>35.536380000000001</v>
      </c>
      <c r="M50">
        <v>0.37219400000000002</v>
      </c>
      <c r="N50">
        <v>0</v>
      </c>
      <c r="O50">
        <v>1.0933250000000001</v>
      </c>
      <c r="P50">
        <v>14.37241</v>
      </c>
      <c r="Q50">
        <v>3.2817370000000001</v>
      </c>
      <c r="R50">
        <v>13.364599999999999</v>
      </c>
      <c r="S50">
        <v>0.10471999999999999</v>
      </c>
      <c r="T50">
        <v>1.9306650000000001</v>
      </c>
      <c r="U50">
        <v>0</v>
      </c>
      <c r="V50">
        <v>0</v>
      </c>
      <c r="W50">
        <v>18.790299999999998</v>
      </c>
      <c r="X50">
        <v>0</v>
      </c>
      <c r="Y50">
        <v>4.1540000000000001E-2</v>
      </c>
      <c r="Z50">
        <v>2.5689799999999998</v>
      </c>
      <c r="AA50">
        <v>0.82390200000000002</v>
      </c>
      <c r="AB50">
        <v>0</v>
      </c>
      <c r="AC50">
        <v>0</v>
      </c>
      <c r="AD50">
        <v>0</v>
      </c>
      <c r="AE50">
        <v>6.1494479999999996</v>
      </c>
      <c r="AF50">
        <v>0.51400000000000001</v>
      </c>
      <c r="AG50">
        <v>9.7632379999999994</v>
      </c>
      <c r="AH50">
        <v>1.1125309999999999</v>
      </c>
      <c r="AI50">
        <v>5.2285019999999998</v>
      </c>
      <c r="AJ50">
        <v>0</v>
      </c>
      <c r="AK50">
        <v>4.4546679999999999</v>
      </c>
      <c r="AL50">
        <v>0.60253699999999999</v>
      </c>
      <c r="AM50">
        <v>5.8757700000000002</v>
      </c>
      <c r="AN50">
        <v>9.3345199999999995</v>
      </c>
    </row>
    <row r="51" spans="2:40" x14ac:dyDescent="0.3">
      <c r="B51" t="s">
        <v>65</v>
      </c>
      <c r="C51">
        <v>2070</v>
      </c>
      <c r="D51" t="s">
        <v>68</v>
      </c>
      <c r="E51">
        <v>0</v>
      </c>
      <c r="F51">
        <v>0</v>
      </c>
      <c r="G51">
        <v>7.1478219999999997</v>
      </c>
      <c r="H51">
        <v>0.80487900000000001</v>
      </c>
      <c r="I51">
        <v>1.33</v>
      </c>
      <c r="J51">
        <v>0</v>
      </c>
      <c r="K51">
        <v>4.7015760000000002</v>
      </c>
      <c r="L51">
        <v>33.21152</v>
      </c>
      <c r="M51">
        <v>0.367425</v>
      </c>
      <c r="N51">
        <v>0</v>
      </c>
      <c r="O51">
        <v>1.0700860000000001</v>
      </c>
      <c r="P51">
        <v>13.898759999999999</v>
      </c>
      <c r="Q51">
        <v>3.2142750000000002</v>
      </c>
      <c r="R51">
        <v>13.05477</v>
      </c>
      <c r="S51">
        <v>0.102705</v>
      </c>
      <c r="T51">
        <v>1.89971</v>
      </c>
      <c r="U51">
        <v>0</v>
      </c>
      <c r="V51">
        <v>0</v>
      </c>
      <c r="W51">
        <v>18.336770000000001</v>
      </c>
      <c r="X51">
        <v>0</v>
      </c>
      <c r="Y51">
        <v>4.0056000000000001E-2</v>
      </c>
      <c r="Z51">
        <v>2.3850769999999999</v>
      </c>
      <c r="AA51">
        <v>0.77178599999999997</v>
      </c>
      <c r="AB51">
        <v>0</v>
      </c>
      <c r="AC51">
        <v>0</v>
      </c>
      <c r="AD51">
        <v>0</v>
      </c>
      <c r="AE51">
        <v>6.1017760000000001</v>
      </c>
      <c r="AF51">
        <v>0.51400000000000001</v>
      </c>
      <c r="AG51">
        <v>9.4252289999999999</v>
      </c>
      <c r="AH51">
        <v>1.0517399999999999</v>
      </c>
      <c r="AI51">
        <v>5.1559629999999999</v>
      </c>
      <c r="AJ51">
        <v>0</v>
      </c>
      <c r="AK51">
        <v>4.2928680000000004</v>
      </c>
      <c r="AL51">
        <v>0.57072400000000001</v>
      </c>
      <c r="AM51">
        <v>5.5462049999999996</v>
      </c>
      <c r="AN51">
        <v>9.3345199999999995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1"/>
  <sheetViews>
    <sheetView tabSelected="1" workbookViewId="0">
      <selection activeCell="G3" sqref="G3:AP3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42" x14ac:dyDescent="0.3">
      <c r="A1" t="s">
        <v>28</v>
      </c>
    </row>
    <row r="2" spans="1:42" x14ac:dyDescent="0.3">
      <c r="B2" s="9" t="s">
        <v>18</v>
      </c>
      <c r="I2" s="10"/>
      <c r="J2" s="11"/>
      <c r="K2" s="11"/>
      <c r="L2" s="11"/>
      <c r="M2" s="11"/>
      <c r="N2" s="11"/>
      <c r="O2" s="11"/>
      <c r="P2" s="11"/>
    </row>
    <row r="3" spans="1:42" ht="15" thickBot="1" x14ac:dyDescent="0.35">
      <c r="B3" s="12" t="s">
        <v>16</v>
      </c>
      <c r="C3" s="12" t="s">
        <v>12</v>
      </c>
      <c r="D3" s="12" t="s">
        <v>11</v>
      </c>
      <c r="E3" s="12" t="s">
        <v>3</v>
      </c>
      <c r="F3" s="12" t="s">
        <v>6</v>
      </c>
      <c r="G3" s="12" t="s">
        <v>29</v>
      </c>
      <c r="H3" s="12" t="s">
        <v>30</v>
      </c>
      <c r="I3" s="12" t="s">
        <v>31</v>
      </c>
      <c r="J3" s="12" t="s">
        <v>32</v>
      </c>
      <c r="K3" s="12" t="s">
        <v>33</v>
      </c>
      <c r="L3" s="12" t="s">
        <v>34</v>
      </c>
      <c r="M3" s="12" t="s">
        <v>35</v>
      </c>
      <c r="N3" s="12" t="s">
        <v>36</v>
      </c>
      <c r="O3" s="12" t="s">
        <v>37</v>
      </c>
      <c r="P3" s="12" t="s">
        <v>38</v>
      </c>
      <c r="Q3" s="12" t="s">
        <v>39</v>
      </c>
      <c r="R3" s="12" t="s">
        <v>40</v>
      </c>
      <c r="S3" s="12" t="s">
        <v>41</v>
      </c>
      <c r="T3" s="12" t="s">
        <v>42</v>
      </c>
      <c r="U3" s="12" t="s">
        <v>43</v>
      </c>
      <c r="V3" s="12" t="s">
        <v>44</v>
      </c>
      <c r="W3" s="12" t="s">
        <v>45</v>
      </c>
      <c r="X3" s="12" t="s">
        <v>46</v>
      </c>
      <c r="Y3" s="12" t="s">
        <v>47</v>
      </c>
      <c r="Z3" s="12" t="s">
        <v>48</v>
      </c>
      <c r="AA3" s="12" t="s">
        <v>49</v>
      </c>
      <c r="AB3" s="12" t="s">
        <v>50</v>
      </c>
      <c r="AC3" s="12" t="s">
        <v>51</v>
      </c>
      <c r="AD3" s="12" t="s">
        <v>52</v>
      </c>
      <c r="AE3" s="12" t="s">
        <v>53</v>
      </c>
      <c r="AF3" s="12" t="s">
        <v>54</v>
      </c>
      <c r="AG3" s="12" t="s">
        <v>55</v>
      </c>
      <c r="AH3" s="12" t="s">
        <v>56</v>
      </c>
      <c r="AI3" s="12" t="s">
        <v>57</v>
      </c>
      <c r="AJ3" s="12" t="s">
        <v>58</v>
      </c>
      <c r="AK3" s="12" t="s">
        <v>59</v>
      </c>
      <c r="AL3" s="12" t="s">
        <v>60</v>
      </c>
      <c r="AM3" s="12" t="s">
        <v>61</v>
      </c>
      <c r="AN3" s="12" t="s">
        <v>62</v>
      </c>
      <c r="AO3" s="12" t="s">
        <v>63</v>
      </c>
      <c r="AP3" s="12" t="s">
        <v>64</v>
      </c>
    </row>
    <row r="4" spans="1:42" x14ac:dyDescent="0.3">
      <c r="D4" t="s">
        <v>65</v>
      </c>
      <c r="E4">
        <v>2020</v>
      </c>
      <c r="F4" t="s">
        <v>66</v>
      </c>
      <c r="G4">
        <v>1.3</v>
      </c>
      <c r="H4">
        <v>9.4899999999999998E-2</v>
      </c>
      <c r="I4">
        <v>3.8902610000000002</v>
      </c>
      <c r="J4">
        <v>1.374234</v>
      </c>
      <c r="K4">
        <v>2</v>
      </c>
      <c r="L4">
        <v>3.259274</v>
      </c>
      <c r="M4">
        <v>2.6961189999999999</v>
      </c>
      <c r="N4">
        <v>24.892910000000001</v>
      </c>
      <c r="O4">
        <v>2.422288</v>
      </c>
      <c r="P4">
        <v>0.18029800000000001</v>
      </c>
      <c r="Q4">
        <v>8.4708100000000002</v>
      </c>
      <c r="R4">
        <v>22.133900000000001</v>
      </c>
      <c r="S4">
        <v>0.795122</v>
      </c>
      <c r="T4">
        <v>12.26113</v>
      </c>
      <c r="U4">
        <v>2.887057</v>
      </c>
      <c r="V4">
        <v>2.2856610000000002</v>
      </c>
      <c r="W4">
        <v>3.8230629999999999</v>
      </c>
      <c r="X4">
        <v>0.14000000000000001</v>
      </c>
      <c r="Y4">
        <v>18.224019999999999</v>
      </c>
      <c r="Z4">
        <v>0.03</v>
      </c>
      <c r="AA4">
        <v>1.3845700000000001</v>
      </c>
      <c r="AB4">
        <v>0.35056999999999999</v>
      </c>
      <c r="AC4">
        <v>0.624247</v>
      </c>
      <c r="AD4">
        <v>0</v>
      </c>
      <c r="AE4">
        <v>0.82</v>
      </c>
      <c r="AF4">
        <v>0</v>
      </c>
      <c r="AG4">
        <v>2.0814699999999999</v>
      </c>
      <c r="AH4">
        <v>1.02</v>
      </c>
      <c r="AI4">
        <v>13.15278</v>
      </c>
      <c r="AJ4">
        <v>6.0612459999999997</v>
      </c>
      <c r="AK4">
        <v>4.3670660000000003</v>
      </c>
      <c r="AL4">
        <v>2.0950000000000002</v>
      </c>
      <c r="AM4">
        <v>2.2484790000000001</v>
      </c>
      <c r="AN4">
        <v>0.39801300000000001</v>
      </c>
      <c r="AO4">
        <v>4.1379489999999999</v>
      </c>
      <c r="AP4">
        <v>9.0159599999999998</v>
      </c>
    </row>
    <row r="5" spans="1:42" x14ac:dyDescent="0.3">
      <c r="D5" t="s">
        <v>65</v>
      </c>
      <c r="E5">
        <v>2030</v>
      </c>
      <c r="F5" t="s">
        <v>66</v>
      </c>
      <c r="G5">
        <v>1.2233000000000001</v>
      </c>
      <c r="H5">
        <v>8.9300899999999989E-2</v>
      </c>
      <c r="I5">
        <v>4.3958909099999994</v>
      </c>
      <c r="J5">
        <v>1.6230593839999998</v>
      </c>
      <c r="K5">
        <v>1.8819999999999999</v>
      </c>
      <c r="L5">
        <v>3.3296663939999998</v>
      </c>
      <c r="M5">
        <v>3.120635477</v>
      </c>
      <c r="N5">
        <v>26.851538509999997</v>
      </c>
      <c r="O5">
        <v>3.0948793659999998</v>
      </c>
      <c r="P5">
        <v>0.20354582799999998</v>
      </c>
      <c r="Q5">
        <v>10.70113669</v>
      </c>
      <c r="R5">
        <v>28.799446149999998</v>
      </c>
      <c r="S5">
        <v>0.86575105299999999</v>
      </c>
      <c r="T5">
        <v>13.339390159999999</v>
      </c>
      <c r="U5">
        <v>3.203321147</v>
      </c>
      <c r="V5">
        <v>2.7072108909999999</v>
      </c>
      <c r="W5">
        <v>4.8262064459999996</v>
      </c>
      <c r="X5">
        <v>0.13174</v>
      </c>
      <c r="Y5">
        <v>22.381741460000001</v>
      </c>
      <c r="Z5">
        <v>2.8229999999999998E-2</v>
      </c>
      <c r="AA5">
        <v>1.6541227349999998</v>
      </c>
      <c r="AB5">
        <v>0.35281195300000001</v>
      </c>
      <c r="AC5">
        <v>0.76101022499999993</v>
      </c>
      <c r="AD5">
        <v>0</v>
      </c>
      <c r="AE5">
        <v>0.77161999999999986</v>
      </c>
      <c r="AF5">
        <v>0</v>
      </c>
      <c r="AG5">
        <v>2.3378335739999998</v>
      </c>
      <c r="AH5">
        <v>0.95982000000000001</v>
      </c>
      <c r="AI5">
        <v>15.023036769999999</v>
      </c>
      <c r="AJ5">
        <v>7.2504755749999994</v>
      </c>
      <c r="AK5">
        <v>5.0383125509999998</v>
      </c>
      <c r="AL5">
        <v>1.971395</v>
      </c>
      <c r="AM5">
        <v>2.5200488139999999</v>
      </c>
      <c r="AN5">
        <v>0.495260533</v>
      </c>
      <c r="AO5">
        <v>4.3118925450000001</v>
      </c>
      <c r="AP5">
        <v>8.5097923499999997</v>
      </c>
    </row>
    <row r="6" spans="1:42" x14ac:dyDescent="0.3">
      <c r="D6" t="s">
        <v>65</v>
      </c>
      <c r="E6">
        <v>2040</v>
      </c>
      <c r="F6" t="s">
        <v>66</v>
      </c>
      <c r="G6">
        <v>1.1466000000000001</v>
      </c>
      <c r="H6">
        <v>8.3701799999999993E-2</v>
      </c>
      <c r="I6">
        <v>4.4661234240000001</v>
      </c>
      <c r="J6">
        <v>1.68771582</v>
      </c>
      <c r="K6">
        <v>1.764</v>
      </c>
      <c r="L6">
        <v>3.3832285199999999</v>
      </c>
      <c r="M6">
        <v>3.0751803180000001</v>
      </c>
      <c r="N6">
        <v>25.87243806</v>
      </c>
      <c r="O6">
        <v>3.0905403480000002</v>
      </c>
      <c r="P6">
        <v>0.206528238</v>
      </c>
      <c r="Q6">
        <v>10.38411234</v>
      </c>
      <c r="R6">
        <v>28.108175760000002</v>
      </c>
      <c r="S6">
        <v>0.87055605000000003</v>
      </c>
      <c r="T6">
        <v>13.17383424</v>
      </c>
      <c r="U6">
        <v>3.2387921999999998</v>
      </c>
      <c r="V6">
        <v>2.790431028</v>
      </c>
      <c r="W6">
        <v>5.0220400859999996</v>
      </c>
      <c r="X6">
        <v>0.12348000000000001</v>
      </c>
      <c r="Y6">
        <v>21.31883964</v>
      </c>
      <c r="Z6">
        <v>2.6460000000000001E-2</v>
      </c>
      <c r="AA6">
        <v>1.7120872439999999</v>
      </c>
      <c r="AB6">
        <v>0.34869869999999997</v>
      </c>
      <c r="AC6">
        <v>0.77002039799999999</v>
      </c>
      <c r="AD6">
        <v>0</v>
      </c>
      <c r="AE6">
        <v>0.72323999999999999</v>
      </c>
      <c r="AF6">
        <v>0</v>
      </c>
      <c r="AG6">
        <v>2.299297266</v>
      </c>
      <c r="AH6">
        <v>0.89964</v>
      </c>
      <c r="AI6">
        <v>16.109509499999998</v>
      </c>
      <c r="AJ6">
        <v>7.0312228560000003</v>
      </c>
      <c r="AK6">
        <v>5.2339194180000002</v>
      </c>
      <c r="AL6">
        <v>1.8477900000000003</v>
      </c>
      <c r="AM6">
        <v>2.5509203999999999</v>
      </c>
      <c r="AN6">
        <v>0.51183518400000005</v>
      </c>
      <c r="AO6">
        <v>4.5728022060000004</v>
      </c>
      <c r="AP6">
        <v>8.0558351999999989</v>
      </c>
    </row>
    <row r="7" spans="1:42" x14ac:dyDescent="0.3">
      <c r="D7" t="s">
        <v>65</v>
      </c>
      <c r="E7">
        <v>2050</v>
      </c>
      <c r="F7" t="s">
        <v>66</v>
      </c>
      <c r="G7">
        <v>1.0309000000000001</v>
      </c>
      <c r="H7">
        <v>7.5255700000000009E-2</v>
      </c>
      <c r="I7">
        <v>4.3239260740000001</v>
      </c>
      <c r="J7">
        <v>1.643987332</v>
      </c>
      <c r="K7">
        <v>1.5860000000000001</v>
      </c>
      <c r="L7">
        <v>3.3267444340000001</v>
      </c>
      <c r="M7">
        <v>2.9099301530000004</v>
      </c>
      <c r="N7">
        <v>24.112465520000001</v>
      </c>
      <c r="O7">
        <v>3.0273068410000001</v>
      </c>
      <c r="P7">
        <v>0.206804091</v>
      </c>
      <c r="Q7">
        <v>10.016835010000001</v>
      </c>
      <c r="R7">
        <v>26.845325910000003</v>
      </c>
      <c r="S7">
        <v>0.85434806600000002</v>
      </c>
      <c r="T7">
        <v>12.830898599999999</v>
      </c>
      <c r="U7">
        <v>3.1723433690000005</v>
      </c>
      <c r="V7">
        <v>2.7285694669999998</v>
      </c>
      <c r="W7">
        <v>4.7549295039999997</v>
      </c>
      <c r="X7">
        <v>0.11102000000000002</v>
      </c>
      <c r="Y7">
        <v>20.47610851</v>
      </c>
      <c r="Z7">
        <v>2.3789999999999999E-2</v>
      </c>
      <c r="AA7">
        <v>1.6693839500000001</v>
      </c>
      <c r="AB7">
        <v>0.32491906199999998</v>
      </c>
      <c r="AC7">
        <v>0.7225419500000001</v>
      </c>
      <c r="AD7">
        <v>0</v>
      </c>
      <c r="AE7">
        <v>0.65025999999999995</v>
      </c>
      <c r="AF7">
        <v>0</v>
      </c>
      <c r="AG7">
        <v>2.252045458</v>
      </c>
      <c r="AH7">
        <v>0.80886000000000002</v>
      </c>
      <c r="AI7">
        <v>15.558081110000002</v>
      </c>
      <c r="AJ7">
        <v>6.5928251610000004</v>
      </c>
      <c r="AK7">
        <v>5.1494113190000004</v>
      </c>
      <c r="AL7">
        <v>1.6613350000000002</v>
      </c>
      <c r="AM7">
        <v>2.4632959000000003</v>
      </c>
      <c r="AN7">
        <v>0.48526207600000004</v>
      </c>
      <c r="AO7">
        <v>4.35700369</v>
      </c>
      <c r="AP7">
        <v>7.2429448000000001</v>
      </c>
    </row>
    <row r="8" spans="1:42" x14ac:dyDescent="0.3">
      <c r="D8" t="s">
        <v>65</v>
      </c>
      <c r="E8">
        <v>2060</v>
      </c>
      <c r="F8" t="s">
        <v>66</v>
      </c>
      <c r="G8">
        <v>0</v>
      </c>
      <c r="H8">
        <v>0</v>
      </c>
      <c r="I8">
        <v>4.3898257000000003</v>
      </c>
      <c r="J8">
        <v>1.6900419900000001</v>
      </c>
      <c r="K8">
        <v>1.508</v>
      </c>
      <c r="L8">
        <v>3.4397932399999998</v>
      </c>
      <c r="M8">
        <v>2.8983021079999998</v>
      </c>
      <c r="N8">
        <v>23.692097520000001</v>
      </c>
      <c r="O8">
        <v>3.1419700259999996</v>
      </c>
      <c r="P8">
        <v>0.21839006800000002</v>
      </c>
      <c r="Q8">
        <v>10.307330799999999</v>
      </c>
      <c r="R8">
        <v>27.293638839999996</v>
      </c>
      <c r="S8">
        <v>0.87975211999999992</v>
      </c>
      <c r="T8">
        <v>13.177002020000002</v>
      </c>
      <c r="U8">
        <v>3.2710533179999999</v>
      </c>
      <c r="V8">
        <v>2.8226804319999999</v>
      </c>
      <c r="W8">
        <v>4.7490162199999997</v>
      </c>
      <c r="X8">
        <v>0.10556000000000001</v>
      </c>
      <c r="Y8">
        <v>21.007895220000002</v>
      </c>
      <c r="Z8">
        <v>0</v>
      </c>
      <c r="AA8">
        <v>1.6924118120000002</v>
      </c>
      <c r="AB8">
        <v>0.31714898800000002</v>
      </c>
      <c r="AC8">
        <v>0.71159127</v>
      </c>
      <c r="AD8">
        <v>0</v>
      </c>
      <c r="AE8">
        <v>0</v>
      </c>
      <c r="AF8">
        <v>0</v>
      </c>
      <c r="AG8">
        <v>2.349326772</v>
      </c>
      <c r="AH8">
        <v>0.76907999999999999</v>
      </c>
      <c r="AI8">
        <v>15.790660079999999</v>
      </c>
      <c r="AJ8">
        <v>6.5526045780000004</v>
      </c>
      <c r="AK8">
        <v>5.3387098179999999</v>
      </c>
      <c r="AL8">
        <v>0</v>
      </c>
      <c r="AM8">
        <v>2.4957151180000001</v>
      </c>
      <c r="AN8">
        <v>0.48324236999999998</v>
      </c>
      <c r="AO8">
        <v>4.3237956579999999</v>
      </c>
      <c r="AP8">
        <v>6.8867343999999999</v>
      </c>
    </row>
    <row r="9" spans="1:42" x14ac:dyDescent="0.3">
      <c r="D9" t="s">
        <v>65</v>
      </c>
      <c r="E9">
        <v>2070</v>
      </c>
      <c r="F9" t="s">
        <v>66</v>
      </c>
      <c r="G9">
        <v>0</v>
      </c>
      <c r="H9">
        <v>0</v>
      </c>
      <c r="I9">
        <v>4.6872500480000001</v>
      </c>
      <c r="J9">
        <v>1.827250386</v>
      </c>
      <c r="K9">
        <v>1.508</v>
      </c>
      <c r="L9">
        <v>3.7406505500000002</v>
      </c>
      <c r="M9">
        <v>3.0360337800000003</v>
      </c>
      <c r="N9">
        <v>24.483141539999998</v>
      </c>
      <c r="O9">
        <v>3.4296481700000001</v>
      </c>
      <c r="P9">
        <v>0.24255275199999998</v>
      </c>
      <c r="Q9">
        <v>11.15485696</v>
      </c>
      <c r="R9">
        <v>29.184753780000001</v>
      </c>
      <c r="S9">
        <v>0.95276872600000007</v>
      </c>
      <c r="T9">
        <v>14.2323909</v>
      </c>
      <c r="U9">
        <v>3.5472910199999999</v>
      </c>
      <c r="V9">
        <v>3.0710744220000001</v>
      </c>
      <c r="W9">
        <v>4.9884443959999993</v>
      </c>
      <c r="X9">
        <v>0.10556000000000001</v>
      </c>
      <c r="Y9">
        <v>22.6683314</v>
      </c>
      <c r="Z9">
        <v>0</v>
      </c>
      <c r="AA9">
        <v>1.8045037140000002</v>
      </c>
      <c r="AB9">
        <v>0.32557644600000002</v>
      </c>
      <c r="AC9">
        <v>0.73705535799999999</v>
      </c>
      <c r="AD9">
        <v>0</v>
      </c>
      <c r="AE9">
        <v>0</v>
      </c>
      <c r="AF9">
        <v>0</v>
      </c>
      <c r="AG9">
        <v>2.5775768980000002</v>
      </c>
      <c r="AH9">
        <v>0.76907999999999999</v>
      </c>
      <c r="AI9">
        <v>16.855685080000001</v>
      </c>
      <c r="AJ9">
        <v>6.849489062</v>
      </c>
      <c r="AK9">
        <v>5.8212585079999997</v>
      </c>
      <c r="AL9">
        <v>0</v>
      </c>
      <c r="AM9">
        <v>2.659348198</v>
      </c>
      <c r="AN9">
        <v>0.50612250000000003</v>
      </c>
      <c r="AO9">
        <v>4.5127819879999995</v>
      </c>
      <c r="AP9">
        <v>6.8867343999999999</v>
      </c>
    </row>
    <row r="10" spans="1:42" x14ac:dyDescent="0.3">
      <c r="D10" t="s">
        <v>65</v>
      </c>
      <c r="E10">
        <v>2020</v>
      </c>
      <c r="F10" t="s">
        <v>67</v>
      </c>
      <c r="G10">
        <v>0</v>
      </c>
      <c r="H10">
        <v>8.4599999999999988E-3</v>
      </c>
      <c r="I10">
        <v>0.47496226000000002</v>
      </c>
      <c r="J10">
        <v>0</v>
      </c>
      <c r="K10">
        <v>0</v>
      </c>
      <c r="L10">
        <v>0</v>
      </c>
      <c r="M10">
        <v>1.04994992</v>
      </c>
      <c r="N10">
        <v>1.9014094399999999</v>
      </c>
      <c r="O10">
        <v>0</v>
      </c>
      <c r="P10">
        <v>4.3828439999999996E-2</v>
      </c>
      <c r="Q10">
        <v>0</v>
      </c>
      <c r="R10">
        <v>1.2844705199999999</v>
      </c>
      <c r="S10">
        <v>0</v>
      </c>
      <c r="T10">
        <v>1.0477503199999998</v>
      </c>
      <c r="U10">
        <v>7.5492339999999991E-2</v>
      </c>
      <c r="V10">
        <v>5.7043900000000002E-2</v>
      </c>
      <c r="W10">
        <v>0</v>
      </c>
      <c r="X10">
        <v>0</v>
      </c>
      <c r="Y10">
        <v>1.1698920399999999</v>
      </c>
      <c r="Z10">
        <v>0</v>
      </c>
      <c r="AA10">
        <v>4.5744159999999999E-2</v>
      </c>
      <c r="AB10">
        <v>7.9144239999999991E-2</v>
      </c>
      <c r="AC10">
        <v>1.8949459999999998E-2</v>
      </c>
      <c r="AD10">
        <v>0</v>
      </c>
      <c r="AE10">
        <v>0</v>
      </c>
      <c r="AF10">
        <v>0</v>
      </c>
      <c r="AG10">
        <v>1.3465217999999999</v>
      </c>
      <c r="AH10">
        <v>0</v>
      </c>
      <c r="AI10">
        <v>9.3850539999999996E-2</v>
      </c>
      <c r="AJ10">
        <v>0.17871843999999998</v>
      </c>
      <c r="AK10">
        <v>0.13249581999999999</v>
      </c>
      <c r="AL10">
        <v>0.25568000000000002</v>
      </c>
      <c r="AM10">
        <v>8.1388019999999991E-2</v>
      </c>
      <c r="AN10">
        <v>1.070284E-2</v>
      </c>
      <c r="AO10">
        <v>4.5915239999999996E-2</v>
      </c>
      <c r="AP10">
        <v>0.99490540000000005</v>
      </c>
    </row>
    <row r="11" spans="1:42" x14ac:dyDescent="0.3">
      <c r="D11" t="s">
        <v>65</v>
      </c>
      <c r="E11">
        <v>2030</v>
      </c>
      <c r="F11" t="s">
        <v>67</v>
      </c>
      <c r="G11">
        <v>0</v>
      </c>
      <c r="H11">
        <v>7.6499999999999988E-3</v>
      </c>
      <c r="I11">
        <v>0.51573749999999996</v>
      </c>
      <c r="J11">
        <v>0</v>
      </c>
      <c r="K11">
        <v>0</v>
      </c>
      <c r="L11">
        <v>0</v>
      </c>
      <c r="M11">
        <v>1.1678149999999998</v>
      </c>
      <c r="N11">
        <v>1.9709273</v>
      </c>
      <c r="O11">
        <v>0</v>
      </c>
      <c r="P11">
        <v>4.7548150000000004E-2</v>
      </c>
      <c r="Q11">
        <v>0</v>
      </c>
      <c r="R11">
        <v>1.60602315</v>
      </c>
      <c r="S11">
        <v>0</v>
      </c>
      <c r="T11">
        <v>1.0953797000000001</v>
      </c>
      <c r="U11">
        <v>8.0491599999999996E-2</v>
      </c>
      <c r="V11">
        <v>6.4925549999999999E-2</v>
      </c>
      <c r="W11">
        <v>0</v>
      </c>
      <c r="X11">
        <v>0</v>
      </c>
      <c r="Y11">
        <v>1.3806924</v>
      </c>
      <c r="Z11">
        <v>0</v>
      </c>
      <c r="AA11">
        <v>5.2516399999999998E-2</v>
      </c>
      <c r="AB11">
        <v>7.6539949999999995E-2</v>
      </c>
      <c r="AC11">
        <v>1.7135149999999998E-2</v>
      </c>
      <c r="AD11">
        <v>0</v>
      </c>
      <c r="AE11">
        <v>0</v>
      </c>
      <c r="AF11">
        <v>0</v>
      </c>
      <c r="AG11">
        <v>1.45331045</v>
      </c>
      <c r="AH11">
        <v>0</v>
      </c>
      <c r="AI11">
        <v>0.10300895</v>
      </c>
      <c r="AJ11">
        <v>0.20543479999999997</v>
      </c>
      <c r="AK11">
        <v>0.14689189999999999</v>
      </c>
      <c r="AL11">
        <v>0.23120000000000002</v>
      </c>
      <c r="AM11">
        <v>8.7656249999999991E-2</v>
      </c>
      <c r="AN11">
        <v>1.2797599999999999E-2</v>
      </c>
      <c r="AO11">
        <v>4.597735E-2</v>
      </c>
      <c r="AP11">
        <v>1.0303785000000001</v>
      </c>
    </row>
    <row r="12" spans="1:42" x14ac:dyDescent="0.3">
      <c r="D12" t="s">
        <v>65</v>
      </c>
      <c r="E12">
        <v>2040</v>
      </c>
      <c r="F12" t="s">
        <v>67</v>
      </c>
      <c r="G12">
        <v>0</v>
      </c>
      <c r="H12">
        <v>5.3999999999999994E-3</v>
      </c>
      <c r="I12">
        <v>0.39460800000000001</v>
      </c>
      <c r="J12">
        <v>0</v>
      </c>
      <c r="K12">
        <v>0</v>
      </c>
      <c r="L12">
        <v>0</v>
      </c>
      <c r="M12">
        <v>0.8666723999999999</v>
      </c>
      <c r="N12">
        <v>1.4301845999999998</v>
      </c>
      <c r="O12">
        <v>0</v>
      </c>
      <c r="P12">
        <v>3.6332999999999997E-2</v>
      </c>
      <c r="Q12">
        <v>0</v>
      </c>
      <c r="R12">
        <v>1.1804664</v>
      </c>
      <c r="S12">
        <v>0</v>
      </c>
      <c r="T12">
        <v>0.81469380000000002</v>
      </c>
      <c r="U12">
        <v>6.1289400000000001E-2</v>
      </c>
      <c r="V12">
        <v>5.0398800000000001E-2</v>
      </c>
      <c r="W12">
        <v>0</v>
      </c>
      <c r="X12">
        <v>0</v>
      </c>
      <c r="Y12">
        <v>0.99042180000000002</v>
      </c>
      <c r="Z12">
        <v>0</v>
      </c>
      <c r="AA12">
        <v>4.0936199999999999E-2</v>
      </c>
      <c r="AB12">
        <v>5.697E-2</v>
      </c>
      <c r="AC12">
        <v>1.2095399999999999E-2</v>
      </c>
      <c r="AD12">
        <v>0</v>
      </c>
      <c r="AE12">
        <v>0</v>
      </c>
      <c r="AF12">
        <v>0</v>
      </c>
      <c r="AG12">
        <v>1.0764486</v>
      </c>
      <c r="AH12">
        <v>0</v>
      </c>
      <c r="AI12">
        <v>8.3186999999999997E-2</v>
      </c>
      <c r="AJ12">
        <v>0.1500348</v>
      </c>
      <c r="AK12">
        <v>0.1149192</v>
      </c>
      <c r="AL12">
        <v>0.16320000000000001</v>
      </c>
      <c r="AM12">
        <v>6.6822599999999996E-2</v>
      </c>
      <c r="AN12">
        <v>9.9600000000000001E-3</v>
      </c>
      <c r="AO12">
        <v>3.6720599999999999E-2</v>
      </c>
      <c r="AP12">
        <v>0.81707399999999997</v>
      </c>
    </row>
    <row r="13" spans="1:42" x14ac:dyDescent="0.3">
      <c r="D13" t="s">
        <v>65</v>
      </c>
      <c r="E13">
        <v>2050</v>
      </c>
      <c r="F13" t="s">
        <v>67</v>
      </c>
      <c r="G13">
        <v>0</v>
      </c>
      <c r="H13">
        <v>4.4999999999999997E-3</v>
      </c>
      <c r="I13">
        <v>0.354101</v>
      </c>
      <c r="J13">
        <v>0</v>
      </c>
      <c r="K13">
        <v>0</v>
      </c>
      <c r="L13">
        <v>0</v>
      </c>
      <c r="M13">
        <v>0.76011799999999996</v>
      </c>
      <c r="N13">
        <v>1.2354084999999999</v>
      </c>
      <c r="O13">
        <v>0</v>
      </c>
      <c r="P13">
        <v>3.37205E-2</v>
      </c>
      <c r="Q13">
        <v>0</v>
      </c>
      <c r="R13">
        <v>1.04497</v>
      </c>
      <c r="S13">
        <v>0</v>
      </c>
      <c r="T13">
        <v>0.73545050000000001</v>
      </c>
      <c r="U13">
        <v>5.5641000000000003E-2</v>
      </c>
      <c r="V13">
        <v>4.5677000000000002E-2</v>
      </c>
      <c r="W13">
        <v>0</v>
      </c>
      <c r="X13">
        <v>0</v>
      </c>
      <c r="Y13">
        <v>0.88169450000000005</v>
      </c>
      <c r="Z13">
        <v>0</v>
      </c>
      <c r="AA13">
        <v>3.6995500000000001E-2</v>
      </c>
      <c r="AB13">
        <v>4.9202500000000003E-2</v>
      </c>
      <c r="AC13">
        <v>1.00795E-2</v>
      </c>
      <c r="AD13">
        <v>0</v>
      </c>
      <c r="AE13">
        <v>0</v>
      </c>
      <c r="AF13">
        <v>0</v>
      </c>
      <c r="AG13">
        <v>0.97721349999999996</v>
      </c>
      <c r="AH13">
        <v>0</v>
      </c>
      <c r="AI13">
        <v>7.4463500000000002E-2</v>
      </c>
      <c r="AJ13">
        <v>0.13039100000000001</v>
      </c>
      <c r="AK13">
        <v>0.1047945</v>
      </c>
      <c r="AL13">
        <v>0.13600000000000001</v>
      </c>
      <c r="AM13">
        <v>5.98075E-2</v>
      </c>
      <c r="AN13">
        <v>8.7524999999999999E-3</v>
      </c>
      <c r="AO13">
        <v>3.2428999999999999E-2</v>
      </c>
      <c r="AP13">
        <v>0.77962500000000001</v>
      </c>
    </row>
    <row r="14" spans="1:42" x14ac:dyDescent="0.3">
      <c r="D14" t="s">
        <v>65</v>
      </c>
      <c r="E14">
        <v>2060</v>
      </c>
      <c r="F14" t="s">
        <v>67</v>
      </c>
      <c r="G14">
        <v>0</v>
      </c>
      <c r="H14">
        <v>0</v>
      </c>
      <c r="I14">
        <v>0.24197919999999995</v>
      </c>
      <c r="J14">
        <v>0</v>
      </c>
      <c r="K14">
        <v>0</v>
      </c>
      <c r="L14">
        <v>0</v>
      </c>
      <c r="M14">
        <v>0.50959359999999987</v>
      </c>
      <c r="N14">
        <v>0.81706047999999987</v>
      </c>
      <c r="O14">
        <v>0</v>
      </c>
      <c r="P14">
        <v>2.3968959999999994E-2</v>
      </c>
      <c r="Q14">
        <v>0</v>
      </c>
      <c r="R14">
        <v>0.71511903999999993</v>
      </c>
      <c r="S14">
        <v>0</v>
      </c>
      <c r="T14">
        <v>0.50838751999999987</v>
      </c>
      <c r="U14">
        <v>3.8617599999999995E-2</v>
      </c>
      <c r="V14">
        <v>3.1805759999999995E-2</v>
      </c>
      <c r="W14">
        <v>0</v>
      </c>
      <c r="X14">
        <v>0</v>
      </c>
      <c r="Y14">
        <v>0.60888447999999984</v>
      </c>
      <c r="Z14">
        <v>0</v>
      </c>
      <c r="AA14">
        <v>2.5245439999999997E-2</v>
      </c>
      <c r="AB14">
        <v>3.2326399999999991E-2</v>
      </c>
      <c r="AC14">
        <v>6.4508799999999991E-3</v>
      </c>
      <c r="AD14">
        <v>0</v>
      </c>
      <c r="AE14">
        <v>0</v>
      </c>
      <c r="AF14">
        <v>0</v>
      </c>
      <c r="AG14">
        <v>0.68617919999999988</v>
      </c>
      <c r="AH14">
        <v>0</v>
      </c>
      <c r="AI14">
        <v>5.0870719999999994E-2</v>
      </c>
      <c r="AJ14">
        <v>8.7231039999999982E-2</v>
      </c>
      <c r="AK14">
        <v>7.3130559999999983E-2</v>
      </c>
      <c r="AL14">
        <v>0</v>
      </c>
      <c r="AM14">
        <v>4.0786559999999993E-2</v>
      </c>
      <c r="AN14">
        <v>5.8668799999999988E-3</v>
      </c>
      <c r="AO14">
        <v>2.1661759999999999E-2</v>
      </c>
      <c r="AP14">
        <v>0.49895999999999996</v>
      </c>
    </row>
    <row r="15" spans="1:42" x14ac:dyDescent="0.3">
      <c r="D15" t="s">
        <v>65</v>
      </c>
      <c r="E15">
        <v>2070</v>
      </c>
      <c r="F15" t="s">
        <v>67</v>
      </c>
      <c r="G15">
        <v>0</v>
      </c>
      <c r="H15">
        <v>0</v>
      </c>
      <c r="I15">
        <v>0.25837407999999995</v>
      </c>
      <c r="J15">
        <v>0</v>
      </c>
      <c r="K15">
        <v>0</v>
      </c>
      <c r="L15">
        <v>0</v>
      </c>
      <c r="M15">
        <v>0.53381023999999988</v>
      </c>
      <c r="N15">
        <v>0.84434079999999978</v>
      </c>
      <c r="O15">
        <v>0</v>
      </c>
      <c r="P15">
        <v>2.6621119999999995E-2</v>
      </c>
      <c r="Q15">
        <v>0</v>
      </c>
      <c r="R15">
        <v>0.76466815999999982</v>
      </c>
      <c r="S15">
        <v>0</v>
      </c>
      <c r="T15">
        <v>0.54910591999999991</v>
      </c>
      <c r="U15">
        <v>4.1878719999999987E-2</v>
      </c>
      <c r="V15">
        <v>3.4604799999999998E-2</v>
      </c>
      <c r="W15">
        <v>0</v>
      </c>
      <c r="X15">
        <v>0</v>
      </c>
      <c r="Y15">
        <v>0.65700991999999991</v>
      </c>
      <c r="Z15">
        <v>0</v>
      </c>
      <c r="AA15">
        <v>2.6917439999999994E-2</v>
      </c>
      <c r="AB15">
        <v>3.3185279999999998E-2</v>
      </c>
      <c r="AC15">
        <v>6.4508799999999991E-3</v>
      </c>
      <c r="AD15">
        <v>0</v>
      </c>
      <c r="AE15">
        <v>0</v>
      </c>
      <c r="AF15">
        <v>0</v>
      </c>
      <c r="AG15">
        <v>0.75284511999999992</v>
      </c>
      <c r="AH15">
        <v>0</v>
      </c>
      <c r="AI15">
        <v>5.4301759999999998E-2</v>
      </c>
      <c r="AJ15">
        <v>9.1183359999999977E-2</v>
      </c>
      <c r="AK15">
        <v>7.9740479999999989E-2</v>
      </c>
      <c r="AL15">
        <v>0</v>
      </c>
      <c r="AM15">
        <v>4.3460799999999994E-2</v>
      </c>
      <c r="AN15">
        <v>6.144639999999999E-3</v>
      </c>
      <c r="AO15">
        <v>2.2608319999999998E-2</v>
      </c>
      <c r="AP15">
        <v>0.49895999999999996</v>
      </c>
    </row>
    <row r="16" spans="1:42" x14ac:dyDescent="0.3">
      <c r="D16" t="s">
        <v>65</v>
      </c>
      <c r="E16">
        <v>2020</v>
      </c>
      <c r="F16" t="s">
        <v>68</v>
      </c>
      <c r="G16">
        <v>0.37596000000000002</v>
      </c>
      <c r="H16">
        <v>0.56948974799999996</v>
      </c>
      <c r="I16">
        <v>7.127267483999999</v>
      </c>
      <c r="J16">
        <v>0.72724641999999995</v>
      </c>
      <c r="K16">
        <v>1.2821199999999999</v>
      </c>
      <c r="L16">
        <v>0</v>
      </c>
      <c r="M16">
        <v>5.0160814559999993</v>
      </c>
      <c r="N16">
        <v>40.568224079999993</v>
      </c>
      <c r="O16">
        <v>0.31176916799999999</v>
      </c>
      <c r="P16">
        <v>0</v>
      </c>
      <c r="Q16">
        <v>0.97626690000000005</v>
      </c>
      <c r="R16">
        <v>12.663875199999998</v>
      </c>
      <c r="S16">
        <v>3.2226847759999999</v>
      </c>
      <c r="T16">
        <v>13.511713199999999</v>
      </c>
      <c r="U16">
        <v>0.10042470000000001</v>
      </c>
      <c r="V16">
        <v>1.698624876</v>
      </c>
      <c r="W16">
        <v>0</v>
      </c>
      <c r="X16">
        <v>0</v>
      </c>
      <c r="Y16">
        <v>17.710714039999999</v>
      </c>
      <c r="Z16">
        <v>0.12531999999999999</v>
      </c>
      <c r="AA16">
        <v>3.6925055999999998E-2</v>
      </c>
      <c r="AB16">
        <v>3.0854121399999999</v>
      </c>
      <c r="AC16">
        <v>0.78531103199999996</v>
      </c>
      <c r="AD16">
        <v>9.1579999999999995E-2</v>
      </c>
      <c r="AE16">
        <v>0.280524</v>
      </c>
      <c r="AF16">
        <v>0</v>
      </c>
      <c r="AG16">
        <v>5.9197504799999994</v>
      </c>
      <c r="AH16">
        <v>0.49549599999999999</v>
      </c>
      <c r="AI16">
        <v>8.8359179599999997</v>
      </c>
      <c r="AJ16">
        <v>1.118151312</v>
      </c>
      <c r="AK16">
        <v>4.6469851359999996</v>
      </c>
      <c r="AL16">
        <v>1.2088559999999999</v>
      </c>
      <c r="AM16">
        <v>4.3606347200000002</v>
      </c>
      <c r="AN16">
        <v>0.53920857999999994</v>
      </c>
      <c r="AO16">
        <v>6.1097760879999994</v>
      </c>
      <c r="AP16">
        <v>10.2253408</v>
      </c>
    </row>
    <row r="17" spans="4:42" x14ac:dyDescent="0.3">
      <c r="D17" t="s">
        <v>65</v>
      </c>
      <c r="E17">
        <v>2030</v>
      </c>
      <c r="F17" t="s">
        <v>68</v>
      </c>
      <c r="G17">
        <v>0.36572250000000001</v>
      </c>
      <c r="H17">
        <v>0.55398237674999995</v>
      </c>
      <c r="I17">
        <v>7.5294545067500005</v>
      </c>
      <c r="J17">
        <v>0.80302251974999994</v>
      </c>
      <c r="K17">
        <v>1.2472075</v>
      </c>
      <c r="L17">
        <v>0</v>
      </c>
      <c r="M17">
        <v>5.4280139595000003</v>
      </c>
      <c r="N17">
        <v>40.912110112499995</v>
      </c>
      <c r="O17">
        <v>0.37241240849999996</v>
      </c>
      <c r="P17">
        <v>0</v>
      </c>
      <c r="Q17">
        <v>1.1530442715</v>
      </c>
      <c r="R17">
        <v>15.405131939999999</v>
      </c>
      <c r="S17">
        <v>3.2805702105000001</v>
      </c>
      <c r="T17">
        <v>13.743213879999999</v>
      </c>
      <c r="U17">
        <v>0.104172772</v>
      </c>
      <c r="V17">
        <v>1.8809623937500002</v>
      </c>
      <c r="W17">
        <v>0</v>
      </c>
      <c r="X17">
        <v>0</v>
      </c>
      <c r="Y17">
        <v>20.335652645</v>
      </c>
      <c r="Z17">
        <v>0.1219075</v>
      </c>
      <c r="AA17">
        <v>4.1242244999999997E-2</v>
      </c>
      <c r="AB17">
        <v>2.9030405002499999</v>
      </c>
      <c r="AC17">
        <v>0.8950523669999999</v>
      </c>
      <c r="AD17">
        <v>8.9086249999999992E-2</v>
      </c>
      <c r="AE17">
        <v>0.27288524999999997</v>
      </c>
      <c r="AF17">
        <v>0</v>
      </c>
      <c r="AG17">
        <v>6.2161187522499999</v>
      </c>
      <c r="AH17">
        <v>0.48200349999999997</v>
      </c>
      <c r="AI17">
        <v>9.4354904600000005</v>
      </c>
      <c r="AJ17">
        <v>1.2504830607499999</v>
      </c>
      <c r="AK17">
        <v>5.012322513</v>
      </c>
      <c r="AL17">
        <v>1.1759385</v>
      </c>
      <c r="AM17">
        <v>4.5692225094999994</v>
      </c>
      <c r="AN17">
        <v>0.62728535649999995</v>
      </c>
      <c r="AO17">
        <v>5.9522405909999998</v>
      </c>
      <c r="AP17">
        <v>9.282655965</v>
      </c>
    </row>
    <row r="18" spans="4:42" x14ac:dyDescent="0.3">
      <c r="D18" t="s">
        <v>65</v>
      </c>
      <c r="E18">
        <v>2040</v>
      </c>
      <c r="F18" t="s">
        <v>68</v>
      </c>
      <c r="G18">
        <v>0.341445</v>
      </c>
      <c r="H18">
        <v>0.51720775349999992</v>
      </c>
      <c r="I18">
        <v>6.8911130299999996</v>
      </c>
      <c r="J18">
        <v>0.75220245949999986</v>
      </c>
      <c r="K18">
        <v>1.164415</v>
      </c>
      <c r="L18">
        <v>0</v>
      </c>
      <c r="M18">
        <v>4.818485847999999</v>
      </c>
      <c r="N18">
        <v>35.510927870000003</v>
      </c>
      <c r="O18">
        <v>0.33500919950000002</v>
      </c>
      <c r="P18">
        <v>0</v>
      </c>
      <c r="Q18">
        <v>1.0079237524999998</v>
      </c>
      <c r="R18">
        <v>13.544273915</v>
      </c>
      <c r="S18">
        <v>2.9716343569999997</v>
      </c>
      <c r="T18">
        <v>12.226628905</v>
      </c>
      <c r="U18">
        <v>9.4881436999999999E-2</v>
      </c>
      <c r="V18">
        <v>1.7465113114999997</v>
      </c>
      <c r="W18">
        <v>0</v>
      </c>
      <c r="X18">
        <v>0</v>
      </c>
      <c r="Y18">
        <v>17.44897765</v>
      </c>
      <c r="Z18">
        <v>0.113815</v>
      </c>
      <c r="AA18">
        <v>3.8453711000000002E-2</v>
      </c>
      <c r="AB18">
        <v>2.584652851</v>
      </c>
      <c r="AC18">
        <v>0.81583467499999995</v>
      </c>
      <c r="AD18">
        <v>8.3172499999999996E-2</v>
      </c>
      <c r="AE18">
        <v>0.25477049999999996</v>
      </c>
      <c r="AF18">
        <v>0</v>
      </c>
      <c r="AG18">
        <v>5.5073528864999997</v>
      </c>
      <c r="AH18">
        <v>0.45000699999999999</v>
      </c>
      <c r="AI18">
        <v>9.1144627899999993</v>
      </c>
      <c r="AJ18">
        <v>1.0924060005</v>
      </c>
      <c r="AK18">
        <v>4.6905420289999995</v>
      </c>
      <c r="AL18">
        <v>1.097877</v>
      </c>
      <c r="AM18">
        <v>4.1665088775000001</v>
      </c>
      <c r="AN18">
        <v>0.5839873914999999</v>
      </c>
      <c r="AO18">
        <v>5.6863943875</v>
      </c>
      <c r="AP18">
        <v>8.2955638650000001</v>
      </c>
    </row>
    <row r="19" spans="4:42" x14ac:dyDescent="0.3">
      <c r="D19" t="s">
        <v>65</v>
      </c>
      <c r="E19">
        <v>2050</v>
      </c>
      <c r="F19" t="s">
        <v>68</v>
      </c>
      <c r="G19">
        <v>0.31326750000000003</v>
      </c>
      <c r="H19">
        <v>0.47452556024999998</v>
      </c>
      <c r="I19">
        <v>6.1571369632500002</v>
      </c>
      <c r="J19">
        <v>0.67620155400000004</v>
      </c>
      <c r="K19">
        <v>1.0683225000000001</v>
      </c>
      <c r="L19">
        <v>0</v>
      </c>
      <c r="M19">
        <v>4.2078909915000002</v>
      </c>
      <c r="N19">
        <v>30.542761935000001</v>
      </c>
      <c r="O19">
        <v>0.30284533125000002</v>
      </c>
      <c r="P19">
        <v>0</v>
      </c>
      <c r="Q19">
        <v>0.89728567425000005</v>
      </c>
      <c r="R19">
        <v>11.93806215</v>
      </c>
      <c r="S19">
        <v>2.6913823020000001</v>
      </c>
      <c r="T19">
        <v>10.989889785000001</v>
      </c>
      <c r="U19">
        <v>8.5767018749999993E-2</v>
      </c>
      <c r="V19">
        <v>1.57607529975</v>
      </c>
      <c r="W19">
        <v>0</v>
      </c>
      <c r="X19">
        <v>0</v>
      </c>
      <c r="Y19">
        <v>15.466626945</v>
      </c>
      <c r="Z19">
        <v>0.1044225</v>
      </c>
      <c r="AA19">
        <v>3.4603206749999997E-2</v>
      </c>
      <c r="AB19">
        <v>2.2226433547499997</v>
      </c>
      <c r="AC19">
        <v>0.70648809525</v>
      </c>
      <c r="AD19">
        <v>7.6308750000000009E-2</v>
      </c>
      <c r="AE19">
        <v>0.23374575</v>
      </c>
      <c r="AF19">
        <v>0</v>
      </c>
      <c r="AG19">
        <v>4.9781362522499997</v>
      </c>
      <c r="AH19">
        <v>0.41287050000000003</v>
      </c>
      <c r="AI19">
        <v>8.1235644525000001</v>
      </c>
      <c r="AJ19">
        <v>0.94529351699999997</v>
      </c>
      <c r="AK19">
        <v>4.2588804982499999</v>
      </c>
      <c r="AL19">
        <v>1.0072755</v>
      </c>
      <c r="AM19">
        <v>3.7130761395</v>
      </c>
      <c r="AN19">
        <v>0.51096579975</v>
      </c>
      <c r="AO19">
        <v>5.0001661867499996</v>
      </c>
      <c r="AP19">
        <v>7.4979531899999996</v>
      </c>
    </row>
    <row r="20" spans="4:42" x14ac:dyDescent="0.3">
      <c r="D20" t="s">
        <v>65</v>
      </c>
      <c r="E20">
        <v>2060</v>
      </c>
      <c r="F20" t="s">
        <v>68</v>
      </c>
      <c r="G20">
        <v>0</v>
      </c>
      <c r="H20">
        <v>0</v>
      </c>
      <c r="I20">
        <v>5.714367932</v>
      </c>
      <c r="J20">
        <v>0.63547025599999996</v>
      </c>
      <c r="K20">
        <v>1.0267600000000001</v>
      </c>
      <c r="L20">
        <v>0</v>
      </c>
      <c r="M20">
        <v>3.8312978119999999</v>
      </c>
      <c r="N20">
        <v>27.434085360000001</v>
      </c>
      <c r="O20">
        <v>0.28733376800000004</v>
      </c>
      <c r="P20">
        <v>0</v>
      </c>
      <c r="Q20">
        <v>0.84404690000000016</v>
      </c>
      <c r="R20">
        <v>11.09550052</v>
      </c>
      <c r="S20">
        <v>2.5335009640000004</v>
      </c>
      <c r="T20">
        <v>10.3174712</v>
      </c>
      <c r="U20">
        <v>8.084384E-2</v>
      </c>
      <c r="V20">
        <v>1.4904733800000001</v>
      </c>
      <c r="W20">
        <v>0</v>
      </c>
      <c r="X20">
        <v>0</v>
      </c>
      <c r="Y20">
        <v>14.506111599999999</v>
      </c>
      <c r="Z20">
        <v>0</v>
      </c>
      <c r="AA20">
        <v>3.2068880000000001E-2</v>
      </c>
      <c r="AB20">
        <v>1.9832525599999999</v>
      </c>
      <c r="AC20">
        <v>0.63605234399999999</v>
      </c>
      <c r="AD20">
        <v>0</v>
      </c>
      <c r="AE20">
        <v>0</v>
      </c>
      <c r="AF20">
        <v>0</v>
      </c>
      <c r="AG20">
        <v>4.7473738559999994</v>
      </c>
      <c r="AH20">
        <v>0.39680799999999999</v>
      </c>
      <c r="AI20">
        <v>7.5372197359999999</v>
      </c>
      <c r="AJ20">
        <v>0.85887393199999995</v>
      </c>
      <c r="AK20">
        <v>4.0364035439999997</v>
      </c>
      <c r="AL20">
        <v>0</v>
      </c>
      <c r="AM20">
        <v>3.4390036959999999</v>
      </c>
      <c r="AN20">
        <v>0.465158564</v>
      </c>
      <c r="AO20">
        <v>4.5360944400000003</v>
      </c>
      <c r="AP20">
        <v>7.2062494399999997</v>
      </c>
    </row>
    <row r="21" spans="4:42" x14ac:dyDescent="0.3">
      <c r="D21" t="s">
        <v>65</v>
      </c>
      <c r="E21">
        <v>2070</v>
      </c>
      <c r="F21" t="s">
        <v>68</v>
      </c>
      <c r="G21">
        <v>0</v>
      </c>
      <c r="H21">
        <v>0</v>
      </c>
      <c r="I21">
        <v>5.5181185839999998</v>
      </c>
      <c r="J21">
        <v>0.621366588</v>
      </c>
      <c r="K21">
        <v>1.0267600000000001</v>
      </c>
      <c r="L21">
        <v>0</v>
      </c>
      <c r="M21">
        <v>3.629616672</v>
      </c>
      <c r="N21">
        <v>25.639293439999999</v>
      </c>
      <c r="O21">
        <v>0.28365210000000002</v>
      </c>
      <c r="P21">
        <v>0</v>
      </c>
      <c r="Q21">
        <v>0.82610639200000013</v>
      </c>
      <c r="R21">
        <v>10.729842720000001</v>
      </c>
      <c r="S21">
        <v>2.4814203000000004</v>
      </c>
      <c r="T21">
        <v>10.078282440000001</v>
      </c>
      <c r="U21">
        <v>7.9288259999999999E-2</v>
      </c>
      <c r="V21">
        <v>1.46657612</v>
      </c>
      <c r="W21">
        <v>0</v>
      </c>
      <c r="X21">
        <v>0</v>
      </c>
      <c r="Y21">
        <v>14.155986440000001</v>
      </c>
      <c r="Z21">
        <v>0</v>
      </c>
      <c r="AA21">
        <v>3.0923232000000002E-2</v>
      </c>
      <c r="AB21">
        <v>1.841279444</v>
      </c>
      <c r="AC21">
        <v>0.59581879199999999</v>
      </c>
      <c r="AD21">
        <v>0</v>
      </c>
      <c r="AE21">
        <v>0</v>
      </c>
      <c r="AF21">
        <v>0</v>
      </c>
      <c r="AG21">
        <v>4.7105710720000005</v>
      </c>
      <c r="AH21">
        <v>0.39680799999999999</v>
      </c>
      <c r="AI21">
        <v>7.2762767879999997</v>
      </c>
      <c r="AJ21">
        <v>0.81194327999999993</v>
      </c>
      <c r="AK21">
        <v>3.980403436</v>
      </c>
      <c r="AL21">
        <v>0</v>
      </c>
      <c r="AM21">
        <v>3.3140940960000003</v>
      </c>
      <c r="AN21">
        <v>0.440598928</v>
      </c>
      <c r="AO21">
        <v>4.2816702599999994</v>
      </c>
      <c r="AP21">
        <v>7.2062494399999997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2" bestFit="1" customWidth="1"/>
  </cols>
  <sheetData>
    <row r="1" spans="1:15" x14ac:dyDescent="0.3">
      <c r="A1" t="s">
        <v>19</v>
      </c>
    </row>
    <row r="2" spans="1:15" x14ac:dyDescent="0.3">
      <c r="B2" s="1" t="s">
        <v>0</v>
      </c>
    </row>
    <row r="3" spans="1:15" x14ac:dyDescent="0.3">
      <c r="B3" s="7" t="s">
        <v>13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24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2" bestFit="1" customWidth="1"/>
  </cols>
  <sheetData>
    <row r="1" spans="1:15" x14ac:dyDescent="0.3">
      <c r="A1" t="s">
        <v>21</v>
      </c>
    </row>
    <row r="2" spans="1:15" x14ac:dyDescent="0.3">
      <c r="B2" s="1" t="s">
        <v>0</v>
      </c>
    </row>
    <row r="3" spans="1:15" x14ac:dyDescent="0.3">
      <c r="B3" s="7" t="s">
        <v>20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25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0.6640625" bestFit="1" customWidth="1"/>
  </cols>
  <sheetData>
    <row r="1" spans="1:15" x14ac:dyDescent="0.3">
      <c r="A1" t="s">
        <v>22</v>
      </c>
    </row>
    <row r="2" spans="1:15" x14ac:dyDescent="0.3">
      <c r="B2" s="7" t="s">
        <v>15</v>
      </c>
    </row>
    <row r="3" spans="1:15" x14ac:dyDescent="0.3">
      <c r="B3" s="7" t="s">
        <v>13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26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 x14ac:dyDescent="0.3"/>
  <cols>
    <col min="13" max="13" width="10.5546875" bestFit="1" customWidth="1"/>
  </cols>
  <sheetData>
    <row r="1" spans="1:15" x14ac:dyDescent="0.3">
      <c r="A1" t="s">
        <v>23</v>
      </c>
    </row>
    <row r="2" spans="1:15" x14ac:dyDescent="0.3">
      <c r="B2" s="7" t="s">
        <v>15</v>
      </c>
    </row>
    <row r="3" spans="1:15" x14ac:dyDescent="0.3">
      <c r="B3" s="7" t="s">
        <v>20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27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calculation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2025-11-09T07:17:37Z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