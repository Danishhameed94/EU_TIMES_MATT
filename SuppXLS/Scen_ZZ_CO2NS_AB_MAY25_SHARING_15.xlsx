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7CE220F6-97A0-4620-AC6E-C29E018A02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data" sheetId="8" r:id="rId9"/>
    <sheet name="ciemat" sheetId="9" r:id="rId10"/>
    <sheet name="scen2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8" l="1"/>
  <c r="E56" i="8"/>
  <c r="F56" i="8"/>
  <c r="G56" i="8"/>
  <c r="H56" i="8"/>
  <c r="I56" i="8"/>
  <c r="J56" i="8"/>
  <c r="K56" i="8"/>
  <c r="L56" i="8"/>
  <c r="M56" i="8"/>
  <c r="M63" i="8" s="1"/>
  <c r="N56" i="8"/>
  <c r="N63" i="8" s="1"/>
  <c r="O56" i="8"/>
  <c r="O63" i="8" s="1"/>
  <c r="P56" i="8"/>
  <c r="P63" i="8" s="1"/>
  <c r="Q56" i="8"/>
  <c r="Q63" i="8" s="1"/>
  <c r="R56" i="8"/>
  <c r="R63" i="8" s="1"/>
  <c r="S56" i="8"/>
  <c r="S63" i="8" s="1"/>
  <c r="T56" i="8"/>
  <c r="T63" i="8" s="1"/>
  <c r="U56" i="8"/>
  <c r="V56" i="8"/>
  <c r="V63" i="8" s="1"/>
  <c r="W56" i="8"/>
  <c r="W63" i="8" s="1"/>
  <c r="X56" i="8"/>
  <c r="X63" i="8" s="1"/>
  <c r="Y56" i="8"/>
  <c r="Z56" i="8"/>
  <c r="AA56" i="8"/>
  <c r="AA63" i="8" s="1"/>
  <c r="AB56" i="8"/>
  <c r="AC56" i="8"/>
  <c r="AD56" i="8"/>
  <c r="AE56" i="8"/>
  <c r="AE63" i="8" s="1"/>
  <c r="AF56" i="8"/>
  <c r="AG56" i="8"/>
  <c r="C56" i="8"/>
  <c r="C63" i="8" s="1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28" i="8"/>
  <c r="AH29" i="8"/>
  <c r="AG63" i="8"/>
  <c r="G63" i="8"/>
  <c r="L63" i="8"/>
  <c r="AF63" i="8"/>
  <c r="I63" i="8"/>
  <c r="D63" i="8"/>
  <c r="AB63" i="8"/>
  <c r="AD63" i="8"/>
  <c r="AC63" i="8"/>
  <c r="D49" i="8"/>
  <c r="E49" i="8"/>
  <c r="F49" i="8"/>
  <c r="G49" i="8"/>
  <c r="H49" i="8"/>
  <c r="H58" i="8" s="1"/>
  <c r="H59" i="8" s="1"/>
  <c r="I49" i="8"/>
  <c r="I58" i="8" s="1"/>
  <c r="I59" i="8" s="1"/>
  <c r="J49" i="8"/>
  <c r="K49" i="8"/>
  <c r="K58" i="8" s="1"/>
  <c r="K59" i="8" s="1"/>
  <c r="L49" i="8"/>
  <c r="M49" i="8"/>
  <c r="M58" i="8" s="1"/>
  <c r="M59" i="8" s="1"/>
  <c r="N49" i="8"/>
  <c r="O49" i="8"/>
  <c r="P49" i="8"/>
  <c r="Q49" i="8"/>
  <c r="R49" i="8"/>
  <c r="S49" i="8"/>
  <c r="T49" i="8"/>
  <c r="U49" i="8"/>
  <c r="U58" i="8" s="1"/>
  <c r="U59" i="8" s="1"/>
  <c r="V49" i="8"/>
  <c r="W49" i="8"/>
  <c r="X49" i="8"/>
  <c r="Y49" i="8"/>
  <c r="Y58" i="8" s="1"/>
  <c r="Y59" i="8" s="1"/>
  <c r="Z49" i="8"/>
  <c r="Z58" i="8" s="1"/>
  <c r="Z59" i="8" s="1"/>
  <c r="AA49" i="8"/>
  <c r="AA58" i="8" s="1"/>
  <c r="AA59" i="8" s="1"/>
  <c r="AB49" i="8"/>
  <c r="AC49" i="8"/>
  <c r="AD49" i="8"/>
  <c r="AE49" i="8"/>
  <c r="AF49" i="8"/>
  <c r="AF58" i="8" s="1"/>
  <c r="AF59" i="8" s="1"/>
  <c r="AG49" i="8"/>
  <c r="C49" i="8"/>
  <c r="C58" i="8" s="1"/>
  <c r="C57" i="8"/>
  <c r="S62" i="8"/>
  <c r="S72" i="8" s="1"/>
  <c r="T62" i="8"/>
  <c r="T72" i="8" s="1"/>
  <c r="U62" i="8"/>
  <c r="U72" i="8" s="1"/>
  <c r="V62" i="8"/>
  <c r="V72" i="8" s="1"/>
  <c r="W62" i="8"/>
  <c r="W72" i="8" s="1"/>
  <c r="X62" i="8"/>
  <c r="X72" i="8" s="1"/>
  <c r="Y62" i="8"/>
  <c r="Y72" i="8" s="1"/>
  <c r="Z62" i="8"/>
  <c r="Z72" i="8" s="1"/>
  <c r="AG72" i="8"/>
  <c r="J63" i="8"/>
  <c r="E63" i="8"/>
  <c r="F63" i="8"/>
  <c r="H63" i="8"/>
  <c r="K63" i="8"/>
  <c r="C62" i="8"/>
  <c r="C72" i="8" s="1"/>
  <c r="F58" i="8"/>
  <c r="F59" i="8" s="1"/>
  <c r="G58" i="8"/>
  <c r="G59" i="8" s="1"/>
  <c r="J58" i="8"/>
  <c r="J59" i="8" s="1"/>
  <c r="AD58" i="8"/>
  <c r="AE58" i="8"/>
  <c r="AE59" i="8" s="1"/>
  <c r="AG58" i="8"/>
  <c r="AG59" i="8" s="1"/>
  <c r="AD59" i="8"/>
  <c r="D58" i="8"/>
  <c r="D59" i="8" s="1"/>
  <c r="E58" i="8"/>
  <c r="E59" i="8" s="1"/>
  <c r="L58" i="8"/>
  <c r="L59" i="8" s="1"/>
  <c r="N58" i="8"/>
  <c r="N59" i="8" s="1"/>
  <c r="O58" i="8"/>
  <c r="O59" i="8" s="1"/>
  <c r="P58" i="8"/>
  <c r="P59" i="8" s="1"/>
  <c r="Q58" i="8"/>
  <c r="Q59" i="8" s="1"/>
  <c r="R58" i="8"/>
  <c r="R59" i="8" s="1"/>
  <c r="S58" i="8"/>
  <c r="S59" i="8" s="1"/>
  <c r="T58" i="8"/>
  <c r="T59" i="8" s="1"/>
  <c r="V58" i="8"/>
  <c r="V59" i="8" s="1"/>
  <c r="W58" i="8"/>
  <c r="W59" i="8" s="1"/>
  <c r="X58" i="8"/>
  <c r="X59" i="8" s="1"/>
  <c r="AB58" i="8"/>
  <c r="AB59" i="8" s="1"/>
  <c r="AC58" i="8"/>
  <c r="AC59" i="8" s="1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D57" i="8"/>
  <c r="E57" i="8"/>
  <c r="F57" i="8"/>
  <c r="G57" i="8"/>
  <c r="BF2" i="9"/>
  <c r="AH49" i="8"/>
  <c r="AH15" i="8" s="1"/>
  <c r="AI15" i="8"/>
  <c r="AI16" i="8" s="1"/>
  <c r="E62" i="8"/>
  <c r="E72" i="8" s="1"/>
  <c r="F62" i="8"/>
  <c r="F72" i="8" s="1"/>
  <c r="G62" i="8"/>
  <c r="G72" i="8" s="1"/>
  <c r="H62" i="8"/>
  <c r="H72" i="8" s="1"/>
  <c r="I62" i="8"/>
  <c r="I72" i="8" s="1"/>
  <c r="J62" i="8"/>
  <c r="J72" i="8" s="1"/>
  <c r="K62" i="8"/>
  <c r="K72" i="8" s="1"/>
  <c r="L62" i="8"/>
  <c r="L72" i="8" s="1"/>
  <c r="M62" i="8"/>
  <c r="M72" i="8" s="1"/>
  <c r="N62" i="8"/>
  <c r="N72" i="8" s="1"/>
  <c r="O62" i="8"/>
  <c r="O72" i="8" s="1"/>
  <c r="P62" i="8"/>
  <c r="P72" i="8" s="1"/>
  <c r="Q62" i="8"/>
  <c r="Q72" i="8" s="1"/>
  <c r="R62" i="8"/>
  <c r="R72" i="8" s="1"/>
  <c r="AA62" i="8"/>
  <c r="AA72" i="8" s="1"/>
  <c r="AC62" i="8"/>
  <c r="AC72" i="8" s="1"/>
  <c r="AD62" i="8"/>
  <c r="AD72" i="8" s="1"/>
  <c r="AE62" i="8"/>
  <c r="AE72" i="8" s="1"/>
  <c r="AF62" i="8"/>
  <c r="AF72" i="8" s="1"/>
  <c r="AG62" i="8"/>
  <c r="C59" i="8" l="1"/>
  <c r="U63" i="8"/>
  <c r="Z63" i="8"/>
  <c r="Y63" i="8"/>
  <c r="AH63" i="8" s="1"/>
  <c r="C64" i="8"/>
  <c r="C66" i="8"/>
  <c r="O65" i="8"/>
  <c r="R65" i="8"/>
  <c r="Q65" i="8"/>
  <c r="AB65" i="8"/>
  <c r="Y65" i="8"/>
  <c r="AA65" i="8"/>
  <c r="AC65" i="8"/>
  <c r="M65" i="8"/>
  <c r="AE65" i="8"/>
  <c r="AD65" i="8"/>
  <c r="V65" i="8"/>
  <c r="U65" i="8"/>
  <c r="S65" i="8"/>
  <c r="P65" i="8"/>
  <c r="AF65" i="8"/>
  <c r="K65" i="8"/>
  <c r="E65" i="8"/>
  <c r="D65" i="8"/>
  <c r="L65" i="8"/>
  <c r="AG64" i="8"/>
  <c r="F64" i="8"/>
  <c r="AF64" i="8"/>
  <c r="E64" i="8"/>
  <c r="AE64" i="8"/>
  <c r="AD64" i="8"/>
  <c r="L64" i="8"/>
  <c r="J64" i="8"/>
  <c r="M64" i="8"/>
  <c r="I64" i="8"/>
  <c r="AH16" i="8"/>
  <c r="G64" i="8"/>
  <c r="AB64" i="8"/>
  <c r="AC64" i="8"/>
  <c r="D64" i="8"/>
  <c r="AB62" i="8"/>
  <c r="AB72" i="8" s="1"/>
  <c r="D62" i="8"/>
  <c r="D72" i="8" s="1"/>
  <c r="S64" i="8"/>
  <c r="P64" i="8"/>
  <c r="T64" i="8"/>
  <c r="U64" i="8"/>
  <c r="Q64" i="8"/>
  <c r="R64" i="8"/>
  <c r="H64" i="8"/>
  <c r="K64" i="8"/>
  <c r="AA64" i="8"/>
  <c r="Z64" i="8"/>
  <c r="X64" i="8"/>
  <c r="Y64" i="8"/>
  <c r="V64" i="8"/>
  <c r="W64" i="8"/>
  <c r="O64" i="8"/>
  <c r="N64" i="8"/>
  <c r="AH64" i="8" l="1"/>
  <c r="AI63" i="8" s="1"/>
  <c r="AH62" i="8"/>
  <c r="AH72" i="8" s="1"/>
  <c r="C65" i="8"/>
  <c r="H66" i="8"/>
  <c r="H65" i="8"/>
  <c r="Z66" i="8"/>
  <c r="Z65" i="8"/>
  <c r="N66" i="8"/>
  <c r="N65" i="8"/>
  <c r="AG66" i="8"/>
  <c r="AG65" i="8"/>
  <c r="J66" i="8"/>
  <c r="J65" i="8"/>
  <c r="I66" i="8"/>
  <c r="I65" i="8"/>
  <c r="T66" i="8"/>
  <c r="T65" i="8"/>
  <c r="W66" i="8"/>
  <c r="W65" i="8"/>
  <c r="X66" i="8"/>
  <c r="X65" i="8"/>
  <c r="F66" i="8"/>
  <c r="F65" i="8"/>
  <c r="G66" i="8"/>
  <c r="G65" i="8"/>
  <c r="C68" i="8"/>
  <c r="Q66" i="8"/>
  <c r="O66" i="8"/>
  <c r="AC66" i="8"/>
  <c r="R66" i="8"/>
  <c r="AB66" i="8"/>
  <c r="AA66" i="8"/>
  <c r="Y66" i="8"/>
  <c r="AE66" i="8"/>
  <c r="AD66" i="8"/>
  <c r="M66" i="8"/>
  <c r="U66" i="8"/>
  <c r="D66" i="8"/>
  <c r="S66" i="8"/>
  <c r="V66" i="8"/>
  <c r="L66" i="8"/>
  <c r="E66" i="8"/>
  <c r="K66" i="8"/>
  <c r="AF66" i="8"/>
  <c r="P66" i="8"/>
  <c r="AH66" i="8" l="1"/>
  <c r="AH6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Juliana Barbosa</author>
  </authors>
  <commentList>
    <comment ref="H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H6" authorId="1" shapeId="0" xr:uid="{103FEFE7-2E25-48CC-A442-02C1DF0716EE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USING THE SAME RATE OF 2040-2050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Barbosa</author>
  </authors>
  <commentList>
    <comment ref="AJ1" authorId="0" shapeId="0" xr:uid="{EB0220FB-4533-45DD-AB90-F0E3F69C5C81}">
      <text>
        <r>
          <rPr>
            <b/>
            <sz val="9"/>
            <color indexed="81"/>
            <rFont val="Tahoma"/>
            <charset val="1"/>
          </rPr>
          <t>Juliana Barbosa: AVERAGE</t>
        </r>
      </text>
    </comment>
  </commentList>
</comments>
</file>

<file path=xl/sharedStrings.xml><?xml version="1.0" encoding="utf-8"?>
<sst xmlns="http://schemas.openxmlformats.org/spreadsheetml/2006/main" count="864" uniqueCount="191">
  <si>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</si>
  <si>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</si>
  <si>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</si>
  <si>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</si>
  <si>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</si>
  <si>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</si>
  <si>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</si>
  <si>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</si>
  <si>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</si>
  <si>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</si>
  <si>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</si>
  <si>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</si>
  <si>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</si>
  <si>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</si>
  <si>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</si>
  <si>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</si>
  <si>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</si>
  <si>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</si>
  <si>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</si>
  <si>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Cset_Set</t>
  </si>
  <si>
    <t>Cset_CD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</si>
  <si>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</si>
  <si>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</si>
  <si>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</si>
  <si>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</si>
  <si>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</si>
  <si>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</si>
  <si>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</si>
  <si>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</si>
  <si>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</si>
  <si>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</si>
  <si>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</si>
  <si>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</si>
  <si>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R_Flat</t>
  </si>
  <si>
    <t>COM_PROJ</t>
  </si>
  <si>
    <t>DEM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</si>
  <si>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</si>
  <si>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</si>
  <si>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</si>
  <si>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</si>
  <si>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</si>
  <si>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</si>
  <si>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</si>
  <si>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</si>
  <si>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</si>
  <si>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</si>
  <si>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</si>
  <si>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</si>
  <si>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</si>
  <si>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</si>
  <si>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</si>
  <si>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</si>
  <si>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</si>
  <si>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</si>
  <si>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</si>
  <si>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</si>
  <si>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</si>
  <si>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</si>
  <si>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</si>
  <si>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</si>
  <si>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</si>
  <si>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</si>
  <si>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</si>
  <si>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</si>
  <si>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</si>
  <si>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</si>
  <si>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</si>
  <si>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RR_Flat</t>
  </si>
  <si>
    <t>MT</t>
  </si>
  <si>
    <t>ICNBNEFLAT00</t>
  </si>
  <si>
    <t>BNDACT</t>
  </si>
  <si>
    <t>fx</t>
  </si>
  <si>
    <t>R_DetH</t>
  </si>
  <si>
    <t>R_SDetH</t>
  </si>
  <si>
    <t>RR_DetH</t>
  </si>
  <si>
    <t>RR_SDetH</t>
  </si>
  <si>
    <t>NEW stock in JET model in 000dwellings</t>
  </si>
  <si>
    <t>new</t>
  </si>
  <si>
    <t>old</t>
  </si>
  <si>
    <t>NEW added stock per year in thounsand dwellings</t>
  </si>
  <si>
    <t>thousands of dwellings (yearly)</t>
  </si>
  <si>
    <t>2040-2050</t>
  </si>
  <si>
    <t>Calculation for scenario</t>
  </si>
  <si>
    <t>000dwellings</t>
  </si>
  <si>
    <t>FID</t>
  </si>
  <si>
    <t>Country ID</t>
  </si>
  <si>
    <t>COuntry Name in English</t>
  </si>
  <si>
    <t>Scenario 0, Sharing willness percentage [%]</t>
  </si>
  <si>
    <t>Scenario 0, Sharing willness intensity [%]</t>
  </si>
  <si>
    <t>Scenario 0, Builidng Stock [Mm2]</t>
  </si>
  <si>
    <t>Scenario 0, Energy Consumption, Operational Heating [PJ]</t>
  </si>
  <si>
    <t>Scenario 0, Energy Consumption, Operational Cooling [PJ</t>
  </si>
  <si>
    <t>Scenario 0, Energy Consumption, Operational Total [PJ</t>
  </si>
  <si>
    <t>Scenario 0, Energy Consumption, Embodied [PJ</t>
  </si>
  <si>
    <t>Scenario 0, CO2 emissions [Mt CO2 eq]</t>
  </si>
  <si>
    <t>Scenario 0, Saved Building Stock [%]</t>
  </si>
  <si>
    <t>Scenario 0, Saved Enery Consumption, Operational Total [%]</t>
  </si>
  <si>
    <t>Scenario 0, Saved Enery Consumption, Embodied Total [%]</t>
  </si>
  <si>
    <t>Scenario 0, Saved Enery Consumption Total [%]</t>
  </si>
  <si>
    <t>Scenario 0, Saved CO2 emissions [%]</t>
  </si>
  <si>
    <t>Scenario 1, Sharing willness percentage [%]</t>
  </si>
  <si>
    <t>Scenario 1, Sharing willness intensity [%]</t>
  </si>
  <si>
    <t>Scenario 1, Builidng Stock [Mm2]</t>
  </si>
  <si>
    <t>Scenario 1, Energy Consumption, Operational Heating [PJ]</t>
  </si>
  <si>
    <t>Scenario 1, Energy Consumption, Operational Cooling [PJ</t>
  </si>
  <si>
    <t>Scenario 1, Energy Consumption, Operational Total [PJ</t>
  </si>
  <si>
    <t>Scenario 1, Energy Consumption, Embodied [PJ</t>
  </si>
  <si>
    <t>AL</t>
  </si>
  <si>
    <t>Albania</t>
  </si>
  <si>
    <t>None</t>
  </si>
  <si>
    <t>Light</t>
  </si>
  <si>
    <t>Austria</t>
  </si>
  <si>
    <t>BA</t>
  </si>
  <si>
    <t>Bosnia and Herzegovina</t>
  </si>
  <si>
    <t>Belgium</t>
  </si>
  <si>
    <t>Bulgaria</t>
  </si>
  <si>
    <t>Switzerland</t>
  </si>
  <si>
    <t>Czechia</t>
  </si>
  <si>
    <t>Germany</t>
  </si>
  <si>
    <t>Denmark</t>
  </si>
  <si>
    <t>Estonia</t>
  </si>
  <si>
    <t>Greece</t>
  </si>
  <si>
    <t>Spain</t>
  </si>
  <si>
    <t>France</t>
  </si>
  <si>
    <t>Croatia</t>
  </si>
  <si>
    <t>Hungary</t>
  </si>
  <si>
    <t>Ireland</t>
  </si>
  <si>
    <t>Italy</t>
  </si>
  <si>
    <t>KS</t>
  </si>
  <si>
    <t>Kosovo</t>
  </si>
  <si>
    <t>Lithuania</t>
  </si>
  <si>
    <t>Luxembourg</t>
  </si>
  <si>
    <t>Latvia</t>
  </si>
  <si>
    <t>ME</t>
  </si>
  <si>
    <t>Montenegro</t>
  </si>
  <si>
    <t>MK</t>
  </si>
  <si>
    <t>North Macedonia</t>
  </si>
  <si>
    <t>Malta</t>
  </si>
  <si>
    <t>Netherlands</t>
  </si>
  <si>
    <t>Norway</t>
  </si>
  <si>
    <t>Poland</t>
  </si>
  <si>
    <t>Portugal</t>
  </si>
  <si>
    <t>Romania</t>
  </si>
  <si>
    <t>RS</t>
  </si>
  <si>
    <t>Serbia</t>
  </si>
  <si>
    <t>Sweden</t>
  </si>
  <si>
    <t>Slovenia</t>
  </si>
  <si>
    <t>Slovakia</t>
  </si>
  <si>
    <t>United Kingdom</t>
  </si>
  <si>
    <t>Scenario 1, CO2 emissions [Mt CO2 eq]</t>
  </si>
  <si>
    <t>Scenario 1, Saved Building Stock [%]</t>
  </si>
  <si>
    <t>Scenario 1, Saved Enery Consumption, Operational Total [%]</t>
  </si>
  <si>
    <t>Scenario 1, Saved Enery Consumption, Embodied Total [%]</t>
  </si>
  <si>
    <t>Scenario 1, Saved Enery Consumption Total [%]</t>
  </si>
  <si>
    <t>Scenario 1, Saved CO2 emissions [%]</t>
  </si>
  <si>
    <t>Scenario 2, Sharing willness percentage [%]</t>
  </si>
  <si>
    <t>Scenario 2, Sharing willness intensity [%]</t>
  </si>
  <si>
    <t>Scenario 2, Builidng Stock [Mm2]</t>
  </si>
  <si>
    <t>Scenario 2, Energy Consumption, Operational Heating [PJ]</t>
  </si>
  <si>
    <t>Scenario 2, Energy Consumption, Operational Cooling [PJ</t>
  </si>
  <si>
    <t>Scenario 2, Energy Consumption, Operational Total [PJ</t>
  </si>
  <si>
    <t>Scenario 2, Energy Consumption, Embodied [PJ</t>
  </si>
  <si>
    <t>Scenario 2, CO2 emissions [Mt CO2 eq]</t>
  </si>
  <si>
    <t>Scenario 2, Saved Building Stock [%]</t>
  </si>
  <si>
    <t>Scenario 2, Saved Enery Consumption, Operational Total [%]</t>
  </si>
  <si>
    <t>Scenario 2, Saved Enery Consumption, Embodied Total [%]</t>
  </si>
  <si>
    <t>Scenario 2, Saved Enery Consumption Total [%]</t>
  </si>
  <si>
    <t>Scenario 2, Saved CO2 emissions [%]</t>
  </si>
  <si>
    <t>Scenario 3, Sharing willness percentage [%]</t>
  </si>
  <si>
    <t>Scenario 3, Sharing willness intensity [%]</t>
  </si>
  <si>
    <t>Scenario 3, Builidng Stock [Mm2]</t>
  </si>
  <si>
    <t>Scenario 3, Energy Consumption, Operational Heating [PJ]</t>
  </si>
  <si>
    <t>Scenario 3, Energy Consumption, Operational Cooling [PJ</t>
  </si>
  <si>
    <t>Scenario 3, Energy Consumption, Operational Total [PJ</t>
  </si>
  <si>
    <t>Scenario 3, Energy Consumption, Embodied [PJ</t>
  </si>
  <si>
    <t>Scenario 3, CO2 emissions [Mt CO2 eq]</t>
  </si>
  <si>
    <t>Scenario 3, Saved Building Stock [%]</t>
  </si>
  <si>
    <t>Scenario 3, Saved Enery Consumption, Operational Total [%]</t>
  </si>
  <si>
    <t>Scenario 3, Saved Enery Consumption, Embodied Total [%]</t>
  </si>
  <si>
    <t>Scenario 3, Saved Enery Consumption Total [%]</t>
  </si>
  <si>
    <t>Scenario 3, Saved CO2 emissions [%]</t>
  </si>
  <si>
    <t>x</t>
  </si>
  <si>
    <t>y</t>
  </si>
  <si>
    <t>Medium</t>
  </si>
  <si>
    <t>Strong</t>
  </si>
  <si>
    <t>average</t>
  </si>
  <si>
    <t xml:space="preserve">            -  </t>
  </si>
  <si>
    <t xml:space="preserve">              -  </t>
  </si>
  <si>
    <t xml:space="preserve">                            -  </t>
  </si>
  <si>
    <t xml:space="preserve">                        -  </t>
  </si>
  <si>
    <t>INCREASING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</si>
</sst>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 * #,##0_ ;_ * \-#,##0_ ;_ * &quot;-&quot;_ ;_ @_ "/>
    <numFmt numFmtId="166" formatCode="_ * #,##0.00_ ;_ * \-#,##0.00_ ;_ * &quot;-&quot;??_ ;_ @_ "/>
    <numFmt numFmtId="167" formatCode="&quot;$&quot;#,##0_);\(&quot;$&quot;#,##0\)"/>
    <numFmt numFmtId="168" formatCode="_(&quot;$&quot;* #,##0.00_);_(&quot;$&quot;* \(#,##0.00\);_(&quot;$&quot;* &quot;-&quot;??_);_(@_)"/>
    <numFmt numFmtId="169" formatCode="#,##0.0_i"/>
    <numFmt numFmtId="170" formatCode="_-&quot;€&quot;\ * #,##0.00_-;\-&quot;€&quot;\ * #,##0.00_-;_-&quot;€&quot;\ * &quot;-&quot;??_-;_-@_-"/>
    <numFmt numFmtId="171" formatCode="0.0%"/>
    <numFmt numFmtId="172" formatCode="#,##0.0"/>
    <numFmt numFmtId="173" formatCode="_([$€]* #,##0.00_);_([$€]* \(#,##0.00\);_([$€]* &quot;-&quot;??_);_(@_)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\ * #,##0.00_-;\-[$€-2]\ * #,##0.00_-;_-[$€-2]\ * &quot;-&quot;??_-"/>
    <numFmt numFmtId="177" formatCode="#,##0;\-\ #,##0;_-\ &quot;- &quot;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\(##\);\(##\)"/>
    <numFmt numFmtId="181" formatCode="_-* #,##0.00\ _€_-;\-* #,##0.00\ _€_-;_-* &quot;-&quot;??\ _€_-;_-@_-"/>
    <numFmt numFmtId="182" formatCode="_-[$€-2]* #,##0.00_-;\-[$€-2]* #,##0.00_-;_-[$€-2]* &quot;-&quot;??_-"/>
    <numFmt numFmtId="183" formatCode="#,##0.0000"/>
    <numFmt numFmtId="184" formatCode="_-&quot;$&quot;* #,##0.00_-;\-&quot;$&quot;* #,##0.00_-;_-&quot;$&quot;* &quot;-&quot;??_-;_-@_-"/>
    <numFmt numFmtId="185" formatCode="General_)"/>
    <numFmt numFmtId="186" formatCode="0.000%"/>
  </numFmts>
  <fonts count="10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u/>
      <sz val="8"/>
      <color indexed="12"/>
      <name val="Arial"/>
      <family val="2"/>
    </font>
    <font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573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28" fillId="0" borderId="0"/>
    <xf numFmtId="0" fontId="29" fillId="0" borderId="0" applyNumberFormat="0" applyFill="0" applyBorder="0" applyAlignment="0" applyProtection="0"/>
    <xf numFmtId="169" fontId="29" fillId="0" borderId="0" applyFill="0" applyBorder="0" applyProtection="0">
      <alignment horizontal="right"/>
    </xf>
    <xf numFmtId="170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9" fontId="5" fillId="0" borderId="0" applyFont="0" applyFill="0" applyBorder="0" applyAlignment="0" applyProtection="0"/>
    <xf numFmtId="0" fontId="9" fillId="0" borderId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2" fillId="59" borderId="0" applyNumberFormat="0" applyBorder="0" applyAlignment="0" applyProtection="0"/>
    <xf numFmtId="0" fontId="43" fillId="59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" fillId="61" borderId="11" applyNumberFormat="0" applyProtection="0">
      <alignment horizontal="right"/>
    </xf>
    <xf numFmtId="0" fontId="46" fillId="61" borderId="0" applyNumberFormat="0" applyBorder="0" applyProtection="0">
      <alignment horizontal="left"/>
    </xf>
    <xf numFmtId="0" fontId="4" fillId="61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7" fillId="62" borderId="0" applyNumberFormat="0" applyBorder="0" applyProtection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179" fontId="45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9" fillId="0" borderId="0"/>
    <xf numFmtId="0" fontId="5" fillId="0" borderId="0"/>
    <xf numFmtId="0" fontId="9" fillId="0" borderId="0"/>
    <xf numFmtId="49" fontId="5" fillId="63" borderId="25">
      <alignment vertical="top" wrapText="1"/>
    </xf>
    <xf numFmtId="3" fontId="51" fillId="0" borderId="25">
      <alignment horizontal="right" vertical="top"/>
    </xf>
    <xf numFmtId="0" fontId="4" fillId="64" borderId="11">
      <alignment horizontal="centerContinuous" vertical="top" wrapText="1"/>
    </xf>
    <xf numFmtId="0" fontId="52" fillId="0" borderId="0">
      <alignment vertical="top" wrapText="1"/>
    </xf>
    <xf numFmtId="0" fontId="53" fillId="0" borderId="0"/>
    <xf numFmtId="0" fontId="5" fillId="60" borderId="22" applyNumberFormat="0" applyFont="0" applyAlignment="0" applyProtection="0"/>
    <xf numFmtId="180" fontId="54" fillId="0" borderId="0">
      <alignment horizontal="right"/>
    </xf>
    <xf numFmtId="0" fontId="52" fillId="0" borderId="0">
      <alignment vertical="top" wrapText="1"/>
    </xf>
    <xf numFmtId="172" fontId="55" fillId="65" borderId="26">
      <alignment vertical="center"/>
    </xf>
    <xf numFmtId="171" fontId="56" fillId="65" borderId="26">
      <alignment vertical="center"/>
    </xf>
    <xf numFmtId="172" fontId="57" fillId="66" borderId="26">
      <alignment vertical="center"/>
    </xf>
    <xf numFmtId="0" fontId="5" fillId="67" borderId="13" applyBorder="0">
      <alignment horizontal="left" vertical="center"/>
    </xf>
    <xf numFmtId="49" fontId="5" fillId="68" borderId="11">
      <alignment vertical="center" wrapText="1"/>
    </xf>
    <xf numFmtId="0" fontId="5" fillId="69" borderId="12">
      <alignment horizontal="left" vertical="center" wrapText="1"/>
    </xf>
    <xf numFmtId="0" fontId="58" fillId="70" borderId="11">
      <alignment horizontal="left" vertical="center" wrapText="1"/>
    </xf>
    <xf numFmtId="0" fontId="5" fillId="71" borderId="11">
      <alignment horizontal="left" vertical="center" wrapText="1"/>
    </xf>
    <xf numFmtId="0" fontId="5" fillId="72" borderId="11">
      <alignment horizontal="left" vertical="center" wrapText="1"/>
    </xf>
    <xf numFmtId="0" fontId="50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60" borderId="22" applyNumberFormat="0" applyFont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center"/>
    </xf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9" fillId="35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49" fontId="68" fillId="0" borderId="11" applyNumberFormat="0" applyFont="0" applyFill="0" applyBorder="0" applyProtection="0">
      <alignment horizontal="left" vertical="center" indent="2"/>
    </xf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69" fillId="63" borderId="0" applyBorder="0" applyAlignment="0"/>
    <xf numFmtId="0" fontId="68" fillId="63" borderId="0" applyBorder="0">
      <alignment horizontal="right" vertical="center"/>
    </xf>
    <xf numFmtId="0" fontId="68" fillId="38" borderId="0" applyBorder="0">
      <alignment horizontal="right" vertical="center"/>
    </xf>
    <xf numFmtId="0" fontId="68" fillId="38" borderId="0" applyBorder="0">
      <alignment horizontal="right" vertical="center"/>
    </xf>
    <xf numFmtId="0" fontId="67" fillId="38" borderId="11">
      <alignment horizontal="right" vertical="center"/>
    </xf>
    <xf numFmtId="0" fontId="70" fillId="38" borderId="11">
      <alignment horizontal="right" vertical="center"/>
    </xf>
    <xf numFmtId="0" fontId="67" fillId="73" borderId="11">
      <alignment horizontal="right" vertical="center"/>
    </xf>
    <xf numFmtId="0" fontId="67" fillId="73" borderId="11">
      <alignment horizontal="right" vertical="center"/>
    </xf>
    <xf numFmtId="0" fontId="67" fillId="73" borderId="27">
      <alignment horizontal="right" vertical="center"/>
    </xf>
    <xf numFmtId="0" fontId="67" fillId="73" borderId="28">
      <alignment horizontal="right" vertical="center"/>
    </xf>
    <xf numFmtId="0" fontId="67" fillId="73" borderId="29">
      <alignment horizontal="right" vertical="center"/>
    </xf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44" fillId="57" borderId="23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15" fillId="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57" borderId="16" applyNumberFormat="0" applyAlignment="0" applyProtection="0"/>
    <xf numFmtId="4" fontId="69" fillId="0" borderId="14" applyFill="0" applyBorder="0" applyProtection="0">
      <alignment horizontal="right" vertical="center"/>
    </xf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9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7" fillId="0" borderId="0" applyNumberFormat="0">
      <alignment horizontal="right"/>
    </xf>
    <xf numFmtId="168" fontId="5" fillId="0" borderId="0" applyFont="0" applyFill="0" applyBorder="0" applyAlignment="0" applyProtection="0"/>
    <xf numFmtId="0" fontId="68" fillId="73" borderId="30">
      <alignment horizontal="left" vertical="center" wrapText="1" indent="2"/>
    </xf>
    <xf numFmtId="0" fontId="68" fillId="0" borderId="30">
      <alignment horizontal="left" vertical="center" wrapText="1" indent="2"/>
    </xf>
    <xf numFmtId="0" fontId="68" fillId="38" borderId="28">
      <alignment horizontal="left" vertical="center"/>
    </xf>
    <xf numFmtId="0" fontId="67" fillId="0" borderId="31">
      <alignment horizontal="left" vertical="top" wrapText="1"/>
    </xf>
    <xf numFmtId="0" fontId="40" fillId="44" borderId="16" applyNumberFormat="0" applyAlignment="0" applyProtection="0"/>
    <xf numFmtId="0" fontId="72" fillId="0" borderId="15"/>
    <xf numFmtId="0" fontId="1" fillId="0" borderId="24" applyNumberFormat="0" applyFill="0" applyAlignment="0" applyProtection="0"/>
    <xf numFmtId="0" fontId="35" fillId="0" borderId="0" applyNumberFormat="0" applyFill="0" applyBorder="0" applyAlignment="0" applyProtection="0"/>
    <xf numFmtId="0" fontId="65" fillId="0" borderId="0">
      <alignment vertical="top"/>
    </xf>
    <xf numFmtId="182" fontId="5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80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4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81" fillId="10" borderId="5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4" fontId="68" fillId="0" borderId="0" applyBorder="0">
      <alignment horizontal="right" vertical="center"/>
    </xf>
    <xf numFmtId="0" fontId="68" fillId="0" borderId="11">
      <alignment horizontal="right" vertical="center"/>
    </xf>
    <xf numFmtId="1" fontId="73" fillId="38" borderId="0" applyBorder="0">
      <alignment horizontal="right" vertical="center"/>
    </xf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3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27" fillId="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8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75" fillId="0" borderId="0"/>
    <xf numFmtId="0" fontId="2" fillId="0" borderId="0"/>
    <xf numFmtId="0" fontId="7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71" fillId="0" borderId="0"/>
    <xf numFmtId="0" fontId="71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8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7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28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" fontId="68" fillId="0" borderId="11" applyFill="0" applyBorder="0" applyProtection="0">
      <alignment horizontal="right" vertical="center"/>
    </xf>
    <xf numFmtId="0" fontId="69" fillId="0" borderId="0" applyNumberFormat="0" applyFill="0" applyBorder="0" applyProtection="0">
      <alignment horizontal="left" vertical="center"/>
    </xf>
    <xf numFmtId="0" fontId="68" fillId="0" borderId="11" applyNumberFormat="0" applyFill="0" applyAlignment="0" applyProtection="0"/>
    <xf numFmtId="0" fontId="5" fillId="74" borderId="0" applyNumberFormat="0" applyFont="0" applyBorder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2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0" fontId="5" fillId="60" borderId="22" applyNumberFormat="0" applyFont="0" applyAlignment="0" applyProtection="0"/>
    <xf numFmtId="0" fontId="59" fillId="60" borderId="22" applyNumberFormat="0" applyFont="0" applyAlignment="0" applyProtection="0"/>
    <xf numFmtId="0" fontId="5" fillId="60" borderId="22" applyNumberFormat="0" applyFont="0" applyAlignment="0" applyProtection="0"/>
    <xf numFmtId="0" fontId="59" fillId="60" borderId="2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183" fontId="68" fillId="75" borderId="11" applyNumberFormat="0" applyFont="0" applyBorder="0" applyAlignment="0" applyProtection="0">
      <alignment horizontal="right" vertical="center"/>
    </xf>
    <xf numFmtId="9" fontId="5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32" fillId="40" borderId="0" applyNumberFormat="0" applyBorder="0" applyAlignment="0" applyProtection="0"/>
    <xf numFmtId="0" fontId="68" fillId="74" borderId="11"/>
    <xf numFmtId="0" fontId="52" fillId="0" borderId="0">
      <alignment vertical="top" wrapText="1"/>
    </xf>
    <xf numFmtId="0" fontId="78" fillId="0" borderId="0"/>
    <xf numFmtId="0" fontId="5" fillId="0" borderId="0"/>
    <xf numFmtId="0" fontId="5" fillId="0" borderId="0"/>
    <xf numFmtId="0" fontId="5" fillId="0" borderId="0"/>
    <xf numFmtId="0" fontId="65" fillId="0" borderId="0">
      <alignment vertical="top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49" fontId="59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49" fontId="59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59" fillId="0" borderId="11" applyFill="0" applyProtection="0">
      <alignment horizontal="right"/>
    </xf>
    <xf numFmtId="0" fontId="60" fillId="61" borderId="11" applyNumberFormat="0" applyProtection="0">
      <alignment horizontal="right"/>
    </xf>
    <xf numFmtId="0" fontId="4" fillId="61" borderId="11" applyNumberFormat="0" applyProtection="0">
      <alignment horizontal="right"/>
    </xf>
    <xf numFmtId="0" fontId="61" fillId="61" borderId="0" applyNumberFormat="0" applyBorder="0" applyProtection="0">
      <alignment horizontal="left"/>
    </xf>
    <xf numFmtId="0" fontId="46" fillId="61" borderId="0" applyNumberFormat="0" applyBorder="0" applyProtection="0">
      <alignment horizontal="left"/>
    </xf>
    <xf numFmtId="0" fontId="60" fillId="61" borderId="11" applyNumberFormat="0" applyProtection="0">
      <alignment horizontal="left"/>
    </xf>
    <xf numFmtId="0" fontId="4" fillId="61" borderId="11" applyNumberFormat="0" applyProtection="0">
      <alignment horizontal="left"/>
    </xf>
    <xf numFmtId="0" fontId="59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9" fillId="0" borderId="1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47" fillId="62" borderId="0" applyNumberFormat="0" applyBorder="0" applyProtection="0">
      <alignment horizontal="left"/>
    </xf>
    <xf numFmtId="0" fontId="63" fillId="76" borderId="0" applyNumberFormat="0" applyBorder="0" applyProtection="0">
      <alignment horizontal="left"/>
    </xf>
    <xf numFmtId="0" fontId="64" fillId="76" borderId="0" applyNumberFormat="0" applyBorder="0" applyProtection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1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41" fillId="0" borderId="21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4" fillId="58" borderId="17" applyNumberFormat="0" applyAlignment="0" applyProtection="0"/>
    <xf numFmtId="0" fontId="76" fillId="0" borderId="0" applyNumberFormat="0" applyFill="0" applyBorder="0" applyAlignment="0" applyProtection="0"/>
    <xf numFmtId="0" fontId="68" fillId="0" borderId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78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83" fillId="79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4" fillId="0" borderId="32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5" fillId="0" borderId="33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0" fillId="59" borderId="16" applyNumberFormat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0" fontId="49" fillId="0" borderId="35" applyNumberFormat="0" applyFill="0" applyAlignment="0" applyProtection="0"/>
    <xf numFmtId="181" fontId="5" fillId="0" borderId="0" applyFont="0" applyFill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87" fillId="5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7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167" fontId="88" fillId="0" borderId="0">
      <alignment vertical="center"/>
    </xf>
    <xf numFmtId="0" fontId="9" fillId="0" borderId="0"/>
    <xf numFmtId="171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8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185" fontId="88" fillId="0" borderId="0">
      <alignment vertical="center"/>
    </xf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0" fontId="44" fillId="79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9" fillId="0" borderId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5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6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6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60" borderId="0" applyNumberFormat="0" applyBorder="0" applyAlignment="0" applyProtection="0"/>
    <xf numFmtId="0" fontId="9" fillId="3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9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3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5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4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43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77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6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0" borderId="0" applyNumberFormat="0" applyBorder="0" applyAlignment="0" applyProtection="0"/>
    <xf numFmtId="0" fontId="31" fillId="78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6" borderId="0" applyNumberFormat="0" applyBorder="0" applyAlignment="0" applyProtection="0"/>
    <xf numFmtId="0" fontId="31" fillId="54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57" borderId="16" applyNumberFormat="0" applyAlignment="0" applyProtection="0"/>
    <xf numFmtId="0" fontId="83" fillId="79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3" fillId="57" borderId="16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0" fontId="34" fillId="58" borderId="1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41" borderId="0" applyNumberFormat="0" applyBorder="0" applyAlignment="0" applyProtection="0"/>
    <xf numFmtId="0" fontId="80" fillId="7" borderId="0" applyNumberFormat="0" applyBorder="0" applyAlignment="0" applyProtection="0"/>
    <xf numFmtId="0" fontId="36" fillId="41" borderId="0" applyNumberFormat="0" applyBorder="0" applyAlignment="0" applyProtection="0"/>
    <xf numFmtId="0" fontId="36" fillId="43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0" borderId="18" applyNumberFormat="0" applyFill="0" applyAlignment="0" applyProtection="0"/>
    <xf numFmtId="0" fontId="84" fillId="0" borderId="32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85" fillId="0" borderId="33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86" fillId="0" borderId="34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40" fillId="44" borderId="16" applyNumberFormat="0" applyAlignment="0" applyProtection="0"/>
    <xf numFmtId="0" fontId="81" fillId="10" borderId="5" applyNumberFormat="0" applyAlignment="0" applyProtection="0"/>
    <xf numFmtId="0" fontId="40" fillId="44" borderId="16" applyNumberFormat="0" applyAlignment="0" applyProtection="0"/>
    <xf numFmtId="0" fontId="40" fillId="59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0" fillId="44" borderId="16" applyNumberFormat="0" applyAlignment="0" applyProtection="0"/>
    <xf numFmtId="0" fontId="41" fillId="0" borderId="21" applyNumberFormat="0" applyFill="0" applyAlignment="0" applyProtection="0"/>
    <xf numFmtId="0" fontId="49" fillId="0" borderId="35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2" fillId="59" borderId="0" applyNumberFormat="0" applyBorder="0" applyAlignment="0" applyProtection="0"/>
    <xf numFmtId="0" fontId="87" fillId="59" borderId="0" applyNumberFormat="0" applyBorder="0" applyAlignment="0" applyProtection="0"/>
    <xf numFmtId="0" fontId="91" fillId="9" borderId="0" applyNumberFormat="0" applyBorder="0" applyAlignment="0" applyProtection="0"/>
    <xf numFmtId="0" fontId="27" fillId="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71" fillId="0" borderId="0"/>
    <xf numFmtId="0" fontId="71" fillId="0" borderId="0"/>
    <xf numFmtId="0" fontId="82" fillId="0" borderId="0"/>
    <xf numFmtId="0" fontId="71" fillId="0" borderId="0"/>
    <xf numFmtId="0" fontId="82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5" fillId="60" borderId="22" applyNumberFormat="0" applyFont="0" applyAlignment="0" applyProtection="0"/>
    <xf numFmtId="0" fontId="2" fillId="60" borderId="2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4" fillId="57" borderId="23" applyNumberFormat="0" applyAlignment="0" applyProtection="0"/>
    <xf numFmtId="0" fontId="44" fillId="79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0" fontId="44" fillId="57" borderId="2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0" fontId="5" fillId="0" borderId="0"/>
    <xf numFmtId="43" fontId="92" fillId="0" borderId="0" applyFont="0" applyFill="0" applyBorder="0" applyAlignment="0" applyProtection="0"/>
    <xf numFmtId="0" fontId="92" fillId="0" borderId="0"/>
    <xf numFmtId="0" fontId="95" fillId="0" borderId="0"/>
    <xf numFmtId="0" fontId="95" fillId="0" borderId="0"/>
    <xf numFmtId="43" fontId="9" fillId="0" borderId="0" applyFont="0" applyFill="0" applyBorder="0" applyAlignment="0" applyProtection="0"/>
    <xf numFmtId="0" fontId="95" fillId="0" borderId="0"/>
    <xf numFmtId="0" fontId="9" fillId="0" borderId="0"/>
    <xf numFmtId="0" fontId="26" fillId="0" borderId="0" applyNumberFormat="0" applyFill="0" applyBorder="0" applyAlignment="0" applyProtection="0"/>
    <xf numFmtId="0" fontId="27" fillId="9" borderId="0" applyNumberFormat="0" applyBorder="0" applyAlignment="0" applyProtection="0"/>
    <xf numFmtId="0" fontId="9" fillId="13" borderId="9" applyNumberFormat="0" applyFont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9" fillId="2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4" fillId="7" borderId="0" applyNumberFormat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17" fillId="10" borderId="5" applyNumberFormat="0" applyAlignment="0" applyProtection="0"/>
    <xf numFmtId="0" fontId="2" fillId="0" borderId="0"/>
    <xf numFmtId="0" fontId="29" fillId="0" borderId="0" applyNumberFormat="0" applyFill="0" applyBorder="0" applyAlignment="0" applyProtection="0"/>
    <xf numFmtId="0" fontId="2" fillId="0" borderId="0" applyFill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7" fillId="0" borderId="0"/>
    <xf numFmtId="0" fontId="9" fillId="0" borderId="0"/>
    <xf numFmtId="0" fontId="5" fillId="74" borderId="0" applyNumberFormat="0" applyFon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2" fillId="0" borderId="0">
      <alignment vertical="top" wrapText="1"/>
    </xf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9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5" fillId="0" borderId="0" applyNumberFormat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36" fillId="41" borderId="0" applyNumberFormat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27" fillId="9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0" fontId="2" fillId="46" borderId="0" applyNumberFormat="0" applyBorder="0" applyAlignment="0" applyProtection="0"/>
    <xf numFmtId="0" fontId="5" fillId="0" borderId="0"/>
    <xf numFmtId="0" fontId="5" fillId="0" borderId="0"/>
    <xf numFmtId="0" fontId="9" fillId="0" borderId="0"/>
    <xf numFmtId="9" fontId="95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93" fillId="0" borderId="0" xfId="0" applyFont="1"/>
    <xf numFmtId="2" fontId="0" fillId="0" borderId="0" xfId="0" applyNumberFormat="1"/>
    <xf numFmtId="2" fontId="95" fillId="0" borderId="0" xfId="22502" applyNumberFormat="1"/>
    <xf numFmtId="0" fontId="0" fillId="0" borderId="0" xfId="0" applyAlignment="1">
      <alignment wrapText="1"/>
    </xf>
    <xf numFmtId="43" fontId="0" fillId="0" borderId="0" xfId="0" applyNumberFormat="1"/>
    <xf numFmtId="0" fontId="95" fillId="0" borderId="0" xfId="22505"/>
    <xf numFmtId="0" fontId="24" fillId="0" borderId="0" xfId="22505" applyFont="1"/>
    <xf numFmtId="0" fontId="9" fillId="0" borderId="0" xfId="22505" applyFont="1"/>
    <xf numFmtId="43" fontId="95" fillId="0" borderId="0" xfId="22504" applyFont="1"/>
    <xf numFmtId="43" fontId="95" fillId="0" borderId="0" xfId="22505" applyNumberFormat="1"/>
    <xf numFmtId="43" fontId="98" fillId="0" borderId="0" xfId="22504" applyFont="1"/>
    <xf numFmtId="2" fontId="95" fillId="0" borderId="0" xfId="22504" applyNumberFormat="1" applyFont="1"/>
    <xf numFmtId="2" fontId="24" fillId="0" borderId="0" xfId="22504" applyNumberFormat="1" applyFont="1"/>
    <xf numFmtId="43" fontId="95" fillId="80" borderId="0" xfId="22504" applyFont="1" applyFill="1"/>
    <xf numFmtId="43" fontId="98" fillId="80" borderId="0" xfId="22504" applyFont="1" applyFill="1"/>
    <xf numFmtId="43" fontId="0" fillId="80" borderId="0" xfId="0" applyNumberFormat="1" applyFill="1"/>
    <xf numFmtId="43" fontId="24" fillId="81" borderId="0" xfId="0" applyNumberFormat="1" applyFont="1" applyFill="1"/>
    <xf numFmtId="186" fontId="0" fillId="0" borderId="0" xfId="22572" applyNumberFormat="1" applyFont="1"/>
    <xf numFmtId="43" fontId="24" fillId="5" borderId="0" xfId="0" applyNumberFormat="1" applyFont="1" applyFill="1"/>
    <xf numFmtId="9" fontId="95" fillId="0" borderId="0" xfId="22572" applyFont="1"/>
    <xf numFmtId="1" fontId="0" fillId="0" borderId="0" xfId="0" applyNumberFormat="1"/>
    <xf numFmtId="43" fontId="0" fillId="0" borderId="37" xfId="0" applyNumberFormat="1" applyBorder="1"/>
    <xf numFmtId="43" fontId="0" fillId="0" borderId="38" xfId="0" applyNumberFormat="1" applyBorder="1"/>
    <xf numFmtId="43" fontId="0" fillId="0" borderId="39" xfId="0" applyNumberFormat="1" applyBorder="1"/>
    <xf numFmtId="43" fontId="0" fillId="82" borderId="37" xfId="0" applyNumberFormat="1" applyFill="1" applyBorder="1"/>
    <xf numFmtId="43" fontId="95" fillId="0" borderId="0" xfId="22572" applyNumberFormat="1" applyFont="1" applyFill="1"/>
    <xf numFmtId="43" fontId="95" fillId="0" borderId="0" xfId="22504" applyFont="1" applyFill="1"/>
    <xf numFmtId="43" fontId="98" fillId="0" borderId="0" xfId="22504" applyFont="1" applyFill="1"/>
    <xf numFmtId="0" fontId="0" fillId="80" borderId="0" xfId="0" applyFill="1"/>
    <xf numFmtId="43" fontId="95" fillId="5" borderId="0" xfId="22504" applyFont="1" applyFill="1"/>
    <xf numFmtId="43" fontId="98" fillId="5" borderId="0" xfId="22504" applyFont="1" applyFill="1"/>
    <xf numFmtId="186" fontId="22" fillId="0" borderId="0" xfId="22572" applyNumberFormat="1" applyFont="1"/>
    <xf numFmtId="0" fontId="0" fillId="0" borderId="0" xfId="22505" applyFont="1"/>
    <xf numFmtId="0" fontId="0" fillId="0" borderId="0" xfId="0" applyAlignment="1">
      <alignment horizontal="center"/>
    </xf>
  </cellXfs>
  <cellStyles count="22573">
    <cellStyle name="???????" xfId="395" xr:uid="{9F6B7E25-764B-422D-8112-A3AE51861577}"/>
    <cellStyle name="20% - Accent1" xfId="21" builtinId="30" customBuiltin="1"/>
    <cellStyle name="20% - Accent1 10" xfId="396" xr:uid="{EEBAC636-A4E0-4E4F-BE87-FF093881A158}"/>
    <cellStyle name="20% - Accent1 10 2" xfId="4838" xr:uid="{93CA6360-CFF3-445C-AF1A-AEE5E4C726FB}"/>
    <cellStyle name="20% - Accent1 11" xfId="397" xr:uid="{9010B179-1D86-452B-9CA6-A83E53B9C683}"/>
    <cellStyle name="20% - Accent1 11 2" xfId="4839" xr:uid="{01EC5905-10E5-4E66-B315-810DB906C3EE}"/>
    <cellStyle name="20% - Accent1 12" xfId="398" xr:uid="{D3FCF5CF-CD9C-4EE5-86A7-152BCE1E56E7}"/>
    <cellStyle name="20% - Accent1 13" xfId="399" xr:uid="{4F9722D3-5984-4A62-BBBE-3DC27FFB4CD4}"/>
    <cellStyle name="20% - Accent1 14" xfId="400" xr:uid="{E3A044FD-93D9-4820-B3C6-0630E011DC84}"/>
    <cellStyle name="20% - Accent1 15" xfId="401" xr:uid="{5AAF9B1B-8591-406B-8C41-9E4ACA10D525}"/>
    <cellStyle name="20% - Accent1 16" xfId="402" xr:uid="{4411135F-29DC-4B8E-91CD-AFD958AF3507}"/>
    <cellStyle name="20% - Accent1 17" xfId="403" xr:uid="{EAA3837D-D2E5-4E12-94E1-C8791C812150}"/>
    <cellStyle name="20% - Accent1 18" xfId="404" xr:uid="{3BE76FE6-197D-4FF6-BDF7-8C823CDEFADD}"/>
    <cellStyle name="20% - Accent1 19" xfId="405" xr:uid="{FD7DFD92-3F1B-466F-B5C7-346ED0756719}"/>
    <cellStyle name="20% - Accent1 2" xfId="68" xr:uid="{BF40A3CA-9700-4A72-A077-8C06C8119F5D}"/>
    <cellStyle name="20% - Accent1 2 10" xfId="3396" xr:uid="{25CA6D86-CB93-43FB-AFFF-1F550A61814E}"/>
    <cellStyle name="20% - Accent1 2 11" xfId="3397" xr:uid="{AF7404EC-EFEA-4695-B663-282AC942D7C6}"/>
    <cellStyle name="20% - Accent1 2 12" xfId="3398" xr:uid="{DE7DDB9E-B186-4CCE-A644-660B410EF4DB}"/>
    <cellStyle name="20% - Accent1 2 13" xfId="3399" xr:uid="{2FE082F9-E282-4F43-9E10-75D8E6797804}"/>
    <cellStyle name="20% - Accent1 2 14" xfId="3400" xr:uid="{9A1A6DBC-6C85-4751-BC8B-34A5D4377C14}"/>
    <cellStyle name="20% - Accent1 2 15" xfId="3401" xr:uid="{97FBE709-308C-489E-AA78-AFB10D4B2EF6}"/>
    <cellStyle name="20% - Accent1 2 16" xfId="4840" xr:uid="{C0D079DC-6D1F-4ACE-8DDE-9EE0E93F6E18}"/>
    <cellStyle name="20% - Accent1 2 2" xfId="3402" xr:uid="{326FF9BF-1876-497A-AD39-5293EA33106F}"/>
    <cellStyle name="20% - Accent1 2 3" xfId="3403" xr:uid="{0316A4FD-10CB-422C-9AA1-1F8307D3371C}"/>
    <cellStyle name="20% - Accent1 2 4" xfId="3404" xr:uid="{D36929CA-16CA-4A5A-A86A-735882F28D83}"/>
    <cellStyle name="20% - Accent1 2 5" xfId="3405" xr:uid="{D77E8A7A-B7E6-4B5B-BE45-66262B594814}"/>
    <cellStyle name="20% - Accent1 2 6" xfId="3406" xr:uid="{7D85A504-7D9B-4373-8248-63A15A30DC31}"/>
    <cellStyle name="20% - Accent1 2 7" xfId="3407" xr:uid="{AD061DD0-3D52-4E15-848F-8FA8FDDE4B4C}"/>
    <cellStyle name="20% - Accent1 2 8" xfId="3408" xr:uid="{F117A123-6090-47A5-AEAE-6C4BA5DF7F4A}"/>
    <cellStyle name="20% - Accent1 2 9" xfId="3409" xr:uid="{D23AE0ED-6690-4266-AA0A-38F397A9CA18}"/>
    <cellStyle name="20% - Accent1 20" xfId="406" xr:uid="{7990AC40-2D4E-425E-A5AD-B1B80B2F961D}"/>
    <cellStyle name="20% - Accent1 21" xfId="407" xr:uid="{3525F001-4B3F-4CA7-AC1A-FE9A2C1A2FC6}"/>
    <cellStyle name="20% - Accent1 22" xfId="408" xr:uid="{7586B2F7-2389-4701-9FE4-18C40CC0FF65}"/>
    <cellStyle name="20% - Accent1 23" xfId="409" xr:uid="{56100B01-8197-47B2-9073-B09FD8969355}"/>
    <cellStyle name="20% - Accent1 24" xfId="410" xr:uid="{9ED3E88C-E157-4395-906B-ED02091207F2}"/>
    <cellStyle name="20% - Accent1 25" xfId="411" xr:uid="{907120EB-43A3-4B29-86DB-44CF2DED5333}"/>
    <cellStyle name="20% - Accent1 26" xfId="412" xr:uid="{2C6A84B7-C39F-4C14-A57E-860C148FA1B5}"/>
    <cellStyle name="20% - Accent1 27" xfId="413" xr:uid="{2A9858E8-2E93-4E4A-8062-0EECA559CEFB}"/>
    <cellStyle name="20% - Accent1 28" xfId="414" xr:uid="{FD8DEADD-1B69-4E53-8A2F-9004CAF639A1}"/>
    <cellStyle name="20% - Accent1 29" xfId="415" xr:uid="{868D43E5-1BC5-42D6-851A-60CE99407A7A}"/>
    <cellStyle name="20% - Accent1 3" xfId="69" xr:uid="{B5FF6991-DC5B-4C6F-8CE3-A0D6943EA57A}"/>
    <cellStyle name="20% - Accent1 3 2" xfId="416" xr:uid="{B2A30773-51DF-4BBC-A6E7-54CBBBB3FD49}"/>
    <cellStyle name="20% - Accent1 3 2 2" xfId="4841" xr:uid="{BED761A0-BE71-4143-B30A-D539369C884D}"/>
    <cellStyle name="20% - Accent1 3 3" xfId="3410" xr:uid="{7F808D5E-9EF5-4F89-9C8D-9F428E3ADC1E}"/>
    <cellStyle name="20% - Accent1 30" xfId="417" xr:uid="{5E0453D4-B0D4-49AC-A87E-805E30164690}"/>
    <cellStyle name="20% - Accent1 31" xfId="418" xr:uid="{F663F958-26B3-41FB-86D9-14376CFCF109}"/>
    <cellStyle name="20% - Accent1 32" xfId="419" xr:uid="{F124E2CB-1CCC-4D1E-A565-1CB6D1B6BDE4}"/>
    <cellStyle name="20% - Accent1 33" xfId="420" xr:uid="{F063BF09-8AF8-4EAB-94BD-D43DD76581F2}"/>
    <cellStyle name="20% - Accent1 34" xfId="421" xr:uid="{6F1E11D1-4576-421C-ADD9-A218E0371148}"/>
    <cellStyle name="20% - Accent1 35" xfId="422" xr:uid="{D2B2AE7A-98BB-4B60-B0F5-42E46BFB7567}"/>
    <cellStyle name="20% - Accent1 36" xfId="423" xr:uid="{AE816E69-0440-4C72-852C-634F7BAB18EC}"/>
    <cellStyle name="20% - Accent1 37" xfId="424" xr:uid="{683E716E-B285-4290-8597-69D40E75CFBD}"/>
    <cellStyle name="20% - Accent1 38" xfId="425" xr:uid="{FF9B3E25-FB73-4D1E-AF69-13CD68254A22}"/>
    <cellStyle name="20% - Accent1 39" xfId="426" xr:uid="{85331BF1-7CC2-4152-A0C5-6C3281DA1F1F}"/>
    <cellStyle name="20% - Accent1 4" xfId="427" xr:uid="{708D0163-B893-470B-9079-7E5DBAC244BD}"/>
    <cellStyle name="20% - Accent1 4 2" xfId="3411" xr:uid="{790D0B53-4220-409C-967F-E71F4169B5FC}"/>
    <cellStyle name="20% - Accent1 40" xfId="428" xr:uid="{91097F8D-CCA3-4895-9657-5D47BDF8F84D}"/>
    <cellStyle name="20% - Accent1 41" xfId="429" xr:uid="{5BCCA170-1774-4245-AA23-979DD18DFD92}"/>
    <cellStyle name="20% - Accent1 42" xfId="430" xr:uid="{0112778F-18F7-445E-AD60-45FDC2A6C90F}"/>
    <cellStyle name="20% - Accent1 43" xfId="431" xr:uid="{C8FEEE97-C05A-4456-A2F1-BFE7001567B8}"/>
    <cellStyle name="20% - Accent1 5" xfId="432" xr:uid="{B416AA70-B6F0-4B1C-9814-4E0E61FA7C9B}"/>
    <cellStyle name="20% - Accent1 5 2" xfId="3412" xr:uid="{CA7E8B59-67E0-46B9-9A52-9B0ABEEBC56F}"/>
    <cellStyle name="20% - Accent1 6" xfId="433" xr:uid="{9CF82944-FFA3-46C6-80B0-5EA8A254C6F1}"/>
    <cellStyle name="20% - Accent1 6 2" xfId="3413" xr:uid="{4ACD1BFD-54C9-406A-9660-DB9DA424E515}"/>
    <cellStyle name="20% - Accent1 7" xfId="434" xr:uid="{7CB7288E-0AD0-4CE4-B03E-D95C2BD430FC}"/>
    <cellStyle name="20% - Accent1 7 2" xfId="3414" xr:uid="{6144DDE1-57AF-42DE-BE67-971F78F6131D}"/>
    <cellStyle name="20% - Accent1 8" xfId="435" xr:uid="{7BAD5AEB-235A-408F-AACE-A9A038DDD120}"/>
    <cellStyle name="20% - Accent1 8 2" xfId="3415" xr:uid="{2BE6069F-38BA-46A6-A5CA-A927076B659F}"/>
    <cellStyle name="20% - Accent1 9" xfId="436" xr:uid="{C7A4C415-FB2D-494C-8D48-891DD83035F1}"/>
    <cellStyle name="20% - Accent1 9 2" xfId="4842" xr:uid="{F498B5A5-0282-4F0F-8F68-7DC5710B3D07}"/>
    <cellStyle name="20% - Accent2" xfId="25" builtinId="34" customBuiltin="1"/>
    <cellStyle name="20% - Accent2 10" xfId="437" xr:uid="{3F1A2E97-1BFF-46AD-BD80-F5E330827AC6}"/>
    <cellStyle name="20% - Accent2 10 2" xfId="4843" xr:uid="{F01178C8-C3EE-4ED7-BA90-741F30F6C042}"/>
    <cellStyle name="20% - Accent2 11" xfId="438" xr:uid="{8F5E93D0-EBCE-44AD-BE5D-8560BF528023}"/>
    <cellStyle name="20% - Accent2 11 2" xfId="4844" xr:uid="{0CCA01AC-DD67-40B3-8E09-8045B7AA4081}"/>
    <cellStyle name="20% - Accent2 12" xfId="439" xr:uid="{D72B3BBC-D8A3-453A-B7AC-A9DCC16FFBA4}"/>
    <cellStyle name="20% - Accent2 13" xfId="440" xr:uid="{49061234-FEA0-4913-8E9B-ED254964C773}"/>
    <cellStyle name="20% - Accent2 14" xfId="441" xr:uid="{22E969E2-263D-454F-91BE-FFB2A72B1D94}"/>
    <cellStyle name="20% - Accent2 15" xfId="442" xr:uid="{0E498FBE-8F33-4129-B346-3C55ACB648B3}"/>
    <cellStyle name="20% - Accent2 16" xfId="443" xr:uid="{AABA4301-BD93-4084-AA5F-69164856C47B}"/>
    <cellStyle name="20% - Accent2 17" xfId="444" xr:uid="{500A12EC-8208-4E2D-BFFD-65CC61684545}"/>
    <cellStyle name="20% - Accent2 18" xfId="445" xr:uid="{4F12980B-7319-401B-B9BA-D49CADFF3A26}"/>
    <cellStyle name="20% - Accent2 19" xfId="446" xr:uid="{12C7D064-CE8B-400F-9277-211799AE264E}"/>
    <cellStyle name="20% - Accent2 2" xfId="70" xr:uid="{90884330-7398-4A65-8FAC-7C364E84CF07}"/>
    <cellStyle name="20% - Accent2 2 10" xfId="3416" xr:uid="{2D0E2F82-089B-48D1-93C3-0E98A1AB6E15}"/>
    <cellStyle name="20% - Accent2 2 11" xfId="3417" xr:uid="{1A94F532-8D18-4CF5-82BE-BE905F06AA6F}"/>
    <cellStyle name="20% - Accent2 2 12" xfId="3418" xr:uid="{668F8D1C-ACA5-4079-A623-6B41C5E94002}"/>
    <cellStyle name="20% - Accent2 2 13" xfId="3419" xr:uid="{60027ADE-9821-4CF3-9C74-E9A536639759}"/>
    <cellStyle name="20% - Accent2 2 14" xfId="3420" xr:uid="{B6C1E797-98E5-4DD1-A133-656B9090D84B}"/>
    <cellStyle name="20% - Accent2 2 15" xfId="3421" xr:uid="{C90788F2-BB30-44E0-88C0-112B40B4E610}"/>
    <cellStyle name="20% - Accent2 2 16" xfId="4845" xr:uid="{E8EB83E3-BBC1-4CCC-8A09-7F36867BE066}"/>
    <cellStyle name="20% - Accent2 2 2" xfId="3422" xr:uid="{452C7850-D36E-40BF-BD35-3F761E386041}"/>
    <cellStyle name="20% - Accent2 2 3" xfId="3423" xr:uid="{DD8540A7-0822-418A-9279-F99A2E18DC38}"/>
    <cellStyle name="20% - Accent2 2 4" xfId="3424" xr:uid="{B30294BA-40D7-4913-AB5C-B6F1B153EA6D}"/>
    <cellStyle name="20% - Accent2 2 5" xfId="3425" xr:uid="{343EC0CB-1B3A-4691-ACB7-BDE44F56F01B}"/>
    <cellStyle name="20% - Accent2 2 6" xfId="3426" xr:uid="{6624401A-42AA-45E2-BEE8-B91D28182326}"/>
    <cellStyle name="20% - Accent2 2 7" xfId="3427" xr:uid="{D9C07E59-A2B2-4EA9-A584-EF28F1B97CFC}"/>
    <cellStyle name="20% - Accent2 2 8" xfId="3428" xr:uid="{E4FF97D9-1292-436C-965D-D2F42AC9A441}"/>
    <cellStyle name="20% - Accent2 2 9" xfId="3429" xr:uid="{23AD9387-C075-4524-9A60-DF48FD0B82F1}"/>
    <cellStyle name="20% - Accent2 20" xfId="447" xr:uid="{C9FF35CD-3EAC-41E0-B224-1C759BA6BEBB}"/>
    <cellStyle name="20% - Accent2 21" xfId="448" xr:uid="{38176E66-F501-4E2E-8D55-1E78B6DB8306}"/>
    <cellStyle name="20% - Accent2 22" xfId="449" xr:uid="{EDCE39D6-2A0D-4BC4-93BE-5770C9120BF9}"/>
    <cellStyle name="20% - Accent2 23" xfId="450" xr:uid="{F21800FC-EA7F-4983-B910-ADE221268FD1}"/>
    <cellStyle name="20% - Accent2 24" xfId="451" xr:uid="{D7238FE5-70F0-48CF-A9CC-5FE305BA80BC}"/>
    <cellStyle name="20% - Accent2 25" xfId="452" xr:uid="{09DADB2F-144B-4CF9-B33F-96F5C9877F6B}"/>
    <cellStyle name="20% - Accent2 26" xfId="453" xr:uid="{C14010A4-DC3A-4D27-ACDA-003E088DE76C}"/>
    <cellStyle name="20% - Accent2 27" xfId="454" xr:uid="{91A30EBD-5350-4C6B-B10E-5D36EAE983B3}"/>
    <cellStyle name="20% - Accent2 28" xfId="455" xr:uid="{952356C5-F0A8-4430-BFFB-9F5D3472C28E}"/>
    <cellStyle name="20% - Accent2 29" xfId="456" xr:uid="{D254997A-1DA1-4FE5-81AF-ADBAD4D22FA8}"/>
    <cellStyle name="20% - Accent2 3" xfId="71" xr:uid="{DA88DBCC-3F01-4B99-8D9C-66A1E54312C8}"/>
    <cellStyle name="20% - Accent2 3 2" xfId="457" xr:uid="{6232203A-783F-4ED7-8EAF-99DD0D43E735}"/>
    <cellStyle name="20% - Accent2 3 2 2" xfId="4846" xr:uid="{599BC71F-0D59-44D8-8848-69E6E3BB3A7F}"/>
    <cellStyle name="20% - Accent2 3 3" xfId="3430" xr:uid="{EDC2ADA4-6ED8-4A5B-9878-053F4491AAF0}"/>
    <cellStyle name="20% - Accent2 30" xfId="458" xr:uid="{F0D6F0CF-AFCA-4E5B-9417-8E630CCF032E}"/>
    <cellStyle name="20% - Accent2 31" xfId="459" xr:uid="{ED494E1D-D295-49B4-A069-5BC6F8D1B3FC}"/>
    <cellStyle name="20% - Accent2 32" xfId="460" xr:uid="{DBE732FE-CEEA-4A45-9685-63CF1C1055EE}"/>
    <cellStyle name="20% - Accent2 33" xfId="461" xr:uid="{3F4BF0F5-70B7-4715-973F-C8F613C52F2E}"/>
    <cellStyle name="20% - Accent2 34" xfId="462" xr:uid="{D73DEC1D-FA88-4691-BEF0-7CD36F50ED47}"/>
    <cellStyle name="20% - Accent2 35" xfId="463" xr:uid="{924CAE8A-ED0F-4F09-AD44-3BBA3FE74263}"/>
    <cellStyle name="20% - Accent2 36" xfId="464" xr:uid="{6B0DA4F5-C12D-43A3-ABE8-34C0E911D540}"/>
    <cellStyle name="20% - Accent2 37" xfId="465" xr:uid="{A1AE96F2-ACD5-4C5C-BCD7-035CAC0639EA}"/>
    <cellStyle name="20% - Accent2 38" xfId="466" xr:uid="{F9E78B52-9F09-4B77-8A3B-4AD375A40891}"/>
    <cellStyle name="20% - Accent2 39" xfId="467" xr:uid="{A3BF79F1-0602-475F-AFE0-F7772CFB4143}"/>
    <cellStyle name="20% - Accent2 4" xfId="468" xr:uid="{8C4C61C1-9FC8-4794-8696-AEB223E97822}"/>
    <cellStyle name="20% - Accent2 4 2" xfId="3431" xr:uid="{3BE588E5-BAC6-4CFB-A55B-25BF8D781AB4}"/>
    <cellStyle name="20% - Accent2 40" xfId="469" xr:uid="{87AFE6DF-E4CC-4DF5-BA8A-393E9FFE09F1}"/>
    <cellStyle name="20% - Accent2 41" xfId="470" xr:uid="{A790434B-FD03-4C25-9A8B-B7AD63137847}"/>
    <cellStyle name="20% - Accent2 42" xfId="471" xr:uid="{A65E8E2C-BE6E-4D46-8E7B-7F8722091A4F}"/>
    <cellStyle name="20% - Accent2 43" xfId="472" xr:uid="{46C916C7-D6ED-4425-88C9-D61EEB2674F3}"/>
    <cellStyle name="20% - Accent2 5" xfId="473" xr:uid="{61DB9F3D-055E-47BD-90A0-770197C948F8}"/>
    <cellStyle name="20% - Accent2 5 2" xfId="3432" xr:uid="{0A6AD758-34CF-4720-9ABB-5C36733D4484}"/>
    <cellStyle name="20% - Accent2 6" xfId="474" xr:uid="{C1A2D507-EE89-44CE-869B-364EBE8C68D8}"/>
    <cellStyle name="20% - Accent2 6 2" xfId="3433" xr:uid="{3EF2B623-7C50-4726-9882-D1332DED3B1E}"/>
    <cellStyle name="20% - Accent2 7" xfId="475" xr:uid="{E6692E59-2EC6-478A-AFF9-FFE8AEFC98F5}"/>
    <cellStyle name="20% - Accent2 7 2" xfId="3434" xr:uid="{84F5688E-DE00-4E0C-95A3-8BACB4955EA7}"/>
    <cellStyle name="20% - Accent2 8" xfId="476" xr:uid="{3CDE0417-B49D-424D-82F4-E1533765F7A6}"/>
    <cellStyle name="20% - Accent2 8 2" xfId="3435" xr:uid="{455185A9-302F-4EAF-B953-4D6B2FBFBC2F}"/>
    <cellStyle name="20% - Accent2 9" xfId="477" xr:uid="{CC8B34C7-D046-4E58-9B51-FC6CE7BF52BD}"/>
    <cellStyle name="20% - Accent2 9 2" xfId="4847" xr:uid="{29BB2493-275E-4AB2-9589-7BAFE6C8497C}"/>
    <cellStyle name="20% - Accent3" xfId="29" builtinId="38" customBuiltin="1"/>
    <cellStyle name="20% - Accent3 10" xfId="478" xr:uid="{71F6FFA0-76A9-4923-BE00-4D53ED37EDC5}"/>
    <cellStyle name="20% - Accent3 10 2" xfId="4848" xr:uid="{E80F9A5E-077E-4D1B-983C-019629962A62}"/>
    <cellStyle name="20% - Accent3 11" xfId="479" xr:uid="{417849D6-26FF-4A40-8103-ED25300A1E92}"/>
    <cellStyle name="20% - Accent3 11 2" xfId="4849" xr:uid="{2A240438-ACEC-4384-91F7-76844D2C1B1E}"/>
    <cellStyle name="20% - Accent3 12" xfId="480" xr:uid="{B3808069-C1A3-46AA-9334-2E8543CBE36A}"/>
    <cellStyle name="20% - Accent3 13" xfId="481" xr:uid="{D38F0309-F460-45E6-B685-4A3F06D5C9CA}"/>
    <cellStyle name="20% - Accent3 14" xfId="482" xr:uid="{96A9B469-7506-456F-AF3E-CE0676503D02}"/>
    <cellStyle name="20% - Accent3 15" xfId="483" xr:uid="{8133A0A1-CF53-4197-B9D8-29505B0AD25A}"/>
    <cellStyle name="20% - Accent3 16" xfId="484" xr:uid="{0BDBFBD5-AE31-4252-999A-A789DFCA87D2}"/>
    <cellStyle name="20% - Accent3 17" xfId="485" xr:uid="{F26ED216-7FC1-491D-8777-83CE6AD07BC0}"/>
    <cellStyle name="20% - Accent3 18" xfId="486" xr:uid="{217D88DE-F8F8-4F8D-987D-411E2BE0690F}"/>
    <cellStyle name="20% - Accent3 19" xfId="487" xr:uid="{0AFD5BDD-CA64-4BA2-A30B-03063515F29F}"/>
    <cellStyle name="20% - Accent3 2" xfId="72" xr:uid="{40EA4FC7-D920-4043-92E4-A21A8DA3F5FE}"/>
    <cellStyle name="20% - Accent3 2 10" xfId="3436" xr:uid="{DED98AA3-F9DF-4C15-83A0-B14317B75CB7}"/>
    <cellStyle name="20% - Accent3 2 11" xfId="3437" xr:uid="{6F1729C4-F49B-4A95-9E0C-0CF0C3413960}"/>
    <cellStyle name="20% - Accent3 2 12" xfId="3438" xr:uid="{0652F904-13BE-4BC2-B8E2-1CFC2006D7FB}"/>
    <cellStyle name="20% - Accent3 2 13" xfId="3439" xr:uid="{B6FA0F41-5885-4180-92FB-C62AB7BFDCE0}"/>
    <cellStyle name="20% - Accent3 2 14" xfId="3440" xr:uid="{6A6EF27E-C5AE-4D30-82D3-9491F9660020}"/>
    <cellStyle name="20% - Accent3 2 15" xfId="3441" xr:uid="{20A07122-66C5-42FA-82EA-233327329803}"/>
    <cellStyle name="20% - Accent3 2 16" xfId="4850" xr:uid="{39CAA13A-2525-4998-A331-3749717ACD74}"/>
    <cellStyle name="20% - Accent3 2 2" xfId="3442" xr:uid="{24729931-93B2-486F-B0C4-BAA993CACC40}"/>
    <cellStyle name="20% - Accent3 2 3" xfId="3443" xr:uid="{FF5B5BD9-7818-4DBA-B86C-883F3747D57F}"/>
    <cellStyle name="20% - Accent3 2 4" xfId="3444" xr:uid="{DB5FD302-EEFF-4B5E-BEC9-549FCBC53BB5}"/>
    <cellStyle name="20% - Accent3 2 5" xfId="3445" xr:uid="{AF66C24B-7601-458A-A2B2-D3E541BA50A8}"/>
    <cellStyle name="20% - Accent3 2 6" xfId="3446" xr:uid="{47E837AA-2D22-4D23-89E6-10F061BB9E3E}"/>
    <cellStyle name="20% - Accent3 2 7" xfId="3447" xr:uid="{7B30BDFC-1BED-4A83-AF9A-45B1FDC50E41}"/>
    <cellStyle name="20% - Accent3 2 8" xfId="3448" xr:uid="{69A32C83-2D21-4462-98E8-42939FE52B96}"/>
    <cellStyle name="20% - Accent3 2 9" xfId="3449" xr:uid="{9B987EFB-FCC4-43F7-AB20-4F6A660DB5D4}"/>
    <cellStyle name="20% - Accent3 20" xfId="488" xr:uid="{A52AA9BC-C4AD-44E4-92DF-E8F966FB77BB}"/>
    <cellStyle name="20% - Accent3 21" xfId="489" xr:uid="{CAB94B1A-4554-4391-B997-C7D522CA27DE}"/>
    <cellStyle name="20% - Accent3 22" xfId="490" xr:uid="{CB953A02-CFD8-4721-B4E7-C5A8AAD074F3}"/>
    <cellStyle name="20% - Accent3 23" xfId="491" xr:uid="{FC6A28FA-1D92-4035-AFF9-A7F8C5AFDF4D}"/>
    <cellStyle name="20% - Accent3 24" xfId="492" xr:uid="{44879232-F280-4B83-8D06-58AD4DADC3EE}"/>
    <cellStyle name="20% - Accent3 25" xfId="493" xr:uid="{C63B9EAF-3B2E-445C-84B0-116B2D7AD5AB}"/>
    <cellStyle name="20% - Accent3 26" xfId="494" xr:uid="{4D3941E3-5FEE-4516-9643-9A8B6A1A765C}"/>
    <cellStyle name="20% - Accent3 27" xfId="495" xr:uid="{C9928BB8-A8B9-4CAD-8824-569F2CA01FB7}"/>
    <cellStyle name="20% - Accent3 28" xfId="496" xr:uid="{C17962CD-3157-4D0B-9E42-71F6C1B03188}"/>
    <cellStyle name="20% - Accent3 29" xfId="497" xr:uid="{346333C7-44E5-4A95-9096-441365EC6370}"/>
    <cellStyle name="20% - Accent3 3" xfId="73" xr:uid="{FF225464-3673-46D1-9129-E8BC7FE493CF}"/>
    <cellStyle name="20% - Accent3 3 2" xfId="498" xr:uid="{3D6242C7-C49B-4447-9181-658832D7B42F}"/>
    <cellStyle name="20% - Accent3 3 2 2" xfId="4851" xr:uid="{47C356C1-3D45-47DD-BB58-EB4A749CF957}"/>
    <cellStyle name="20% - Accent3 3 3" xfId="3450" xr:uid="{54DA9CA6-FC68-4B4D-92E5-99369580A1E2}"/>
    <cellStyle name="20% - Accent3 30" xfId="499" xr:uid="{9E39387A-50F6-4E48-BA19-FA1A53E54216}"/>
    <cellStyle name="20% - Accent3 31" xfId="500" xr:uid="{38898DB6-F0F2-48DF-B2C8-F9C0323CD5AB}"/>
    <cellStyle name="20% - Accent3 32" xfId="501" xr:uid="{3BB6A317-3C86-48D4-852A-00088B413077}"/>
    <cellStyle name="20% - Accent3 33" xfId="502" xr:uid="{5BA2749D-D096-4176-8B58-F531689D63DE}"/>
    <cellStyle name="20% - Accent3 34" xfId="503" xr:uid="{DE997850-28EC-428D-A750-28100805E2C8}"/>
    <cellStyle name="20% - Accent3 35" xfId="504" xr:uid="{E98519BF-3D87-45DB-99A8-B9C057D7F0C3}"/>
    <cellStyle name="20% - Accent3 36" xfId="505" xr:uid="{FDF36E88-1AE5-4943-B034-5611E17D3D12}"/>
    <cellStyle name="20% - Accent3 37" xfId="506" xr:uid="{DB7D6301-0B92-43EE-BFAB-62754AA0FEB4}"/>
    <cellStyle name="20% - Accent3 38" xfId="507" xr:uid="{B5286E32-942F-4F4E-9D0D-6148E7F0D6DF}"/>
    <cellStyle name="20% - Accent3 39" xfId="508" xr:uid="{6072F6EE-4398-463B-9182-CFD6527DF477}"/>
    <cellStyle name="20% - Accent3 4" xfId="509" xr:uid="{2DE43DD0-734A-4506-A4A3-FC4E788F8067}"/>
    <cellStyle name="20% - Accent3 4 2" xfId="3451" xr:uid="{B0F45321-AE2C-4E57-9C91-64E33AA818A3}"/>
    <cellStyle name="20% - Accent3 40" xfId="510" xr:uid="{3C2AD536-9A08-4E24-88A8-602260C1F921}"/>
    <cellStyle name="20% - Accent3 41" xfId="511" xr:uid="{C723D1BD-1435-4A26-AE17-3145440C195A}"/>
    <cellStyle name="20% - Accent3 42" xfId="512" xr:uid="{0A16DC81-E104-403B-AAAF-E26ACF2D7683}"/>
    <cellStyle name="20% - Accent3 43" xfId="513" xr:uid="{C1750924-0320-4604-B9C0-6FFEDF19B5BE}"/>
    <cellStyle name="20% - Accent3 5" xfId="514" xr:uid="{240DC50B-A518-432C-8678-7CABA1E914C8}"/>
    <cellStyle name="20% - Accent3 5 2" xfId="3452" xr:uid="{3B6E36DC-3F5E-44A2-BF37-0A352498309F}"/>
    <cellStyle name="20% - Accent3 6" xfId="515" xr:uid="{B214242E-729C-4427-8AC5-97DEC0A7A6DA}"/>
    <cellStyle name="20% - Accent3 6 2" xfId="3453" xr:uid="{AB9EF02D-9682-4656-9F06-BA9051ED9DE6}"/>
    <cellStyle name="20% - Accent3 7" xfId="516" xr:uid="{480F9408-1F33-4B08-B534-F239628BDE13}"/>
    <cellStyle name="20% - Accent3 7 2" xfId="3454" xr:uid="{2C880D6A-B35C-4B96-B57E-CC62FECA9A74}"/>
    <cellStyle name="20% - Accent3 8" xfId="517" xr:uid="{A496CBF0-5D74-49C6-B06F-83FE72D01214}"/>
    <cellStyle name="20% - Accent3 8 2" xfId="3455" xr:uid="{96DFB7F1-1B16-4697-B61E-692790285A7A}"/>
    <cellStyle name="20% - Accent3 9" xfId="518" xr:uid="{1AA438E5-30F7-47F4-87F7-8044411663F7}"/>
    <cellStyle name="20% - Accent3 9 2" xfId="4852" xr:uid="{F476EE63-0642-411C-B8A0-D63A972DF858}"/>
    <cellStyle name="20% - Accent4" xfId="33" builtinId="42" customBuiltin="1"/>
    <cellStyle name="20% - Accent4 10" xfId="519" xr:uid="{FDAD0B39-3A40-41F9-A967-3E6B6E548FE1}"/>
    <cellStyle name="20% - Accent4 10 2" xfId="4853" xr:uid="{3E9A9F6B-1889-4FC4-BDF5-4E73833D398F}"/>
    <cellStyle name="20% - Accent4 11" xfId="520" xr:uid="{99423568-512B-42D2-8C68-EB226DF81832}"/>
    <cellStyle name="20% - Accent4 11 2" xfId="4854" xr:uid="{BD84F351-0E06-4FF5-ABF7-D985EB875B74}"/>
    <cellStyle name="20% - Accent4 12" xfId="521" xr:uid="{656E99A3-08ED-4307-9774-7C3C93600236}"/>
    <cellStyle name="20% - Accent4 13" xfId="522" xr:uid="{5CB9ABD4-5B85-49E2-86F4-9A854F0A07ED}"/>
    <cellStyle name="20% - Accent4 14" xfId="523" xr:uid="{2D6C1FBB-D8A1-4A77-87D4-FC84A9BDCDF4}"/>
    <cellStyle name="20% - Accent4 15" xfId="524" xr:uid="{465AD301-CB7C-4F4C-A433-B3258225E2B4}"/>
    <cellStyle name="20% - Accent4 16" xfId="525" xr:uid="{72ABC37A-D75D-41D0-8855-B4965E69CCE7}"/>
    <cellStyle name="20% - Accent4 17" xfId="526" xr:uid="{1DAA2DA7-0A00-401F-A844-AA61C6F0665B}"/>
    <cellStyle name="20% - Accent4 18" xfId="527" xr:uid="{59103867-1528-4E8E-BCFA-7732349D51EB}"/>
    <cellStyle name="20% - Accent4 19" xfId="528" xr:uid="{10BB7E94-9E89-4AA0-978D-0DBF38C74A68}"/>
    <cellStyle name="20% - Accent4 2" xfId="74" xr:uid="{F68ED6C2-50C3-4707-87D6-B11B4FCCB271}"/>
    <cellStyle name="20% - Accent4 2 10" xfId="3456" xr:uid="{C37319B9-8FCD-4F7C-A7E3-4D823B3EEB2C}"/>
    <cellStyle name="20% - Accent4 2 11" xfId="3457" xr:uid="{BAF47292-E861-4F8D-937D-2053E0F5464B}"/>
    <cellStyle name="20% - Accent4 2 12" xfId="3458" xr:uid="{CAFAA6A4-8492-4893-830F-CE9197D67766}"/>
    <cellStyle name="20% - Accent4 2 13" xfId="3459" xr:uid="{658928D1-0DF2-42CB-AC33-1CA4A81689F9}"/>
    <cellStyle name="20% - Accent4 2 14" xfId="3460" xr:uid="{83C26BA2-8304-4232-8253-FDFF8D460098}"/>
    <cellStyle name="20% - Accent4 2 15" xfId="3461" xr:uid="{632EA4EA-E90E-4DD7-A0D0-C1F8F14F7D0F}"/>
    <cellStyle name="20% - Accent4 2 16" xfId="4855" xr:uid="{BD74C63A-77FE-4394-9D09-868E37709930}"/>
    <cellStyle name="20% - Accent4 2 2" xfId="3462" xr:uid="{A191A47A-0C2D-4CBD-B7B8-A1283AB9EA59}"/>
    <cellStyle name="20% - Accent4 2 3" xfId="3463" xr:uid="{CAF15E05-919B-495E-951B-19947EBEC8A7}"/>
    <cellStyle name="20% - Accent4 2 4" xfId="3464" xr:uid="{117AE120-AD46-4EB7-B21A-71560451FA07}"/>
    <cellStyle name="20% - Accent4 2 5" xfId="3465" xr:uid="{902334CD-E97A-4EFC-B4BE-AFB94E52ABC6}"/>
    <cellStyle name="20% - Accent4 2 6" xfId="3466" xr:uid="{BCDA4C16-E110-4929-9F46-CA0E945F7CC3}"/>
    <cellStyle name="20% - Accent4 2 7" xfId="3467" xr:uid="{94F23454-B113-48D7-BE79-7954F70A4ABB}"/>
    <cellStyle name="20% - Accent4 2 8" xfId="3468" xr:uid="{24DAF5C0-6672-477C-87E3-087CFDEA833D}"/>
    <cellStyle name="20% - Accent4 2 9" xfId="3469" xr:uid="{611230B1-6F07-4C87-83BE-4CEC2BE970D3}"/>
    <cellStyle name="20% - Accent4 20" xfId="529" xr:uid="{23D7A2AC-163F-44BF-A729-CB620AF2AD00}"/>
    <cellStyle name="20% - Accent4 21" xfId="530" xr:uid="{ACFABFC3-32D6-43C5-877F-DFC69F80ED43}"/>
    <cellStyle name="20% - Accent4 22" xfId="531" xr:uid="{066B5B9A-F994-4517-A881-2C1AF2F7C9F2}"/>
    <cellStyle name="20% - Accent4 23" xfId="532" xr:uid="{F9A11AEC-0005-4208-A67F-C31934E0321B}"/>
    <cellStyle name="20% - Accent4 24" xfId="533" xr:uid="{9D172B9A-5BA4-4985-8EDE-B5A1C503193D}"/>
    <cellStyle name="20% - Accent4 25" xfId="534" xr:uid="{555F2B38-8210-4EFE-9537-C1F01D5FAC14}"/>
    <cellStyle name="20% - Accent4 26" xfId="535" xr:uid="{6AA10A86-4FC7-4E8C-879F-1EC091E7AF09}"/>
    <cellStyle name="20% - Accent4 27" xfId="536" xr:uid="{87C8BC77-32E5-4289-A4A8-A5CE3FEE69E7}"/>
    <cellStyle name="20% - Accent4 28" xfId="537" xr:uid="{5E32F8F6-10D5-4E4F-95C9-CA0F09B85DE0}"/>
    <cellStyle name="20% - Accent4 29" xfId="538" xr:uid="{151340B9-2618-49D2-8E25-FB2DDA767768}"/>
    <cellStyle name="20% - Accent4 3" xfId="75" xr:uid="{6B055A1B-0650-45F0-AE5F-C8339E5EC346}"/>
    <cellStyle name="20% - Accent4 3 2" xfId="539" xr:uid="{88B9AFF5-7284-4029-99C6-BB8559CD2044}"/>
    <cellStyle name="20% - Accent4 3 2 2" xfId="4856" xr:uid="{F43A74EB-C16C-4FB5-A51E-7D95F1F8DB17}"/>
    <cellStyle name="20% - Accent4 3 3" xfId="3470" xr:uid="{8FF749A2-6E6E-49C5-B114-2170749BFF39}"/>
    <cellStyle name="20% - Accent4 30" xfId="540" xr:uid="{8206C257-7DEA-480F-B0CE-9967386E1423}"/>
    <cellStyle name="20% - Accent4 31" xfId="541" xr:uid="{BA277784-2160-4430-9C5A-6D99EA8810D1}"/>
    <cellStyle name="20% - Accent4 32" xfId="542" xr:uid="{C8F9957B-3C9A-44E7-87DE-97B310B67C65}"/>
    <cellStyle name="20% - Accent4 33" xfId="543" xr:uid="{3DFDD977-C9B6-4273-BCAA-F2E2825BBB8B}"/>
    <cellStyle name="20% - Accent4 34" xfId="544" xr:uid="{D93B366C-5CC8-4DDF-BD18-7A3FB339ADB7}"/>
    <cellStyle name="20% - Accent4 35" xfId="545" xr:uid="{F224046D-94B6-49DB-9C78-F388EA3A4C92}"/>
    <cellStyle name="20% - Accent4 36" xfId="546" xr:uid="{6FA866B8-C61D-40B2-ACCE-A999DCD85C5C}"/>
    <cellStyle name="20% - Accent4 37" xfId="547" xr:uid="{4F2E0C0F-3398-481B-A207-8ABF11B0E383}"/>
    <cellStyle name="20% - Accent4 38" xfId="548" xr:uid="{E25E612C-0B2E-4A66-950E-D4C7FE43F41F}"/>
    <cellStyle name="20% - Accent4 39" xfId="549" xr:uid="{5000E3E3-253F-4032-BEAC-7BB01C6CD26D}"/>
    <cellStyle name="20% - Accent4 4" xfId="550" xr:uid="{1BF1EAC7-BAB5-4C10-93BB-3AE1CA3EA495}"/>
    <cellStyle name="20% - Accent4 4 2" xfId="3471" xr:uid="{CF935E74-A3D3-4951-8034-D23C5144C9B0}"/>
    <cellStyle name="20% - Accent4 40" xfId="551" xr:uid="{509188C9-A0EB-444F-B275-8256F159025D}"/>
    <cellStyle name="20% - Accent4 41" xfId="552" xr:uid="{71F393F0-4AB5-4D35-8AE2-62BEC33F3EBB}"/>
    <cellStyle name="20% - Accent4 42" xfId="553" xr:uid="{8B8FE3D3-E07B-49DE-8D42-7A0E430C6E17}"/>
    <cellStyle name="20% - Accent4 43" xfId="554" xr:uid="{313F40DB-8CF8-4DE3-AD15-2C1EB846AB28}"/>
    <cellStyle name="20% - Accent4 5" xfId="555" xr:uid="{A2C699FD-4375-404C-80CE-A98DDBCA5B13}"/>
    <cellStyle name="20% - Accent4 5 2" xfId="3472" xr:uid="{80EE9A8F-6E5B-4ABB-A925-4629F93321B5}"/>
    <cellStyle name="20% - Accent4 6" xfId="556" xr:uid="{A11E9307-E6D4-4047-B13B-70DE40DD2242}"/>
    <cellStyle name="20% - Accent4 6 2" xfId="3473" xr:uid="{32EC3ED9-CD64-4468-9651-019C5DCDA472}"/>
    <cellStyle name="20% - Accent4 7" xfId="557" xr:uid="{A21BEF64-75FE-4458-BC7F-E7A24B5DEED1}"/>
    <cellStyle name="20% - Accent4 7 2" xfId="3474" xr:uid="{A53E1D46-3954-4A53-AE2C-646D61DFF5BD}"/>
    <cellStyle name="20% - Accent4 8" xfId="558" xr:uid="{5D424335-6764-4A01-A131-8454E8572680}"/>
    <cellStyle name="20% - Accent4 8 2" xfId="3475" xr:uid="{24B77693-7A9B-46D0-8287-6273B241C1D7}"/>
    <cellStyle name="20% - Accent4 9" xfId="559" xr:uid="{541328F8-86E2-485D-A42D-735BDD7FD8E6}"/>
    <cellStyle name="20% - Accent4 9 2" xfId="4857" xr:uid="{2F4BEDE1-B8B1-4214-9530-D4C22FE7C898}"/>
    <cellStyle name="20% - Accent5" xfId="37" builtinId="46" customBuiltin="1"/>
    <cellStyle name="20% - Accent5 10" xfId="560" xr:uid="{69D99626-B064-4822-BF0A-918353DC7E26}"/>
    <cellStyle name="20% - Accent5 10 2" xfId="4858" xr:uid="{C281EC7A-F83E-46C3-9913-48E8507986C1}"/>
    <cellStyle name="20% - Accent5 11" xfId="561" xr:uid="{46674FFB-DF9B-4D4B-8733-502CAF6F7091}"/>
    <cellStyle name="20% - Accent5 11 2" xfId="4859" xr:uid="{E492C853-41E5-4A7E-BFD9-0895E38559B9}"/>
    <cellStyle name="20% - Accent5 12" xfId="562" xr:uid="{89F3952E-9F33-4E9E-9D70-106C8E4537B2}"/>
    <cellStyle name="20% - Accent5 13" xfId="563" xr:uid="{BE5C4A9A-4B0D-435F-93D6-A75AB5E58D71}"/>
    <cellStyle name="20% - Accent5 14" xfId="564" xr:uid="{EEE4DE93-D874-4A5C-A04E-F4975632429C}"/>
    <cellStyle name="20% - Accent5 15" xfId="565" xr:uid="{782897D9-CCF3-4FB6-99F3-6E5831DE4C3C}"/>
    <cellStyle name="20% - Accent5 16" xfId="566" xr:uid="{12A8CE84-2A69-4555-84D9-B82B2203074C}"/>
    <cellStyle name="20% - Accent5 17" xfId="567" xr:uid="{D76AD8C2-E82F-4E13-9E1D-A5EF895DC766}"/>
    <cellStyle name="20% - Accent5 18" xfId="568" xr:uid="{36057972-6B23-4840-B4BC-3BB643BFED0A}"/>
    <cellStyle name="20% - Accent5 19" xfId="569" xr:uid="{0A68AFDA-7330-4C5E-A547-234ECEC387CA}"/>
    <cellStyle name="20% - Accent5 2" xfId="76" xr:uid="{B52D804E-651B-4565-B1B9-F6B3A9F09582}"/>
    <cellStyle name="20% - Accent5 2 10" xfId="3476" xr:uid="{DDD9CEDB-6965-4791-B334-3370A8BBF932}"/>
    <cellStyle name="20% - Accent5 2 11" xfId="3477" xr:uid="{E69579E5-BCC6-4349-97A3-D87AB28EE4DD}"/>
    <cellStyle name="20% - Accent5 2 12" xfId="3478" xr:uid="{3DF41905-9D02-49C3-914E-F9DBA2D6389E}"/>
    <cellStyle name="20% - Accent5 2 13" xfId="3479" xr:uid="{F936614D-858D-41C2-8915-21A49D2A848E}"/>
    <cellStyle name="20% - Accent5 2 14" xfId="3480" xr:uid="{1C091D95-3D68-430E-B7A7-1BAF6A815E84}"/>
    <cellStyle name="20% - Accent5 2 15" xfId="3481" xr:uid="{3F8F1C1F-67F2-463C-9647-61E2B39FEDF3}"/>
    <cellStyle name="20% - Accent5 2 2" xfId="3482" xr:uid="{A92EBC7C-E7EB-46F4-8837-B38D7A4566E1}"/>
    <cellStyle name="20% - Accent5 2 3" xfId="3483" xr:uid="{1F8CEAAD-C90E-4784-B4C2-BF57DDDEF5E3}"/>
    <cellStyle name="20% - Accent5 2 4" xfId="3484" xr:uid="{F1429483-7423-4A29-A65C-A01C2CBB5646}"/>
    <cellStyle name="20% - Accent5 2 5" xfId="3485" xr:uid="{BEBF2C4D-5ACF-4AED-8396-734E092BC45F}"/>
    <cellStyle name="20% - Accent5 2 6" xfId="3486" xr:uid="{A6CD2B59-BF28-4A09-A223-FC7EFE95155F}"/>
    <cellStyle name="20% - Accent5 2 7" xfId="3487" xr:uid="{D515D9E2-765E-4F63-A535-5ACD7012DEA6}"/>
    <cellStyle name="20% - Accent5 2 8" xfId="3488" xr:uid="{20A22521-E82C-4CC9-9E4E-AA1F55672F73}"/>
    <cellStyle name="20% - Accent5 2 9" xfId="3489" xr:uid="{473123F2-3D5A-498D-A254-71FD92DEE2B1}"/>
    <cellStyle name="20% - Accent5 20" xfId="570" xr:uid="{3F5E11D6-FCF1-4443-A0BE-0B8D997AC104}"/>
    <cellStyle name="20% - Accent5 21" xfId="571" xr:uid="{DB3C046D-F964-4009-8BDE-73B233AA80AC}"/>
    <cellStyle name="20% - Accent5 22" xfId="572" xr:uid="{E0D563C1-0E0D-434C-901F-93420E1681A6}"/>
    <cellStyle name="20% - Accent5 23" xfId="573" xr:uid="{1CF367C8-340D-44D3-AB65-0485FB35F6E4}"/>
    <cellStyle name="20% - Accent5 24" xfId="574" xr:uid="{C73D35A2-FFDE-4C00-9B73-D9C1821B90DF}"/>
    <cellStyle name="20% - Accent5 25" xfId="575" xr:uid="{7FD54BE6-2F2F-4556-B519-970F09BDFC7B}"/>
    <cellStyle name="20% - Accent5 26" xfId="576" xr:uid="{1A85863E-1C3F-4CE1-8D1A-DAFD4024EEBD}"/>
    <cellStyle name="20% - Accent5 27" xfId="577" xr:uid="{F288C737-467C-419A-A2B2-E666F9B20EBC}"/>
    <cellStyle name="20% - Accent5 28" xfId="578" xr:uid="{0CFD7883-5E3B-4DFF-95DC-0A62B7560514}"/>
    <cellStyle name="20% - Accent5 29" xfId="579" xr:uid="{14637720-F724-4743-9462-798C52C96CFC}"/>
    <cellStyle name="20% - Accent5 3" xfId="77" xr:uid="{0A8F2B4D-9C9E-46A5-A65B-C23FA5A53FE2}"/>
    <cellStyle name="20% - Accent5 3 2" xfId="580" xr:uid="{29FFA92E-799F-4903-B72A-7CE29AE18CB2}"/>
    <cellStyle name="20% - Accent5 30" xfId="581" xr:uid="{4836F8A2-39A4-4C2B-AA97-5B25B9CE9917}"/>
    <cellStyle name="20% - Accent5 31" xfId="582" xr:uid="{01CB54B2-F44F-4CE3-A994-9C517C70806B}"/>
    <cellStyle name="20% - Accent5 32" xfId="583" xr:uid="{9D5A5C2E-7884-49BF-ABBA-98380BA7C973}"/>
    <cellStyle name="20% - Accent5 33" xfId="584" xr:uid="{81004C76-04E5-447B-AE93-42F7123431E4}"/>
    <cellStyle name="20% - Accent5 34" xfId="585" xr:uid="{572AA5CA-F510-4A32-A229-A4DC546F7BC7}"/>
    <cellStyle name="20% - Accent5 35" xfId="586" xr:uid="{82A1D06A-0EAC-4EB3-8384-275DB032AA90}"/>
    <cellStyle name="20% - Accent5 36" xfId="587" xr:uid="{0CC2A299-30BC-4A3F-9391-FBB9BE165081}"/>
    <cellStyle name="20% - Accent5 37" xfId="588" xr:uid="{BDDDAE14-74EB-4F8A-9297-A6A13ED1A459}"/>
    <cellStyle name="20% - Accent5 38" xfId="589" xr:uid="{A535EE5D-6F22-4138-BB45-7B2F2253BCBE}"/>
    <cellStyle name="20% - Accent5 39" xfId="590" xr:uid="{923DC9D3-B120-47D8-8EF4-6E0DB32CFB65}"/>
    <cellStyle name="20% - Accent5 4" xfId="591" xr:uid="{4C9A1A40-326B-437B-B339-96957D942580}"/>
    <cellStyle name="20% - Accent5 40" xfId="592" xr:uid="{90162780-A9DC-419C-9274-2EE68ADD74E7}"/>
    <cellStyle name="20% - Accent5 41" xfId="593" xr:uid="{A13A20C7-039A-44C3-AE4E-547F1706B684}"/>
    <cellStyle name="20% - Accent5 42" xfId="594" xr:uid="{8566315E-CF34-48AA-AA6A-F44F7C0B1152}"/>
    <cellStyle name="20% - Accent5 43" xfId="595" xr:uid="{EFECD0ED-816D-47B4-85FD-E81587623D6D}"/>
    <cellStyle name="20% - Accent5 5" xfId="596" xr:uid="{C6EAA1E0-69F4-49D9-AA77-D90ABB44CF1A}"/>
    <cellStyle name="20% - Accent5 6" xfId="597" xr:uid="{57BB49BD-3F7F-4DF4-A981-874E70B9E181}"/>
    <cellStyle name="20% - Accent5 7" xfId="598" xr:uid="{8CB24046-C6D4-465C-AB3A-BF662736950D}"/>
    <cellStyle name="20% - Accent5 8" xfId="599" xr:uid="{786FF18C-0E6C-4C4B-BE49-68FE0AC2033B}"/>
    <cellStyle name="20% - Accent5 9" xfId="600" xr:uid="{90607E7C-64BC-4368-B3F8-585677E057A1}"/>
    <cellStyle name="20% - Accent5 9 2" xfId="4860" xr:uid="{B9BC6FFE-992A-4063-A94F-E9F9B9974CC2}"/>
    <cellStyle name="20% - Accent6" xfId="41" builtinId="50" customBuiltin="1"/>
    <cellStyle name="20% - Accent6 10" xfId="601" xr:uid="{FECA0267-2EED-4738-802C-E1599E8FA0AB}"/>
    <cellStyle name="20% - Accent6 10 2" xfId="4861" xr:uid="{A5F6C6B8-C7BB-44A1-A315-F1B9BC6DDCF5}"/>
    <cellStyle name="20% - Accent6 11" xfId="602" xr:uid="{D6BD4795-064A-46F1-B5DB-CC2C236D516F}"/>
    <cellStyle name="20% - Accent6 11 2" xfId="4862" xr:uid="{7FD415AD-5EAF-49CD-880A-16DB3AB36B1F}"/>
    <cellStyle name="20% - Accent6 12" xfId="603" xr:uid="{A9E7AF9A-D185-4DD1-B5B9-0E9CA4443E26}"/>
    <cellStyle name="20% - Accent6 13" xfId="604" xr:uid="{86BF7717-DE23-4EEA-BFA0-F16B1889DEC4}"/>
    <cellStyle name="20% - Accent6 14" xfId="605" xr:uid="{462544DC-CADF-4B67-B98F-8CC9B8178C09}"/>
    <cellStyle name="20% - Accent6 15" xfId="606" xr:uid="{4012EBAE-B780-4042-8B3F-B7C22477A6DE}"/>
    <cellStyle name="20% - Accent6 16" xfId="607" xr:uid="{3B142BE1-ED22-4FFE-92CA-25BC19D7FC10}"/>
    <cellStyle name="20% - Accent6 17" xfId="608" xr:uid="{59F4DEBB-ED6E-44DF-8610-90EDD8422217}"/>
    <cellStyle name="20% - Accent6 18" xfId="609" xr:uid="{8223F676-F8FC-4A20-AFAE-5AB94B15BB99}"/>
    <cellStyle name="20% - Accent6 19" xfId="610" xr:uid="{9F365B4D-A2D4-4001-AB9B-A80BCA2070B4}"/>
    <cellStyle name="20% - Accent6 2" xfId="78" xr:uid="{B99B8D01-2EC3-4176-9258-09DA3204D61C}"/>
    <cellStyle name="20% - Accent6 2 10" xfId="3490" xr:uid="{A1E5DC59-6411-4692-98D0-B92B1D5060B2}"/>
    <cellStyle name="20% - Accent6 2 11" xfId="3491" xr:uid="{4DDDAA80-4730-447D-97D7-56799A298A2D}"/>
    <cellStyle name="20% - Accent6 2 12" xfId="3492" xr:uid="{0D68B4B2-8FA7-4C7B-A089-6F21A0154D26}"/>
    <cellStyle name="20% - Accent6 2 13" xfId="3493" xr:uid="{B0CD1A71-FA86-423E-8B4B-6492E62CB706}"/>
    <cellStyle name="20% - Accent6 2 14" xfId="3494" xr:uid="{27F0D482-006F-4E48-AAF7-6698314C4C70}"/>
    <cellStyle name="20% - Accent6 2 15" xfId="3495" xr:uid="{79E79EF1-DE01-469E-930D-3130A84E5CE5}"/>
    <cellStyle name="20% - Accent6 2 16" xfId="4863" xr:uid="{ADDCA045-1DA2-4597-A006-F35B499C80DB}"/>
    <cellStyle name="20% - Accent6 2 2" xfId="3496" xr:uid="{E58814FC-554A-4EEF-9CC3-2A701B323D61}"/>
    <cellStyle name="20% - Accent6 2 3" xfId="3497" xr:uid="{803B3416-B1A8-4F1C-826A-57D9F178F72F}"/>
    <cellStyle name="20% - Accent6 2 4" xfId="3498" xr:uid="{33D7A3E8-D84A-4A77-BCBA-D16F90514003}"/>
    <cellStyle name="20% - Accent6 2 5" xfId="3499" xr:uid="{6D9C9172-3F3C-428F-915B-D0A3C8BA216A}"/>
    <cellStyle name="20% - Accent6 2 6" xfId="3500" xr:uid="{F397B0CB-6A9F-4F9C-8FBD-BA73ADDC9BEE}"/>
    <cellStyle name="20% - Accent6 2 7" xfId="3501" xr:uid="{9DD0AA16-6D91-45BA-994C-C62A2422CC8C}"/>
    <cellStyle name="20% - Accent6 2 8" xfId="3502" xr:uid="{07FE7032-6414-428B-982F-F92A8666E224}"/>
    <cellStyle name="20% - Accent6 2 9" xfId="3503" xr:uid="{F79822DA-7BE8-41D4-87A9-FF8AB358B140}"/>
    <cellStyle name="20% - Accent6 20" xfId="611" xr:uid="{49881F03-4B25-40EF-8B84-089AE19FE275}"/>
    <cellStyle name="20% - Accent6 21" xfId="612" xr:uid="{C478B6C3-859A-421D-A40D-66215304B26A}"/>
    <cellStyle name="20% - Accent6 22" xfId="613" xr:uid="{C33CB420-9F81-4CA2-922D-C9B5C359611F}"/>
    <cellStyle name="20% - Accent6 23" xfId="614" xr:uid="{0A432C4F-34A5-47F3-863C-89DFBCB3E0D7}"/>
    <cellStyle name="20% - Accent6 24" xfId="615" xr:uid="{301961CC-AEE1-4D69-83E4-D525D919E598}"/>
    <cellStyle name="20% - Accent6 25" xfId="616" xr:uid="{7E4ADF81-AE43-4F89-9DC4-F5DC95CC41D3}"/>
    <cellStyle name="20% - Accent6 26" xfId="617" xr:uid="{21207D12-AFB1-4DC3-B57F-3773B58C61E6}"/>
    <cellStyle name="20% - Accent6 27" xfId="618" xr:uid="{4398536A-A762-4D11-AE76-AAE5AF9C48FB}"/>
    <cellStyle name="20% - Accent6 28" xfId="619" xr:uid="{1985E52F-DB56-4880-A808-22FD3700124E}"/>
    <cellStyle name="20% - Accent6 29" xfId="620" xr:uid="{2EDA5A3D-BACE-45F4-B79A-9EAD6FE193AC}"/>
    <cellStyle name="20% - Accent6 3" xfId="79" xr:uid="{C7452B41-E3F6-4D55-98A0-D0AD33247583}"/>
    <cellStyle name="20% - Accent6 3 2" xfId="621" xr:uid="{71872308-9AC0-40D9-A305-74CCFB5AC75A}"/>
    <cellStyle name="20% - Accent6 3 2 2" xfId="4864" xr:uid="{AEA00573-9779-45BA-9159-06965D4EF146}"/>
    <cellStyle name="20% - Accent6 3 3" xfId="3504" xr:uid="{E46CF9EB-D602-4A36-A6E7-7EF2F6CC3EAD}"/>
    <cellStyle name="20% - Accent6 30" xfId="622" xr:uid="{E4209889-5194-4F71-99E1-E9EC8166369F}"/>
    <cellStyle name="20% - Accent6 31" xfId="623" xr:uid="{ED82FB7A-B754-416E-8407-D5090D8A7850}"/>
    <cellStyle name="20% - Accent6 32" xfId="624" xr:uid="{6958AA3D-96C3-4CF2-98A4-97A28B524814}"/>
    <cellStyle name="20% - Accent6 33" xfId="625" xr:uid="{DE2AE464-BDE5-43CF-A9C4-8833907CCD76}"/>
    <cellStyle name="20% - Accent6 34" xfId="626" xr:uid="{9EFD7395-F7E1-495C-805C-1369B7978BC6}"/>
    <cellStyle name="20% - Accent6 35" xfId="627" xr:uid="{B0EE4849-66BF-404F-932C-D071D60C4946}"/>
    <cellStyle name="20% - Accent6 36" xfId="628" xr:uid="{61AF4EB5-C27B-4E55-B224-ACF59198C68C}"/>
    <cellStyle name="20% - Accent6 37" xfId="629" xr:uid="{DF156001-9E68-472F-AB5A-66A0886608B2}"/>
    <cellStyle name="20% - Accent6 38" xfId="630" xr:uid="{9B3345B4-1FDC-4C18-B976-92790C06AF43}"/>
    <cellStyle name="20% - Accent6 39" xfId="631" xr:uid="{981A7EB7-10B6-4634-9A82-F4B96F03BD29}"/>
    <cellStyle name="20% - Accent6 4" xfId="632" xr:uid="{5A4F203E-5D91-4F1A-BFA0-1A92E53193C8}"/>
    <cellStyle name="20% - Accent6 4 2" xfId="3505" xr:uid="{26F39948-51CE-4A46-BEC7-D45BE2F8CF69}"/>
    <cellStyle name="20% - Accent6 40" xfId="633" xr:uid="{A8292886-73D2-4016-A86C-D0D37DC7EAD8}"/>
    <cellStyle name="20% - Accent6 41" xfId="634" xr:uid="{89E14656-D15B-4BBE-980B-4A0A51EF56D8}"/>
    <cellStyle name="20% - Accent6 42" xfId="635" xr:uid="{55252888-DC8D-4C0C-B794-51C31B16BF19}"/>
    <cellStyle name="20% - Accent6 43" xfId="636" xr:uid="{40BEEB06-A78E-46DB-B243-23D3478AC95A}"/>
    <cellStyle name="20% - Accent6 44" xfId="637" xr:uid="{A8259A11-0E8D-4B92-9FA1-EF56B8E352B8}"/>
    <cellStyle name="20% - Accent6 44 2" xfId="4865" xr:uid="{FE77244F-EF7E-476A-A394-18842023F1BA}"/>
    <cellStyle name="20% - Accent6 5" xfId="638" xr:uid="{5099B0B8-65D8-4CE9-93B0-BE17DCF189A3}"/>
    <cellStyle name="20% - Accent6 5 2" xfId="3506" xr:uid="{F69B2F00-A3C0-4FB8-B8FD-9C404DBFF5FD}"/>
    <cellStyle name="20% - Accent6 6" xfId="639" xr:uid="{A9B28A0B-66BA-4340-A270-A8D149136946}"/>
    <cellStyle name="20% - Accent6 6 2" xfId="3507" xr:uid="{29496509-DB38-486B-88E5-41982BF45AB5}"/>
    <cellStyle name="20% - Accent6 7" xfId="640" xr:uid="{8CD18C06-891B-422C-BB62-F2FB90A8C7E4}"/>
    <cellStyle name="20% - Accent6 7 2" xfId="3508" xr:uid="{B2710614-C9E6-459D-9A6F-5B7C8299F317}"/>
    <cellStyle name="20% - Accent6 8" xfId="641" xr:uid="{5FAEE8BC-67EA-4FE6-B88A-14E6DCB244CC}"/>
    <cellStyle name="20% - Accent6 8 2" xfId="3509" xr:uid="{8280C945-1270-4032-9764-978D0FA13865}"/>
    <cellStyle name="20% - Accent6 9" xfId="642" xr:uid="{BB46A558-C1FA-4329-A3C3-56234EFB591C}"/>
    <cellStyle name="20% - Accent6 9 2" xfId="4866" xr:uid="{71AC4063-5F40-4632-99B4-6BA1BE3E3422}"/>
    <cellStyle name="20% - Akzent1" xfId="643" xr:uid="{3175BFB9-B7B4-4C2B-8FFE-61911DC464F7}"/>
    <cellStyle name="20% - Akzent2" xfId="644" xr:uid="{A10555B3-391F-4771-A812-22327156ADFC}"/>
    <cellStyle name="20% - Akzent3" xfId="645" xr:uid="{2DCCD36F-CF9F-4A7A-96A1-9D332E281D65}"/>
    <cellStyle name="20% - Akzent4" xfId="646" xr:uid="{009D6314-7D6C-4A8B-A249-AE6E45492F4B}"/>
    <cellStyle name="20% - Akzent5" xfId="647" xr:uid="{334D0822-B385-477E-AFD9-1B94A0D2BD98}"/>
    <cellStyle name="20% - Akzent6" xfId="648" xr:uid="{8DBD6A5E-188E-484D-8F50-0B61A9028B65}"/>
    <cellStyle name="2x indented GHG Textfiels" xfId="649" xr:uid="{9453C0EF-7338-4AB6-93BF-259C41331E18}"/>
    <cellStyle name="40% - Accent1" xfId="22" builtinId="31" customBuiltin="1"/>
    <cellStyle name="40% - Accent1 10" xfId="650" xr:uid="{1F58A063-39F5-4D73-A9FA-CAB5E3E5558F}"/>
    <cellStyle name="40% - Accent1 10 2" xfId="4867" xr:uid="{8D02D318-58A2-4E55-84B7-14E54B164CC0}"/>
    <cellStyle name="40% - Accent1 11" xfId="651" xr:uid="{30C19618-BAB2-4505-83AF-0B27AE96A138}"/>
    <cellStyle name="40% - Accent1 11 2" xfId="4868" xr:uid="{E68F26D5-2D19-495B-97E3-AAEDDFE05BBD}"/>
    <cellStyle name="40% - Accent1 12" xfId="652" xr:uid="{4C67CC7A-4D23-4F10-9B38-E823E66B3C44}"/>
    <cellStyle name="40% - Accent1 13" xfId="653" xr:uid="{8AB30B1D-25AA-4A92-A9B8-DC87092AA2F1}"/>
    <cellStyle name="40% - Accent1 14" xfId="654" xr:uid="{7D14E51D-449A-4BC5-A026-C3D81B1A44B6}"/>
    <cellStyle name="40% - Accent1 15" xfId="655" xr:uid="{FFCA5975-EAB0-4135-8234-57F7A3DFFE13}"/>
    <cellStyle name="40% - Accent1 16" xfId="656" xr:uid="{06DDD9B3-80ED-48FB-9F3A-FE7944E9D84D}"/>
    <cellStyle name="40% - Accent1 17" xfId="657" xr:uid="{D3955ACE-9E51-455B-9E2C-8D556EF0ADD9}"/>
    <cellStyle name="40% - Accent1 18" xfId="658" xr:uid="{FD7EB313-F9A2-43B1-A215-3E615836DE65}"/>
    <cellStyle name="40% - Accent1 19" xfId="659" xr:uid="{00FABA10-15A8-497C-811E-72C0B27955DD}"/>
    <cellStyle name="40% - Accent1 2" xfId="80" xr:uid="{B61B43A8-9A56-49A7-8841-9CDC6B25D95F}"/>
    <cellStyle name="40% - Accent1 2 10" xfId="3510" xr:uid="{86B37BBB-D3BA-46CE-BAB8-8D367915AEB2}"/>
    <cellStyle name="40% - Accent1 2 11" xfId="3511" xr:uid="{94CFA287-DA18-4ED8-9BE9-205B6FF702D6}"/>
    <cellStyle name="40% - Accent1 2 12" xfId="3512" xr:uid="{D36F5F21-0CCB-4304-A592-2E5FF4773141}"/>
    <cellStyle name="40% - Accent1 2 13" xfId="3513" xr:uid="{922A1D29-5C3D-4F33-A54D-205CC8E12CB3}"/>
    <cellStyle name="40% - Accent1 2 14" xfId="3514" xr:uid="{84BC3B57-81A1-4C28-9203-26D70EB72976}"/>
    <cellStyle name="40% - Accent1 2 15" xfId="3515" xr:uid="{0460663F-26C8-4A72-811A-8344006F6507}"/>
    <cellStyle name="40% - Accent1 2 16" xfId="4869" xr:uid="{A10C8A81-F8C5-4A34-B22A-8A90C074AB60}"/>
    <cellStyle name="40% - Accent1 2 2" xfId="3516" xr:uid="{367932C0-A330-4A90-B1B5-E1CF3946E500}"/>
    <cellStyle name="40% - Accent1 2 3" xfId="3517" xr:uid="{5AD057B4-63AF-4EC5-80D7-482AC5A21E27}"/>
    <cellStyle name="40% - Accent1 2 4" xfId="3518" xr:uid="{6351469D-C856-4940-886F-397D0B9929BF}"/>
    <cellStyle name="40% - Accent1 2 5" xfId="3519" xr:uid="{C0D3A79E-C592-4602-9EC0-C6A94B33E20B}"/>
    <cellStyle name="40% - Accent1 2 6" xfId="3520" xr:uid="{C7FC8B4C-4B97-4E9B-B32B-7A4F99F781D2}"/>
    <cellStyle name="40% - Accent1 2 7" xfId="3521" xr:uid="{237F1AA6-0315-400C-8015-2A262748DE05}"/>
    <cellStyle name="40% - Accent1 2 8" xfId="3522" xr:uid="{56B4D72D-5225-4951-86DC-377EC3D68FBE}"/>
    <cellStyle name="40% - Accent1 2 9" xfId="3523" xr:uid="{96A523CE-C62D-45C5-B252-6D0CD8FB4D30}"/>
    <cellStyle name="40% - Accent1 20" xfId="660" xr:uid="{51891FBD-5F03-478B-842D-9080FAEBF7CF}"/>
    <cellStyle name="40% - Accent1 21" xfId="661" xr:uid="{F6FD82EF-EE29-48C5-9ADF-C91F784DC2C3}"/>
    <cellStyle name="40% - Accent1 22" xfId="662" xr:uid="{2844D3B6-8C5F-4D73-A207-A42ABC936574}"/>
    <cellStyle name="40% - Accent1 23" xfId="663" xr:uid="{2B6F57B1-D061-45CC-AF67-7623C777B749}"/>
    <cellStyle name="40% - Accent1 24" xfId="664" xr:uid="{6BE6642E-0C18-4C98-A70D-E87604B968C2}"/>
    <cellStyle name="40% - Accent1 25" xfId="665" xr:uid="{D265C341-3AE2-404C-819E-324D36B7816E}"/>
    <cellStyle name="40% - Accent1 26" xfId="666" xr:uid="{EB262304-5176-4E54-BB86-372BBCA6AF28}"/>
    <cellStyle name="40% - Accent1 27" xfId="667" xr:uid="{E3C325FB-3371-4445-A5CC-D22640ECED9E}"/>
    <cellStyle name="40% - Accent1 28" xfId="668" xr:uid="{41498E19-6AB5-4AF3-92FC-CFAC92AEF6A5}"/>
    <cellStyle name="40% - Accent1 29" xfId="669" xr:uid="{313259BB-A3F3-40C4-A646-C47A0257F7F0}"/>
    <cellStyle name="40% - Accent1 3" xfId="81" xr:uid="{16FD29C3-2BC6-4EB9-9FEC-1198FFE9FA86}"/>
    <cellStyle name="40% - Accent1 3 2" xfId="670" xr:uid="{69B73204-707F-4757-A033-A270DA7211A9}"/>
    <cellStyle name="40% - Accent1 3 2 2" xfId="4870" xr:uid="{6501DB39-C8EE-477F-A26F-BBAB526FA441}"/>
    <cellStyle name="40% - Accent1 3 3" xfId="3524" xr:uid="{077C05E0-6751-46C3-98B6-5B893912B8C0}"/>
    <cellStyle name="40% - Accent1 30" xfId="671" xr:uid="{B2BF2A2C-956E-43E1-99F7-3D60F01D2B94}"/>
    <cellStyle name="40% - Accent1 31" xfId="672" xr:uid="{23FD5DCD-9E7F-45C2-81AC-C2E3031AE08E}"/>
    <cellStyle name="40% - Accent1 32" xfId="673" xr:uid="{22CB48EC-5ABB-4C71-B1C8-CCABC3D09342}"/>
    <cellStyle name="40% - Accent1 33" xfId="674" xr:uid="{CC8B6D65-3035-4854-897B-59A184007AB7}"/>
    <cellStyle name="40% - Accent1 34" xfId="675" xr:uid="{6FF9D58F-C0DC-40BA-9560-BFA202225E0A}"/>
    <cellStyle name="40% - Accent1 35" xfId="676" xr:uid="{C8C4BACF-FDEE-4641-80CA-21F52706648C}"/>
    <cellStyle name="40% - Accent1 36" xfId="677" xr:uid="{248F56F8-38C1-4AC0-9747-24A4A07BC155}"/>
    <cellStyle name="40% - Accent1 37" xfId="678" xr:uid="{E65DE7EE-1878-496B-9D4F-DF03A9B8EE44}"/>
    <cellStyle name="40% - Accent1 38" xfId="679" xr:uid="{E09085E8-D4AA-4531-B4BF-23EFFAA8C8C2}"/>
    <cellStyle name="40% - Accent1 39" xfId="680" xr:uid="{8F1DDAF8-AEB7-476C-901C-43785EB14A0E}"/>
    <cellStyle name="40% - Accent1 4" xfId="681" xr:uid="{34652FFA-DEF7-4B19-B233-884AD012D76E}"/>
    <cellStyle name="40% - Accent1 4 2" xfId="3525" xr:uid="{B2604B94-CF29-4F41-AAF0-4BCD461B6BB0}"/>
    <cellStyle name="40% - Accent1 40" xfId="682" xr:uid="{C54CBD29-8AC1-48A8-94AF-6CC9A9480822}"/>
    <cellStyle name="40% - Accent1 41" xfId="683" xr:uid="{3F7604A5-0EBA-4126-91F2-759272C0BD70}"/>
    <cellStyle name="40% - Accent1 42" xfId="684" xr:uid="{881B971F-448E-4DAE-BF68-D46E68BA3C52}"/>
    <cellStyle name="40% - Accent1 43" xfId="685" xr:uid="{1F01B269-A53B-4D18-8118-D42A77EA091C}"/>
    <cellStyle name="40% - Accent1 5" xfId="686" xr:uid="{4DA03D2D-02B7-4802-961F-32478188CEA3}"/>
    <cellStyle name="40% - Accent1 5 2" xfId="3526" xr:uid="{93C9AA9E-E5C2-4CB9-9259-09EA8CF6D461}"/>
    <cellStyle name="40% - Accent1 6" xfId="687" xr:uid="{6972AAC3-C3AC-488C-A132-1174487DE69C}"/>
    <cellStyle name="40% - Accent1 6 2" xfId="3527" xr:uid="{A5E12DAB-66EA-49BC-AE58-82897E2211F0}"/>
    <cellStyle name="40% - Accent1 7" xfId="688" xr:uid="{836E8C08-724B-4F23-ACFA-CC6B2916BEB8}"/>
    <cellStyle name="40% - Accent1 7 2" xfId="3528" xr:uid="{1C92A9F7-D97A-46C1-8AF2-534B8E8DB25F}"/>
    <cellStyle name="40% - Accent1 8" xfId="689" xr:uid="{BF4BB6C3-53DA-4D54-A5BC-04C600501CC7}"/>
    <cellStyle name="40% - Accent1 8 2" xfId="3529" xr:uid="{E04A6D2C-E29B-4498-9A98-780EA170658D}"/>
    <cellStyle name="40% - Accent1 9" xfId="690" xr:uid="{17ED8039-00BC-4904-B701-4DD702E4AF20}"/>
    <cellStyle name="40% - Accent1 9 2" xfId="4871" xr:uid="{6E19C3F3-4BAB-4E2D-9225-589ABBB6F1AC}"/>
    <cellStyle name="40% - Accent2" xfId="26" builtinId="35" customBuiltin="1"/>
    <cellStyle name="40% - Accent2 10" xfId="691" xr:uid="{C36F49DD-BDF9-485E-9E0D-922E31D0484C}"/>
    <cellStyle name="40% - Accent2 10 2" xfId="4872" xr:uid="{B1AEAAD8-F84B-4CA7-A9A3-DA5BDB2B9471}"/>
    <cellStyle name="40% - Accent2 11" xfId="692" xr:uid="{1043CFEB-AB26-461A-AE65-A80AF047C31E}"/>
    <cellStyle name="40% - Accent2 11 2" xfId="4873" xr:uid="{827ACE23-E555-4C84-B505-699462038EA4}"/>
    <cellStyle name="40% - Accent2 12" xfId="693" xr:uid="{0A397EDD-4893-44A2-B4A2-33A7FF5014D6}"/>
    <cellStyle name="40% - Accent2 13" xfId="694" xr:uid="{6E315DC2-E279-4E63-8A6D-D7F3519236EB}"/>
    <cellStyle name="40% - Accent2 14" xfId="695" xr:uid="{CD81F170-B16A-424A-96EA-D8D1376F4B04}"/>
    <cellStyle name="40% - Accent2 15" xfId="696" xr:uid="{A7B07051-78DD-44F9-A84A-497E3C86F7D7}"/>
    <cellStyle name="40% - Accent2 16" xfId="697" xr:uid="{9087D8D1-A5F6-4FF1-AAF5-E67D0661A69D}"/>
    <cellStyle name="40% - Accent2 17" xfId="698" xr:uid="{2C0F43D9-A0DB-4B8C-93A5-70925CAECD80}"/>
    <cellStyle name="40% - Accent2 18" xfId="699" xr:uid="{3F7393C9-C7B0-4B0F-8982-01E0A1517C60}"/>
    <cellStyle name="40% - Accent2 19" xfId="700" xr:uid="{73BA541C-1E6F-4B87-A8AE-294EB1F8FABB}"/>
    <cellStyle name="40% - Accent2 2" xfId="82" xr:uid="{BFB5855C-123E-48BE-B13C-36DD40200D13}"/>
    <cellStyle name="40% - Accent2 2 10" xfId="3530" xr:uid="{4C2508C0-009D-46C2-9B15-C17B70AFDDB5}"/>
    <cellStyle name="40% - Accent2 2 11" xfId="3531" xr:uid="{AA06E44F-9E5B-47AA-9C1A-2F61B4491BCA}"/>
    <cellStyle name="40% - Accent2 2 12" xfId="3532" xr:uid="{A8BAB148-C7C3-4E88-9BA1-C3346D5FFC6C}"/>
    <cellStyle name="40% - Accent2 2 13" xfId="3533" xr:uid="{E7725EFA-21B2-49C2-BA64-6943944DBC9D}"/>
    <cellStyle name="40% - Accent2 2 14" xfId="3534" xr:uid="{0FBD9B4C-CED4-4B10-AE0D-CD4C92BB4E45}"/>
    <cellStyle name="40% - Accent2 2 15" xfId="3535" xr:uid="{2BC8EC8E-6453-493B-85A0-102342CD2D58}"/>
    <cellStyle name="40% - Accent2 2 2" xfId="3536" xr:uid="{98663F3E-AA95-43BF-9364-B67001DAFB73}"/>
    <cellStyle name="40% - Accent2 2 2 2" xfId="22567" xr:uid="{064634C6-C65B-4448-8C8A-7F7C69FF477B}"/>
    <cellStyle name="40% - Accent2 2 2 3" xfId="22516" xr:uid="{A34F03E5-3E6C-47F8-ADEA-FD327BA27304}"/>
    <cellStyle name="40% - Accent2 2 3" xfId="3537" xr:uid="{53EFC12C-9306-40BA-A7CA-BFD809C1E17C}"/>
    <cellStyle name="40% - Accent2 2 4" xfId="3538" xr:uid="{8A8DF586-1154-47BB-831B-459B11818BD6}"/>
    <cellStyle name="40% - Accent2 2 5" xfId="3539" xr:uid="{67A5DBD8-9A9E-4FD0-9258-5D167A401EF7}"/>
    <cellStyle name="40% - Accent2 2 6" xfId="3540" xr:uid="{B8409C2F-FCFC-472F-8BBF-12D8FFA8F744}"/>
    <cellStyle name="40% - Accent2 2 7" xfId="3541" xr:uid="{C7A9B989-5945-4C60-8A10-28152B247ACE}"/>
    <cellStyle name="40% - Accent2 2 8" xfId="3542" xr:uid="{E5F14639-3D26-48AE-8A19-32256E5E3769}"/>
    <cellStyle name="40% - Accent2 2 9" xfId="3543" xr:uid="{98E273C8-129F-4FA3-950A-817900249205}"/>
    <cellStyle name="40% - Accent2 20" xfId="701" xr:uid="{096D25BF-A72C-47D0-A3B1-2FF274947447}"/>
    <cellStyle name="40% - Accent2 21" xfId="702" xr:uid="{82505F62-AEA8-414B-B7F7-667929CC786D}"/>
    <cellStyle name="40% - Accent2 22" xfId="703" xr:uid="{DB84B1F2-4410-4B5A-B55A-C41EC098DD8C}"/>
    <cellStyle name="40% - Accent2 23" xfId="704" xr:uid="{E96E7665-5E4C-4EE2-BE4B-ABB5DCF91189}"/>
    <cellStyle name="40% - Accent2 24" xfId="705" xr:uid="{AA020C25-CE6D-49AD-A9FA-3AC58EB0A083}"/>
    <cellStyle name="40% - Accent2 25" xfId="706" xr:uid="{D75C0F39-C00B-4F7D-BE45-E420718B343A}"/>
    <cellStyle name="40% - Accent2 26" xfId="707" xr:uid="{96086685-8312-4AB0-A6B8-BB8DFD217323}"/>
    <cellStyle name="40% - Accent2 27" xfId="708" xr:uid="{B6785FDE-DB0E-43AA-85D7-2C54D7004B28}"/>
    <cellStyle name="40% - Accent2 28" xfId="709" xr:uid="{3CAE48FD-07DC-4432-B21D-82B46B56869D}"/>
    <cellStyle name="40% - Accent2 29" xfId="710" xr:uid="{651472C3-441A-4A3B-BE41-37D9233F99FB}"/>
    <cellStyle name="40% - Accent2 3" xfId="83" xr:uid="{4E2A2991-701A-420F-ACBA-F156F028A426}"/>
    <cellStyle name="40% - Accent2 3 2" xfId="711" xr:uid="{EB0C3D5B-8172-430D-B0F1-BC4B63CB61D2}"/>
    <cellStyle name="40% - Accent2 30" xfId="712" xr:uid="{0C23F799-4BD3-4C91-836E-F0BB0EBD3176}"/>
    <cellStyle name="40% - Accent2 31" xfId="713" xr:uid="{DEB8091E-373E-4B2D-85DE-6E9C4219D6A8}"/>
    <cellStyle name="40% - Accent2 32" xfId="714" xr:uid="{FE80391B-DB51-40DA-9ABA-0F189056592D}"/>
    <cellStyle name="40% - Accent2 33" xfId="715" xr:uid="{6F8E8DE5-879D-48E9-83B0-76C51E438482}"/>
    <cellStyle name="40% - Accent2 34" xfId="716" xr:uid="{79AB849E-AB6C-403B-8B2D-C73E4A989512}"/>
    <cellStyle name="40% - Accent2 35" xfId="717" xr:uid="{7C20CD41-02D6-4269-B734-4223083174D8}"/>
    <cellStyle name="40% - Accent2 36" xfId="718" xr:uid="{F1B2319F-BC7F-4BC5-95B7-55A3DD4FC327}"/>
    <cellStyle name="40% - Accent2 37" xfId="719" xr:uid="{263E0A97-729A-49C0-96D1-2B81FF068726}"/>
    <cellStyle name="40% - Accent2 38" xfId="720" xr:uid="{2303FEEE-9D74-44F8-BF9E-16CA648E3E04}"/>
    <cellStyle name="40% - Accent2 39" xfId="721" xr:uid="{C9B9889A-0DEB-47C5-816C-AAA9FB4EF284}"/>
    <cellStyle name="40% - Accent2 4" xfId="722" xr:uid="{2D8A45B2-C6AB-4346-BCCB-EDB3B3FCB93A}"/>
    <cellStyle name="40% - Accent2 40" xfId="723" xr:uid="{5D3D7AA0-0549-4C7D-9F06-1403FE9BC832}"/>
    <cellStyle name="40% - Accent2 41" xfId="724" xr:uid="{F5F6DECD-7BB1-42E5-BC45-AA9E894D735C}"/>
    <cellStyle name="40% - Accent2 42" xfId="725" xr:uid="{91EBDEA0-6FDC-44FE-839A-93D9AC608BD9}"/>
    <cellStyle name="40% - Accent2 43" xfId="726" xr:uid="{54EA17C7-71ED-4808-912B-A393457D213E}"/>
    <cellStyle name="40% - Accent2 5" xfId="727" xr:uid="{9EB4AE4D-7247-44E9-921E-74656519A0EC}"/>
    <cellStyle name="40% - Accent2 6" xfId="728" xr:uid="{949E77E5-EF24-4005-A1DD-6BA26274B073}"/>
    <cellStyle name="40% - Accent2 7" xfId="729" xr:uid="{DD9C5633-29AB-40F9-B06B-E39A15FF3C74}"/>
    <cellStyle name="40% - Accent2 8" xfId="730" xr:uid="{701FB9A2-6CA6-4A87-861D-E1C1FEB46777}"/>
    <cellStyle name="40% - Accent2 9" xfId="731" xr:uid="{5D1A39FE-4C4C-4FAF-AA3B-49467C293A04}"/>
    <cellStyle name="40% - Accent2 9 2" xfId="4874" xr:uid="{BA090E17-3863-482C-8A9E-FE9DF26FAD91}"/>
    <cellStyle name="40% - Accent3" xfId="30" builtinId="39" customBuiltin="1"/>
    <cellStyle name="40% - Accent3 10" xfId="732" xr:uid="{FE346640-9A96-4806-9C7D-3EBB2FC922D6}"/>
    <cellStyle name="40% - Accent3 10 2" xfId="4875" xr:uid="{34CBEEBD-CE81-4845-A94F-EABEBC4729E7}"/>
    <cellStyle name="40% - Accent3 11" xfId="733" xr:uid="{F7F4F3F4-3599-4294-B0F4-41FF2E0F8C68}"/>
    <cellStyle name="40% - Accent3 11 2" xfId="4876" xr:uid="{59387C1E-87FD-41C9-AE12-EE61A03B2490}"/>
    <cellStyle name="40% - Accent3 12" xfId="734" xr:uid="{16B55D70-D063-4C01-B7ED-EBE9F1F59D21}"/>
    <cellStyle name="40% - Accent3 13" xfId="735" xr:uid="{9EB015AF-B750-427A-8D6B-2C76EA8825DC}"/>
    <cellStyle name="40% - Accent3 14" xfId="736" xr:uid="{FC3065DF-8884-409A-AB7D-1A2435254227}"/>
    <cellStyle name="40% - Accent3 15" xfId="737" xr:uid="{AAC5AF3F-C25A-435C-9524-A5862828B632}"/>
    <cellStyle name="40% - Accent3 16" xfId="738" xr:uid="{9D4AB63D-A031-483C-9DAF-3EDEF436BC78}"/>
    <cellStyle name="40% - Accent3 17" xfId="739" xr:uid="{B84B1336-A298-4A92-AD07-552D9B975F8C}"/>
    <cellStyle name="40% - Accent3 18" xfId="740" xr:uid="{85AF8B87-2132-49CE-BBC7-096CAF6D33E9}"/>
    <cellStyle name="40% - Accent3 19" xfId="741" xr:uid="{C69279D1-89AC-46F2-85A5-2BB08FE3481A}"/>
    <cellStyle name="40% - Accent3 2" xfId="84" xr:uid="{939B929C-9BC9-4ACD-AF0E-E8C01EE9CE95}"/>
    <cellStyle name="40% - Accent3 2 10" xfId="3544" xr:uid="{7B3F3233-CBDB-413F-8029-90BA9FDE8D79}"/>
    <cellStyle name="40% - Accent3 2 11" xfId="3545" xr:uid="{E04A9DC4-050D-4EB5-B36E-8C9941C56B7D}"/>
    <cellStyle name="40% - Accent3 2 12" xfId="3546" xr:uid="{B6918ECA-957F-4A3F-A6FD-2F2C2214E382}"/>
    <cellStyle name="40% - Accent3 2 13" xfId="3547" xr:uid="{5D412FF5-E392-4EB4-9D4F-12C89EE8AA47}"/>
    <cellStyle name="40% - Accent3 2 14" xfId="3548" xr:uid="{5E723D9A-FBE4-45A9-A471-5927196440D5}"/>
    <cellStyle name="40% - Accent3 2 15" xfId="3549" xr:uid="{7C3D1F4E-72B0-4129-8FA0-8FB2D7AB89E1}"/>
    <cellStyle name="40% - Accent3 2 16" xfId="4877" xr:uid="{FD170FE8-7892-4357-BD9C-2FC0076F208C}"/>
    <cellStyle name="40% - Accent3 2 2" xfId="3550" xr:uid="{E0F0E0B1-8435-45DC-A5C0-F64A36455323}"/>
    <cellStyle name="40% - Accent3 2 3" xfId="3551" xr:uid="{BAFF6637-6AC0-4E5B-8F44-905A3D4D49E3}"/>
    <cellStyle name="40% - Accent3 2 4" xfId="3552" xr:uid="{AF7DECC1-D2C8-481A-8346-A2EB66E86128}"/>
    <cellStyle name="40% - Accent3 2 5" xfId="3553" xr:uid="{89EC6A45-4525-4E33-835C-3B174C4AF81A}"/>
    <cellStyle name="40% - Accent3 2 6" xfId="3554" xr:uid="{0CB27F38-2EFB-434B-82D5-2A9E536BB41F}"/>
    <cellStyle name="40% - Accent3 2 7" xfId="3555" xr:uid="{6FA5B960-C608-47CF-977B-ABC133D77870}"/>
    <cellStyle name="40% - Accent3 2 8" xfId="3556" xr:uid="{F6758F12-1077-4F03-BC64-866476A5CC0C}"/>
    <cellStyle name="40% - Accent3 2 9" xfId="3557" xr:uid="{D9D325AB-03B8-40D4-8567-98BD2BF66D29}"/>
    <cellStyle name="40% - Accent3 20" xfId="742" xr:uid="{A2A708A6-3AE1-4C2B-85BF-1F2A44A4FD36}"/>
    <cellStyle name="40% - Accent3 21" xfId="743" xr:uid="{D4B35590-D0F6-4EBD-AA01-E44CF8CFEC2E}"/>
    <cellStyle name="40% - Accent3 22" xfId="744" xr:uid="{8FD2A84A-0762-48BC-844D-676FB8FD3274}"/>
    <cellStyle name="40% - Accent3 23" xfId="745" xr:uid="{40E75E1C-86DB-43EC-B840-FD22353BD06C}"/>
    <cellStyle name="40% - Accent3 24" xfId="746" xr:uid="{7EC2E83D-0306-4DC7-8D2B-A74EE5D382EC}"/>
    <cellStyle name="40% - Accent3 25" xfId="747" xr:uid="{A48B582B-CF28-443F-A705-7795E188C7FC}"/>
    <cellStyle name="40% - Accent3 26" xfId="748" xr:uid="{4EFC4DC4-98A8-44FD-962E-354A7AAE1BF8}"/>
    <cellStyle name="40% - Accent3 27" xfId="749" xr:uid="{098BF3B8-23E6-4462-A8C5-AF9BF7EE348A}"/>
    <cellStyle name="40% - Accent3 28" xfId="750" xr:uid="{C9F02F3E-8B56-495C-A9CE-297736AD7E48}"/>
    <cellStyle name="40% - Accent3 29" xfId="751" xr:uid="{8CD85211-5EE6-462B-BEEE-A12E34215849}"/>
    <cellStyle name="40% - Accent3 3" xfId="85" xr:uid="{5EC08B23-A34E-4C27-B445-79047BF2C17D}"/>
    <cellStyle name="40% - Accent3 3 2" xfId="752" xr:uid="{E5563248-0A1F-4C63-BF85-A7E0FCC39F35}"/>
    <cellStyle name="40% - Accent3 3 2 2" xfId="4878" xr:uid="{ABE9EF68-BDDD-407E-8F3F-35A6CA257FB1}"/>
    <cellStyle name="40% - Accent3 3 3" xfId="3558" xr:uid="{AF9E0DD8-F964-4412-8167-9E97BF847AB1}"/>
    <cellStyle name="40% - Accent3 30" xfId="753" xr:uid="{29CDAAE9-4E8B-4D83-84AD-40808E569C1B}"/>
    <cellStyle name="40% - Accent3 31" xfId="754" xr:uid="{E5096370-30C0-4D6D-B274-094821BE5532}"/>
    <cellStyle name="40% - Accent3 32" xfId="755" xr:uid="{374A64D4-6581-40EA-A696-47C12DDF1A04}"/>
    <cellStyle name="40% - Accent3 33" xfId="756" xr:uid="{01DB6FB4-F222-4CE8-A395-0659640074A0}"/>
    <cellStyle name="40% - Accent3 34" xfId="757" xr:uid="{4A793B57-DFFE-4274-8C4A-F165F53F87D0}"/>
    <cellStyle name="40% - Accent3 35" xfId="758" xr:uid="{CA10A6A4-1F82-4DE9-BE11-A9CB9F5A1517}"/>
    <cellStyle name="40% - Accent3 36" xfId="759" xr:uid="{0FF6CE64-98BE-4430-BEB5-255F5F090088}"/>
    <cellStyle name="40% - Accent3 37" xfId="760" xr:uid="{EF0A8449-72C6-4E0B-BA07-B19B837D68B1}"/>
    <cellStyle name="40% - Accent3 38" xfId="761" xr:uid="{A23D1E8A-68F4-4943-A3BB-F7DA9F353BA8}"/>
    <cellStyle name="40% - Accent3 39" xfId="762" xr:uid="{6A7B69D1-365C-4BFC-9BD3-A3936E8977DB}"/>
    <cellStyle name="40% - Accent3 4" xfId="763" xr:uid="{A97228E2-3EA5-4CF7-BC7B-A8E1E109F581}"/>
    <cellStyle name="40% - Accent3 4 2" xfId="3559" xr:uid="{E0171B43-D18B-4B66-8747-4D2720585752}"/>
    <cellStyle name="40% - Accent3 40" xfId="764" xr:uid="{BFAA0CE3-D9F6-4A26-BFDC-A4AA90B06BC9}"/>
    <cellStyle name="40% - Accent3 41" xfId="765" xr:uid="{AA8CD9A0-4843-4BFD-B475-9EA8EAEAE120}"/>
    <cellStyle name="40% - Accent3 42" xfId="766" xr:uid="{39826182-11D8-481A-8110-20C4F8E02983}"/>
    <cellStyle name="40% - Accent3 43" xfId="767" xr:uid="{10C17E39-FBDF-40BC-9E94-8664BC962E5F}"/>
    <cellStyle name="40% - Accent3 5" xfId="768" xr:uid="{030E605E-1C2A-4445-B086-90C551996EE5}"/>
    <cellStyle name="40% - Accent3 5 2" xfId="3560" xr:uid="{C33A063F-AF7A-45D6-AE9D-BBE439AA1069}"/>
    <cellStyle name="40% - Accent3 6" xfId="769" xr:uid="{C7F23D66-548B-4DF3-9E63-EBD7BE749958}"/>
    <cellStyle name="40% - Accent3 6 2" xfId="3561" xr:uid="{0BE36900-5C8C-4AF6-9DF4-8D11A895082D}"/>
    <cellStyle name="40% - Accent3 7" xfId="770" xr:uid="{E95358D0-8BA3-4698-8CF5-E5683FA1EE4E}"/>
    <cellStyle name="40% - Accent3 7 2" xfId="3562" xr:uid="{9C7189C7-7FE7-426B-BBFD-D58E0D435019}"/>
    <cellStyle name="40% - Accent3 8" xfId="771" xr:uid="{A3DF7489-666E-4BE3-A278-D64C8E36C249}"/>
    <cellStyle name="40% - Accent3 8 2" xfId="3563" xr:uid="{10551C5F-750F-48D9-AA0D-551D87201BCE}"/>
    <cellStyle name="40% - Accent3 9" xfId="772" xr:uid="{D441C761-F894-4D81-AA24-7E5DC1005227}"/>
    <cellStyle name="40% - Accent3 9 2" xfId="4879" xr:uid="{8AFA938E-A769-4E7E-93FC-26A7036A2224}"/>
    <cellStyle name="40% - Accent4" xfId="34" builtinId="43" customBuiltin="1"/>
    <cellStyle name="40% - Accent4 10" xfId="773" xr:uid="{413734CD-6595-4125-947D-9A706EE53F44}"/>
    <cellStyle name="40% - Accent4 10 2" xfId="4880" xr:uid="{F54ED5D8-F97F-4019-A444-3DDFCB374FF4}"/>
    <cellStyle name="40% - Accent4 11" xfId="774" xr:uid="{56A77D94-6499-4250-923C-0D2745E5BEF2}"/>
    <cellStyle name="40% - Accent4 11 2" xfId="4881" xr:uid="{7499A3B1-1B74-4F76-B062-E05B1365839C}"/>
    <cellStyle name="40% - Accent4 12" xfId="775" xr:uid="{E38FA576-0B77-4951-A0D6-DC41A00215D1}"/>
    <cellStyle name="40% - Accent4 13" xfId="776" xr:uid="{91ECC3AE-BBC9-45FA-9FEB-DD4BA64A4479}"/>
    <cellStyle name="40% - Accent4 14" xfId="777" xr:uid="{2D12A7E8-C523-4015-B9AD-C633B184C01C}"/>
    <cellStyle name="40% - Accent4 15" xfId="778" xr:uid="{FE1738E1-2630-4F12-AC20-62F9386D157C}"/>
    <cellStyle name="40% - Accent4 16" xfId="779" xr:uid="{1B784BAD-4C54-4ABF-AE18-DEED0094AE5D}"/>
    <cellStyle name="40% - Accent4 17" xfId="780" xr:uid="{8410CA33-B722-40D9-9227-AD5372DAF9FA}"/>
    <cellStyle name="40% - Accent4 18" xfId="781" xr:uid="{75838418-D514-466F-8ABE-F6769D6BD29F}"/>
    <cellStyle name="40% - Accent4 19" xfId="782" xr:uid="{B2A84FDC-69B2-42D9-B217-81F9E207067C}"/>
    <cellStyle name="40% - Accent4 2" xfId="86" xr:uid="{7208C57D-AF49-47C7-A83B-DA80FFE57915}"/>
    <cellStyle name="40% - Accent4 2 10" xfId="3564" xr:uid="{DF3C9F62-FB74-4818-A73B-F0AA6A2C71E2}"/>
    <cellStyle name="40% - Accent4 2 11" xfId="3565" xr:uid="{322685EC-A5F0-4AE2-B7DA-D7820F615615}"/>
    <cellStyle name="40% - Accent4 2 12" xfId="3566" xr:uid="{2CF81065-9CC9-49D2-A882-065D62E0E9BF}"/>
    <cellStyle name="40% - Accent4 2 13" xfId="3567" xr:uid="{6F7CAC30-5D5D-4A03-908A-3A28FCAF3222}"/>
    <cellStyle name="40% - Accent4 2 14" xfId="3568" xr:uid="{FA6A8D44-0389-4662-89C5-9605DE3303C8}"/>
    <cellStyle name="40% - Accent4 2 15" xfId="3569" xr:uid="{38C80110-6170-4460-9897-391001CFD3B3}"/>
    <cellStyle name="40% - Accent4 2 16" xfId="4882" xr:uid="{13E84EBA-3C70-4FC0-AE54-7E0BE3DF4CFC}"/>
    <cellStyle name="40% - Accent4 2 2" xfId="3570" xr:uid="{A9F53AD6-4DC9-4B80-AAF4-053D68F0234B}"/>
    <cellStyle name="40% - Accent4 2 3" xfId="3571" xr:uid="{5BCC1C62-ABDA-4273-B84A-ECB6519842E5}"/>
    <cellStyle name="40% - Accent4 2 4" xfId="3572" xr:uid="{74041A35-FE38-4E72-8A24-B73CE2B57D04}"/>
    <cellStyle name="40% - Accent4 2 5" xfId="3573" xr:uid="{66C2D26E-1085-4307-A66F-FD14B31DF1D4}"/>
    <cellStyle name="40% - Accent4 2 6" xfId="3574" xr:uid="{B6F8E75A-4199-4D86-A727-98721D5D9846}"/>
    <cellStyle name="40% - Accent4 2 7" xfId="3575" xr:uid="{1664EEF4-4F6A-48A7-A09B-E1AD98DBAC36}"/>
    <cellStyle name="40% - Accent4 2 8" xfId="3576" xr:uid="{F4367319-8214-4356-8A51-E23A97CE6CAA}"/>
    <cellStyle name="40% - Accent4 2 9" xfId="3577" xr:uid="{6461F0FD-7132-4A71-BC49-273A2F82A54B}"/>
    <cellStyle name="40% - Accent4 20" xfId="783" xr:uid="{30C1A166-09DB-4C6C-A1AF-A77DD93EC54F}"/>
    <cellStyle name="40% - Accent4 21" xfId="784" xr:uid="{C41D0A9C-0FBE-46D0-B40B-8C5931E8BF53}"/>
    <cellStyle name="40% - Accent4 22" xfId="785" xr:uid="{D32C1481-4E2C-4189-BF63-A05D955E763B}"/>
    <cellStyle name="40% - Accent4 23" xfId="786" xr:uid="{B2ECC177-AB1B-4751-AD62-E1FDE2065C48}"/>
    <cellStyle name="40% - Accent4 24" xfId="787" xr:uid="{5020D1D4-EDEE-46A8-9FBC-68D40ED8D0A5}"/>
    <cellStyle name="40% - Accent4 25" xfId="788" xr:uid="{A869B8EE-DA70-4056-ABFB-B5EF17EED8DC}"/>
    <cellStyle name="40% - Accent4 26" xfId="789" xr:uid="{E904B53D-1E81-4BD4-BFA9-D0D99F682BE3}"/>
    <cellStyle name="40% - Accent4 27" xfId="790" xr:uid="{06CA7712-D0B8-44C4-8489-CB4062502D77}"/>
    <cellStyle name="40% - Accent4 28" xfId="791" xr:uid="{440DF13F-0FBE-45AD-9C57-B12A09CC8D12}"/>
    <cellStyle name="40% - Accent4 29" xfId="792" xr:uid="{67493917-F987-4278-A6E7-773F6D28A7B1}"/>
    <cellStyle name="40% - Accent4 3" xfId="87" xr:uid="{F5020155-4659-4EAD-AC07-60179B2EC56E}"/>
    <cellStyle name="40% - Accent4 3 2" xfId="793" xr:uid="{23C19EB4-C9BA-4F1C-AF88-9F0FEE750EAC}"/>
    <cellStyle name="40% - Accent4 3 2 2" xfId="4883" xr:uid="{6F125869-8973-424A-B700-88299D352C89}"/>
    <cellStyle name="40% - Accent4 3 3" xfId="3578" xr:uid="{B716B80A-E103-4B89-AC6F-7FE2B05D4DF0}"/>
    <cellStyle name="40% - Accent4 30" xfId="794" xr:uid="{692F6EBB-544F-43BA-8406-9AD37CB3642D}"/>
    <cellStyle name="40% - Accent4 31" xfId="795" xr:uid="{92673C71-7DD6-42D6-8304-1D70BD64F9D6}"/>
    <cellStyle name="40% - Accent4 32" xfId="796" xr:uid="{EBE5257C-030B-49EA-8484-EA4C27A36EE6}"/>
    <cellStyle name="40% - Accent4 33" xfId="797" xr:uid="{0AEAC514-0A6C-4CCD-B444-3F559524807F}"/>
    <cellStyle name="40% - Accent4 34" xfId="798" xr:uid="{D3559407-7689-40AE-99D9-4BC25A25D631}"/>
    <cellStyle name="40% - Accent4 35" xfId="799" xr:uid="{38CF7F49-B56B-4E8F-BC3C-A15250BC282F}"/>
    <cellStyle name="40% - Accent4 36" xfId="800" xr:uid="{5607028A-B6ED-486F-8B43-94056D306F5C}"/>
    <cellStyle name="40% - Accent4 37" xfId="801" xr:uid="{386C1959-38FA-40D0-83B6-12F5A921FD84}"/>
    <cellStyle name="40% - Accent4 38" xfId="802" xr:uid="{9A2D7D07-0210-45B4-B89D-77AD97150332}"/>
    <cellStyle name="40% - Accent4 39" xfId="803" xr:uid="{2D6ADFEF-AAD2-4E8D-9C22-5F38E00EEBDB}"/>
    <cellStyle name="40% - Accent4 4" xfId="804" xr:uid="{BF213797-5809-465A-A972-37AF0DF7C32E}"/>
    <cellStyle name="40% - Accent4 4 2" xfId="3579" xr:uid="{1D132F53-FD5A-4ED7-B5E9-DA35E6F69F8A}"/>
    <cellStyle name="40% - Accent4 40" xfId="805" xr:uid="{E5C7DB68-6897-46FB-871B-92CFD21155E1}"/>
    <cellStyle name="40% - Accent4 41" xfId="806" xr:uid="{448105BD-2B9A-4FE2-99A3-64D93C932504}"/>
    <cellStyle name="40% - Accent4 42" xfId="807" xr:uid="{F0E27322-391B-4DCE-987B-4942EAF5E7B6}"/>
    <cellStyle name="40% - Accent4 43" xfId="808" xr:uid="{0EAE0264-2DFF-437B-B6E1-9D791649D897}"/>
    <cellStyle name="40% - Accent4 5" xfId="809" xr:uid="{3DEFFA04-87B1-43A7-ABB3-00EDA884BABA}"/>
    <cellStyle name="40% - Accent4 5 2" xfId="3580" xr:uid="{FDAF03F3-0B38-4C12-A867-E91DD3D1FF94}"/>
    <cellStyle name="40% - Accent4 6" xfId="810" xr:uid="{FFEFD52D-56AF-4603-9446-508A4F46C870}"/>
    <cellStyle name="40% - Accent4 6 2" xfId="3581" xr:uid="{34409060-6151-4180-8060-4FFAF9E654E7}"/>
    <cellStyle name="40% - Accent4 7" xfId="811" xr:uid="{9C38BB97-DDA8-49C5-993D-1BCA89D1A7FE}"/>
    <cellStyle name="40% - Accent4 7 2" xfId="3582" xr:uid="{BB705443-8790-4370-8C16-52E111198424}"/>
    <cellStyle name="40% - Accent4 8" xfId="812" xr:uid="{7EEFCC1C-67E4-44C4-A26B-FD208D155215}"/>
    <cellStyle name="40% - Accent4 8 2" xfId="3583" xr:uid="{A02D11E6-C8A9-4028-8A0C-CB5ED835C233}"/>
    <cellStyle name="40% - Accent4 9" xfId="813" xr:uid="{C9B5AF58-26EB-45FC-91B5-F5169DFD9522}"/>
    <cellStyle name="40% - Accent4 9 2" xfId="4884" xr:uid="{B2DA1086-A676-42E0-B614-27A58A39BA69}"/>
    <cellStyle name="40% - Accent5" xfId="38" builtinId="47" customBuiltin="1"/>
    <cellStyle name="40% - Accent5 10" xfId="814" xr:uid="{DA61142B-9F5B-4B46-B28B-ADE8BC4D2DA3}"/>
    <cellStyle name="40% - Accent5 10 2" xfId="4885" xr:uid="{5A929483-11B1-4625-9742-458E6DCCE520}"/>
    <cellStyle name="40% - Accent5 11" xfId="815" xr:uid="{49E83BCA-0DA3-47BC-9B2F-BAC8F07F7504}"/>
    <cellStyle name="40% - Accent5 11 2" xfId="4886" xr:uid="{4837B2B9-D9BB-4EE6-A1CA-43207824A1A3}"/>
    <cellStyle name="40% - Accent5 12" xfId="816" xr:uid="{1E1CFEC0-98D9-4713-8EAA-0B7BFDCB2C90}"/>
    <cellStyle name="40% - Accent5 13" xfId="817" xr:uid="{58C2CFFD-CCF0-44FD-87E2-9A410A84D7C7}"/>
    <cellStyle name="40% - Accent5 14" xfId="818" xr:uid="{883925AC-5E07-4CA6-8F75-0990D2FB90FD}"/>
    <cellStyle name="40% - Accent5 15" xfId="819" xr:uid="{B909195A-DB9F-43B1-BBCD-8E781DEA6320}"/>
    <cellStyle name="40% - Accent5 16" xfId="820" xr:uid="{34A67A3E-3A5C-40E3-8617-1E993E98014E}"/>
    <cellStyle name="40% - Accent5 17" xfId="821" xr:uid="{ADD20D36-33DC-465C-99EF-3393B92F1C99}"/>
    <cellStyle name="40% - Accent5 18" xfId="822" xr:uid="{B7CA186C-F752-40BD-BD66-D7B692EBE7BA}"/>
    <cellStyle name="40% - Accent5 19" xfId="823" xr:uid="{B35B8CCE-2E19-410E-B698-748CA5394A21}"/>
    <cellStyle name="40% - Accent5 2" xfId="88" xr:uid="{22F42C8D-D060-4EF2-95BC-05BA3AA82576}"/>
    <cellStyle name="40% - Accent5 2 10" xfId="3584" xr:uid="{36FA1C0C-4E9C-463E-BDE9-0B4841B0A261}"/>
    <cellStyle name="40% - Accent5 2 11" xfId="3585" xr:uid="{D5F821A5-B554-46BD-8428-6D1BD6B7F8F8}"/>
    <cellStyle name="40% - Accent5 2 12" xfId="3586" xr:uid="{E50CD39B-61D2-4206-8178-F5ED5646304B}"/>
    <cellStyle name="40% - Accent5 2 13" xfId="3587" xr:uid="{75F7D2E4-2753-493A-8D7C-839C8881F4AD}"/>
    <cellStyle name="40% - Accent5 2 14" xfId="3588" xr:uid="{DC380F6D-268E-49E2-A356-AD3E95A4BA2C}"/>
    <cellStyle name="40% - Accent5 2 15" xfId="3589" xr:uid="{9152DF5F-419E-4FAD-BA19-620311DB51EB}"/>
    <cellStyle name="40% - Accent5 2 16" xfId="4887" xr:uid="{3E9240DC-303D-4CEB-89FF-E6008D521381}"/>
    <cellStyle name="40% - Accent5 2 2" xfId="3590" xr:uid="{0DD4FCE2-6F66-400A-B92F-E3F49184F9C5}"/>
    <cellStyle name="40% - Accent5 2 3" xfId="3591" xr:uid="{ED9472BD-F532-48B2-AE65-B29BEEDA0E58}"/>
    <cellStyle name="40% - Accent5 2 4" xfId="3592" xr:uid="{42CF5305-8B91-48FF-A1F7-2CD5EE9000BA}"/>
    <cellStyle name="40% - Accent5 2 5" xfId="3593" xr:uid="{60F8FA38-7315-4024-BCE7-CE0A461B5CAE}"/>
    <cellStyle name="40% - Accent5 2 6" xfId="3594" xr:uid="{A7A8968F-91AD-4A33-B598-C1D630648717}"/>
    <cellStyle name="40% - Accent5 2 7" xfId="3595" xr:uid="{37C5E481-19ED-4F2F-B9C1-576EA174CAE2}"/>
    <cellStyle name="40% - Accent5 2 8" xfId="3596" xr:uid="{74216E50-79E7-4ADD-88F0-0B681A0771D6}"/>
    <cellStyle name="40% - Accent5 2 9" xfId="3597" xr:uid="{E0D57E92-7FED-486C-8CD1-90CC51E0A8AB}"/>
    <cellStyle name="40% - Accent5 20" xfId="824" xr:uid="{85B2F8EF-14A5-4661-9291-954B35DD663C}"/>
    <cellStyle name="40% - Accent5 21" xfId="825" xr:uid="{E58FE627-B7C1-4F42-A78A-2226E509B2CC}"/>
    <cellStyle name="40% - Accent5 22" xfId="826" xr:uid="{CE2FB325-7132-4613-A9AA-FDF89327A73B}"/>
    <cellStyle name="40% - Accent5 23" xfId="827" xr:uid="{BCB5B4EB-A7EF-4983-AB4D-A9EA4C053DCC}"/>
    <cellStyle name="40% - Accent5 24" xfId="828" xr:uid="{A8B7522D-21A3-4EF9-9103-BEB5460AF0E2}"/>
    <cellStyle name="40% - Accent5 25" xfId="829" xr:uid="{5980BEAB-17CA-46DE-AAE9-D5337CB2A179}"/>
    <cellStyle name="40% - Accent5 26" xfId="830" xr:uid="{E232DAC5-88D9-45B5-BC12-6E0D0F2110BF}"/>
    <cellStyle name="40% - Accent5 27" xfId="831" xr:uid="{0EF20985-91DF-4EB0-9B0C-807E0423560D}"/>
    <cellStyle name="40% - Accent5 28" xfId="832" xr:uid="{D3F23C69-3A5C-4725-857B-FAFED6686BCD}"/>
    <cellStyle name="40% - Accent5 29" xfId="833" xr:uid="{A1AC6F14-2964-44D0-A36B-006049A12F6D}"/>
    <cellStyle name="40% - Accent5 3" xfId="89" xr:uid="{59782DBB-1AE6-4FA1-9B54-E12496302368}"/>
    <cellStyle name="40% - Accent5 3 2" xfId="834" xr:uid="{FD524885-A989-409A-9FF3-7F594E44B189}"/>
    <cellStyle name="40% - Accent5 3 2 2" xfId="4888" xr:uid="{7BE0108D-F912-43C2-88AD-0C4313CD2F9C}"/>
    <cellStyle name="40% - Accent5 3 3" xfId="3598" xr:uid="{35CC6554-A9A6-4ED8-B9F4-1D1C9093944E}"/>
    <cellStyle name="40% - Accent5 30" xfId="835" xr:uid="{79BFB199-BC23-425B-AE2B-07DA6036E507}"/>
    <cellStyle name="40% - Accent5 31" xfId="836" xr:uid="{69D486D8-1664-4B48-82BF-341EA020A9E5}"/>
    <cellStyle name="40% - Accent5 32" xfId="837" xr:uid="{46B7CFC0-A2B9-4BD6-AEC8-06C301AD3BB3}"/>
    <cellStyle name="40% - Accent5 33" xfId="838" xr:uid="{9BA8412C-4333-4BDD-8934-6ED8281671A6}"/>
    <cellStyle name="40% - Accent5 34" xfId="839" xr:uid="{AA6609EC-2CE2-4329-B4A1-F2684D280A28}"/>
    <cellStyle name="40% - Accent5 35" xfId="840" xr:uid="{25AA7E3D-D8A6-4BF0-AAA3-E4C4685E7DB4}"/>
    <cellStyle name="40% - Accent5 36" xfId="841" xr:uid="{3E5A1A58-9AC2-42DB-9405-8927E9BD0DCD}"/>
    <cellStyle name="40% - Accent5 37" xfId="842" xr:uid="{867E4D3B-F3CE-4A76-BC39-2F21822243C6}"/>
    <cellStyle name="40% - Accent5 38" xfId="843" xr:uid="{DE962619-FD75-4B6F-B1C2-6D8184829B86}"/>
    <cellStyle name="40% - Accent5 39" xfId="844" xr:uid="{D67E6790-E495-4D73-944F-CB20F56EC286}"/>
    <cellStyle name="40% - Accent5 4" xfId="845" xr:uid="{899D886E-653D-45A9-9408-760597CABF90}"/>
    <cellStyle name="40% - Accent5 4 2" xfId="3599" xr:uid="{60E344D4-81AE-4FF9-9AAB-EA23C9407E2A}"/>
    <cellStyle name="40% - Accent5 40" xfId="846" xr:uid="{5376FF0D-DF10-4150-9C15-42BFF2CFA9CC}"/>
    <cellStyle name="40% - Accent5 41" xfId="847" xr:uid="{4C5FD38A-5009-41AE-B651-4B1467F6706D}"/>
    <cellStyle name="40% - Accent5 42" xfId="848" xr:uid="{956C0E18-77E5-43E1-8159-B0257B460312}"/>
    <cellStyle name="40% - Accent5 43" xfId="849" xr:uid="{2E066435-CB06-4923-83BF-4D9AE11BD870}"/>
    <cellStyle name="40% - Accent5 5" xfId="850" xr:uid="{E96B7E4E-74A0-4D21-87EA-04F2EB17506A}"/>
    <cellStyle name="40% - Accent5 5 2" xfId="3600" xr:uid="{F2313832-8715-40D1-BE66-09BD75B25F54}"/>
    <cellStyle name="40% - Accent5 6" xfId="851" xr:uid="{A01510F5-B8D2-4569-8401-1BFA43A996B2}"/>
    <cellStyle name="40% - Accent5 6 2" xfId="3601" xr:uid="{420391FF-1734-4AA6-82A0-D59154C435B1}"/>
    <cellStyle name="40% - Accent5 7" xfId="852" xr:uid="{D6E29AD8-1FFC-43FC-937B-BDAD333E9BFC}"/>
    <cellStyle name="40% - Accent5 7 2" xfId="3602" xr:uid="{E0FDDAEB-439A-4B5F-BE0A-B05A47CC1799}"/>
    <cellStyle name="40% - Accent5 8" xfId="853" xr:uid="{6075A73C-6C3A-47AA-8AD4-BED664E1F79A}"/>
    <cellStyle name="40% - Accent5 8 2" xfId="3603" xr:uid="{0137F6B0-8ED8-4EE7-8545-397A85E286E0}"/>
    <cellStyle name="40% - Accent5 9" xfId="854" xr:uid="{B2FF8D60-1D76-4957-9561-945CA55061CA}"/>
    <cellStyle name="40% - Accent5 9 2" xfId="4889" xr:uid="{0FE78948-F039-4DAD-B29E-11B49C053B9F}"/>
    <cellStyle name="40% - Accent6" xfId="42" builtinId="51" customBuiltin="1"/>
    <cellStyle name="40% - Accent6 10" xfId="855" xr:uid="{24660F42-A205-404B-84F3-B295F00F1145}"/>
    <cellStyle name="40% - Accent6 10 2" xfId="4890" xr:uid="{9072D601-CA4B-401F-B3E0-01E9370A562F}"/>
    <cellStyle name="40% - Accent6 11" xfId="856" xr:uid="{EA0CB076-4CC4-4513-9003-B7B21D4B44A9}"/>
    <cellStyle name="40% - Accent6 11 2" xfId="4891" xr:uid="{3D6573D2-263B-44EB-87DD-6BB12A84AD35}"/>
    <cellStyle name="40% - Accent6 12" xfId="857" xr:uid="{A16E4F6A-A63D-423D-9CC1-A508D84E78C3}"/>
    <cellStyle name="40% - Accent6 13" xfId="858" xr:uid="{E00DD2C5-D594-4B79-983C-0E441980392C}"/>
    <cellStyle name="40% - Accent6 14" xfId="859" xr:uid="{51124760-98A0-42C1-9CCF-5B6099025A86}"/>
    <cellStyle name="40% - Accent6 15" xfId="860" xr:uid="{9DD0F898-65B0-4B75-B855-F6B14B734CB4}"/>
    <cellStyle name="40% - Accent6 16" xfId="861" xr:uid="{E2151F39-7FAD-44CF-8C86-27DEDC778D67}"/>
    <cellStyle name="40% - Accent6 17" xfId="862" xr:uid="{8228CF33-0C9A-4C41-B7D4-067BEA95F0D2}"/>
    <cellStyle name="40% - Accent6 18" xfId="863" xr:uid="{26C9BFBC-7A8F-4A51-8783-1C74ABAAF6A4}"/>
    <cellStyle name="40% - Accent6 19" xfId="864" xr:uid="{7893C1DD-E0E5-481B-A5A6-CA22F91EBD91}"/>
    <cellStyle name="40% - Accent6 2" xfId="90" xr:uid="{2CE6C45C-6B4F-403E-8783-B7DBEC8D88FB}"/>
    <cellStyle name="40% - Accent6 2 10" xfId="3604" xr:uid="{DFDF29F5-C8DB-4F19-B886-47E4C2B47BF5}"/>
    <cellStyle name="40% - Accent6 2 11" xfId="3605" xr:uid="{C9B0FEA8-BCE8-4B6B-94DF-7AA3EEBA2339}"/>
    <cellStyle name="40% - Accent6 2 12" xfId="3606" xr:uid="{A624D378-67F3-4639-A57A-2CA99F1F99A7}"/>
    <cellStyle name="40% - Accent6 2 13" xfId="3607" xr:uid="{C63B55C8-4A88-49BA-A277-037E8D3B037B}"/>
    <cellStyle name="40% - Accent6 2 14" xfId="3608" xr:uid="{361E43EF-B815-49FD-98A3-86FCA417122E}"/>
    <cellStyle name="40% - Accent6 2 15" xfId="3609" xr:uid="{1CF7C0E5-0F9C-499E-BA80-A91A980E4D1B}"/>
    <cellStyle name="40% - Accent6 2 16" xfId="4892" xr:uid="{786345EB-0DAA-45A6-84B8-839BB1F95FBD}"/>
    <cellStyle name="40% - Accent6 2 2" xfId="3610" xr:uid="{394FD7D0-C8ED-47BB-9913-13884CAE70F7}"/>
    <cellStyle name="40% - Accent6 2 3" xfId="3611" xr:uid="{DBC5B0FF-FA63-4F9E-8F43-DE0A8801CB9F}"/>
    <cellStyle name="40% - Accent6 2 4" xfId="3612" xr:uid="{A20E48E7-8C31-455B-9B19-DE90899B57A0}"/>
    <cellStyle name="40% - Accent6 2 5" xfId="3613" xr:uid="{EE64CA34-BA37-4082-8ACF-ABD84D5F676B}"/>
    <cellStyle name="40% - Accent6 2 6" xfId="3614" xr:uid="{9E7C83F5-ABED-42AD-AAF6-3F45384F32B7}"/>
    <cellStyle name="40% - Accent6 2 7" xfId="3615" xr:uid="{5FC98F8F-FF75-4B8D-99A6-C9E023775C1E}"/>
    <cellStyle name="40% - Accent6 2 8" xfId="3616" xr:uid="{02FAD52D-C846-48B0-B21E-DC6E81BD57AC}"/>
    <cellStyle name="40% - Accent6 2 9" xfId="3617" xr:uid="{D99B52B3-9A41-479D-8B05-35C882DD9F6F}"/>
    <cellStyle name="40% - Accent6 20" xfId="865" xr:uid="{07C40232-C638-4C8E-9C06-6A06793D0791}"/>
    <cellStyle name="40% - Accent6 21" xfId="866" xr:uid="{F1EABAEB-9C0C-46FA-8F2A-87FF73A7CFE9}"/>
    <cellStyle name="40% - Accent6 22" xfId="867" xr:uid="{B1962969-BDB0-429B-B44A-E30CA5792E19}"/>
    <cellStyle name="40% - Accent6 23" xfId="868" xr:uid="{A9B20EA5-BDF6-4E12-B2CF-E5BFABC672E8}"/>
    <cellStyle name="40% - Accent6 24" xfId="869" xr:uid="{B1D6858C-BA27-4C55-9CA8-BE8FAC7F087E}"/>
    <cellStyle name="40% - Accent6 25" xfId="870" xr:uid="{79EE62E4-BA52-4D25-BC2B-C88F502A1C7E}"/>
    <cellStyle name="40% - Accent6 26" xfId="871" xr:uid="{0459154B-0C04-490F-BF00-22E479BD4762}"/>
    <cellStyle name="40% - Accent6 27" xfId="872" xr:uid="{6B28891E-460E-4AD3-9CCA-BCE1617D7291}"/>
    <cellStyle name="40% - Accent6 28" xfId="873" xr:uid="{2C87236B-6E76-448A-B6D1-663C49252D53}"/>
    <cellStyle name="40% - Accent6 29" xfId="874" xr:uid="{FA4D641C-C6E0-4755-AA37-20E7AE7F21F5}"/>
    <cellStyle name="40% - Accent6 3" xfId="91" xr:uid="{2B8F7207-4BAA-4B0D-9C56-59414E2F5402}"/>
    <cellStyle name="40% - Accent6 3 2" xfId="875" xr:uid="{B620B4E7-BF14-4F64-ABC9-2CFA445D3822}"/>
    <cellStyle name="40% - Accent6 3 2 2" xfId="4893" xr:uid="{18D90FAF-B988-449A-8497-734EE9FFE248}"/>
    <cellStyle name="40% - Accent6 3 3" xfId="3618" xr:uid="{18E64D21-1CEF-4DF3-8C44-29BE876F2CFD}"/>
    <cellStyle name="40% - Accent6 30" xfId="876" xr:uid="{71123388-BD9F-4D0B-80AA-BEAA2032D74F}"/>
    <cellStyle name="40% - Accent6 31" xfId="877" xr:uid="{D41350F4-87B9-413B-8712-C08365B8074F}"/>
    <cellStyle name="40% - Accent6 32" xfId="878" xr:uid="{59F2FA07-63AA-4199-9EFA-5AF8E5C0E5EA}"/>
    <cellStyle name="40% - Accent6 33" xfId="879" xr:uid="{D2D842DF-4CE0-4A33-8622-5E1B52CF28A4}"/>
    <cellStyle name="40% - Accent6 34" xfId="880" xr:uid="{D73EE167-AF53-487E-9F31-B6D40B7182A5}"/>
    <cellStyle name="40% - Accent6 35" xfId="881" xr:uid="{5F89CB5A-C900-404B-8FBB-8BDFE018F675}"/>
    <cellStyle name="40% - Accent6 36" xfId="882" xr:uid="{99AEADFB-1102-44F8-AB50-AA9B3AE84FF9}"/>
    <cellStyle name="40% - Accent6 37" xfId="883" xr:uid="{B5FD6FC4-8B76-4765-836A-AE00C382FDD8}"/>
    <cellStyle name="40% - Accent6 38" xfId="884" xr:uid="{661C5C70-A1C9-4DFC-8B5B-B0106291F451}"/>
    <cellStyle name="40% - Accent6 39" xfId="885" xr:uid="{9ABF9684-A42D-46B5-947F-C2E2BA0D6714}"/>
    <cellStyle name="40% - Accent6 4" xfId="886" xr:uid="{B2441CF7-8FE2-417F-99B5-91BD49EE24A0}"/>
    <cellStyle name="40% - Accent6 4 2" xfId="3619" xr:uid="{0224B2C9-BCA2-4ED4-BA0E-EC9FC62463ED}"/>
    <cellStyle name="40% - Accent6 40" xfId="887" xr:uid="{313CFCF3-19EB-4CD8-9BBD-1CBC7FB4F456}"/>
    <cellStyle name="40% - Accent6 41" xfId="888" xr:uid="{2DFF5D5D-AABA-4A43-B5FE-A1F835DDD596}"/>
    <cellStyle name="40% - Accent6 42" xfId="889" xr:uid="{043ED331-9AC2-4C0D-B859-5DD3C1073586}"/>
    <cellStyle name="40% - Accent6 43" xfId="890" xr:uid="{57F8C43C-AEE2-4FD4-B7FB-B5DB762DB26C}"/>
    <cellStyle name="40% - Accent6 5" xfId="891" xr:uid="{68E7F1B0-4CEA-4D40-BBEC-B85FD42A394A}"/>
    <cellStyle name="40% - Accent6 5 2" xfId="3620" xr:uid="{058B4D0B-E51E-4AC0-B655-7CF91D7CBCB3}"/>
    <cellStyle name="40% - Accent6 6" xfId="892" xr:uid="{05CA023F-7302-4AF6-BB84-96D29AAD5D65}"/>
    <cellStyle name="40% - Accent6 6 2" xfId="3621" xr:uid="{FF10F32F-F431-42B4-8F15-FB5BE4DCAA9B}"/>
    <cellStyle name="40% - Accent6 7" xfId="893" xr:uid="{EAF5FC59-510D-4D3E-A52E-3E2FEA7E00BD}"/>
    <cellStyle name="40% - Accent6 7 2" xfId="3622" xr:uid="{DA5CF5B9-EC46-4F04-B48D-CE155E040533}"/>
    <cellStyle name="40% - Accent6 8" xfId="894" xr:uid="{E6D59CF9-4C05-474D-9FAF-E74C863436FF}"/>
    <cellStyle name="40% - Accent6 8 2" xfId="3623" xr:uid="{84833AC5-18AA-452F-918C-9ADB308D61F2}"/>
    <cellStyle name="40% - Accent6 9" xfId="895" xr:uid="{FE151B0D-5728-4651-8CEE-CDF3C43550A6}"/>
    <cellStyle name="40% - Accent6 9 2" xfId="4894" xr:uid="{E372B381-D4AB-47E0-93ED-92C6811B0F9A}"/>
    <cellStyle name="40% - Akzent1" xfId="896" xr:uid="{26BC934C-1CBC-47CF-9182-BFC1B013F070}"/>
    <cellStyle name="40% - Akzent2" xfId="897" xr:uid="{ABDAF1DD-7998-4AAD-B2BC-4F1C1013D341}"/>
    <cellStyle name="40% - Akzent3" xfId="898" xr:uid="{F3B927D3-E6A1-47BF-A6C1-3259E76B4891}"/>
    <cellStyle name="40% - Akzent4" xfId="899" xr:uid="{63257B46-EE43-4644-9A2E-7775D4A2D2D0}"/>
    <cellStyle name="40% - Akzent5" xfId="900" xr:uid="{5E7329D7-311C-4C07-A343-A39980E63AB3}"/>
    <cellStyle name="40% - Akzent6" xfId="901" xr:uid="{F9D45622-B0F8-42AF-8D8F-92F97C26AE66}"/>
    <cellStyle name="5x indented GHG Textfiels" xfId="902" xr:uid="{338A7F13-4FBB-47A1-9C6C-A9B1F080AC73}"/>
    <cellStyle name="5x indented GHG Textfiels 2" xfId="22517" xr:uid="{A00CD0BF-FD28-41B3-858B-632FE5EEE9F6}"/>
    <cellStyle name="60% - Accent1" xfId="23" builtinId="32" customBuiltin="1"/>
    <cellStyle name="60% - Accent1 10" xfId="903" xr:uid="{963F1F76-47C5-4385-A616-AAF0AC6F1CCB}"/>
    <cellStyle name="60% - Accent1 11" xfId="904" xr:uid="{D9EF8563-9FDF-4A70-874D-F5F97294B3A1}"/>
    <cellStyle name="60% - Accent1 12" xfId="905" xr:uid="{0B83EFC0-A963-4B25-81E3-DDF3A2375039}"/>
    <cellStyle name="60% - Accent1 13" xfId="906" xr:uid="{88CCFC70-5C00-48B7-9286-543FF51E2ADA}"/>
    <cellStyle name="60% - Accent1 14" xfId="907" xr:uid="{E25A6303-FAF1-4862-B402-51250DA28E4E}"/>
    <cellStyle name="60% - Accent1 15" xfId="908" xr:uid="{E8FAE905-F154-4243-8F46-3FD2F8099D79}"/>
    <cellStyle name="60% - Accent1 16" xfId="909" xr:uid="{8BAA5954-5CD2-4389-A23E-4A1FF7D89B67}"/>
    <cellStyle name="60% - Accent1 17" xfId="910" xr:uid="{00722F0D-1EEB-4E5E-8140-BB728683A8BF}"/>
    <cellStyle name="60% - Accent1 18" xfId="911" xr:uid="{C8F4C6C2-22A7-4772-8574-1558ECF6F0EE}"/>
    <cellStyle name="60% - Accent1 19" xfId="912" xr:uid="{3898899F-D876-4C59-AE22-F53D87A494E0}"/>
    <cellStyle name="60% - Accent1 2" xfId="92" xr:uid="{A43712C5-3411-48E8-8A19-E4197D8011AE}"/>
    <cellStyle name="60% - Accent1 2 10" xfId="3624" xr:uid="{5968904A-95CB-4C1E-BCFD-3A0195DBBB74}"/>
    <cellStyle name="60% - Accent1 2 11" xfId="4895" xr:uid="{D4AC4483-B018-4903-AA7E-93A51C8AD4AB}"/>
    <cellStyle name="60% - Accent1 2 2" xfId="3625" xr:uid="{02E4F193-8313-4E7A-8107-DD9FDD792050}"/>
    <cellStyle name="60% - Accent1 2 3" xfId="3626" xr:uid="{DB2F9D28-7493-4A69-9C47-33A473B9841F}"/>
    <cellStyle name="60% - Accent1 2 4" xfId="3627" xr:uid="{3A804674-2A79-4843-B7AF-6A52A0E258DE}"/>
    <cellStyle name="60% - Accent1 2 5" xfId="3628" xr:uid="{FF4E8258-1936-4F31-8A6E-E6B450B58262}"/>
    <cellStyle name="60% - Accent1 2 6" xfId="3629" xr:uid="{1E4ADEDD-5B53-46E1-AF93-3373A3BA1AC2}"/>
    <cellStyle name="60% - Accent1 2 7" xfId="3630" xr:uid="{097171DA-9507-4419-A18B-6F5A459AB9D9}"/>
    <cellStyle name="60% - Accent1 2 8" xfId="3631" xr:uid="{C3ED019E-480A-4B61-8445-5CEAD98296DB}"/>
    <cellStyle name="60% - Accent1 2 9" xfId="3632" xr:uid="{EBEEDEA1-444A-42FB-B4B1-B9A41FB44D5D}"/>
    <cellStyle name="60% - Accent1 20" xfId="913" xr:uid="{6B84D0A8-D203-41E6-A2E3-1BE6167AD91F}"/>
    <cellStyle name="60% - Accent1 21" xfId="914" xr:uid="{4DF10F23-5953-4FD1-82E0-287036E4C166}"/>
    <cellStyle name="60% - Accent1 22" xfId="915" xr:uid="{3BDC1F54-FA83-463E-A8C7-B9BCECFC23C2}"/>
    <cellStyle name="60% - Accent1 23" xfId="916" xr:uid="{3D2834FC-9841-43B1-BA87-BA05DF19B2CF}"/>
    <cellStyle name="60% - Accent1 24" xfId="917" xr:uid="{5613B25A-B82B-4797-B4EF-F73ABF3F4313}"/>
    <cellStyle name="60% - Accent1 25" xfId="918" xr:uid="{AF8D1DE0-BDB9-4A90-AD36-4FD2FEEB3E77}"/>
    <cellStyle name="60% - Accent1 26" xfId="919" xr:uid="{254948C3-62BF-4069-9141-DBEAF56C6640}"/>
    <cellStyle name="60% - Accent1 27" xfId="920" xr:uid="{54D05763-D8B0-4A38-9234-770D210D14D8}"/>
    <cellStyle name="60% - Accent1 28" xfId="921" xr:uid="{CA56B297-AE21-4A70-9D76-9E99D5BEA9BC}"/>
    <cellStyle name="60% - Accent1 29" xfId="922" xr:uid="{E9F6D681-BDBC-43D9-B281-7D6F52DB95DB}"/>
    <cellStyle name="60% - Accent1 3" xfId="93" xr:uid="{783D4B0B-6DFC-47F3-A8BF-2ACA7488DF99}"/>
    <cellStyle name="60% - Accent1 3 2" xfId="923" xr:uid="{D85C7340-55DD-40B3-99BF-1DCE1E58C508}"/>
    <cellStyle name="60% - Accent1 3 2 2" xfId="4896" xr:uid="{14D9FBC9-F6BE-48B0-9822-F6944F881A1D}"/>
    <cellStyle name="60% - Accent1 3 3" xfId="3633" xr:uid="{51BAF8B8-604D-4EEC-A0D8-0034CE03F0F7}"/>
    <cellStyle name="60% - Accent1 30" xfId="924" xr:uid="{22DDE2BA-6541-4974-9B55-31D9952E9821}"/>
    <cellStyle name="60% - Accent1 31" xfId="925" xr:uid="{68DE2B54-A300-4CD2-A476-73EDACA59323}"/>
    <cellStyle name="60% - Accent1 32" xfId="926" xr:uid="{4F8BCC6E-5CC0-4EBD-BC16-78F83AEF0B0E}"/>
    <cellStyle name="60% - Accent1 33" xfId="927" xr:uid="{C43C7ED8-3F57-4214-8D6E-70C28B412039}"/>
    <cellStyle name="60% - Accent1 34" xfId="928" xr:uid="{F1A98FB9-E5A7-4DF1-B3F5-0B8BE0F4F873}"/>
    <cellStyle name="60% - Accent1 35" xfId="929" xr:uid="{A098F830-BFBE-48B8-A7ED-A91C429120A8}"/>
    <cellStyle name="60% - Accent1 36" xfId="930" xr:uid="{27263090-9457-49BF-8F58-ACB27F3C150A}"/>
    <cellStyle name="60% - Accent1 37" xfId="931" xr:uid="{79C0259A-028E-4B08-9348-2E93B60CB7D4}"/>
    <cellStyle name="60% - Accent1 38" xfId="932" xr:uid="{282E7070-54D2-4078-AC04-8A26B9839E05}"/>
    <cellStyle name="60% - Accent1 39" xfId="933" xr:uid="{3C4B71BB-4223-4DCD-B437-CA441574E641}"/>
    <cellStyle name="60% - Accent1 4" xfId="934" xr:uid="{31C20F8A-5533-45AD-A475-8E9BE73A72D8}"/>
    <cellStyle name="60% - Accent1 4 2" xfId="4897" xr:uid="{8CBCD07B-7933-44BC-88BF-5CEBAE9A7C49}"/>
    <cellStyle name="60% - Accent1 40" xfId="935" xr:uid="{FFB7C714-3406-44D3-B142-2C52709DA6B9}"/>
    <cellStyle name="60% - Accent1 41" xfId="936" xr:uid="{3BE885D3-6780-4233-904C-C481C9C484B2}"/>
    <cellStyle name="60% - Accent1 42" xfId="937" xr:uid="{BE6CEDCB-B95A-493D-AE6F-A5BE80AFB66A}"/>
    <cellStyle name="60% - Accent1 43" xfId="938" xr:uid="{A699F4F1-E71C-45CE-9DEF-21D690A8444F}"/>
    <cellStyle name="60% - Accent1 44" xfId="47" xr:uid="{F9D87124-9E56-46F1-8071-4B5E2DFF6CE1}"/>
    <cellStyle name="60% - Accent1 5" xfId="939" xr:uid="{C1ABA1A0-E5E0-4477-B074-46F1CE59EE28}"/>
    <cellStyle name="60% - Accent1 5 2" xfId="4898" xr:uid="{64249A04-00FF-4932-8F2B-E545957981F5}"/>
    <cellStyle name="60% - Accent1 6" xfId="940" xr:uid="{D0001B37-6DE5-42F0-8273-A296148046FB}"/>
    <cellStyle name="60% - Accent1 6 2" xfId="4899" xr:uid="{FED93907-1AC9-48CE-9DCC-FF50C5C2CBC8}"/>
    <cellStyle name="60% - Accent1 7" xfId="941" xr:uid="{7ED6D180-7A12-4EED-9AAE-14D3F7AD2590}"/>
    <cellStyle name="60% - Accent1 8" xfId="942" xr:uid="{8D3F9A7F-4932-471C-BB0B-52A81EAE74E0}"/>
    <cellStyle name="60% - Accent1 9" xfId="943" xr:uid="{C8154097-E890-4129-AE5A-FC70E4FD570E}"/>
    <cellStyle name="60% - Accent2" xfId="27" builtinId="36" customBuiltin="1"/>
    <cellStyle name="60% - Accent2 10" xfId="944" xr:uid="{807AA4E3-C983-4A09-915D-96DC76FD83DE}"/>
    <cellStyle name="60% - Accent2 11" xfId="945" xr:uid="{2DA5B796-1654-43A5-A0E3-2BAB6AE625ED}"/>
    <cellStyle name="60% - Accent2 12" xfId="946" xr:uid="{9635556E-EFA7-4C3A-B1E4-1A1ED1334457}"/>
    <cellStyle name="60% - Accent2 13" xfId="947" xr:uid="{0BC647D6-4DC6-456B-B78E-E5CB25B862E0}"/>
    <cellStyle name="60% - Accent2 14" xfId="948" xr:uid="{9BC083C6-167A-42F6-94F8-D2966A5190E9}"/>
    <cellStyle name="60% - Accent2 15" xfId="949" xr:uid="{F85B81B5-2BDC-45EC-B928-886913FCDFA7}"/>
    <cellStyle name="60% - Accent2 16" xfId="950" xr:uid="{B0FA1FCA-A153-4F19-9479-7EEFF0BC6D9F}"/>
    <cellStyle name="60% - Accent2 17" xfId="951" xr:uid="{4C12CD2B-72EC-45ED-9621-35069466BA4D}"/>
    <cellStyle name="60% - Accent2 18" xfId="952" xr:uid="{866BFF8A-DC22-43D0-A04C-94261A8F0FD2}"/>
    <cellStyle name="60% - Accent2 19" xfId="953" xr:uid="{2C5DAC77-6B42-424C-970B-E48D238BBA66}"/>
    <cellStyle name="60% - Accent2 2" xfId="94" xr:uid="{A69A78F0-1A6D-4FB3-B20A-BCD4254F5F05}"/>
    <cellStyle name="60% - Accent2 2 10" xfId="3634" xr:uid="{DD526BBA-5F9F-4B13-855E-8B1F6986D565}"/>
    <cellStyle name="60% - Accent2 2 11" xfId="4900" xr:uid="{12A19229-3289-4D34-9179-91545AF026AE}"/>
    <cellStyle name="60% - Accent2 2 2" xfId="3635" xr:uid="{091D8BAC-B49A-4F1A-9239-D46D8354C25E}"/>
    <cellStyle name="60% - Accent2 2 3" xfId="3636" xr:uid="{93DAEA5E-67B8-4E40-81EF-FDCDA1F80250}"/>
    <cellStyle name="60% - Accent2 2 4" xfId="3637" xr:uid="{DC5FDE35-46DC-4A02-A39A-DB36B7DE82B4}"/>
    <cellStyle name="60% - Accent2 2 5" xfId="3638" xr:uid="{CCB63231-18BF-48C8-94B4-90BCF7BDF8EC}"/>
    <cellStyle name="60% - Accent2 2 6" xfId="3639" xr:uid="{0209DF8E-2E3C-4AAE-843D-3BEB5E54AFF2}"/>
    <cellStyle name="60% - Accent2 2 7" xfId="3640" xr:uid="{9353C78D-3834-4773-A7D6-ECE10546B56B}"/>
    <cellStyle name="60% - Accent2 2 8" xfId="3641" xr:uid="{0FFCCEBF-D5B6-4AC6-A476-70A95161AC98}"/>
    <cellStyle name="60% - Accent2 2 9" xfId="3642" xr:uid="{AAFCF2EC-4222-4C17-B6D9-C12A382FFA18}"/>
    <cellStyle name="60% - Accent2 20" xfId="954" xr:uid="{93FA0AE2-B8F8-40EB-B4C8-5305788F6A89}"/>
    <cellStyle name="60% - Accent2 21" xfId="955" xr:uid="{2C5E5580-15FD-4745-821F-63E0D1E15F68}"/>
    <cellStyle name="60% - Accent2 22" xfId="956" xr:uid="{A7A6995A-7A8A-4D8C-A0D7-D4B0A6E0CD09}"/>
    <cellStyle name="60% - Accent2 23" xfId="957" xr:uid="{6ACD8E56-E40B-4AAB-979F-A5C3A084EBBD}"/>
    <cellStyle name="60% - Accent2 24" xfId="958" xr:uid="{513CF8D7-DA65-4222-8FB2-8C92E4856EAF}"/>
    <cellStyle name="60% - Accent2 25" xfId="959" xr:uid="{5D047698-E063-474F-A0FF-6E688AFEEC06}"/>
    <cellStyle name="60% - Accent2 26" xfId="960" xr:uid="{9E81D266-226E-4D56-B497-F0FE43750B18}"/>
    <cellStyle name="60% - Accent2 27" xfId="961" xr:uid="{641D74BD-7682-4A2F-A0A4-3F8F9A754AA0}"/>
    <cellStyle name="60% - Accent2 28" xfId="962" xr:uid="{D4DE7CF8-1F9D-4920-BC8F-A919D97D31E4}"/>
    <cellStyle name="60% - Accent2 29" xfId="963" xr:uid="{1A957B6B-2C59-4996-9708-6E45A7F3E742}"/>
    <cellStyle name="60% - Accent2 3" xfId="95" xr:uid="{B806F938-B554-45AB-B9CC-CAA470876E25}"/>
    <cellStyle name="60% - Accent2 3 2" xfId="964" xr:uid="{F0F94301-20BC-4A55-859E-FB9AB988BDB8}"/>
    <cellStyle name="60% - Accent2 3 2 2" xfId="4901" xr:uid="{28CA1327-EC24-4070-8952-DD006BFCD4E7}"/>
    <cellStyle name="60% - Accent2 3 3" xfId="3643" xr:uid="{2EF12142-5609-4D3F-A4D0-0F3E8FDD4B5C}"/>
    <cellStyle name="60% - Accent2 30" xfId="965" xr:uid="{C74DF17E-9A96-4C84-81E7-58520444F38F}"/>
    <cellStyle name="60% - Accent2 31" xfId="966" xr:uid="{95CD7AC3-E553-4C53-B988-A2BA8A566B72}"/>
    <cellStyle name="60% - Accent2 32" xfId="967" xr:uid="{C921D67A-3514-474E-80A6-B44F7EDE90AA}"/>
    <cellStyle name="60% - Accent2 33" xfId="968" xr:uid="{9B00E10C-DAF3-4348-B406-0C6DAB984137}"/>
    <cellStyle name="60% - Accent2 34" xfId="969" xr:uid="{E04124E6-9F68-4458-A80A-F0FDDF12C124}"/>
    <cellStyle name="60% - Accent2 35" xfId="970" xr:uid="{39BCE297-7B26-4BC7-BAF3-5484E9D57AA8}"/>
    <cellStyle name="60% - Accent2 36" xfId="971" xr:uid="{96B2F1E2-99D9-49F1-A950-09310969DC06}"/>
    <cellStyle name="60% - Accent2 37" xfId="972" xr:uid="{0255CCBB-2E91-4156-956A-9FABFE03C188}"/>
    <cellStyle name="60% - Accent2 38" xfId="973" xr:uid="{35698CA3-BCE9-4CB4-9191-01AD629AA6AF}"/>
    <cellStyle name="60% - Accent2 39" xfId="974" xr:uid="{6FA78988-EEA5-4DDD-ABA9-053B6804DE4C}"/>
    <cellStyle name="60% - Accent2 4" xfId="975" xr:uid="{FB728B92-42EF-4B8A-9F4C-D07B777FB705}"/>
    <cellStyle name="60% - Accent2 4 2" xfId="4902" xr:uid="{043220E6-1013-4719-840A-1DEDB8E7D709}"/>
    <cellStyle name="60% - Accent2 40" xfId="976" xr:uid="{6F76C1A1-66E1-40D7-953E-A37EF59D85AF}"/>
    <cellStyle name="60% - Accent2 41" xfId="977" xr:uid="{4EF4ABA2-4163-48A8-B2B1-C17820A1E9F7}"/>
    <cellStyle name="60% - Accent2 42" xfId="978" xr:uid="{36EBFD15-2D85-4769-A2FC-DCE654F7F391}"/>
    <cellStyle name="60% - Accent2 43" xfId="979" xr:uid="{AD408A03-2FB1-46B0-A159-C219D3F0C98C}"/>
    <cellStyle name="60% - Accent2 44" xfId="48" xr:uid="{18128014-FB82-40BD-A049-212BF9C50367}"/>
    <cellStyle name="60% - Accent2 5" xfId="980" xr:uid="{EDC6D16B-C186-4425-9298-5A9A3D7D865A}"/>
    <cellStyle name="60% - Accent2 5 2" xfId="4903" xr:uid="{5945CE19-0325-41D9-AE3E-1609D15A80B7}"/>
    <cellStyle name="60% - Accent2 6" xfId="981" xr:uid="{50B72866-EB0F-44DD-8E66-885338B7F5AF}"/>
    <cellStyle name="60% - Accent2 6 2" xfId="4904" xr:uid="{A8141AB7-D634-4820-B3C0-4160464F9159}"/>
    <cellStyle name="60% - Accent2 7" xfId="982" xr:uid="{F3AEFA44-0615-4983-9E72-49B972ACFEF3}"/>
    <cellStyle name="60% - Accent2 8" xfId="983" xr:uid="{7A7D8259-1FFC-4AB4-84D6-EF65D4E5075D}"/>
    <cellStyle name="60% - Accent2 9" xfId="984" xr:uid="{6CC1519E-1062-4AC0-9E94-94AC4F4A5CEF}"/>
    <cellStyle name="60% - Accent3" xfId="31" builtinId="40" customBuiltin="1"/>
    <cellStyle name="60% - Accent3 10" xfId="985" xr:uid="{1EA40E24-5D2E-419E-8842-CB2F001FE579}"/>
    <cellStyle name="60% - Accent3 11" xfId="986" xr:uid="{CE66C5EF-319C-42B8-B897-5BA2B7BAB18B}"/>
    <cellStyle name="60% - Accent3 12" xfId="987" xr:uid="{3ED97B46-910F-4EDD-B3F5-A0CC8A1CAF73}"/>
    <cellStyle name="60% - Accent3 13" xfId="988" xr:uid="{5E5E40EA-61EB-4D39-B7A8-59DFF5819A1A}"/>
    <cellStyle name="60% - Accent3 14" xfId="989" xr:uid="{582614A5-2E84-4D1B-9308-36B03C3CEFCE}"/>
    <cellStyle name="60% - Accent3 15" xfId="990" xr:uid="{A048B79A-A602-4B39-B748-CED8DC330F47}"/>
    <cellStyle name="60% - Accent3 16" xfId="991" xr:uid="{D2DA0CBD-91F0-4127-A1C9-8266B32E7C6B}"/>
    <cellStyle name="60% - Accent3 17" xfId="992" xr:uid="{530C241C-3984-4526-B451-858C1BC19C6B}"/>
    <cellStyle name="60% - Accent3 18" xfId="993" xr:uid="{844ABC3A-A789-40CE-8026-90BE82C9535D}"/>
    <cellStyle name="60% - Accent3 19" xfId="994" xr:uid="{CA1CE3B1-57FA-48B9-9219-07339B4317FC}"/>
    <cellStyle name="60% - Accent3 2" xfId="96" xr:uid="{DE2804B6-11A2-4932-8FAF-30610763E1F1}"/>
    <cellStyle name="60% - Accent3 2 10" xfId="3644" xr:uid="{1FBF9FC8-071F-4211-A205-B25117CDFD6B}"/>
    <cellStyle name="60% - Accent3 2 11" xfId="4905" xr:uid="{CBE95217-2346-45E0-B26E-D70F7BF9DFB8}"/>
    <cellStyle name="60% - Accent3 2 2" xfId="3645" xr:uid="{B9277862-4956-46AB-A014-CD629AF6CFEA}"/>
    <cellStyle name="60% - Accent3 2 3" xfId="3646" xr:uid="{63BB5C38-6504-4787-A5FF-D13E72B094B8}"/>
    <cellStyle name="60% - Accent3 2 4" xfId="3647" xr:uid="{E3BD69B4-F314-4812-A984-CE25AB674506}"/>
    <cellStyle name="60% - Accent3 2 5" xfId="3648" xr:uid="{26918A68-C4D7-4468-B050-31199E83B34F}"/>
    <cellStyle name="60% - Accent3 2 6" xfId="3649" xr:uid="{928753E8-FCB4-45DB-BC2E-3BFF1BECA6F4}"/>
    <cellStyle name="60% - Accent3 2 7" xfId="3650" xr:uid="{D0E1CD05-EFFE-4EC3-87A2-A258A6E9AFD0}"/>
    <cellStyle name="60% - Accent3 2 8" xfId="3651" xr:uid="{80AC880B-79F5-4294-929B-4F311F95E06B}"/>
    <cellStyle name="60% - Accent3 2 9" xfId="3652" xr:uid="{AAC2B828-0457-40C6-ADD1-ABB87FA6DD73}"/>
    <cellStyle name="60% - Accent3 20" xfId="995" xr:uid="{EAD4B42C-79BE-4D26-B617-FAD0A0A1F0BC}"/>
    <cellStyle name="60% - Accent3 21" xfId="996" xr:uid="{FD09605A-4DB6-4BC8-A3DD-5253B2874223}"/>
    <cellStyle name="60% - Accent3 22" xfId="997" xr:uid="{6789839E-628E-4144-A40E-D2EB21CB35F1}"/>
    <cellStyle name="60% - Accent3 23" xfId="998" xr:uid="{7D8DF990-5BB5-4F69-A4B7-99E172FC98CC}"/>
    <cellStyle name="60% - Accent3 24" xfId="999" xr:uid="{4DE2B018-C04F-4B7A-9C38-D3A8E73571B9}"/>
    <cellStyle name="60% - Accent3 25" xfId="1000" xr:uid="{7CECF3A6-536B-4208-96DF-7D8B354A0EEB}"/>
    <cellStyle name="60% - Accent3 26" xfId="1001" xr:uid="{8D1D2BD8-F4DC-4AC8-A212-785E3EBE661B}"/>
    <cellStyle name="60% - Accent3 27" xfId="1002" xr:uid="{0B2B2A22-3476-433D-9CC1-C33E3697BD59}"/>
    <cellStyle name="60% - Accent3 28" xfId="1003" xr:uid="{61903A5F-DFFC-4B6F-B2D7-1F243F18F704}"/>
    <cellStyle name="60% - Accent3 29" xfId="1004" xr:uid="{3C91AC73-F8E4-40EC-8D5C-AD948AB7610C}"/>
    <cellStyle name="60% - Accent3 3" xfId="97" xr:uid="{C52587BD-337D-4C3C-95C6-9C8244B47853}"/>
    <cellStyle name="60% - Accent3 3 2" xfId="1005" xr:uid="{5CC90E84-43B7-40F8-89BB-B0D6AAD20AFF}"/>
    <cellStyle name="60% - Accent3 3 2 2" xfId="4906" xr:uid="{DA57B7CA-DB81-4DDC-8000-9C7EC8CB7857}"/>
    <cellStyle name="60% - Accent3 3 3" xfId="3653" xr:uid="{03F801B7-C220-4F26-B875-187A23B92CFD}"/>
    <cellStyle name="60% - Accent3 30" xfId="1006" xr:uid="{601CC778-1FA1-4C15-809A-D014051B5C5E}"/>
    <cellStyle name="60% - Accent3 31" xfId="1007" xr:uid="{CE50CB0D-3A6A-49E1-A28F-1D4298C0FDE0}"/>
    <cellStyle name="60% - Accent3 32" xfId="1008" xr:uid="{EBFA1987-C8EC-4736-AEEF-0139565D8210}"/>
    <cellStyle name="60% - Accent3 33" xfId="1009" xr:uid="{6F31D563-10F8-4B26-840B-91E395F6F541}"/>
    <cellStyle name="60% - Accent3 34" xfId="1010" xr:uid="{F60274F9-698F-4FB9-B64F-B6E4F318D73E}"/>
    <cellStyle name="60% - Accent3 35" xfId="1011" xr:uid="{19A27B91-3F8C-4857-9EEF-0FD3FC5E242A}"/>
    <cellStyle name="60% - Accent3 36" xfId="1012" xr:uid="{6207C73C-1A50-4799-B8AD-8516EC85C2EE}"/>
    <cellStyle name="60% - Accent3 37" xfId="1013" xr:uid="{7DAB134C-0782-4944-A583-F15C88CB8F63}"/>
    <cellStyle name="60% - Accent3 38" xfId="1014" xr:uid="{6A81BA5A-DCE9-4E14-AE5D-7D092A3F4357}"/>
    <cellStyle name="60% - Accent3 39" xfId="1015" xr:uid="{FB661E5F-D8FD-4E24-81A5-30DF47E0DC32}"/>
    <cellStyle name="60% - Accent3 4" xfId="1016" xr:uid="{05C15BA1-AE0B-45EE-88CC-86235E31BF7A}"/>
    <cellStyle name="60% - Accent3 4 2" xfId="4907" xr:uid="{448317D5-405D-4718-9294-203C53C0BC22}"/>
    <cellStyle name="60% - Accent3 40" xfId="1017" xr:uid="{1C4DD3D5-3623-4222-83C9-2FF2F5156BDC}"/>
    <cellStyle name="60% - Accent3 41" xfId="1018" xr:uid="{B9399D2E-C35E-4D4F-A7CC-267E3D62FC29}"/>
    <cellStyle name="60% - Accent3 42" xfId="1019" xr:uid="{2FE725F4-1C40-4C82-8119-2C3E487FC671}"/>
    <cellStyle name="60% - Accent3 43" xfId="1020" xr:uid="{7DA09F27-3FC1-4DF4-A462-8A48902DC5D7}"/>
    <cellStyle name="60% - Accent3 44" xfId="49" xr:uid="{E3B17C40-A3EB-4995-9520-06943378A611}"/>
    <cellStyle name="60% - Accent3 5" xfId="1021" xr:uid="{1A15E513-901F-48A4-9508-7CCA658FB391}"/>
    <cellStyle name="60% - Accent3 5 2" xfId="4908" xr:uid="{265BEC0E-7C10-44AC-824E-9378A19F9F1B}"/>
    <cellStyle name="60% - Accent3 6" xfId="1022" xr:uid="{B6D6F5FD-1A06-4ADC-BF0A-E8FA25A32904}"/>
    <cellStyle name="60% - Accent3 6 2" xfId="4909" xr:uid="{87AC06A3-45C5-48BA-B80B-EAAF14F5D10C}"/>
    <cellStyle name="60% - Accent3 7" xfId="1023" xr:uid="{A051C605-1AC3-42C1-9583-804C2F29038A}"/>
    <cellStyle name="60% - Accent3 8" xfId="1024" xr:uid="{D8D1866A-BEF5-428E-A32A-1A158EDC0F65}"/>
    <cellStyle name="60% - Accent3 9" xfId="1025" xr:uid="{0BE15DB5-0E2B-4139-BA21-62CD0B80DD11}"/>
    <cellStyle name="60% - Accent4" xfId="35" builtinId="44" customBuiltin="1"/>
    <cellStyle name="60% - Accent4 10" xfId="1026" xr:uid="{015767D3-EA7B-45C7-B939-84D3822C1685}"/>
    <cellStyle name="60% - Accent4 11" xfId="1027" xr:uid="{AFFCF50D-C714-4BCC-85E8-EA5193F5290F}"/>
    <cellStyle name="60% - Accent4 12" xfId="1028" xr:uid="{DB965183-6F71-46CC-B7F1-0E2E3FB38D00}"/>
    <cellStyle name="60% - Accent4 13" xfId="1029" xr:uid="{026EF0DD-F928-459D-86BA-665A641C4E9A}"/>
    <cellStyle name="60% - Accent4 14" xfId="1030" xr:uid="{7B6E2EDE-5951-4387-8B84-239E75416AB0}"/>
    <cellStyle name="60% - Accent4 15" xfId="1031" xr:uid="{D36A298F-DC85-4ABD-A908-24831DD0517A}"/>
    <cellStyle name="60% - Accent4 16" xfId="1032" xr:uid="{D9ECDB1A-BEBA-48D3-94CF-A3D1461EDC4B}"/>
    <cellStyle name="60% - Accent4 17" xfId="1033" xr:uid="{270CD7FC-C8ED-4F43-862A-0488466138B7}"/>
    <cellStyle name="60% - Accent4 18" xfId="1034" xr:uid="{F91FDA92-2D7F-4C60-A2A7-506E31B46FF6}"/>
    <cellStyle name="60% - Accent4 19" xfId="1035" xr:uid="{EB451B9E-5DCB-49BE-B80F-3F2A9B07DFBD}"/>
    <cellStyle name="60% - Accent4 2" xfId="98" xr:uid="{60F78019-6A56-4127-9CBB-D22C58E923AD}"/>
    <cellStyle name="60% - Accent4 2 10" xfId="3654" xr:uid="{7DB3CA83-261B-466F-A7CA-EB6640D73705}"/>
    <cellStyle name="60% - Accent4 2 11" xfId="4910" xr:uid="{47125331-86AF-4E05-8A4A-20476FD66BC8}"/>
    <cellStyle name="60% - Accent4 2 2" xfId="3655" xr:uid="{037F5822-474B-4063-850B-36095EA546E1}"/>
    <cellStyle name="60% - Accent4 2 3" xfId="3656" xr:uid="{3FC0FBDE-F6ED-4F2E-84B9-8F1DF984C47C}"/>
    <cellStyle name="60% - Accent4 2 4" xfId="3657" xr:uid="{3805228A-3A52-4941-8BA5-8443297FAB17}"/>
    <cellStyle name="60% - Accent4 2 5" xfId="3658" xr:uid="{7D7CD060-519A-4F59-8D7A-242895C5F939}"/>
    <cellStyle name="60% - Accent4 2 6" xfId="3659" xr:uid="{60431DA3-F7A2-4C2A-A205-32A0274A732B}"/>
    <cellStyle name="60% - Accent4 2 7" xfId="3660" xr:uid="{EAE06058-D1D2-4926-A2B9-38A42D358C4B}"/>
    <cellStyle name="60% - Accent4 2 8" xfId="3661" xr:uid="{C4D8781A-AF0B-4879-A56E-1BB21EE5DD27}"/>
    <cellStyle name="60% - Accent4 2 9" xfId="3662" xr:uid="{F0566E8B-E5FF-448F-8C9F-2141DBF11D2B}"/>
    <cellStyle name="60% - Accent4 20" xfId="1036" xr:uid="{55418CA0-1703-4366-9519-097A960052EA}"/>
    <cellStyle name="60% - Accent4 21" xfId="1037" xr:uid="{B7BA3655-310D-4204-BF21-FC2E72C0166F}"/>
    <cellStyle name="60% - Accent4 22" xfId="1038" xr:uid="{2B6ECC77-4B4E-45ED-BD0D-EED68A366660}"/>
    <cellStyle name="60% - Accent4 23" xfId="1039" xr:uid="{13F24F6E-9D0E-49BF-90B8-2EC5EB70C930}"/>
    <cellStyle name="60% - Accent4 24" xfId="1040" xr:uid="{B0507801-6B5D-415E-9867-C6FE5A4030D1}"/>
    <cellStyle name="60% - Accent4 25" xfId="1041" xr:uid="{8B554582-1FF3-4425-AE6E-3D8817BC46F3}"/>
    <cellStyle name="60% - Accent4 26" xfId="1042" xr:uid="{E2650155-75B3-4F94-AA2F-D8BF91FF96B9}"/>
    <cellStyle name="60% - Accent4 27" xfId="1043" xr:uid="{EDC3DA7B-3C3F-4981-A932-45375F768849}"/>
    <cellStyle name="60% - Accent4 28" xfId="1044" xr:uid="{51A1E846-A889-4827-9B6C-F1F79B5C4AB5}"/>
    <cellStyle name="60% - Accent4 29" xfId="1045" xr:uid="{BA920F45-8AD4-4477-95E1-EECF3BC759C6}"/>
    <cellStyle name="60% - Accent4 3" xfId="99" xr:uid="{3CC61FE0-3581-4E7A-BC8C-6BC1055ADF71}"/>
    <cellStyle name="60% - Accent4 3 2" xfId="1046" xr:uid="{E97FF603-91E0-457D-84B0-EEA7754DD659}"/>
    <cellStyle name="60% - Accent4 3 2 2" xfId="4911" xr:uid="{E4CD153B-CACB-4D55-88C1-9CD7B04FDC32}"/>
    <cellStyle name="60% - Accent4 3 3" xfId="3663" xr:uid="{08D46593-07DD-4107-90FB-A4FE822259EF}"/>
    <cellStyle name="60% - Accent4 30" xfId="1047" xr:uid="{FD5DD2DE-F500-4F11-9D82-578311EFD51C}"/>
    <cellStyle name="60% - Accent4 31" xfId="1048" xr:uid="{A195BF58-648C-4B0B-A73E-90E2095A3E5A}"/>
    <cellStyle name="60% - Accent4 32" xfId="1049" xr:uid="{2A11A383-8727-4C7F-A0AA-84220E952B9C}"/>
    <cellStyle name="60% - Accent4 33" xfId="1050" xr:uid="{8FC7698C-02E1-4862-9E66-3AA3A556D6B9}"/>
    <cellStyle name="60% - Accent4 34" xfId="1051" xr:uid="{D700B80A-91E6-4948-975A-553AE3970330}"/>
    <cellStyle name="60% - Accent4 35" xfId="1052" xr:uid="{F349B393-3A81-4634-AD52-A6F756B86323}"/>
    <cellStyle name="60% - Accent4 36" xfId="1053" xr:uid="{16682566-1076-4A75-8796-6FFDA2C25E3D}"/>
    <cellStyle name="60% - Accent4 37" xfId="1054" xr:uid="{AEE95018-2C8F-4DBE-B168-EB9923F88501}"/>
    <cellStyle name="60% - Accent4 38" xfId="1055" xr:uid="{72DB40ED-D637-439F-A986-6827BB264738}"/>
    <cellStyle name="60% - Accent4 39" xfId="1056" xr:uid="{7E7A3269-7857-45BF-A351-C198048A6893}"/>
    <cellStyle name="60% - Accent4 4" xfId="1057" xr:uid="{7E82E8DE-2F95-4A74-86F7-40E19C35E02B}"/>
    <cellStyle name="60% - Accent4 4 2" xfId="4912" xr:uid="{C1A3B521-40DC-4B95-BEAA-D527226C2247}"/>
    <cellStyle name="60% - Accent4 40" xfId="1058" xr:uid="{151553FB-1BDB-4D99-A346-3261D1B04D81}"/>
    <cellStyle name="60% - Accent4 41" xfId="1059" xr:uid="{60A9D42C-97E6-427D-884B-1229A156D01A}"/>
    <cellStyle name="60% - Accent4 42" xfId="1060" xr:uid="{9C69366D-DDAA-41B0-914B-73AA7A43855A}"/>
    <cellStyle name="60% - Accent4 43" xfId="1061" xr:uid="{928D900A-E012-4169-B547-A7D640C1106C}"/>
    <cellStyle name="60% - Accent4 44" xfId="50" xr:uid="{23FDCAEF-9BA6-4A38-A4B0-E9D77FCA4052}"/>
    <cellStyle name="60% - Accent4 5" xfId="1062" xr:uid="{659F44E4-A7B1-4FB6-9D9C-2BE93445753B}"/>
    <cellStyle name="60% - Accent4 5 2" xfId="4913" xr:uid="{A62226CB-FAC0-4B18-9072-33B6984C964D}"/>
    <cellStyle name="60% - Accent4 6" xfId="1063" xr:uid="{6DD59FAB-78B8-4B57-A815-6FFCEF7B3A9F}"/>
    <cellStyle name="60% - Accent4 6 2" xfId="4914" xr:uid="{7AB648A0-CC5F-4420-A605-37753537AA7E}"/>
    <cellStyle name="60% - Accent4 7" xfId="1064" xr:uid="{ABFB2ADB-8427-429D-B23A-591EA8C8468C}"/>
    <cellStyle name="60% - Accent4 8" xfId="1065" xr:uid="{E89286CD-0A16-4943-AEA7-5CED8FF4081D}"/>
    <cellStyle name="60% - Accent4 9" xfId="1066" xr:uid="{B5808FF9-8A84-474F-B1C0-FCA70E1590E3}"/>
    <cellStyle name="60% - Accent5" xfId="39" builtinId="48" customBuiltin="1"/>
    <cellStyle name="60% - Accent5 10" xfId="1067" xr:uid="{A5850845-5B28-48CC-8929-CCE81AD9F8B0}"/>
    <cellStyle name="60% - Accent5 11" xfId="1068" xr:uid="{EE2734C4-ECAD-477E-9D39-26632D57C86C}"/>
    <cellStyle name="60% - Accent5 12" xfId="1069" xr:uid="{EB3B3309-FAF5-480A-BCC5-2B93255E1EFA}"/>
    <cellStyle name="60% - Accent5 13" xfId="1070" xr:uid="{20C934A4-D794-462E-AF2D-E0FF5BBC9BC7}"/>
    <cellStyle name="60% - Accent5 14" xfId="1071" xr:uid="{4355EDBF-D832-4296-A27D-E7BB72AE1526}"/>
    <cellStyle name="60% - Accent5 15" xfId="1072" xr:uid="{1DF8A5BC-10AB-4DAC-85CC-2127402ACA2C}"/>
    <cellStyle name="60% - Accent5 16" xfId="1073" xr:uid="{58FEFDAC-51D8-4C58-B3A5-FA3805E9CC2E}"/>
    <cellStyle name="60% - Accent5 17" xfId="1074" xr:uid="{CFCF5EBB-B42B-4E48-A9AE-2430D559AE0B}"/>
    <cellStyle name="60% - Accent5 18" xfId="1075" xr:uid="{8DF89F03-33AE-4E07-A375-CFEC572CBAD7}"/>
    <cellStyle name="60% - Accent5 19" xfId="1076" xr:uid="{5AC328D1-7C67-433F-8573-496E7F13F502}"/>
    <cellStyle name="60% - Accent5 2" xfId="100" xr:uid="{2CEA3860-0C8C-4206-9015-D6C6CEE9AF51}"/>
    <cellStyle name="60% - Accent5 2 10" xfId="3664" xr:uid="{D7BF0E8E-A76B-445C-9601-5953109F3A88}"/>
    <cellStyle name="60% - Accent5 2 11" xfId="4915" xr:uid="{8A69F375-00C4-4957-BF04-AA733629F0A1}"/>
    <cellStyle name="60% - Accent5 2 2" xfId="3665" xr:uid="{0BC1CAA3-0D4D-4CFB-89ED-89A0963C1307}"/>
    <cellStyle name="60% - Accent5 2 3" xfId="3666" xr:uid="{0BBF2566-3E39-4900-8396-677A15F2DB71}"/>
    <cellStyle name="60% - Accent5 2 4" xfId="3667" xr:uid="{FF41C52C-6F6B-48F5-A181-E4E4DFFF9EBE}"/>
    <cellStyle name="60% - Accent5 2 5" xfId="3668" xr:uid="{3E235820-F1F8-4EBD-9511-B632015ED0AE}"/>
    <cellStyle name="60% - Accent5 2 6" xfId="3669" xr:uid="{17ACFD48-BB31-4EEF-9C6C-D8E02D22F81B}"/>
    <cellStyle name="60% - Accent5 2 7" xfId="3670" xr:uid="{7775A46A-85FC-4FCF-A18C-D53325F83333}"/>
    <cellStyle name="60% - Accent5 2 8" xfId="3671" xr:uid="{A16238AA-FCEA-445E-8ED6-95776350A4F6}"/>
    <cellStyle name="60% - Accent5 2 9" xfId="3672" xr:uid="{5AF889B5-803A-46F5-919E-78199EC79244}"/>
    <cellStyle name="60% - Accent5 20" xfId="1077" xr:uid="{38387BE3-1DCF-4A3E-B423-642D8C66A9F6}"/>
    <cellStyle name="60% - Accent5 21" xfId="1078" xr:uid="{6D4FCB7A-AD24-438B-9E14-BADF7A665C2B}"/>
    <cellStyle name="60% - Accent5 22" xfId="1079" xr:uid="{C637BAA7-B223-48C9-B63C-36805971A02B}"/>
    <cellStyle name="60% - Accent5 23" xfId="1080" xr:uid="{D15B404F-8D5D-4655-927E-203174A60F89}"/>
    <cellStyle name="60% - Accent5 24" xfId="1081" xr:uid="{50AC6EC1-4EE1-4EB0-ABB8-C1F12FE45A11}"/>
    <cellStyle name="60% - Accent5 25" xfId="1082" xr:uid="{39028C40-895C-404B-87A0-0A430D7ACCA3}"/>
    <cellStyle name="60% - Accent5 26" xfId="1083" xr:uid="{6DB73F61-B55E-4D34-A41F-25F067DC192C}"/>
    <cellStyle name="60% - Accent5 27" xfId="1084" xr:uid="{1A2C9A5B-9C55-4192-8924-4C32567EB217}"/>
    <cellStyle name="60% - Accent5 28" xfId="1085" xr:uid="{8C8E2447-4CEC-496F-8CE1-740247215F79}"/>
    <cellStyle name="60% - Accent5 29" xfId="1086" xr:uid="{F107E88F-14C5-4D0F-9596-70D47A579EE3}"/>
    <cellStyle name="60% - Accent5 3" xfId="101" xr:uid="{784D3A7F-CCA4-45B1-9B05-4B54E288E72D}"/>
    <cellStyle name="60% - Accent5 3 2" xfId="1087" xr:uid="{4979ED71-56D0-4DED-BB68-58181B19C927}"/>
    <cellStyle name="60% - Accent5 3 2 2" xfId="4916" xr:uid="{9BE504AE-EE0D-4794-90F0-2C069F201F66}"/>
    <cellStyle name="60% - Accent5 3 3" xfId="3673" xr:uid="{4F65BFF4-764D-4B96-BCAD-D741EB2B1BA2}"/>
    <cellStyle name="60% - Accent5 30" xfId="1088" xr:uid="{6E5FF260-37BF-4750-81FD-954C0073E9F1}"/>
    <cellStyle name="60% - Accent5 31" xfId="1089" xr:uid="{488C1AC7-50FD-4090-B965-2A231AB853B2}"/>
    <cellStyle name="60% - Accent5 32" xfId="1090" xr:uid="{11328614-AE31-4A39-8961-97CD15D90FB1}"/>
    <cellStyle name="60% - Accent5 33" xfId="1091" xr:uid="{18FFC567-6DF0-42F3-86B3-3954B92C94B6}"/>
    <cellStyle name="60% - Accent5 34" xfId="1092" xr:uid="{36D3B8B1-1C8D-41A7-8D31-42D0F05FC022}"/>
    <cellStyle name="60% - Accent5 35" xfId="1093" xr:uid="{E40779BC-E47F-4B72-92D9-774B23DD5B98}"/>
    <cellStyle name="60% - Accent5 36" xfId="1094" xr:uid="{3D9FEB20-92DB-4871-9D9F-011ECD0B73EB}"/>
    <cellStyle name="60% - Accent5 37" xfId="1095" xr:uid="{DA8A0FEB-98E7-4CCC-8AE3-C3887AD62916}"/>
    <cellStyle name="60% - Accent5 38" xfId="1096" xr:uid="{8F1CB97B-9305-4562-BB33-59122B460E27}"/>
    <cellStyle name="60% - Accent5 39" xfId="1097" xr:uid="{AFEBB4FD-F57A-48F1-83E5-52053FF8E98F}"/>
    <cellStyle name="60% - Accent5 4" xfId="1098" xr:uid="{F2192C85-23F0-4619-B090-62B33250808D}"/>
    <cellStyle name="60% - Accent5 4 2" xfId="4917" xr:uid="{FAB34632-6535-4FA0-9518-ACA513FB17F0}"/>
    <cellStyle name="60% - Accent5 40" xfId="1099" xr:uid="{D61340AD-40E7-43A0-AA0A-1C8EB12604E0}"/>
    <cellStyle name="60% - Accent5 41" xfId="1100" xr:uid="{5183895F-CB28-472C-852F-F12A11025C3D}"/>
    <cellStyle name="60% - Accent5 42" xfId="1101" xr:uid="{AD83F7A8-9160-444A-8236-A7612C023668}"/>
    <cellStyle name="60% - Accent5 43" xfId="1102" xr:uid="{188D5A4F-D9BB-4F61-92B4-AEB6847CD335}"/>
    <cellStyle name="60% - Accent5 44" xfId="51" xr:uid="{961A9124-7892-4B11-B59D-F687777B67CA}"/>
    <cellStyle name="60% - Accent5 5" xfId="1103" xr:uid="{DAE85505-F1E5-47CA-B44A-EA17786D5387}"/>
    <cellStyle name="60% - Accent5 5 2" xfId="4918" xr:uid="{F04EA611-E727-4364-9265-49FC8BECDA89}"/>
    <cellStyle name="60% - Accent5 6" xfId="1104" xr:uid="{EF5AD4AC-6C09-487A-BF9A-1C2DDA95CBB7}"/>
    <cellStyle name="60% - Accent5 6 2" xfId="4919" xr:uid="{24F01046-2E35-4D04-B4D0-298DB7EE70A8}"/>
    <cellStyle name="60% - Accent5 7" xfId="1105" xr:uid="{30EEE44B-EDF9-472B-9472-B3589A895D69}"/>
    <cellStyle name="60% - Accent5 8" xfId="1106" xr:uid="{AB0C25D8-C604-4BD3-9E35-D5FBA08E98FE}"/>
    <cellStyle name="60% - Accent5 9" xfId="1107" xr:uid="{EC98A0E9-D18E-4670-8DD5-A86DFE789533}"/>
    <cellStyle name="60% - Accent6" xfId="43" builtinId="52" customBuiltin="1"/>
    <cellStyle name="60% - Accent6 10" xfId="1108" xr:uid="{826C5EA5-69B8-4DE1-B6C9-1D7FF30F6D20}"/>
    <cellStyle name="60% - Accent6 11" xfId="1109" xr:uid="{7BAD4D66-B87E-48B4-A24D-82A971045039}"/>
    <cellStyle name="60% - Accent6 12" xfId="1110" xr:uid="{06A61E09-49F2-43CF-97FB-701FE9F6855E}"/>
    <cellStyle name="60% - Accent6 13" xfId="1111" xr:uid="{181EF93B-A672-428B-8AEF-AA16F2511237}"/>
    <cellStyle name="60% - Accent6 14" xfId="1112" xr:uid="{60B6754A-1CDF-49D4-B4B2-8BF1B8B188BD}"/>
    <cellStyle name="60% - Accent6 15" xfId="1113" xr:uid="{C186EC0F-0BA1-4E3B-BBB1-629C1417732D}"/>
    <cellStyle name="60% - Accent6 16" xfId="1114" xr:uid="{A19221A1-7972-4858-A802-5E4B9D57FDD9}"/>
    <cellStyle name="60% - Accent6 17" xfId="1115" xr:uid="{3C629582-9794-421B-BCD4-D65371A02C0E}"/>
    <cellStyle name="60% - Accent6 18" xfId="1116" xr:uid="{73D7AA93-8647-4BB5-AAEF-B0E13C758F84}"/>
    <cellStyle name="60% - Accent6 19" xfId="1117" xr:uid="{E67F2FD4-6777-4A83-9487-FAAF188433BC}"/>
    <cellStyle name="60% - Accent6 2" xfId="102" xr:uid="{CB1BAC5D-A9AC-4760-A3B0-A362ED6E47E2}"/>
    <cellStyle name="60% - Accent6 2 10" xfId="3674" xr:uid="{324C9AF0-DA60-4FBF-8108-7379C61A4832}"/>
    <cellStyle name="60% - Accent6 2 11" xfId="4920" xr:uid="{83586C24-D1CA-440A-AE7B-52DF286772D8}"/>
    <cellStyle name="60% - Accent6 2 2" xfId="3675" xr:uid="{A622E3C0-4B5C-4B12-A635-364A8C150EB3}"/>
    <cellStyle name="60% - Accent6 2 3" xfId="3676" xr:uid="{E8AC93E1-1DD8-4787-BBAB-E57023F1591B}"/>
    <cellStyle name="60% - Accent6 2 4" xfId="3677" xr:uid="{6927F3D9-B5F0-4B73-9BF9-DEB2ACF8D831}"/>
    <cellStyle name="60% - Accent6 2 5" xfId="3678" xr:uid="{7A2D7AA2-29CD-4708-9186-95922F2CDDC2}"/>
    <cellStyle name="60% - Accent6 2 6" xfId="3679" xr:uid="{35A3C9F0-FD6C-45E8-95AC-5297848984A8}"/>
    <cellStyle name="60% - Accent6 2 7" xfId="3680" xr:uid="{378D8B78-4669-48F6-B27A-12E711C71B4D}"/>
    <cellStyle name="60% - Accent6 2 8" xfId="3681" xr:uid="{3188AA86-7F1F-4789-B9C7-E69E9EC597F9}"/>
    <cellStyle name="60% - Accent6 2 9" xfId="3682" xr:uid="{22614EAC-088E-4935-96F5-8260554D84AF}"/>
    <cellStyle name="60% - Accent6 20" xfId="1118" xr:uid="{D3967B51-9F27-4C3A-8D4D-DDE25C6588A4}"/>
    <cellStyle name="60% - Accent6 21" xfId="1119" xr:uid="{F75554B9-3EAC-4F54-83C2-A5F7F7BB036E}"/>
    <cellStyle name="60% - Accent6 22" xfId="1120" xr:uid="{E23069D8-AF16-4B19-AAC1-204333E50652}"/>
    <cellStyle name="60% - Accent6 23" xfId="1121" xr:uid="{28D825F4-70EB-40B7-AE16-F981A97FB952}"/>
    <cellStyle name="60% - Accent6 24" xfId="1122" xr:uid="{4F516084-7E7F-4945-9E3C-99AD85328856}"/>
    <cellStyle name="60% - Accent6 25" xfId="1123" xr:uid="{9D2B8508-0799-4BBB-90FF-317F8C8B1DCC}"/>
    <cellStyle name="60% - Accent6 26" xfId="1124" xr:uid="{8F635443-EE04-4C16-BA1F-492F91EB3705}"/>
    <cellStyle name="60% - Accent6 27" xfId="1125" xr:uid="{908AF299-9E75-449B-8A91-5B7DAEECCB0F}"/>
    <cellStyle name="60% - Accent6 28" xfId="1126" xr:uid="{A8ABBB15-17C2-42D0-80B7-EEB3BBCC6CB3}"/>
    <cellStyle name="60% - Accent6 29" xfId="1127" xr:uid="{3923C218-2BA5-4D7E-A4A3-E56065D096F3}"/>
    <cellStyle name="60% - Accent6 3" xfId="103" xr:uid="{BF3E5D1A-4B9A-4DD4-A1EE-66D080C3880C}"/>
    <cellStyle name="60% - Accent6 3 2" xfId="1128" xr:uid="{9D3CF3A1-E25F-4EDC-BE43-B31CF46AD6E3}"/>
    <cellStyle name="60% - Accent6 3 2 2" xfId="4921" xr:uid="{2DF22B9F-41B6-415B-AF6B-CC493668911C}"/>
    <cellStyle name="60% - Accent6 3 3" xfId="3683" xr:uid="{8E103205-D55A-400B-8297-C07366339DA9}"/>
    <cellStyle name="60% - Accent6 30" xfId="1129" xr:uid="{B8455BFA-7C9C-4C92-AD1C-7C9124AD2273}"/>
    <cellStyle name="60% - Accent6 31" xfId="1130" xr:uid="{172E33DC-B9B5-478F-9A1A-420A66B9D83B}"/>
    <cellStyle name="60% - Accent6 32" xfId="1131" xr:uid="{24C5E8A2-BF0C-43C3-B5DE-4DCFF87335EC}"/>
    <cellStyle name="60% - Accent6 33" xfId="1132" xr:uid="{91850D31-CF5B-43C8-B84A-FE55C45B9054}"/>
    <cellStyle name="60% - Accent6 34" xfId="1133" xr:uid="{26D1667C-9760-498C-B5BA-B9634D16B4F7}"/>
    <cellStyle name="60% - Accent6 35" xfId="1134" xr:uid="{E27C7230-EC36-419A-B4A9-534BE33B6439}"/>
    <cellStyle name="60% - Accent6 36" xfId="1135" xr:uid="{C7F56876-45EF-488A-808A-172CFC52DFC3}"/>
    <cellStyle name="60% - Accent6 37" xfId="1136" xr:uid="{C00B978D-00DA-47A8-A124-894E269D8D12}"/>
    <cellStyle name="60% - Accent6 38" xfId="1137" xr:uid="{490D1D17-4F82-4336-B415-A1F3020F903A}"/>
    <cellStyle name="60% - Accent6 39" xfId="1138" xr:uid="{F10CB44A-FFD3-4163-856E-AA20792F357D}"/>
    <cellStyle name="60% - Accent6 4" xfId="1139" xr:uid="{136EEDEE-DD2B-427E-9A3F-C2B63EC1A8AC}"/>
    <cellStyle name="60% - Accent6 4 2" xfId="4922" xr:uid="{92AE6DC6-C40E-4E6E-B8CE-4AE6BFBFC02C}"/>
    <cellStyle name="60% - Accent6 40" xfId="1140" xr:uid="{5C9FA268-7988-4104-89E0-AD4907D8A648}"/>
    <cellStyle name="60% - Accent6 41" xfId="1141" xr:uid="{71E0DC0A-4F7C-4593-90BC-44536578B0AD}"/>
    <cellStyle name="60% - Accent6 42" xfId="1142" xr:uid="{0A48EFEA-AB99-4590-AC8F-EBADFC645500}"/>
    <cellStyle name="60% - Accent6 43" xfId="1143" xr:uid="{E4BE831C-A891-403D-AD6B-C63EC9470A7A}"/>
    <cellStyle name="60% - Accent6 44" xfId="52" xr:uid="{DBCB40CC-324F-441F-8D0F-E597DB43B3A6}"/>
    <cellStyle name="60% - Accent6 5" xfId="1144" xr:uid="{39DD50EF-4EA7-4B18-90D6-5207A1209059}"/>
    <cellStyle name="60% - Accent6 5 2" xfId="4923" xr:uid="{27A18365-A8D5-4A45-BAD9-71672978F0D9}"/>
    <cellStyle name="60% - Accent6 6" xfId="1145" xr:uid="{F9EFD323-C969-41E2-A0AC-1C9539B53AAE}"/>
    <cellStyle name="60% - Accent6 6 2" xfId="4924" xr:uid="{47CC07BF-556B-479F-8C95-030C749F53AA}"/>
    <cellStyle name="60% - Accent6 7" xfId="1146" xr:uid="{685081C2-4F9E-4878-AFA0-DF48D7ACAFA0}"/>
    <cellStyle name="60% - Accent6 8" xfId="1147" xr:uid="{ACE630A4-DD52-4684-9D8B-AAC95F3DECD7}"/>
    <cellStyle name="60% - Accent6 9" xfId="1148" xr:uid="{E45AF390-D849-48C2-9B7C-1E17EB2CF1EA}"/>
    <cellStyle name="60% - Akzent1" xfId="1149" xr:uid="{F018E8BF-80C9-485C-9163-786EE9E9173B}"/>
    <cellStyle name="60% - Akzent2" xfId="1150" xr:uid="{9BFE0D16-D209-425D-BC0A-9FAFA8B31F47}"/>
    <cellStyle name="60% - Akzent3" xfId="1151" xr:uid="{041CA786-8695-4F98-9273-C253E66E58F1}"/>
    <cellStyle name="60% - Akzent4" xfId="1152" xr:uid="{4C0F1B89-DD1D-4D31-9E94-0A704D7178C7}"/>
    <cellStyle name="60% - Akzent5" xfId="1153" xr:uid="{6C4D5CA0-2F3A-4E77-95CB-3CBB967EC681}"/>
    <cellStyle name="60% - Akzent6" xfId="1154" xr:uid="{CACCFCE3-F4E6-42D7-B1DC-7916A81FFF2C}"/>
    <cellStyle name="60% - Cor1 2" xfId="22510" xr:uid="{04EDC7E8-F00F-46DA-BA4F-89E0B837CC5B}"/>
    <cellStyle name="60% - Cor2 2" xfId="22511" xr:uid="{82D4831F-EFF3-4929-8C9C-B05D307B730B}"/>
    <cellStyle name="60% - Cor3 2" xfId="22512" xr:uid="{199BB532-560F-4296-ABC9-079CC80CEF44}"/>
    <cellStyle name="60% - Cor4 2" xfId="1155" xr:uid="{A77EF205-B254-4267-8EE5-677CFD847D85}"/>
    <cellStyle name="60% - Cor4 3" xfId="22513" xr:uid="{46E6AE01-B272-4EAD-B50D-CA974E64D9A2}"/>
    <cellStyle name="60% - Cor5 2" xfId="22514" xr:uid="{D8C7A2C0-7A19-49A6-9E63-92273971C429}"/>
    <cellStyle name="60% - Cor6 2" xfId="22515" xr:uid="{B28494AD-5224-4E34-AC16-CD1F38A7DE36}"/>
    <cellStyle name="Accent1" xfId="20" builtinId="29" customBuiltin="1"/>
    <cellStyle name="Accent1 10" xfId="1156" xr:uid="{0B08DAB1-C9CC-4FD7-A848-3B457D18FE3C}"/>
    <cellStyle name="Accent1 11" xfId="1157" xr:uid="{DFBF68B0-BBDB-4959-BBAD-92BAA1964A6A}"/>
    <cellStyle name="Accent1 12" xfId="1158" xr:uid="{24BCB736-9F20-4019-BD93-51276E09112A}"/>
    <cellStyle name="Accent1 13" xfId="1159" xr:uid="{30AD9F7C-1068-4B2A-8CA4-D5CA97607E9A}"/>
    <cellStyle name="Accent1 14" xfId="1160" xr:uid="{27E1E603-43F2-4253-A3B5-228F92099774}"/>
    <cellStyle name="Accent1 15" xfId="1161" xr:uid="{2987384F-365C-41C1-BAD9-CA78A94182DA}"/>
    <cellStyle name="Accent1 16" xfId="1162" xr:uid="{29B79941-023C-4FF8-B34A-1A4E88FBF6A4}"/>
    <cellStyle name="Accent1 17" xfId="1163" xr:uid="{96B6D919-A568-4452-85CC-BFD1A20FA858}"/>
    <cellStyle name="Accent1 18" xfId="1164" xr:uid="{E9349548-FE2C-40C5-AFA4-1DC4D20B2DDF}"/>
    <cellStyle name="Accent1 19" xfId="1165" xr:uid="{E06B274D-2063-4A4B-AAE7-A9BE47E93ECF}"/>
    <cellStyle name="Accent1 2" xfId="104" xr:uid="{C0700339-0829-4CBD-B362-8DB585782BFE}"/>
    <cellStyle name="Accent1 2 10" xfId="3684" xr:uid="{62BACB63-7B73-44CD-9B2A-0E7BC0578337}"/>
    <cellStyle name="Accent1 2 11" xfId="4925" xr:uid="{0C806016-9F65-402D-87D0-FF5650076377}"/>
    <cellStyle name="Accent1 2 2" xfId="3685" xr:uid="{CDAABE12-AA08-4B68-A3F7-CE9B9F101304}"/>
    <cellStyle name="Accent1 2 3" xfId="3686" xr:uid="{420FACDA-7BA6-47DF-82A9-8168C49BA07B}"/>
    <cellStyle name="Accent1 2 4" xfId="3687" xr:uid="{750DC955-86C6-4C73-82EF-186AC20024D7}"/>
    <cellStyle name="Accent1 2 5" xfId="3688" xr:uid="{F013A5F1-945F-4DD7-89D3-BABC80FEDBF1}"/>
    <cellStyle name="Accent1 2 6" xfId="3689" xr:uid="{07988FA5-55DB-4602-A54B-BF0815080A0F}"/>
    <cellStyle name="Accent1 2 7" xfId="3690" xr:uid="{F30FDC68-D6DD-4BDB-AB4D-2195A44EA3B7}"/>
    <cellStyle name="Accent1 2 8" xfId="3691" xr:uid="{52A87B0C-5AC1-42FF-92F7-8D4E278402FE}"/>
    <cellStyle name="Accent1 2 9" xfId="3692" xr:uid="{2C416DAE-EE47-46DA-9EE3-E5627DA8A4CF}"/>
    <cellStyle name="Accent1 20" xfId="1166" xr:uid="{4203AFF8-DDE5-466C-89B9-66DCED1285D0}"/>
    <cellStyle name="Accent1 21" xfId="1167" xr:uid="{9B2DDE3D-9614-4007-AB3A-1014A793F100}"/>
    <cellStyle name="Accent1 22" xfId="1168" xr:uid="{2294BE4E-51F2-4B4A-A388-229C3F5E948A}"/>
    <cellStyle name="Accent1 23" xfId="1169" xr:uid="{9128F33B-A68F-41E8-A35C-121645ABE4C1}"/>
    <cellStyle name="Accent1 24" xfId="1170" xr:uid="{6CDEE863-6D57-483F-BD66-420F337AAFA7}"/>
    <cellStyle name="Accent1 25" xfId="1171" xr:uid="{262ADD09-209F-4A4D-9B6A-D7C4A386A3B7}"/>
    <cellStyle name="Accent1 26" xfId="1172" xr:uid="{2A8A2D97-6A9C-4AA1-8F63-D9254D56ADE2}"/>
    <cellStyle name="Accent1 27" xfId="1173" xr:uid="{6BAA4BA4-6B26-4DCB-B514-1CFB74399921}"/>
    <cellStyle name="Accent1 28" xfId="1174" xr:uid="{A99704B2-E9DC-4F59-A7BD-D44C51058F2F}"/>
    <cellStyle name="Accent1 29" xfId="1175" xr:uid="{1CAE4E6C-26B3-4DD5-8376-2BD4E591FDB0}"/>
    <cellStyle name="Accent1 3" xfId="105" xr:uid="{635E8383-F2A2-4EA1-9AA2-C9DE4BE7930C}"/>
    <cellStyle name="Accent1 3 2" xfId="1176" xr:uid="{2FBDA39C-4C95-4EE8-93C7-AA9E223CC584}"/>
    <cellStyle name="Accent1 3 2 2" xfId="4926" xr:uid="{99C6F2EE-3EB0-485B-A0D0-1C04793B50F3}"/>
    <cellStyle name="Accent1 3 3" xfId="3693" xr:uid="{99615025-24B3-483D-A74B-19A19A3D55D4}"/>
    <cellStyle name="Accent1 30" xfId="1177" xr:uid="{B441A12A-8709-4EDA-9C97-C88430454B4E}"/>
    <cellStyle name="Accent1 31" xfId="1178" xr:uid="{573D5208-7895-49B5-B683-067466A3DA77}"/>
    <cellStyle name="Accent1 32" xfId="1179" xr:uid="{1D60C3B3-77E1-4B00-B49B-427A7C2F2D71}"/>
    <cellStyle name="Accent1 33" xfId="1180" xr:uid="{ED3693E6-F89F-4856-981D-014341852500}"/>
    <cellStyle name="Accent1 34" xfId="1181" xr:uid="{2961D30B-3ADC-4F5D-8436-2893ABD0F368}"/>
    <cellStyle name="Accent1 35" xfId="1182" xr:uid="{DCD121C4-28B2-4514-91A6-AC2D4B3810B6}"/>
    <cellStyle name="Accent1 36" xfId="1183" xr:uid="{537789C7-04C8-44F0-B84E-ACE66EDE80FD}"/>
    <cellStyle name="Accent1 37" xfId="1184" xr:uid="{68E919A6-FB54-49BC-9A03-122F9403BC91}"/>
    <cellStyle name="Accent1 38" xfId="1185" xr:uid="{E778399A-36E1-44A4-BF8D-57ED32297B59}"/>
    <cellStyle name="Accent1 39" xfId="1186" xr:uid="{0C16F1B1-EBDB-484C-968C-C32C1112B463}"/>
    <cellStyle name="Accent1 4" xfId="1187" xr:uid="{6AAA74DE-717E-4956-B8D1-2EC99035E0DC}"/>
    <cellStyle name="Accent1 4 2" xfId="4927" xr:uid="{238C3113-D5E2-4090-92F8-79F4D53FD876}"/>
    <cellStyle name="Accent1 40" xfId="1188" xr:uid="{6AB51320-0C2D-4DB7-A622-60AE0BB6450A}"/>
    <cellStyle name="Accent1 41" xfId="1189" xr:uid="{84223A03-21C6-4894-A39E-C00FBF4385C8}"/>
    <cellStyle name="Accent1 42" xfId="1190" xr:uid="{93E26CC1-4326-4714-AD1B-8190489E26F2}"/>
    <cellStyle name="Accent1 43" xfId="1191" xr:uid="{0DDD5FE1-DA70-4504-AD7C-24126AC407EB}"/>
    <cellStyle name="Accent1 5" xfId="1192" xr:uid="{FB8136D5-B8FF-4EF6-82FC-6D5B2CDC8732}"/>
    <cellStyle name="Accent1 5 2" xfId="4928" xr:uid="{4580AAC3-F99D-49AC-B291-442E94119762}"/>
    <cellStyle name="Accent1 6" xfId="1193" xr:uid="{CD1C60A5-7346-44A4-910F-3CC2E9091424}"/>
    <cellStyle name="Accent1 6 2" xfId="4929" xr:uid="{8844636D-D6CC-4C85-815B-7BBAF4B5BC82}"/>
    <cellStyle name="Accent1 7" xfId="1194" xr:uid="{058B7E7A-0FAE-4765-B08F-5B772FE445FA}"/>
    <cellStyle name="Accent1 8" xfId="1195" xr:uid="{96AB0DB0-5563-4CCD-86E1-687AEB40B593}"/>
    <cellStyle name="Accent1 9" xfId="1196" xr:uid="{01C274CA-5C81-4AAD-82FB-5B3827A882D7}"/>
    <cellStyle name="Accent2" xfId="24" builtinId="33" customBuiltin="1"/>
    <cellStyle name="Accent2 10" xfId="1197" xr:uid="{694665CD-1764-4BC6-8754-8F59EEC1DD90}"/>
    <cellStyle name="Accent2 11" xfId="1198" xr:uid="{1B1FC62D-1882-4BD5-B065-5D9F16526DEB}"/>
    <cellStyle name="Accent2 12" xfId="1199" xr:uid="{2D1AED0D-6933-42EA-B788-C3F600FE1DB0}"/>
    <cellStyle name="Accent2 13" xfId="1200" xr:uid="{DBF6BE0D-97FB-42F8-86C1-FC3F3C63666D}"/>
    <cellStyle name="Accent2 14" xfId="1201" xr:uid="{6862E777-FBE5-4F5B-A653-38F588532CEC}"/>
    <cellStyle name="Accent2 15" xfId="1202" xr:uid="{E2EEC351-4F8A-47AA-A6E5-350482F9FB8F}"/>
    <cellStyle name="Accent2 16" xfId="1203" xr:uid="{B922F65F-0032-453E-977D-35BB70D03639}"/>
    <cellStyle name="Accent2 17" xfId="1204" xr:uid="{EC68FB4D-CA02-4956-88CE-3B98AF82128D}"/>
    <cellStyle name="Accent2 18" xfId="1205" xr:uid="{FEB54446-451F-42E8-91BD-CFDF80C12F02}"/>
    <cellStyle name="Accent2 19" xfId="1206" xr:uid="{439E5EAF-EE47-4993-B73B-8932165C6398}"/>
    <cellStyle name="Accent2 2" xfId="106" xr:uid="{8BB6CA14-6E81-4469-897C-0CD6817DA95A}"/>
    <cellStyle name="Accent2 2 10" xfId="3694" xr:uid="{9FE00E15-1097-44E5-A8F4-B9999B1F316F}"/>
    <cellStyle name="Accent2 2 11" xfId="4930" xr:uid="{D8B502AC-B70E-4F0F-9504-10532CB62E37}"/>
    <cellStyle name="Accent2 2 2" xfId="3695" xr:uid="{4B33BAF0-2FB2-484E-828E-2D87E6FB47D6}"/>
    <cellStyle name="Accent2 2 3" xfId="3696" xr:uid="{52A534BB-953A-411F-B8F3-C24FAD15C86D}"/>
    <cellStyle name="Accent2 2 4" xfId="3697" xr:uid="{5BD75BC1-B87E-438E-8F15-F876FE0F6D25}"/>
    <cellStyle name="Accent2 2 5" xfId="3698" xr:uid="{BB1CE0AF-FF9E-478A-9A8E-DAF1455D77C0}"/>
    <cellStyle name="Accent2 2 6" xfId="3699" xr:uid="{5CA25D73-CAF2-40BD-92B9-4BE04F99FBA1}"/>
    <cellStyle name="Accent2 2 7" xfId="3700" xr:uid="{64551BE0-D8BA-4B86-83DF-AC54654F09C9}"/>
    <cellStyle name="Accent2 2 8" xfId="3701" xr:uid="{0892B7D3-9C29-4F91-B30D-32B15BF90258}"/>
    <cellStyle name="Accent2 2 9" xfId="3702" xr:uid="{F1DFB7BB-A734-485F-AD02-0BC96A3EBCC3}"/>
    <cellStyle name="Accent2 20" xfId="1207" xr:uid="{8572F7B4-96D9-4428-954D-5249BB9F8667}"/>
    <cellStyle name="Accent2 21" xfId="1208" xr:uid="{2B04B86C-0774-4201-968D-3821973EB092}"/>
    <cellStyle name="Accent2 22" xfId="1209" xr:uid="{6D83A2FD-2254-4C0E-B3B6-E123109323FD}"/>
    <cellStyle name="Accent2 23" xfId="1210" xr:uid="{58F3241A-0B57-4404-A578-990410668A7A}"/>
    <cellStyle name="Accent2 24" xfId="1211" xr:uid="{0C88E66D-3073-45F9-BA1F-3D27430B41B9}"/>
    <cellStyle name="Accent2 25" xfId="1212" xr:uid="{421FD9B0-8EA0-4A98-8064-38900D8BC724}"/>
    <cellStyle name="Accent2 26" xfId="1213" xr:uid="{66C1EF78-D5DA-4383-9099-F358DF2129F2}"/>
    <cellStyle name="Accent2 27" xfId="1214" xr:uid="{B34D49E2-1BE1-4132-9F6C-F4846E31D212}"/>
    <cellStyle name="Accent2 28" xfId="1215" xr:uid="{B0335938-05A5-4ED3-8340-C14FA0AF9E02}"/>
    <cellStyle name="Accent2 29" xfId="1216" xr:uid="{DEB0C210-C476-46D3-AD0E-4CA91BF872C7}"/>
    <cellStyle name="Accent2 3" xfId="107" xr:uid="{4B98ED44-12C3-4F7F-AEA2-6A085CEC204F}"/>
    <cellStyle name="Accent2 3 2" xfId="1217" xr:uid="{D4B8D6D7-25BB-4401-8009-FC3386410CDD}"/>
    <cellStyle name="Accent2 3 2 2" xfId="4931" xr:uid="{EBE3FACC-394A-413A-9756-D55572083B0B}"/>
    <cellStyle name="Accent2 3 3" xfId="3703" xr:uid="{1E3886D8-C9A4-4E3E-9898-B05F62146609}"/>
    <cellStyle name="Accent2 30" xfId="1218" xr:uid="{526C22AF-93CD-4270-8ACE-BFFD2A44E693}"/>
    <cellStyle name="Accent2 31" xfId="1219" xr:uid="{DB321FE7-6DB7-4AD6-B8B8-F8F22562BDBE}"/>
    <cellStyle name="Accent2 32" xfId="1220" xr:uid="{9A62B6FD-6C98-43CE-8FD1-8D85B37F0307}"/>
    <cellStyle name="Accent2 33" xfId="1221" xr:uid="{5AA59D78-5632-4D84-9B96-6FF0913C6BDC}"/>
    <cellStyle name="Accent2 34" xfId="1222" xr:uid="{41483746-DA99-4AF6-8908-BD0DE40B8A18}"/>
    <cellStyle name="Accent2 35" xfId="1223" xr:uid="{1C5C69A3-4DAF-4652-9E34-15D9E2DD822E}"/>
    <cellStyle name="Accent2 36" xfId="1224" xr:uid="{0C12AC51-786A-4CC2-8257-955F8E1B399B}"/>
    <cellStyle name="Accent2 37" xfId="1225" xr:uid="{6EC27E3C-7B6B-4890-84C9-DCCBA581D7D3}"/>
    <cellStyle name="Accent2 38" xfId="1226" xr:uid="{DEE1087E-8870-4EB6-BF57-32A346CD41FA}"/>
    <cellStyle name="Accent2 39" xfId="1227" xr:uid="{636B6790-21AF-42DE-8596-7537EBA8FB4D}"/>
    <cellStyle name="Accent2 4" xfId="1228" xr:uid="{713B18C0-212E-4341-AFEE-C4166AF10815}"/>
    <cellStyle name="Accent2 4 2" xfId="4932" xr:uid="{52649B23-F8AD-45DE-B13D-13663C415A00}"/>
    <cellStyle name="Accent2 40" xfId="1229" xr:uid="{89E88EF7-AE87-4495-BD29-5266192A0B48}"/>
    <cellStyle name="Accent2 41" xfId="1230" xr:uid="{48AA9A95-1F5F-4FCB-B6D5-2578CE95DE61}"/>
    <cellStyle name="Accent2 42" xfId="1231" xr:uid="{EEE9BD59-0075-46DA-8D31-CEAECB4D4DB2}"/>
    <cellStyle name="Accent2 43" xfId="1232" xr:uid="{FC0C5D13-2ADF-4487-910C-1C8D595C35D2}"/>
    <cellStyle name="Accent2 5" xfId="1233" xr:uid="{89002F5D-D8A8-4DF0-B46F-8ABA3BC133A4}"/>
    <cellStyle name="Accent2 5 2" xfId="4933" xr:uid="{C87BED77-3C79-4643-AB91-7CECBBFCEA03}"/>
    <cellStyle name="Accent2 6" xfId="1234" xr:uid="{5060AE16-8289-410E-8CDF-75D630BE89A3}"/>
    <cellStyle name="Accent2 6 2" xfId="4934" xr:uid="{21E286FE-B76C-4A9B-810F-7B82E8A18AAC}"/>
    <cellStyle name="Accent2 7" xfId="1235" xr:uid="{1A5008C8-8CF4-40D9-9A79-457FE4DE777D}"/>
    <cellStyle name="Accent2 8" xfId="1236" xr:uid="{940BD72F-778D-477F-BD7A-520732DF3A47}"/>
    <cellStyle name="Accent2 9" xfId="1237" xr:uid="{E62CD03E-9E5E-4791-9EF9-7ACAEEE17EA5}"/>
    <cellStyle name="Accent3" xfId="28" builtinId="37" customBuiltin="1"/>
    <cellStyle name="Accent3 10" xfId="1238" xr:uid="{C67EBCA3-0178-42E7-B1B0-6E38652A29B8}"/>
    <cellStyle name="Accent3 11" xfId="1239" xr:uid="{0B7D05D3-FE71-494C-A689-60665BA736B8}"/>
    <cellStyle name="Accent3 12" xfId="1240" xr:uid="{11FCA5CD-4C60-44E6-9C45-22C3A31576FB}"/>
    <cellStyle name="Accent3 13" xfId="1241" xr:uid="{6B97C703-EB18-4977-842B-59EF68AA012B}"/>
    <cellStyle name="Accent3 14" xfId="1242" xr:uid="{19116A25-3CB9-4EC0-B4F7-17A30DD6C8F5}"/>
    <cellStyle name="Accent3 15" xfId="1243" xr:uid="{6CB4EDEE-1F8C-4C9D-BBEB-E9D857EF5950}"/>
    <cellStyle name="Accent3 16" xfId="1244" xr:uid="{A12ABDE7-1590-4396-90A4-559DB717215D}"/>
    <cellStyle name="Accent3 17" xfId="1245" xr:uid="{0BF3AFEF-09B8-48B4-8039-1C4BB515C3C9}"/>
    <cellStyle name="Accent3 18" xfId="1246" xr:uid="{8626D297-ABA2-4CE1-9AFF-EE6CB9919F34}"/>
    <cellStyle name="Accent3 19" xfId="1247" xr:uid="{50C6E5B1-2097-4C8E-A8FD-B6E78EB94F34}"/>
    <cellStyle name="Accent3 2" xfId="108" xr:uid="{5A9ECC54-86B5-46D1-A150-D6A54D042860}"/>
    <cellStyle name="Accent3 2 10" xfId="3704" xr:uid="{2B61E42D-FD67-4502-89ED-0098FD949014}"/>
    <cellStyle name="Accent3 2 11" xfId="4935" xr:uid="{C3689821-C529-4D52-81CC-5E2059C6CC6E}"/>
    <cellStyle name="Accent3 2 2" xfId="3705" xr:uid="{D287F075-08E8-484E-99A5-0877332F872A}"/>
    <cellStyle name="Accent3 2 3" xfId="3706" xr:uid="{D2B981DB-50BB-434D-98ED-85DF39BB67BC}"/>
    <cellStyle name="Accent3 2 4" xfId="3707" xr:uid="{23A795A7-D384-424C-B1E7-340002FA5C10}"/>
    <cellStyle name="Accent3 2 5" xfId="3708" xr:uid="{D80A27AF-D79A-4839-80E4-49B071B36C9A}"/>
    <cellStyle name="Accent3 2 6" xfId="3709" xr:uid="{BEE4874F-D6A9-471B-B350-B917CD21EFCB}"/>
    <cellStyle name="Accent3 2 7" xfId="3710" xr:uid="{39680F3D-C9F3-4E14-AD0D-00FE586869D2}"/>
    <cellStyle name="Accent3 2 8" xfId="3711" xr:uid="{8A79D9F7-617F-4249-BBEF-C146001E5CED}"/>
    <cellStyle name="Accent3 2 9" xfId="3712" xr:uid="{9AE30FEA-D381-43FF-A051-5AD9A80B6C25}"/>
    <cellStyle name="Accent3 20" xfId="1248" xr:uid="{24FA6DFD-58B1-4270-8884-52BA2A290F92}"/>
    <cellStyle name="Accent3 21" xfId="1249" xr:uid="{358152D9-F5C6-4039-95E4-DFDC42948390}"/>
    <cellStyle name="Accent3 22" xfId="1250" xr:uid="{4C73069B-7151-41A7-92F7-57FB23C4E2C7}"/>
    <cellStyle name="Accent3 23" xfId="1251" xr:uid="{CEE6FD8F-8685-4085-9F95-862D2EAECB9B}"/>
    <cellStyle name="Accent3 24" xfId="1252" xr:uid="{722642F5-6AF8-411E-A8B8-8EE9D1F5114B}"/>
    <cellStyle name="Accent3 25" xfId="1253" xr:uid="{300B4A83-43FF-40A4-9FE0-47364C69CDC8}"/>
    <cellStyle name="Accent3 26" xfId="1254" xr:uid="{C05ED350-5329-404D-B6CF-C8F349D64591}"/>
    <cellStyle name="Accent3 27" xfId="1255" xr:uid="{A88B2A34-87AA-4A78-A435-CFCC46C47C8A}"/>
    <cellStyle name="Accent3 28" xfId="1256" xr:uid="{E32B665B-A947-479E-9E8E-CE3A5FA9A5BA}"/>
    <cellStyle name="Accent3 29" xfId="1257" xr:uid="{66FAD023-5AB8-421A-B8AB-62154269549B}"/>
    <cellStyle name="Accent3 3" xfId="109" xr:uid="{D6324494-B8C5-4D9D-A381-33F99273E0E4}"/>
    <cellStyle name="Accent3 3 2" xfId="1258" xr:uid="{C7B1C289-F4D2-42C7-A2EC-FDE593E2CCD5}"/>
    <cellStyle name="Accent3 3 2 2" xfId="4936" xr:uid="{EAC1C5B8-1CD4-4DDF-A9D0-FA6DC4581F1E}"/>
    <cellStyle name="Accent3 3 3" xfId="3713" xr:uid="{C77D2670-B88C-4ADB-8C87-044D1AA20FAD}"/>
    <cellStyle name="Accent3 30" xfId="1259" xr:uid="{E7BFFD2A-DE5C-46CC-972D-FE03C0CF7688}"/>
    <cellStyle name="Accent3 31" xfId="1260" xr:uid="{2355B6B6-5EBC-49BD-8F8E-9479DF11F6FE}"/>
    <cellStyle name="Accent3 32" xfId="1261" xr:uid="{CCDDE0B6-E4AB-41D3-9702-88E7193F6C94}"/>
    <cellStyle name="Accent3 33" xfId="1262" xr:uid="{1E4FCC4E-9D77-4A33-B27F-EA48E118B6BB}"/>
    <cellStyle name="Accent3 34" xfId="1263" xr:uid="{5D1EFCB0-ECCF-4B63-B149-83000FF76D67}"/>
    <cellStyle name="Accent3 35" xfId="1264" xr:uid="{8E01920E-CDF5-4483-96DD-48C692A4C7E8}"/>
    <cellStyle name="Accent3 36" xfId="1265" xr:uid="{14BFBD3B-D48C-4926-A332-E119D9C10581}"/>
    <cellStyle name="Accent3 37" xfId="1266" xr:uid="{77B489D9-CB4B-4EAE-A469-AFAE7CC57204}"/>
    <cellStyle name="Accent3 38" xfId="1267" xr:uid="{AF6872C0-86DB-45BF-911F-96DC5A0FD1F9}"/>
    <cellStyle name="Accent3 39" xfId="1268" xr:uid="{65C8A4DA-6035-4DB7-BC67-C3CF6E0CE9A5}"/>
    <cellStyle name="Accent3 4" xfId="1269" xr:uid="{80AFA846-CC1F-41E6-B584-8C9BAD079975}"/>
    <cellStyle name="Accent3 4 2" xfId="4937" xr:uid="{BCDE8667-1415-45C5-AC5F-F25CDA0BD006}"/>
    <cellStyle name="Accent3 40" xfId="1270" xr:uid="{EA1CE33D-3FD9-4E48-93FB-2B130DB8D61F}"/>
    <cellStyle name="Accent3 41" xfId="1271" xr:uid="{A215E941-62BE-4978-B324-0A4E5280BADC}"/>
    <cellStyle name="Accent3 42" xfId="1272" xr:uid="{59834F7A-9DEE-4289-868D-5C2402749320}"/>
    <cellStyle name="Accent3 43" xfId="1273" xr:uid="{E965B628-2997-4E26-8E24-D479A54DBF2E}"/>
    <cellStyle name="Accent3 5" xfId="1274" xr:uid="{93F2A984-FA73-4FB9-A315-9359A20B22AF}"/>
    <cellStyle name="Accent3 5 2" xfId="4938" xr:uid="{4D2F9E6B-B357-4B17-8D0E-4ABEC99B9DD2}"/>
    <cellStyle name="Accent3 6" xfId="1275" xr:uid="{BE9E163D-8FBB-49CC-BF85-AFD7110C7E87}"/>
    <cellStyle name="Accent3 6 2" xfId="4939" xr:uid="{22687C16-3839-4F6B-8D5C-1F7B1EF31822}"/>
    <cellStyle name="Accent3 7" xfId="1276" xr:uid="{BF6D965F-D776-4785-B5EF-45A3C7F7C8B1}"/>
    <cellStyle name="Accent3 8" xfId="1277" xr:uid="{84F3CA20-7C29-485E-AA7D-EAB1C6620587}"/>
    <cellStyle name="Accent3 9" xfId="1278" xr:uid="{AAC17FDA-4466-44FB-9875-D5FF3A96327E}"/>
    <cellStyle name="Accent4" xfId="32" builtinId="41" customBuiltin="1"/>
    <cellStyle name="Accent4 10" xfId="1279" xr:uid="{8E9DD60F-FE5C-43DB-976B-C99CB44D0235}"/>
    <cellStyle name="Accent4 11" xfId="1280" xr:uid="{A6B35929-B906-4986-8038-BEF32C4275C5}"/>
    <cellStyle name="Accent4 12" xfId="1281" xr:uid="{79D151DB-0795-4009-BCB5-7259DA97F76B}"/>
    <cellStyle name="Accent4 13" xfId="1282" xr:uid="{EE1782BD-2458-40DC-9405-C965653E9B32}"/>
    <cellStyle name="Accent4 14" xfId="1283" xr:uid="{C8D807CD-166A-407C-888A-16C6EC2448A1}"/>
    <cellStyle name="Accent4 15" xfId="1284" xr:uid="{873968D3-01C6-4FE1-AB4C-62F67465822F}"/>
    <cellStyle name="Accent4 16" xfId="1285" xr:uid="{0DDBCAAA-3661-465D-AD8B-D8318EEA9ABC}"/>
    <cellStyle name="Accent4 17" xfId="1286" xr:uid="{FBEFF601-BA41-4DF4-841E-F0E2261E3AE3}"/>
    <cellStyle name="Accent4 18" xfId="1287" xr:uid="{A5667C24-E0B2-46C2-AF90-969A0B0B3788}"/>
    <cellStyle name="Accent4 19" xfId="1288" xr:uid="{5A1B09AE-6B14-4CE8-99E2-72886756C38E}"/>
    <cellStyle name="Accent4 2" xfId="110" xr:uid="{0BE82C23-108F-4418-92AB-3866EC37AA2B}"/>
    <cellStyle name="Accent4 2 10" xfId="3714" xr:uid="{22E8B5F6-504B-47B2-B9CD-B7EC93E593F5}"/>
    <cellStyle name="Accent4 2 11" xfId="4940" xr:uid="{88FC88F6-19D5-4461-B48A-00DA36E462E3}"/>
    <cellStyle name="Accent4 2 2" xfId="3715" xr:uid="{64481AB6-0D1C-4C95-8F8D-2B300D94F59C}"/>
    <cellStyle name="Accent4 2 3" xfId="3716" xr:uid="{4ECAF1D5-4003-41C4-98CD-09672153AFFC}"/>
    <cellStyle name="Accent4 2 4" xfId="3717" xr:uid="{D7B0CA83-A33C-4A0A-A2C0-293F9B996058}"/>
    <cellStyle name="Accent4 2 5" xfId="3718" xr:uid="{5839BE65-DF50-4D98-BE5A-4D188E6AF0C9}"/>
    <cellStyle name="Accent4 2 6" xfId="3719" xr:uid="{67F64AEC-66AF-4A69-A5BD-4BC9FBDE35DB}"/>
    <cellStyle name="Accent4 2 7" xfId="3720" xr:uid="{11394112-BC80-4912-A490-78571A660CF5}"/>
    <cellStyle name="Accent4 2 8" xfId="3721" xr:uid="{F103D2FD-532A-443C-B69F-6BEC1BF10458}"/>
    <cellStyle name="Accent4 2 9" xfId="3722" xr:uid="{36D214F9-F2DC-4C41-BAEE-35D04A507F51}"/>
    <cellStyle name="Accent4 20" xfId="1289" xr:uid="{FA84670E-DC18-4D05-ADBC-E4CFE195DBE7}"/>
    <cellStyle name="Accent4 21" xfId="1290" xr:uid="{E68917CF-2F37-44AE-8E1E-725ECFD7F865}"/>
    <cellStyle name="Accent4 22" xfId="1291" xr:uid="{C27302B5-DDE3-44C1-9710-8631DD044DBC}"/>
    <cellStyle name="Accent4 23" xfId="1292" xr:uid="{FA9E6854-BF98-4265-ADEA-30D53CADD28F}"/>
    <cellStyle name="Accent4 24" xfId="1293" xr:uid="{69D6B035-C2B3-43C2-86F2-1A44664FF180}"/>
    <cellStyle name="Accent4 25" xfId="1294" xr:uid="{7A1DCE6D-8A88-49F2-B499-C6669588F8E2}"/>
    <cellStyle name="Accent4 26" xfId="1295" xr:uid="{EC10962E-3363-42AE-B2D8-EF0FF3229070}"/>
    <cellStyle name="Accent4 27" xfId="1296" xr:uid="{7D68DD36-58F6-4DEC-944C-E59C47CF8A35}"/>
    <cellStyle name="Accent4 28" xfId="1297" xr:uid="{CAF1F408-68FE-4D5D-827E-19316D4EAC9F}"/>
    <cellStyle name="Accent4 29" xfId="1298" xr:uid="{4808B56C-C9F0-447F-BA11-C2F654719F60}"/>
    <cellStyle name="Accent4 3" xfId="111" xr:uid="{3A5EEFB0-D5CE-4599-9366-06EFB922CDBA}"/>
    <cellStyle name="Accent4 3 2" xfId="1299" xr:uid="{577C1D89-87AA-4D61-9B0F-A26F3033500A}"/>
    <cellStyle name="Accent4 3 2 2" xfId="4941" xr:uid="{CB47FCA1-DA2F-4472-AFE9-526A8734A011}"/>
    <cellStyle name="Accent4 3 3" xfId="3723" xr:uid="{25B89D7C-A37D-4DFD-8325-2122C53C14D2}"/>
    <cellStyle name="Accent4 30" xfId="1300" xr:uid="{3C910DA4-BB36-4BB2-AF51-206DF0DF85EA}"/>
    <cellStyle name="Accent4 31" xfId="1301" xr:uid="{156E822B-D6F4-4EE5-8618-EABDFED10252}"/>
    <cellStyle name="Accent4 32" xfId="1302" xr:uid="{9619B58D-9555-405F-AE2D-0A0521473DFE}"/>
    <cellStyle name="Accent4 33" xfId="1303" xr:uid="{1BF7270F-29AE-405C-98BF-DEDF8034ABF3}"/>
    <cellStyle name="Accent4 34" xfId="1304" xr:uid="{43319E63-9E0A-4710-8258-6E4B7CC5C5DD}"/>
    <cellStyle name="Accent4 35" xfId="1305" xr:uid="{E11A45A3-BA2E-468A-B069-F89D6FC6E29D}"/>
    <cellStyle name="Accent4 36" xfId="1306" xr:uid="{62CAD8B5-82AA-4164-992D-23B30DB8F8AE}"/>
    <cellStyle name="Accent4 37" xfId="1307" xr:uid="{0E69601C-8795-45AB-ACAB-F35904AEA353}"/>
    <cellStyle name="Accent4 38" xfId="1308" xr:uid="{2059923C-9B6D-43F2-A06D-699B7CBF95C6}"/>
    <cellStyle name="Accent4 39" xfId="1309" xr:uid="{B9CBE788-2E50-4BB9-9289-BEF50005FEEC}"/>
    <cellStyle name="Accent4 4" xfId="1310" xr:uid="{891C92F9-5F6D-4E18-A6CE-C3645E297B98}"/>
    <cellStyle name="Accent4 4 2" xfId="4942" xr:uid="{67994275-C8B2-4DD6-8EA9-C48CC4873F30}"/>
    <cellStyle name="Accent4 40" xfId="1311" xr:uid="{2AB4865B-DC8A-4E2D-916E-9FA3225C0CF6}"/>
    <cellStyle name="Accent4 41" xfId="1312" xr:uid="{624B5EC1-A2C8-4C57-A3AB-6E423A26C04E}"/>
    <cellStyle name="Accent4 42" xfId="1313" xr:uid="{CF540C27-2400-4FFB-82C7-F51F0A8DF852}"/>
    <cellStyle name="Accent4 43" xfId="1314" xr:uid="{9AC20B5C-420A-46D6-BB03-7BA0DB1CBEE8}"/>
    <cellStyle name="Accent4 5" xfId="1315" xr:uid="{9AACE261-8BA3-4865-9F2C-DFDE18A4B746}"/>
    <cellStyle name="Accent4 5 2" xfId="4943" xr:uid="{ABB26DC4-A957-43F0-B507-283061366DD7}"/>
    <cellStyle name="Accent4 6" xfId="1316" xr:uid="{55262C77-8439-4C5E-B4F1-91316A30D405}"/>
    <cellStyle name="Accent4 6 2" xfId="4944" xr:uid="{9F878AE5-5E4A-4D7A-A371-3A1540220B1A}"/>
    <cellStyle name="Accent4 7" xfId="1317" xr:uid="{8B42ED57-A46B-4651-BCEA-7DE04DF9BE0F}"/>
    <cellStyle name="Accent4 8" xfId="1318" xr:uid="{A2E725FC-2F69-4ED1-8E8F-AAD8FACF29B6}"/>
    <cellStyle name="Accent4 9" xfId="1319" xr:uid="{86C68559-00C3-4020-B844-4DB901EBBC95}"/>
    <cellStyle name="Accent5" xfId="36" builtinId="45" customBuiltin="1"/>
    <cellStyle name="Accent5 10" xfId="1320" xr:uid="{241F6D0F-C4B1-487A-B952-93AE95FD92F7}"/>
    <cellStyle name="Accent5 11" xfId="1321" xr:uid="{C8499675-EF77-4997-93A9-5A7CD9189637}"/>
    <cellStyle name="Accent5 12" xfId="1322" xr:uid="{7FFE439D-A0B1-4834-A5C9-A2546EDBE732}"/>
    <cellStyle name="Accent5 13" xfId="1323" xr:uid="{FFC6EC26-949E-4A90-BB0D-1F7F1EEC4E31}"/>
    <cellStyle name="Accent5 14" xfId="1324" xr:uid="{08C40399-E464-4E3B-9874-BAC66CF82EE5}"/>
    <cellStyle name="Accent5 15" xfId="1325" xr:uid="{DD763D66-60B1-4338-8307-EA8DCCFF87C3}"/>
    <cellStyle name="Accent5 16" xfId="1326" xr:uid="{03ECD56D-9764-4263-BC22-97DAC98A0BCF}"/>
    <cellStyle name="Accent5 17" xfId="1327" xr:uid="{18B6D76C-A728-4230-A063-59357C45ED4F}"/>
    <cellStyle name="Accent5 18" xfId="1328" xr:uid="{1F4098AF-A02E-4B65-A229-73624C83936E}"/>
    <cellStyle name="Accent5 19" xfId="1329" xr:uid="{A54416E3-5085-410F-BEAC-F6A369455B52}"/>
    <cellStyle name="Accent5 2" xfId="112" xr:uid="{AECE42AC-8771-496A-B8DB-9CC399305AC7}"/>
    <cellStyle name="Accent5 2 10" xfId="3724" xr:uid="{F884D9F7-08DF-47BF-885A-5ECD290D871D}"/>
    <cellStyle name="Accent5 2 2" xfId="3725" xr:uid="{0A4F7034-C27D-4CA5-841E-2B4EF90F3BA7}"/>
    <cellStyle name="Accent5 2 3" xfId="3726" xr:uid="{80A2C0B1-99AA-40E9-840F-92541A041066}"/>
    <cellStyle name="Accent5 2 4" xfId="3727" xr:uid="{CB48853B-93D2-4CAA-B68E-5B9E6D49DFA2}"/>
    <cellStyle name="Accent5 2 5" xfId="3728" xr:uid="{9A3D1C2E-440A-4529-BAD4-56E9684FAEBA}"/>
    <cellStyle name="Accent5 2 6" xfId="3729" xr:uid="{E1C3147C-1093-49FC-9F3F-62E7128AC85A}"/>
    <cellStyle name="Accent5 2 7" xfId="3730" xr:uid="{A9735DC0-7AAF-4736-8C21-2935B12657EE}"/>
    <cellStyle name="Accent5 2 8" xfId="3731" xr:uid="{3A3DDBC4-10A2-4005-969F-A62878FCB975}"/>
    <cellStyle name="Accent5 2 9" xfId="3732" xr:uid="{32ED7A72-3E93-46EB-9D88-BA52DB9F7611}"/>
    <cellStyle name="Accent5 20" xfId="1330" xr:uid="{260E1A5C-35B2-4AE6-820F-E514233E1E6B}"/>
    <cellStyle name="Accent5 21" xfId="1331" xr:uid="{5817CF4C-3F0E-4C45-A8F2-AEE44EA63F7A}"/>
    <cellStyle name="Accent5 22" xfId="1332" xr:uid="{ECD51D5C-4EBC-49F5-910A-A1ACB055BA63}"/>
    <cellStyle name="Accent5 23" xfId="1333" xr:uid="{6A15A6FE-CA4F-41F0-AB51-A9583CE9171E}"/>
    <cellStyle name="Accent5 24" xfId="1334" xr:uid="{E6107E80-0A0D-4C1F-BE77-E7E4F7D93394}"/>
    <cellStyle name="Accent5 25" xfId="1335" xr:uid="{F0AC78BD-AA7D-4E50-B1B4-35138187BA12}"/>
    <cellStyle name="Accent5 26" xfId="1336" xr:uid="{5A0CFA41-69FB-42AF-9593-119327E7CEDA}"/>
    <cellStyle name="Accent5 27" xfId="1337" xr:uid="{BDB841EA-FFEF-45D7-B399-24FA005ED12A}"/>
    <cellStyle name="Accent5 28" xfId="1338" xr:uid="{807045F2-4AF5-4907-83EE-07D351D95344}"/>
    <cellStyle name="Accent5 29" xfId="1339" xr:uid="{9F5C3D8C-4955-4CE7-9CB3-C39A09295336}"/>
    <cellStyle name="Accent5 3" xfId="113" xr:uid="{2C116661-FFD8-4B25-BE06-5FA4ADF61973}"/>
    <cellStyle name="Accent5 3 2" xfId="1340" xr:uid="{8F1FF125-F64F-4408-AF1D-8F343A0C76D8}"/>
    <cellStyle name="Accent5 30" xfId="1341" xr:uid="{0EB7C18A-0D91-4AD2-87B0-8FC290F560D5}"/>
    <cellStyle name="Accent5 31" xfId="1342" xr:uid="{E5211EAA-2AD4-405B-8A2D-2B9D7F93260F}"/>
    <cellStyle name="Accent5 32" xfId="1343" xr:uid="{B70E0702-A52F-4C2C-BF6D-4855C808970D}"/>
    <cellStyle name="Accent5 33" xfId="1344" xr:uid="{309CE7A5-A161-4C2C-B212-09C434DE544F}"/>
    <cellStyle name="Accent5 34" xfId="1345" xr:uid="{EF61B2D2-D499-44D8-B707-B4273CF54427}"/>
    <cellStyle name="Accent5 35" xfId="1346" xr:uid="{EE01EA03-3491-4CBD-A285-344DC7CEDD6B}"/>
    <cellStyle name="Accent5 36" xfId="1347" xr:uid="{7EA3D2A2-8402-4CA0-A667-D9DB956497C8}"/>
    <cellStyle name="Accent5 37" xfId="1348" xr:uid="{23DB456E-F48C-4281-B993-BE3734DF704E}"/>
    <cellStyle name="Accent5 38" xfId="1349" xr:uid="{F7BD5A5E-41D7-43F5-85B7-7D9FC29718F5}"/>
    <cellStyle name="Accent5 39" xfId="1350" xr:uid="{9F8C24EE-4562-4176-9A7B-3BB4BC63EBDE}"/>
    <cellStyle name="Accent5 4" xfId="1351" xr:uid="{D3251469-39C2-42BA-89C2-21E6393390DA}"/>
    <cellStyle name="Accent5 4 2" xfId="4945" xr:uid="{4ADE6B58-1B85-4B15-A58A-FC3CFAB8A1E8}"/>
    <cellStyle name="Accent5 40" xfId="1352" xr:uid="{3414C767-2F53-46C7-B618-CF9761339277}"/>
    <cellStyle name="Accent5 41" xfId="1353" xr:uid="{B56AFB38-7828-480E-80E6-77BAC0D7D253}"/>
    <cellStyle name="Accent5 42" xfId="1354" xr:uid="{4190C9EE-B623-48C1-8FF2-167FDDED4BAF}"/>
    <cellStyle name="Accent5 43" xfId="1355" xr:uid="{DF44722B-B2BC-465D-BA54-0E2D45319CD1}"/>
    <cellStyle name="Accent5 5" xfId="1356" xr:uid="{E274546A-CB18-4C10-8A63-1408345D7D2B}"/>
    <cellStyle name="Accent5 5 2" xfId="4946" xr:uid="{B22E4584-5996-4225-9BE5-FCBB2C64950D}"/>
    <cellStyle name="Accent5 6" xfId="1357" xr:uid="{3B829840-83BB-4192-BECF-05A36B12C095}"/>
    <cellStyle name="Accent5 6 2" xfId="4947" xr:uid="{20F7397D-6363-4430-9CDD-4B2C7CAEF0E0}"/>
    <cellStyle name="Accent5 7" xfId="1358" xr:uid="{62CBCF8E-8CC4-4A97-957F-926D51258A90}"/>
    <cellStyle name="Accent5 8" xfId="1359" xr:uid="{4BDB1A25-773B-4691-B74B-FFF1254CBDD1}"/>
    <cellStyle name="Accent5 9" xfId="1360" xr:uid="{408F3B7C-6614-4669-A0C1-987815206AE5}"/>
    <cellStyle name="Accent6" xfId="40" builtinId="49" customBuiltin="1"/>
    <cellStyle name="Accent6 10" xfId="1361" xr:uid="{AD6C7ACB-774E-41D4-B137-D08BD6A8A5A2}"/>
    <cellStyle name="Accent6 11" xfId="1362" xr:uid="{DCBA86A9-84A3-4314-875C-2BC583948926}"/>
    <cellStyle name="Accent6 12" xfId="1363" xr:uid="{7FD015EC-2E62-4948-80B5-0ACDEBDDE301}"/>
    <cellStyle name="Accent6 13" xfId="1364" xr:uid="{27C68C23-3567-4259-B5EE-A36793575BF7}"/>
    <cellStyle name="Accent6 14" xfId="1365" xr:uid="{49AB7FE7-9395-4FE6-BB0F-FC76BDB21901}"/>
    <cellStyle name="Accent6 15" xfId="1366" xr:uid="{8ACF9BA8-253D-4499-A533-5E89F72B3155}"/>
    <cellStyle name="Accent6 16" xfId="1367" xr:uid="{7CD26BA5-0805-4ED6-8E4E-23473B4CA7C2}"/>
    <cellStyle name="Accent6 17" xfId="1368" xr:uid="{21A2CAA6-8DC6-4C71-883F-E56D75B00D74}"/>
    <cellStyle name="Accent6 18" xfId="1369" xr:uid="{7740E784-C793-4E3B-A494-817FAE93E3A3}"/>
    <cellStyle name="Accent6 19" xfId="1370" xr:uid="{B02A6FFD-595B-482D-946D-421D3C3D851A}"/>
    <cellStyle name="Accent6 2" xfId="114" xr:uid="{4339B372-34AE-468F-A322-2B66FD864C34}"/>
    <cellStyle name="Accent6 2 10" xfId="3733" xr:uid="{3804B671-26F5-405E-8C44-628813D15E5F}"/>
    <cellStyle name="Accent6 2 11" xfId="4948" xr:uid="{C7E40642-BF9E-4A93-BF32-37BB2EB15A8E}"/>
    <cellStyle name="Accent6 2 2" xfId="3734" xr:uid="{E8DCDF0C-3C9F-45F1-A766-FB0BEA933E54}"/>
    <cellStyle name="Accent6 2 3" xfId="3735" xr:uid="{95D68F0C-E548-4B8A-871D-DE57928A1166}"/>
    <cellStyle name="Accent6 2 4" xfId="3736" xr:uid="{2F356D2B-1906-4EDD-93E0-19C327D9ADDE}"/>
    <cellStyle name="Accent6 2 5" xfId="3737" xr:uid="{A9EAD175-EA2F-49E0-8490-0AA378B135EE}"/>
    <cellStyle name="Accent6 2 6" xfId="3738" xr:uid="{08BF2732-8C08-4CF2-B882-B60AB5BD0FA2}"/>
    <cellStyle name="Accent6 2 7" xfId="3739" xr:uid="{7439F9B7-3027-4F79-92DC-49D5C5BF57BF}"/>
    <cellStyle name="Accent6 2 8" xfId="3740" xr:uid="{BA9B1174-CAAD-442F-827F-E8E6CBD9B28A}"/>
    <cellStyle name="Accent6 2 9" xfId="3741" xr:uid="{E6108C87-F218-46C4-93E1-93972246EBEC}"/>
    <cellStyle name="Accent6 20" xfId="1371" xr:uid="{DDB11404-50D4-4A48-834C-7206644976CB}"/>
    <cellStyle name="Accent6 21" xfId="1372" xr:uid="{01FAED47-124F-4BA9-B0A1-C0572ACC92CF}"/>
    <cellStyle name="Accent6 22" xfId="1373" xr:uid="{3DFFC5BA-B1D6-4574-998B-66BB3205F7D3}"/>
    <cellStyle name="Accent6 23" xfId="1374" xr:uid="{4F61BE84-D75D-43AD-BE49-73A193E18AB8}"/>
    <cellStyle name="Accent6 24" xfId="1375" xr:uid="{FEA35EC7-8A61-408A-88A9-6EE4C2146507}"/>
    <cellStyle name="Accent6 25" xfId="1376" xr:uid="{7E4D10E3-CAE2-44B0-82EC-E54D2A930ACD}"/>
    <cellStyle name="Accent6 26" xfId="1377" xr:uid="{8B51C786-B9E2-449E-93F9-10B8C9015BE6}"/>
    <cellStyle name="Accent6 27" xfId="1378" xr:uid="{B1C84CBE-9458-4D7F-B434-19BB4C3FDFF7}"/>
    <cellStyle name="Accent6 28" xfId="1379" xr:uid="{63E5774E-3FA8-41C2-85DC-E69E50318A14}"/>
    <cellStyle name="Accent6 29" xfId="1380" xr:uid="{EBE7C365-B5EF-4963-9104-1CABBD4211CD}"/>
    <cellStyle name="Accent6 3" xfId="115" xr:uid="{616EA13F-96FC-4F1A-8D15-494B8F4BF011}"/>
    <cellStyle name="Accent6 3 2" xfId="1381" xr:uid="{2D14B731-65E8-4F68-8E99-7CC1D40E1663}"/>
    <cellStyle name="Accent6 3 2 2" xfId="4949" xr:uid="{F87E6D4A-C20D-4F25-B43C-FCEA997835C4}"/>
    <cellStyle name="Accent6 3 3" xfId="3742" xr:uid="{8F6BC85D-201D-4B4F-B61F-905749CB2AF9}"/>
    <cellStyle name="Accent6 30" xfId="1382" xr:uid="{F282370A-72AD-4B2E-83F1-BD598DE17B06}"/>
    <cellStyle name="Accent6 31" xfId="1383" xr:uid="{EAB30BC1-4BCC-4E1A-8528-6A2E4976A30E}"/>
    <cellStyle name="Accent6 32" xfId="1384" xr:uid="{35B137B9-E96C-4E0B-BC67-99518503F373}"/>
    <cellStyle name="Accent6 33" xfId="1385" xr:uid="{C7720F66-1937-4FD6-BC54-E11697BF5E08}"/>
    <cellStyle name="Accent6 34" xfId="1386" xr:uid="{353F40CC-D1CB-428B-96CA-E07A08656A01}"/>
    <cellStyle name="Accent6 35" xfId="1387" xr:uid="{9F027DA0-7867-49B3-AD45-DA7907D3DE62}"/>
    <cellStyle name="Accent6 36" xfId="1388" xr:uid="{80034B1B-9B0D-4152-A50C-4F0AF289F646}"/>
    <cellStyle name="Accent6 37" xfId="1389" xr:uid="{6E818625-388F-4417-85C3-EC9A012FCF54}"/>
    <cellStyle name="Accent6 38" xfId="1390" xr:uid="{786B4140-BE9E-47EB-AD0D-1A685775077C}"/>
    <cellStyle name="Accent6 39" xfId="1391" xr:uid="{BF0F0062-9DFC-4748-B8C7-256EC8E7AF12}"/>
    <cellStyle name="Accent6 4" xfId="1392" xr:uid="{851634F3-9F82-43D1-8D46-A5FDA351FB83}"/>
    <cellStyle name="Accent6 4 2" xfId="4950" xr:uid="{C1FB3C94-A3CE-46FE-A6FC-E1FAE70E9531}"/>
    <cellStyle name="Accent6 40" xfId="1393" xr:uid="{0F5B12BC-17CD-49F8-AADB-F83CD8397F7B}"/>
    <cellStyle name="Accent6 41" xfId="1394" xr:uid="{E2E273F9-F825-4BC9-AAD1-7320584730A9}"/>
    <cellStyle name="Accent6 42" xfId="1395" xr:uid="{74D2A5AC-FE4C-4023-B615-B9C025B0BCB0}"/>
    <cellStyle name="Accent6 43" xfId="1396" xr:uid="{BCF19866-7E0A-4C65-B976-4484BD5A2D45}"/>
    <cellStyle name="Accent6 5" xfId="1397" xr:uid="{23A68692-A999-47FE-A5AD-4622AF995C39}"/>
    <cellStyle name="Accent6 5 2" xfId="4951" xr:uid="{896B1EE7-8BAE-4BC3-ABC5-C5D9D0D28383}"/>
    <cellStyle name="Accent6 6" xfId="1398" xr:uid="{7AFFDB28-2DEF-450F-953F-B2CC82AE32BB}"/>
    <cellStyle name="Accent6 6 2" xfId="4952" xr:uid="{7AEA4085-B8D9-447F-829A-C0A7BA204192}"/>
    <cellStyle name="Accent6 7" xfId="1399" xr:uid="{FD9EDDA8-CE10-4E76-B521-E4D75F45C156}"/>
    <cellStyle name="Accent6 8" xfId="1400" xr:uid="{53377EE3-F310-4010-88C3-25B215CEF080}"/>
    <cellStyle name="Accent6 9" xfId="1401" xr:uid="{884E9BDC-46AC-4307-8955-2190F5B9CCD8}"/>
    <cellStyle name="AggblueBoldCels" xfId="1402" xr:uid="{0B90D45F-5F5C-42D6-9CFC-7D6F6F396D3E}"/>
    <cellStyle name="AggblueCels" xfId="1403" xr:uid="{9F16754D-669A-441B-B81F-7C0056415CC5}"/>
    <cellStyle name="AggBoldCells" xfId="1404" xr:uid="{B18E3FC6-596E-4374-B733-DE726544B67F}"/>
    <cellStyle name="AggCels" xfId="1405" xr:uid="{0270E85D-3AFE-470A-AB11-9D914A054EFC}"/>
    <cellStyle name="AggGreen" xfId="1406" xr:uid="{DFB2ECE7-1627-441D-A8DD-B48DDE530B7F}"/>
    <cellStyle name="AggGreen12" xfId="1407" xr:uid="{FA758787-A012-43B2-A2E6-1EFA1591822E}"/>
    <cellStyle name="AggOrange" xfId="1408" xr:uid="{9CADB418-55F9-4B64-90C0-1D75EAB71735}"/>
    <cellStyle name="AggOrange9" xfId="1409" xr:uid="{843D0924-72F2-4EB7-9A65-C1F4FF1A8944}"/>
    <cellStyle name="AggOrangeLB_2x" xfId="1410" xr:uid="{039C75A7-8AB3-409F-B3CE-866DE4C3D289}"/>
    <cellStyle name="AggOrangeLBorder" xfId="1411" xr:uid="{7BB9AFDB-015A-4DC3-8DE3-2BD20A68EE2C}"/>
    <cellStyle name="AggOrangeRBorder" xfId="1412" xr:uid="{2CEB880E-0A2A-4FEB-A640-C76353383ABF}"/>
    <cellStyle name="Akzent1" xfId="1413" xr:uid="{C0E24438-7E38-400B-BB50-5F17B74590F6}"/>
    <cellStyle name="Akzent2" xfId="1414" xr:uid="{038A4599-9966-4088-B3D4-F6057B5F2B01}"/>
    <cellStyle name="Akzent3" xfId="1415" xr:uid="{45FA3E71-BE50-4C13-B091-4B0F35270719}"/>
    <cellStyle name="Akzent4" xfId="1416" xr:uid="{054EF72A-B8D8-4DE8-8CA4-223772A3F5E1}"/>
    <cellStyle name="Akzent5" xfId="1417" xr:uid="{69E5EE7F-CB9B-49C6-8BB2-480D0FD6EAF2}"/>
    <cellStyle name="Akzent6" xfId="1418" xr:uid="{5926A8BA-BC10-42AC-8F36-1F05ED92442E}"/>
    <cellStyle name="Ausgabe" xfId="1419" xr:uid="{615DF03F-77B9-4BBF-84A2-CC93BF9E75A0}"/>
    <cellStyle name="Bad" xfId="9" builtinId="27" customBuiltin="1"/>
    <cellStyle name="Bad 10" xfId="1420" xr:uid="{E0E6391E-8F0B-4945-B99B-DE7BC2CC4BFA}"/>
    <cellStyle name="Bad 11" xfId="1421" xr:uid="{3548D360-8346-48D1-88F2-8B086D3F5108}"/>
    <cellStyle name="Bad 12" xfId="1422" xr:uid="{141A0B75-5B4F-43C2-BDF0-1B4A44FC4287}"/>
    <cellStyle name="Bad 13" xfId="1423" xr:uid="{204DA1F6-EBDB-467D-A576-154766B8B4F4}"/>
    <cellStyle name="Bad 14" xfId="1424" xr:uid="{5DE0267E-F1D3-456A-B8B6-9F2368E51C57}"/>
    <cellStyle name="Bad 15" xfId="1425" xr:uid="{C9E0C9C9-DCC1-40BA-B468-5A94C8B63D53}"/>
    <cellStyle name="Bad 16" xfId="1426" xr:uid="{5FD058F8-ECEE-4EAE-AEB4-3C869C79AC52}"/>
    <cellStyle name="Bad 17" xfId="1427" xr:uid="{A7F573A5-3554-4E4C-AAC7-DEE77599A173}"/>
    <cellStyle name="Bad 18" xfId="1428" xr:uid="{9412EF11-29EE-4219-8399-E0C37AE9FA09}"/>
    <cellStyle name="Bad 19" xfId="1429" xr:uid="{DDBA415B-8FE4-47D5-BE8D-756537BF78A2}"/>
    <cellStyle name="Bad 2" xfId="116" xr:uid="{2260BC44-FFDC-48C7-A8B6-A9AAF0449753}"/>
    <cellStyle name="Bad 2 10" xfId="3743" xr:uid="{6CD46AC8-166F-4008-986B-CA9CD7E2F8C1}"/>
    <cellStyle name="Bad 2 11" xfId="4953" xr:uid="{675B1AAB-EC7E-4A46-9274-E2F736642616}"/>
    <cellStyle name="Bad 2 2" xfId="3744" xr:uid="{5467E6E0-96E6-44A7-825C-CCC16D74D325}"/>
    <cellStyle name="Bad 2 3" xfId="3745" xr:uid="{C26AFCD4-0C70-49A3-B467-EB057C489F3C}"/>
    <cellStyle name="Bad 2 4" xfId="3746" xr:uid="{085E8B97-C624-4BC1-A794-2052CC52B18E}"/>
    <cellStyle name="Bad 2 5" xfId="3747" xr:uid="{91FC94AD-9B13-41C1-8BD6-3F7B8F0B4E6F}"/>
    <cellStyle name="Bad 2 6" xfId="3748" xr:uid="{613425BA-391B-48F6-AFFE-0D30D8764E77}"/>
    <cellStyle name="Bad 2 7" xfId="3749" xr:uid="{249B833D-48E0-4C0D-A1B7-5AC7ABCC8AE9}"/>
    <cellStyle name="Bad 2 8" xfId="3750" xr:uid="{336E469F-CD4E-41CF-91D1-33DB630CC852}"/>
    <cellStyle name="Bad 2 9" xfId="3751" xr:uid="{AB3B5F8E-D0B6-4A65-BC06-5B366D8948BC}"/>
    <cellStyle name="Bad 20" xfId="1430" xr:uid="{AED6C1F7-8956-461E-A2D3-0C54749601E1}"/>
    <cellStyle name="Bad 21" xfId="1431" xr:uid="{2C5B87D5-396A-410F-83DC-E6F347A4B229}"/>
    <cellStyle name="Bad 22" xfId="1432" xr:uid="{0B5477E0-1974-49ED-8E71-B3CB1A2AE796}"/>
    <cellStyle name="Bad 23" xfId="1433" xr:uid="{DBCDCEDB-204B-4199-A839-71EC09CE005A}"/>
    <cellStyle name="Bad 24" xfId="1434" xr:uid="{03B32FEE-3349-4786-BA96-2F8B2FC35387}"/>
    <cellStyle name="Bad 25" xfId="1435" xr:uid="{0594F326-7209-4E9B-97E3-84F83B75B461}"/>
    <cellStyle name="Bad 26" xfId="1436" xr:uid="{71F4F1EC-3BFA-4372-816A-1DEA3A2000C1}"/>
    <cellStyle name="Bad 27" xfId="1437" xr:uid="{31B242A7-7113-4902-B280-CAD84AD86216}"/>
    <cellStyle name="Bad 28" xfId="1438" xr:uid="{41064390-ED19-43E5-A50E-7A9E846268DC}"/>
    <cellStyle name="Bad 29" xfId="1439" xr:uid="{17397B23-8695-4A02-8F90-B4743CF4276F}"/>
    <cellStyle name="Bad 3" xfId="117" xr:uid="{3D62F2D1-8355-4DD4-A125-169882DFE5D8}"/>
    <cellStyle name="Bad 3 2" xfId="1440" xr:uid="{A2F3746E-4CA2-41D5-8F49-ABF014129A1A}"/>
    <cellStyle name="Bad 3 2 2" xfId="4954" xr:uid="{5DCD70B8-26F9-4079-B1FF-1F45D5B6B985}"/>
    <cellStyle name="Bad 3 3" xfId="3752" xr:uid="{F210986C-8F34-4B98-9A99-E5D681937628}"/>
    <cellStyle name="Bad 30" xfId="1441" xr:uid="{835A7394-3E26-4086-9995-FE9D386BB9C9}"/>
    <cellStyle name="Bad 31" xfId="1442" xr:uid="{3202751F-A19F-478E-84BD-7BC958D2949B}"/>
    <cellStyle name="Bad 32" xfId="1443" xr:uid="{651B7A29-5CDD-4C7E-B7F6-0796B73F3575}"/>
    <cellStyle name="Bad 33" xfId="1444" xr:uid="{BCC22AB0-0E72-4D43-84F4-35FACDD8312B}"/>
    <cellStyle name="Bad 34" xfId="1445" xr:uid="{CD7A4B22-72A3-4DEC-B737-BC04C4F31DDF}"/>
    <cellStyle name="Bad 35" xfId="1446" xr:uid="{D38DA363-D451-4CD2-99F3-BD215370DFC1}"/>
    <cellStyle name="Bad 36" xfId="1447" xr:uid="{2644B3B7-C234-4378-9126-C53964A5F00A}"/>
    <cellStyle name="Bad 37" xfId="1448" xr:uid="{CF152807-A592-401A-85B9-32E3652A5E4F}"/>
    <cellStyle name="Bad 38" xfId="1449" xr:uid="{6504D3C8-E605-4EBF-BBC2-1D2F312CBBB7}"/>
    <cellStyle name="Bad 39" xfId="1450" xr:uid="{E02F7AAC-EE23-4623-8A23-196708933ED4}"/>
    <cellStyle name="Bad 4" xfId="1451" xr:uid="{181BEF92-D59A-44C2-BA76-AB5900E47D74}"/>
    <cellStyle name="Bad 4 2" xfId="4955" xr:uid="{EDFCD0D1-F15A-45D5-AFF7-046C7D41FDAE}"/>
    <cellStyle name="Bad 40" xfId="1452" xr:uid="{D6D0B50A-D9A0-491D-A136-6A194ECE5497}"/>
    <cellStyle name="Bad 41" xfId="1453" xr:uid="{F058C162-E619-44C6-AAF1-BD63A3DD7492}"/>
    <cellStyle name="Bad 42" xfId="1454" xr:uid="{6C81473B-9439-479C-881D-8F3750B6B0F9}"/>
    <cellStyle name="Bad 43" xfId="1455" xr:uid="{EB6F6B68-34CA-4741-ADCE-54B6095A8036}"/>
    <cellStyle name="Bad 44" xfId="1456" xr:uid="{01B429B5-7D8A-4A62-8C64-FB643674F1DD}"/>
    <cellStyle name="Bad 5" xfId="1457" xr:uid="{65F7E66F-9A20-4A73-B6C4-E0E3B744A7F8}"/>
    <cellStyle name="Bad 5 2" xfId="4956" xr:uid="{8CE24BF8-0CDF-4D46-A533-2C4C68E3C233}"/>
    <cellStyle name="Bad 6" xfId="1458" xr:uid="{D111A465-E897-44E9-A746-B4E08887FA48}"/>
    <cellStyle name="Bad 6 2" xfId="4957" xr:uid="{4E0563E4-1E29-49E7-A9A2-E57096AC658B}"/>
    <cellStyle name="Bad 7" xfId="1459" xr:uid="{88060DCE-D491-477D-B53F-EB03824CB5EC}"/>
    <cellStyle name="Bad 8" xfId="1460" xr:uid="{6FE609E7-1A61-4BD8-BD0C-6F40D7C959B8}"/>
    <cellStyle name="Bad 9" xfId="1461" xr:uid="{596B101B-F053-4136-A54B-8B95485C100F}"/>
    <cellStyle name="Berechnung" xfId="1462" xr:uid="{71DDDDE6-3C3A-469B-A3DB-2DC230618DB2}"/>
    <cellStyle name="Bold GHG Numbers (0.00)" xfId="1463" xr:uid="{A1E32D8F-A3E8-431D-8ACA-E56E90B80141}"/>
    <cellStyle name="Calculation" xfId="13" builtinId="22" customBuiltin="1"/>
    <cellStyle name="Calculation 10" xfId="1464" xr:uid="{F79C6575-B48F-4ECB-9E55-76640800CB28}"/>
    <cellStyle name="Calculation 11" xfId="1465" xr:uid="{FC4584FB-6529-479F-9BC2-7BB7AD6EA02E}"/>
    <cellStyle name="Calculation 12" xfId="1466" xr:uid="{80AF709A-3A6E-4876-816D-0336C83BDB33}"/>
    <cellStyle name="Calculation 13" xfId="1467" xr:uid="{1BB3799C-8C87-4273-9936-14421FAB51CD}"/>
    <cellStyle name="Calculation 14" xfId="1468" xr:uid="{6B1B7641-C749-4280-B3F4-4693E0150730}"/>
    <cellStyle name="Calculation 15" xfId="1469" xr:uid="{77D898B3-6C99-4B1C-A328-91FDAFDFE753}"/>
    <cellStyle name="Calculation 16" xfId="1470" xr:uid="{FB99CE3A-8D9A-49D3-BA26-94E8237442B7}"/>
    <cellStyle name="Calculation 17" xfId="1471" xr:uid="{C2FD3EB9-E7A2-481B-A619-54D54C54219C}"/>
    <cellStyle name="Calculation 18" xfId="1472" xr:uid="{7D51E436-2A55-4A0A-AF0E-157F7A6C42C6}"/>
    <cellStyle name="Calculation 19" xfId="1473" xr:uid="{D66E5150-6831-4B27-B50E-82F9DD836253}"/>
    <cellStyle name="Calculation 2" xfId="118" xr:uid="{BAE278B3-D433-462E-BADA-40CFA882A71D}"/>
    <cellStyle name="Calculation 2 10" xfId="3753" xr:uid="{F9C7ADC7-7ADE-4DA7-9F92-F78B8A737353}"/>
    <cellStyle name="Calculation 2 11" xfId="4958" xr:uid="{A98D165D-CE84-4CAA-89A0-F8FD459586CD}"/>
    <cellStyle name="Calculation 2 2" xfId="3754" xr:uid="{DE001627-E922-4BD6-9B15-E9954785BBAA}"/>
    <cellStyle name="Calculation 2 3" xfId="3755" xr:uid="{8C539DAD-31E0-40E4-9D8B-D3CD2E3B0351}"/>
    <cellStyle name="Calculation 2 4" xfId="3756" xr:uid="{CDA00119-FAB3-4A5D-9817-54BD36DC0734}"/>
    <cellStyle name="Calculation 2 5" xfId="3757" xr:uid="{142709F5-0FA7-4F46-8883-87AF31248A50}"/>
    <cellStyle name="Calculation 2 6" xfId="3758" xr:uid="{6138C4EF-E271-4DDD-B712-98B1B69495CD}"/>
    <cellStyle name="Calculation 2 7" xfId="3759" xr:uid="{DD25B0F7-80D1-4913-8710-6D35F1A0C037}"/>
    <cellStyle name="Calculation 2 8" xfId="3760" xr:uid="{55951A2C-5E09-4627-BA90-1ED669A9B4E7}"/>
    <cellStyle name="Calculation 2 9" xfId="3761" xr:uid="{8C5A2889-825D-49E2-9654-308494550363}"/>
    <cellStyle name="Calculation 20" xfId="1474" xr:uid="{2CEDB8BF-B907-4020-A7CD-0A62CC2ACA79}"/>
    <cellStyle name="Calculation 21" xfId="1475" xr:uid="{24C59716-C360-4F1D-8ED2-EC586CC343F3}"/>
    <cellStyle name="Calculation 22" xfId="1476" xr:uid="{AF106502-9FBA-4AB9-BC71-082CDDAA1A88}"/>
    <cellStyle name="Calculation 23" xfId="1477" xr:uid="{2A199A28-EE22-4E21-8416-0706D6EABDC6}"/>
    <cellStyle name="Calculation 24" xfId="1478" xr:uid="{42249D83-ABB2-4544-ADE7-4202195D2D4B}"/>
    <cellStyle name="Calculation 25" xfId="1479" xr:uid="{83F28D87-2033-46A1-962C-73B1712FD002}"/>
    <cellStyle name="Calculation 26" xfId="1480" xr:uid="{25E262EE-D4CA-4A51-8CC9-33F7D56ACA57}"/>
    <cellStyle name="Calculation 27" xfId="1481" xr:uid="{97A78489-6CEE-43EC-97BF-775CECBEA2EB}"/>
    <cellStyle name="Calculation 28" xfId="1482" xr:uid="{E9A5AF0D-15AB-41EF-BDF0-54984E6F6DF1}"/>
    <cellStyle name="Calculation 29" xfId="1483" xr:uid="{B3262A44-8C48-424F-AF67-2BC67186FD8A}"/>
    <cellStyle name="Calculation 3" xfId="119" xr:uid="{7163FE64-D013-46E3-9C08-CB0BBDB66E21}"/>
    <cellStyle name="Calculation 3 2" xfId="1484" xr:uid="{9B5B1B3F-7EA0-4159-80B0-AA5BB82D067E}"/>
    <cellStyle name="Calculation 3 2 2" xfId="4959" xr:uid="{142FBA5E-80B4-4E37-8D9F-7BBDC151E00B}"/>
    <cellStyle name="Calculation 3 3" xfId="3762" xr:uid="{CD6717B5-46CD-4139-B295-FB4048D2E9A9}"/>
    <cellStyle name="Calculation 30" xfId="1485" xr:uid="{A6194EEA-463C-45F2-815A-5D7FF77C2B03}"/>
    <cellStyle name="Calculation 31" xfId="1486" xr:uid="{8F220A60-D29E-4B31-93B8-499C2DE54B0D}"/>
    <cellStyle name="Calculation 32" xfId="1487" xr:uid="{FE05C54E-4B3C-4BCE-BDCD-D07021F34094}"/>
    <cellStyle name="Calculation 33" xfId="1488" xr:uid="{0B6476D8-4226-471E-8A7E-7974DD49005A}"/>
    <cellStyle name="Calculation 34" xfId="1489" xr:uid="{2DB1398F-DD57-4A97-BC2E-7BFA3448BE37}"/>
    <cellStyle name="Calculation 35" xfId="1490" xr:uid="{37182218-3205-4C6B-8E71-EE29179150A7}"/>
    <cellStyle name="Calculation 36" xfId="1491" xr:uid="{D87715E9-CB0F-4A9C-A320-4839614651BF}"/>
    <cellStyle name="Calculation 37" xfId="1492" xr:uid="{D046BD3A-6CE4-43DF-9CD7-182A5C0911BC}"/>
    <cellStyle name="Calculation 38" xfId="1493" xr:uid="{08B9A543-47BE-4984-9F3F-533A06B65F2A}"/>
    <cellStyle name="Calculation 39" xfId="1494" xr:uid="{9A995CCC-684D-40CC-A411-D7ABB46002DA}"/>
    <cellStyle name="Calculation 4" xfId="1495" xr:uid="{261DB67E-E623-44AA-B871-B5A1A7562D88}"/>
    <cellStyle name="Calculation 4 2" xfId="4960" xr:uid="{F9DB9B65-A4FD-4B21-99E3-E64E50B17806}"/>
    <cellStyle name="Calculation 40" xfId="1496" xr:uid="{2CAA611E-7202-4D0A-98E3-5E0B38059E03}"/>
    <cellStyle name="Calculation 41" xfId="1497" xr:uid="{8AE5EA88-FE35-4B41-AEF6-3D9A0162EB49}"/>
    <cellStyle name="Calculation 42" xfId="1498" xr:uid="{3F8C135C-4116-47C7-8543-757254CB567B}"/>
    <cellStyle name="Calculation 43" xfId="1499" xr:uid="{EAE16422-710B-4F1E-9523-0B91A195D85B}"/>
    <cellStyle name="Calculation 5" xfId="1500" xr:uid="{A99A62BD-B349-450C-B5DC-683E36306190}"/>
    <cellStyle name="Calculation 5 2" xfId="4961" xr:uid="{FFA2308C-6EEF-4782-9946-DCFA4CE336CA}"/>
    <cellStyle name="Calculation 6" xfId="1501" xr:uid="{0AEE6ACD-FA3B-4A5E-B3DA-4159882ABF87}"/>
    <cellStyle name="Calculation 6 2" xfId="4962" xr:uid="{F7BBB42C-1C05-49FB-9112-13315F535626}"/>
    <cellStyle name="Calculation 7" xfId="1502" xr:uid="{D77154CE-4C8A-438F-87DB-41F463BE6FED}"/>
    <cellStyle name="Calculation 8" xfId="1503" xr:uid="{7ED63A5A-20BF-464F-9D15-400B59954B1A}"/>
    <cellStyle name="Calculation 9" xfId="1504" xr:uid="{B07F2265-6C3C-4CC8-9E73-1917C2F08DF3}"/>
    <cellStyle name="Check Cell" xfId="15" builtinId="23" customBuiltin="1"/>
    <cellStyle name="Check Cell 10" xfId="1505" xr:uid="{73D615DF-70F7-43E5-987A-D9AB03A2A75B}"/>
    <cellStyle name="Check Cell 11" xfId="1506" xr:uid="{B06D5964-C410-4DD1-9D0F-CCC7D7E610AD}"/>
    <cellStyle name="Check Cell 12" xfId="1507" xr:uid="{1D035241-CDC4-469D-BC37-039630410FBA}"/>
    <cellStyle name="Check Cell 13" xfId="1508" xr:uid="{2569EA05-AC14-41D9-A320-27984673F6BD}"/>
    <cellStyle name="Check Cell 14" xfId="1509" xr:uid="{FCC135A5-D579-4908-B227-D003FC6E2AA7}"/>
    <cellStyle name="Check Cell 15" xfId="1510" xr:uid="{58556856-FF07-4F1C-A345-1258A9D60639}"/>
    <cellStyle name="Check Cell 16" xfId="1511" xr:uid="{75BAEEB1-C979-465A-8FD6-E1FACA2F8B6D}"/>
    <cellStyle name="Check Cell 17" xfId="1512" xr:uid="{3DAC4220-BD7E-4EA6-BA4C-8656E9B8CBF4}"/>
    <cellStyle name="Check Cell 18" xfId="1513" xr:uid="{4F2CA6B3-FCE5-4254-B02D-EC2E387257C4}"/>
    <cellStyle name="Check Cell 19" xfId="1514" xr:uid="{539345F9-2B60-48C0-A472-611ADA6DD578}"/>
    <cellStyle name="Check Cell 2" xfId="120" xr:uid="{6329A04E-0456-4311-BE87-BC0DF03D8842}"/>
    <cellStyle name="Check Cell 2 10" xfId="3763" xr:uid="{2999A870-5801-43DA-85D6-96857BB748BF}"/>
    <cellStyle name="Check Cell 2 2" xfId="3764" xr:uid="{F8F19B31-1A64-4CCE-A9EB-1BB59CF8A05A}"/>
    <cellStyle name="Check Cell 2 3" xfId="3765" xr:uid="{739A1885-10E8-4759-BFCA-842ACB7890B1}"/>
    <cellStyle name="Check Cell 2 4" xfId="3766" xr:uid="{30E325CA-70FF-42F7-A6D6-00D762EA2CB7}"/>
    <cellStyle name="Check Cell 2 5" xfId="3767" xr:uid="{DCA6CF3E-1228-4211-AE8F-15AE18721357}"/>
    <cellStyle name="Check Cell 2 6" xfId="3768" xr:uid="{93A60D4F-2450-4907-9ACC-C9A421BC6A70}"/>
    <cellStyle name="Check Cell 2 7" xfId="3769" xr:uid="{F7146546-B6E1-43DB-86E9-8B17F1CEE840}"/>
    <cellStyle name="Check Cell 2 8" xfId="3770" xr:uid="{89579810-F660-42B1-92C8-39DB0199B2E4}"/>
    <cellStyle name="Check Cell 2 9" xfId="3771" xr:uid="{45FB03CD-215C-47FC-B91F-525B9D1AD84C}"/>
    <cellStyle name="Check Cell 20" xfId="1515" xr:uid="{CB5E7A6E-E02E-4631-8578-75211AFC5529}"/>
    <cellStyle name="Check Cell 21" xfId="1516" xr:uid="{8AE0DD51-1988-4A34-9DC0-23C9D9097EF4}"/>
    <cellStyle name="Check Cell 22" xfId="1517" xr:uid="{C17DE990-8A2B-473B-899F-C069B4E2F649}"/>
    <cellStyle name="Check Cell 23" xfId="1518" xr:uid="{53696A0C-29A0-44F6-9E40-8A698C9E2707}"/>
    <cellStyle name="Check Cell 24" xfId="1519" xr:uid="{AF8EA700-DE42-4C23-964B-A40BCBAF84AE}"/>
    <cellStyle name="Check Cell 25" xfId="1520" xr:uid="{3F7FF9C0-C93E-492F-B7D3-606538182FAC}"/>
    <cellStyle name="Check Cell 26" xfId="1521" xr:uid="{3927FD96-C168-472A-9781-C4FB2838963D}"/>
    <cellStyle name="Check Cell 27" xfId="1522" xr:uid="{10F88B53-AEB4-484E-93C3-8F1272A0C88A}"/>
    <cellStyle name="Check Cell 28" xfId="1523" xr:uid="{F6D2401F-37E3-499E-981B-C8B4BD176A78}"/>
    <cellStyle name="Check Cell 29" xfId="1524" xr:uid="{4D910F31-F881-40B6-840A-425E3C19DAC5}"/>
    <cellStyle name="Check Cell 3" xfId="121" xr:uid="{18B6A021-3589-4095-8135-E014958BFACD}"/>
    <cellStyle name="Check Cell 3 2" xfId="1525" xr:uid="{E6A7A832-7E34-427B-B8F9-E9E83F185FBD}"/>
    <cellStyle name="Check Cell 30" xfId="1526" xr:uid="{FD8F4AC9-4992-44EA-9E63-085B2E439C64}"/>
    <cellStyle name="Check Cell 31" xfId="1527" xr:uid="{D32A94B0-358A-4ECC-A300-9849EE2BFA32}"/>
    <cellStyle name="Check Cell 32" xfId="1528" xr:uid="{8260B8CA-0F15-4994-B7DD-EA3B1E225BD0}"/>
    <cellStyle name="Check Cell 33" xfId="1529" xr:uid="{7194A840-3B52-46D9-9133-0758F8C89C56}"/>
    <cellStyle name="Check Cell 34" xfId="1530" xr:uid="{AE0E3B56-71BD-408A-94E5-45491FA1F9D0}"/>
    <cellStyle name="Check Cell 35" xfId="1531" xr:uid="{060A2BC5-C17B-4F87-9D2D-7E52B06C950C}"/>
    <cellStyle name="Check Cell 36" xfId="1532" xr:uid="{69FFEA1F-B96E-4D87-8A73-E058E4A5D779}"/>
    <cellStyle name="Check Cell 37" xfId="1533" xr:uid="{2B2DC279-7D4D-4430-A45F-485FF1F225A5}"/>
    <cellStyle name="Check Cell 38" xfId="1534" xr:uid="{C5A83344-9D01-4770-B069-FA60FCBE4D8E}"/>
    <cellStyle name="Check Cell 39" xfId="1535" xr:uid="{A6F061A8-391E-49AB-890C-A96886F4919B}"/>
    <cellStyle name="Check Cell 4" xfId="1536" xr:uid="{F383714B-5BEA-48B4-85FA-06EF41C845BB}"/>
    <cellStyle name="Check Cell 4 2" xfId="4963" xr:uid="{C29F8931-C426-403C-8D28-D3A93BBAE986}"/>
    <cellStyle name="Check Cell 40" xfId="1537" xr:uid="{711D8C33-7B58-49E5-A835-F1FD4FB8D448}"/>
    <cellStyle name="Check Cell 41" xfId="1538" xr:uid="{BDB8DC8B-22F2-4A10-BEAB-404EC46923EB}"/>
    <cellStyle name="Check Cell 42" xfId="1539" xr:uid="{1F9328F4-5D7C-4CE4-9B6D-8647EC13858D}"/>
    <cellStyle name="Check Cell 43" xfId="1540" xr:uid="{A3DE1429-A492-4B34-886D-160BE6E37A48}"/>
    <cellStyle name="Check Cell 5" xfId="1541" xr:uid="{AA3A6CB2-3990-4D5C-A7A4-5337A6F25946}"/>
    <cellStyle name="Check Cell 5 2" xfId="4964" xr:uid="{1C8ADA1C-625D-4810-B32E-F6553E85A035}"/>
    <cellStyle name="Check Cell 6" xfId="1542" xr:uid="{5F2879CB-D54E-47F6-8811-6435AED6DEFA}"/>
    <cellStyle name="Check Cell 6 2" xfId="4965" xr:uid="{20D815F8-DFF8-4885-A2B6-C263B0C2EDBA}"/>
    <cellStyle name="Check Cell 7" xfId="1543" xr:uid="{CF4A104E-007C-4984-963A-6F8AF4B5E914}"/>
    <cellStyle name="Check Cell 8" xfId="1544" xr:uid="{BD0054F6-DC5C-4993-8B0F-184EBE33D1F5}"/>
    <cellStyle name="Check Cell 9" xfId="1545" xr:uid="{3B0C36E3-21BE-4A1D-A341-18D79612EA66}"/>
    <cellStyle name="coin" xfId="325" xr:uid="{78957A62-C15B-4C38-876E-68580CEC27B9}"/>
    <cellStyle name="Comma" xfId="22504" builtinId="3"/>
    <cellStyle name="Comma [0] 2 10" xfId="3772" xr:uid="{789D7E5D-5C9F-4744-9328-4F66878CF748}"/>
    <cellStyle name="Comma [0] 2 2" xfId="3773" xr:uid="{34C4F906-AA07-4BAE-94EE-3CA3679FF6C5}"/>
    <cellStyle name="Comma [0] 2 3" xfId="3774" xr:uid="{B8410962-1E55-49FA-9D6E-1360DF838CF6}"/>
    <cellStyle name="Comma [0] 2 4" xfId="3775" xr:uid="{F9A3B791-6CA9-4E29-8DE2-72C7E2781C02}"/>
    <cellStyle name="Comma [0] 2 5" xfId="3776" xr:uid="{F0609E01-2419-470A-BCB2-DD8D84A0E9FC}"/>
    <cellStyle name="Comma [0] 2 6" xfId="3777" xr:uid="{C629C6AD-6CB7-418A-8EDB-0FF0599D7FC3}"/>
    <cellStyle name="Comma [0] 2 7" xfId="3778" xr:uid="{A7440F69-5AFC-4EF7-94BD-503CA5ADE4E8}"/>
    <cellStyle name="Comma [0] 2 8" xfId="3779" xr:uid="{302E7F2F-085E-4CA7-A798-295EF896375F}"/>
    <cellStyle name="Comma [0] 2 9" xfId="3780" xr:uid="{44CFC714-4DC0-4F3F-A5E1-7AA1799C3736}"/>
    <cellStyle name="Comma 10" xfId="3781" xr:uid="{12A30EBC-566F-493E-AC92-BB4E7ECF80C6}"/>
    <cellStyle name="Comma 10 10" xfId="4966" xr:uid="{71522378-9AD6-4789-8F8C-BAEAFDCE3BE0}"/>
    <cellStyle name="Comma 10 10 2" xfId="4967" xr:uid="{2D1709D9-B291-4A2C-A448-878850C8E38C}"/>
    <cellStyle name="Comma 10 10 3" xfId="4968" xr:uid="{79B79DC9-BED3-4206-B1CA-F1C885806780}"/>
    <cellStyle name="Comma 10 11" xfId="4969" xr:uid="{EAB18284-B839-4D8C-9885-5677805AD998}"/>
    <cellStyle name="Comma 10 12" xfId="4970" xr:uid="{13952261-1A6B-4B9C-9B43-10D46C674968}"/>
    <cellStyle name="Comma 10 2" xfId="3782" xr:uid="{A5590767-A5D2-47E7-B711-4E93529466BF}"/>
    <cellStyle name="Comma 10 2 10" xfId="3783" xr:uid="{0DF743D3-78A2-45FD-AE0C-EDED9A4AF680}"/>
    <cellStyle name="Comma 10 2 11" xfId="3784" xr:uid="{5FBC4295-1580-4A80-AECA-C3944B82D021}"/>
    <cellStyle name="Comma 10 2 12" xfId="3785" xr:uid="{2AF11F92-6DE4-43E7-8C83-3706D25066C0}"/>
    <cellStyle name="Comma 10 2 13" xfId="3786" xr:uid="{E8EF0DCC-8651-4A48-9925-F356D07BB846}"/>
    <cellStyle name="Comma 10 2 14" xfId="3787" xr:uid="{FAC714B4-6ED5-4B40-9426-D2399F8E3635}"/>
    <cellStyle name="Comma 10 2 15" xfId="3788" xr:uid="{B0F96BE1-74E7-4E83-95F0-4E5896399D40}"/>
    <cellStyle name="Comma 10 2 16" xfId="3789" xr:uid="{6598C80E-E22E-47AB-898D-0F7D1187160E}"/>
    <cellStyle name="Comma 10 2 17" xfId="3790" xr:uid="{31822650-DCF4-4620-80A8-C2F1CF0B8BFC}"/>
    <cellStyle name="Comma 10 2 2" xfId="3791" xr:uid="{0C80A120-A13F-4888-BA02-9418D536CBD1}"/>
    <cellStyle name="Comma 10 2 3" xfId="3792" xr:uid="{47E6500C-F0F9-46E5-AD5E-345543AB8693}"/>
    <cellStyle name="Comma 10 2 4" xfId="3793" xr:uid="{6C4729B1-8E5B-4DB8-94C6-AE85A23CC9F1}"/>
    <cellStyle name="Comma 10 2 5" xfId="3794" xr:uid="{27FA2DE5-8074-4B0C-9B8C-2E4B6645D921}"/>
    <cellStyle name="Comma 10 2 6" xfId="3795" xr:uid="{00AF1878-EAAC-4E94-B48B-E84F2DE6E46B}"/>
    <cellStyle name="Comma 10 2 7" xfId="3796" xr:uid="{696CECF0-2FBA-4821-99C7-39FFC6A6FF1D}"/>
    <cellStyle name="Comma 10 2 8" xfId="3797" xr:uid="{255D95CE-8D06-4F7A-A851-086C686D0302}"/>
    <cellStyle name="Comma 10 2 9" xfId="3798" xr:uid="{2B805B13-7E2F-4822-9F3C-86083840A580}"/>
    <cellStyle name="Comma 10 3" xfId="3799" xr:uid="{7774120E-9FAB-4FBD-94A8-B5BDB7577A50}"/>
    <cellStyle name="Comma 10 3 10" xfId="3800" xr:uid="{871FC5AB-651E-4C47-8A16-841EC30AF1C5}"/>
    <cellStyle name="Comma 10 3 11" xfId="3801" xr:uid="{84E851AC-F19D-4512-B16D-02CFFE7E3FF6}"/>
    <cellStyle name="Comma 10 3 12" xfId="3802" xr:uid="{025037D2-A593-4E5B-93F8-E61F84104B5E}"/>
    <cellStyle name="Comma 10 3 13" xfId="3803" xr:uid="{B0BEB949-8606-4670-A95B-23CBA9B3FC03}"/>
    <cellStyle name="Comma 10 3 14" xfId="3804" xr:uid="{B2CD0EEB-31FB-435F-83B6-4BA80B2BE530}"/>
    <cellStyle name="Comma 10 3 15" xfId="3805" xr:uid="{F922895B-7B94-498F-9751-6AF3E6717011}"/>
    <cellStyle name="Comma 10 3 16" xfId="3806" xr:uid="{5C00DA28-13C9-4BF5-86F1-82741EA18A4B}"/>
    <cellStyle name="Comma 10 3 17" xfId="3807" xr:uid="{72135491-B552-4F52-86CC-C237A07FE091}"/>
    <cellStyle name="Comma 10 3 2" xfId="3808" xr:uid="{0DA0663B-2A67-4817-B0EA-FC2F2B1CDF4F}"/>
    <cellStyle name="Comma 10 3 3" xfId="3809" xr:uid="{E7C875D8-7D0C-4539-ABFE-D36AD3C1C2E2}"/>
    <cellStyle name="Comma 10 3 4" xfId="3810" xr:uid="{D19BF973-7347-46C2-A3B7-6FD836F7AB79}"/>
    <cellStyle name="Comma 10 3 5" xfId="3811" xr:uid="{47BF773C-16D6-4F2D-93F8-809E2506D7C6}"/>
    <cellStyle name="Comma 10 3 6" xfId="3812" xr:uid="{D397CF0A-C85A-457C-84C8-9BFB75DDA4DF}"/>
    <cellStyle name="Comma 10 3 7" xfId="3813" xr:uid="{FEF411FA-8A57-4AFA-A585-E65949092BF6}"/>
    <cellStyle name="Comma 10 3 8" xfId="3814" xr:uid="{11CB5DA9-73B5-4DE5-B676-21E945F1E4EC}"/>
    <cellStyle name="Comma 10 3 9" xfId="3815" xr:uid="{31094E1B-8FDE-42AA-BC1B-7D19E69B1F4A}"/>
    <cellStyle name="Comma 10 4" xfId="3816" xr:uid="{FF847731-A02C-4DE2-99F7-9F56EA9A0EF2}"/>
    <cellStyle name="Comma 10 4 10" xfId="3817" xr:uid="{4990D44E-9B71-442F-8E6C-CEEF6C62A77B}"/>
    <cellStyle name="Comma 10 4 11" xfId="3818" xr:uid="{6A037911-7F8A-4F3A-9A5D-F6115AB56747}"/>
    <cellStyle name="Comma 10 4 12" xfId="3819" xr:uid="{69076570-51BB-4ED9-B590-816F91583D52}"/>
    <cellStyle name="Comma 10 4 13" xfId="3820" xr:uid="{19E1B739-C3A9-4A62-8354-121D67D25A59}"/>
    <cellStyle name="Comma 10 4 14" xfId="3821" xr:uid="{03F4B700-779E-43A5-BE5B-CB2B10E0A6CE}"/>
    <cellStyle name="Comma 10 4 15" xfId="3822" xr:uid="{ED5440E5-1EF0-4F4F-94A9-1C6635A73686}"/>
    <cellStyle name="Comma 10 4 16" xfId="3823" xr:uid="{9DDA3FB5-ECF4-43D3-A1DC-EED3ED3EB799}"/>
    <cellStyle name="Comma 10 4 17" xfId="3824" xr:uid="{1DB67CB0-C0AB-4DA1-B141-89BAC5868604}"/>
    <cellStyle name="Comma 10 4 2" xfId="3825" xr:uid="{14219D9B-301D-4A3F-B640-0C297A2F1FF1}"/>
    <cellStyle name="Comma 10 4 3" xfId="3826" xr:uid="{20888E49-20A1-4255-9977-0FD9AA91C9ED}"/>
    <cellStyle name="Comma 10 4 4" xfId="3827" xr:uid="{D77F45B5-C9EB-4633-9B69-AC54E00E7DB0}"/>
    <cellStyle name="Comma 10 4 5" xfId="3828" xr:uid="{4EC82D9A-E422-4FD0-B5E9-5BEAA6EC1290}"/>
    <cellStyle name="Comma 10 4 6" xfId="3829" xr:uid="{0911AA39-76FB-415B-B258-2EB2239A2DD4}"/>
    <cellStyle name="Comma 10 4 7" xfId="3830" xr:uid="{B8A4FA56-2D74-49AD-87C5-D5F91EEBAF06}"/>
    <cellStyle name="Comma 10 4 8" xfId="3831" xr:uid="{B1BD3D8B-44E0-439C-82EE-8048D28E3BBE}"/>
    <cellStyle name="Comma 10 4 9" xfId="3832" xr:uid="{33730489-6B83-494E-A556-2500F36D5DF9}"/>
    <cellStyle name="Comma 10 5" xfId="3833" xr:uid="{0450EDB7-FC9B-42F8-A426-9F6CFBD80901}"/>
    <cellStyle name="Comma 10 5 10" xfId="3834" xr:uid="{CFBC86BA-172A-429C-8AD8-3491A693685F}"/>
    <cellStyle name="Comma 10 5 11" xfId="3835" xr:uid="{4A4494AE-4604-429A-8975-DA6C090BDEDB}"/>
    <cellStyle name="Comma 10 5 12" xfId="3836" xr:uid="{4CC03967-D9AA-4362-90C0-60D61D011B75}"/>
    <cellStyle name="Comma 10 5 13" xfId="3837" xr:uid="{47A37069-26AB-4D8F-83F8-FB826FB67F6E}"/>
    <cellStyle name="Comma 10 5 14" xfId="3838" xr:uid="{98ABC765-7182-4F57-8411-F63919C677F0}"/>
    <cellStyle name="Comma 10 5 15" xfId="3839" xr:uid="{B34CCEAC-9F1B-49A1-8B45-DC697C638BE8}"/>
    <cellStyle name="Comma 10 5 16" xfId="3840" xr:uid="{BD6E02DF-3D3C-4AAF-AB61-5590C2D1CA43}"/>
    <cellStyle name="Comma 10 5 17" xfId="3841" xr:uid="{AB9F9D59-F333-4D64-BB06-2D886E1876A6}"/>
    <cellStyle name="Comma 10 5 2" xfId="3842" xr:uid="{B3C4F7D6-23D7-4113-BD00-B5145A608DE5}"/>
    <cellStyle name="Comma 10 5 3" xfId="3843" xr:uid="{4F58EB3A-BA0B-4EDA-AE5A-F8F3358E4CD1}"/>
    <cellStyle name="Comma 10 5 4" xfId="3844" xr:uid="{575B060D-737C-4CBA-9365-E2C9F01D197D}"/>
    <cellStyle name="Comma 10 5 5" xfId="3845" xr:uid="{E7D1C654-B7BA-4F6E-8670-3629657A2335}"/>
    <cellStyle name="Comma 10 5 6" xfId="3846" xr:uid="{FB0329F1-A809-4F7B-9F52-FDD6F008A67C}"/>
    <cellStyle name="Comma 10 5 7" xfId="3847" xr:uid="{2E67507F-DE08-4904-90C3-71754C2B0B2A}"/>
    <cellStyle name="Comma 10 5 8" xfId="3848" xr:uid="{09E40966-4DF2-49FB-ABF0-08EA09847141}"/>
    <cellStyle name="Comma 10 5 9" xfId="3849" xr:uid="{BF25A0D8-2F8D-48AF-9DB5-7267136BB571}"/>
    <cellStyle name="Comma 10 6" xfId="3850" xr:uid="{DE80E696-CC79-4E10-B52E-1FC444D4CA75}"/>
    <cellStyle name="Comma 10 6 10" xfId="3851" xr:uid="{46F6566A-FECD-426A-AC26-DF19C09031C6}"/>
    <cellStyle name="Comma 10 6 11" xfId="3852" xr:uid="{318EC6D1-9FB3-4953-9450-157DFAF547C7}"/>
    <cellStyle name="Comma 10 6 12" xfId="3853" xr:uid="{F1324DDD-5B65-44FB-84A1-9245BA27BC20}"/>
    <cellStyle name="Comma 10 6 13" xfId="3854" xr:uid="{59408277-63DA-4EB9-89DF-44074A5978AE}"/>
    <cellStyle name="Comma 10 6 14" xfId="3855" xr:uid="{D87DA5BF-01E6-4898-B4EB-200B6D2209A8}"/>
    <cellStyle name="Comma 10 6 15" xfId="3856" xr:uid="{37231192-DDEB-45C0-8674-325A5B991D3B}"/>
    <cellStyle name="Comma 10 6 16" xfId="3857" xr:uid="{327139B1-9EF9-4657-8008-9FE63927B5DA}"/>
    <cellStyle name="Comma 10 6 17" xfId="3858" xr:uid="{4E7414AD-EB43-4E15-B003-115B82A2A791}"/>
    <cellStyle name="Comma 10 6 2" xfId="3859" xr:uid="{23C94BE4-BB71-487A-B032-ADDD773929AB}"/>
    <cellStyle name="Comma 10 6 3" xfId="3860" xr:uid="{B2681394-6313-4405-98FB-5F6DC2BAD61B}"/>
    <cellStyle name="Comma 10 6 4" xfId="3861" xr:uid="{39558322-08CC-48A0-97C9-AD7E8494FD27}"/>
    <cellStyle name="Comma 10 6 5" xfId="3862" xr:uid="{D733E556-4C71-4C29-BA8F-8B640BC4AF6C}"/>
    <cellStyle name="Comma 10 6 6" xfId="3863" xr:uid="{EC2D9614-D4BE-4D3D-9898-A677AE19C03D}"/>
    <cellStyle name="Comma 10 6 7" xfId="3864" xr:uid="{D6B262CC-4024-401A-9016-5E51F7F98672}"/>
    <cellStyle name="Comma 10 6 8" xfId="3865" xr:uid="{6FEE0F70-803A-4701-A522-67B058E42DED}"/>
    <cellStyle name="Comma 10 6 9" xfId="3866" xr:uid="{6D18DE3C-CF7D-475D-B0A0-932DC37FBE78}"/>
    <cellStyle name="Comma 10 7" xfId="3867" xr:uid="{0A4D1EA0-F4DC-48E7-A8FF-C6C428229395}"/>
    <cellStyle name="Comma 10 7 10" xfId="3868" xr:uid="{C70F45DD-D3A3-4699-8B9F-2C4F43C4B090}"/>
    <cellStyle name="Comma 10 7 11" xfId="3869" xr:uid="{1DDCD499-9569-4A34-90D1-ECADFE5EEF19}"/>
    <cellStyle name="Comma 10 7 12" xfId="3870" xr:uid="{3997837E-9F21-45B4-B2B4-E6281A2B55C3}"/>
    <cellStyle name="Comma 10 7 13" xfId="3871" xr:uid="{A11612D5-5192-4FDA-8436-98F0BCCE8BE2}"/>
    <cellStyle name="Comma 10 7 14" xfId="3872" xr:uid="{813CEADC-AB45-406A-8B8D-9EEAFC05F3FA}"/>
    <cellStyle name="Comma 10 7 15" xfId="3873" xr:uid="{66B0F6C9-2FC6-48AB-A5EC-7F0F4E048A3D}"/>
    <cellStyle name="Comma 10 7 16" xfId="3874" xr:uid="{E6735572-B551-434F-8DFF-E41355A4EEA2}"/>
    <cellStyle name="Comma 10 7 17" xfId="3875" xr:uid="{6843BFAE-42A0-47B5-8D9D-0C03F77DDFF5}"/>
    <cellStyle name="Comma 10 7 2" xfId="3876" xr:uid="{0E9988C8-E80A-4BA0-B359-BDF700E718BC}"/>
    <cellStyle name="Comma 10 7 3" xfId="3877" xr:uid="{AADB0333-B96F-4CEE-AAFF-355B0DD62BEA}"/>
    <cellStyle name="Comma 10 7 4" xfId="3878" xr:uid="{878F190C-81CB-4190-84E3-EA512480E482}"/>
    <cellStyle name="Comma 10 7 5" xfId="3879" xr:uid="{53BDB857-24E4-41E9-94F0-4D88BF0A0C69}"/>
    <cellStyle name="Comma 10 7 6" xfId="3880" xr:uid="{232203DC-DCDD-406E-AFD5-ED02EC05B857}"/>
    <cellStyle name="Comma 10 7 7" xfId="3881" xr:uid="{59B85E38-49AB-41E9-AA54-DCC056FEED94}"/>
    <cellStyle name="Comma 10 7 8" xfId="3882" xr:uid="{4FC7A792-E73B-42FB-9DF1-4FE2A78012EE}"/>
    <cellStyle name="Comma 10 7 9" xfId="3883" xr:uid="{0C36ADAC-FDAC-48DE-8252-11C4C114F927}"/>
    <cellStyle name="Comma 10 8" xfId="3884" xr:uid="{B952DF5E-9701-44B7-895A-E1FD886DD282}"/>
    <cellStyle name="Comma 10 8 10" xfId="3885" xr:uid="{8A77C2E8-85E6-440D-9CD0-1D0D7AAE8BFA}"/>
    <cellStyle name="Comma 10 8 11" xfId="3886" xr:uid="{EC83E25B-440A-4FE4-B25C-CDADDB733BDF}"/>
    <cellStyle name="Comma 10 8 12" xfId="3887" xr:uid="{7FCCACA3-7120-4F89-BA08-C8820B96A4C6}"/>
    <cellStyle name="Comma 10 8 13" xfId="3888" xr:uid="{B96001D9-F6C2-4BAF-A016-96637E4C0DA8}"/>
    <cellStyle name="Comma 10 8 14" xfId="3889" xr:uid="{4DD014D4-B157-4BD8-93CE-3B0A5E7377C2}"/>
    <cellStyle name="Comma 10 8 15" xfId="3890" xr:uid="{25AD6030-5838-4140-B74C-72493A50B899}"/>
    <cellStyle name="Comma 10 8 16" xfId="3891" xr:uid="{AB776FBA-149C-474F-BAFF-05CD0807CDD8}"/>
    <cellStyle name="Comma 10 8 17" xfId="3892" xr:uid="{21B42422-ABB8-4684-A9C4-D2A7067DAB4F}"/>
    <cellStyle name="Comma 10 8 2" xfId="3893" xr:uid="{780C539A-C01D-4BA5-941C-227BA0EEEF60}"/>
    <cellStyle name="Comma 10 8 3" xfId="3894" xr:uid="{503798B6-5932-4274-A508-3BF5FC7C6CC0}"/>
    <cellStyle name="Comma 10 8 4" xfId="3895" xr:uid="{2160102C-8035-4AB4-8BE4-181C3F393ED7}"/>
    <cellStyle name="Comma 10 8 5" xfId="3896" xr:uid="{01E4966B-30BC-414E-8F4B-59190606CE4C}"/>
    <cellStyle name="Comma 10 8 6" xfId="3897" xr:uid="{B6A4CBFA-37E3-4149-BAB4-E5805D8670A2}"/>
    <cellStyle name="Comma 10 8 7" xfId="3898" xr:uid="{58B339BE-4567-4069-BA33-02FD472CBA0D}"/>
    <cellStyle name="Comma 10 8 8" xfId="3899" xr:uid="{68BDEB1C-DF54-4886-B16E-4CBC6FA5B47B}"/>
    <cellStyle name="Comma 10 8 9" xfId="3900" xr:uid="{613384A1-C010-4A15-B255-8E8F18753809}"/>
    <cellStyle name="Comma 10 9" xfId="4971" xr:uid="{9A213D6F-8ED9-40C9-A6BB-10E96FC7E3D9}"/>
    <cellStyle name="Comma 11" xfId="3901" xr:uid="{2089357E-234E-4FBF-A13C-017ABC33EDF0}"/>
    <cellStyle name="Comma 12" xfId="3902" xr:uid="{A0DDC366-AC96-46A0-92FD-E8A765DCE1B2}"/>
    <cellStyle name="Comma 13" xfId="3903" xr:uid="{88509093-A928-4DAE-8329-9D0031287EA5}"/>
    <cellStyle name="Comma 14" xfId="1546" xr:uid="{E3094059-3FEC-43A8-8856-0ED1CE0A852D}"/>
    <cellStyle name="Comma 14 2" xfId="3904" xr:uid="{7B42AEC7-10F8-41DE-A428-B3240E7CB70B}"/>
    <cellStyle name="Comma 15" xfId="3905" xr:uid="{13B42289-2759-49C6-AB1B-C7AC4D3E3539}"/>
    <cellStyle name="Comma 16" xfId="3906" xr:uid="{D6031167-4A26-43A7-BC1B-EA87B37AC540}"/>
    <cellStyle name="Comma 17" xfId="3907" xr:uid="{690AC06B-D3B6-4462-B8F0-22B184A05E59}"/>
    <cellStyle name="Comma 18" xfId="3908" xr:uid="{224F346F-EBC4-4292-A414-B0A81414713B}"/>
    <cellStyle name="Comma 19" xfId="3909" xr:uid="{1FDFD446-67B8-4300-84BB-1BF0C9E2BC07}"/>
    <cellStyle name="Comma 2" xfId="122" xr:uid="{1C92FA71-1BF4-4A05-BC9C-0AE05B96A5D1}"/>
    <cellStyle name="Comma 2 10" xfId="1547" xr:uid="{BD0EF4FC-087F-4CAB-A5FE-BA31C26DF884}"/>
    <cellStyle name="Comma 2 10 2" xfId="3910" xr:uid="{C3CD75DF-8D56-4F82-95BC-F3CDE6927911}"/>
    <cellStyle name="Comma 2 11" xfId="1548" xr:uid="{874B8F33-AE65-4AA9-A1FD-E8616563F2CD}"/>
    <cellStyle name="Comma 2 11 2" xfId="3911" xr:uid="{08A1E008-E39C-4933-A8DF-4B592D86B9AA}"/>
    <cellStyle name="Comma 2 12" xfId="1549" xr:uid="{A71EAB8D-A06A-479F-BC0D-BD30812C5CE3}"/>
    <cellStyle name="Comma 2 12 2" xfId="3912" xr:uid="{0C4A9017-6226-41CA-812B-2EB9A5749AC1}"/>
    <cellStyle name="Comma 2 13" xfId="1550" xr:uid="{E7D971C5-3450-4E63-BDDD-1E6638EDD24C}"/>
    <cellStyle name="Comma 2 13 2" xfId="3913" xr:uid="{BEA4CFD0-919B-4EC2-BB44-688B70AF695F}"/>
    <cellStyle name="Comma 2 14" xfId="3914" xr:uid="{A88AABCA-27D9-438F-A492-270CE0A084DD}"/>
    <cellStyle name="Comma 2 15" xfId="3915" xr:uid="{9FD948A0-E8B4-49BC-96EE-3859E4FDB138}"/>
    <cellStyle name="Comma 2 16" xfId="3916" xr:uid="{F694FFA6-72AC-40B0-ABEF-40550FD59AA9}"/>
    <cellStyle name="Comma 2 17" xfId="3917" xr:uid="{2E97A1EB-45FE-49F1-BE40-44E82E289C4C}"/>
    <cellStyle name="Comma 2 18" xfId="3918" xr:uid="{BEE5C15E-CEAD-41E9-9D6E-9E10B38BE6A0}"/>
    <cellStyle name="Comma 2 19" xfId="3919" xr:uid="{8CCA038D-7F1B-4DCF-9FD5-AC5ADCB2B6B4}"/>
    <cellStyle name="Comma 2 19 2" xfId="3920" xr:uid="{A78612DD-8AA4-4DEF-9770-22B7FFDE0595}"/>
    <cellStyle name="Comma 2 19 3" xfId="4972" xr:uid="{7837039F-B598-4B5B-A656-17A4BC973C4F}"/>
    <cellStyle name="Comma 2 19 3 2" xfId="4973" xr:uid="{0FA62E5D-686B-4692-A528-CFAC5C2B4E03}"/>
    <cellStyle name="Comma 2 19 3 3" xfId="4974" xr:uid="{5479D20C-BEEE-432E-8C0E-A27B0C9E312F}"/>
    <cellStyle name="Comma 2 19 4" xfId="4975" xr:uid="{BCF12EFA-94EC-4018-B28C-41B51983BE12}"/>
    <cellStyle name="Comma 2 19 5" xfId="4976" xr:uid="{24B49D48-E6D2-42F1-9BB4-32C06841FF12}"/>
    <cellStyle name="Comma 2 2" xfId="123" xr:uid="{BAD1182E-528E-44F4-AE3D-61907AEC47EB}"/>
    <cellStyle name="Comma 2 2 2" xfId="124" xr:uid="{CA544CDC-8EFA-4065-A120-EC1FB34C084D}"/>
    <cellStyle name="Comma 2 2 2 2" xfId="125" xr:uid="{383045BA-C9BF-4041-9A01-285B99743535}"/>
    <cellStyle name="Comma 2 2 2 3" xfId="126" xr:uid="{701BE4C9-ACA9-43D7-9AB9-3E56AB90B744}"/>
    <cellStyle name="Comma 2 2 2 4" xfId="1551" xr:uid="{0C34A63E-9A16-47B8-8B97-7E5F298AC668}"/>
    <cellStyle name="Comma 2 2 2 4 2" xfId="1552" xr:uid="{3E12C855-7BDD-41F7-B057-F060CE0EBF43}"/>
    <cellStyle name="Comma 2 2 2 4 3" xfId="1553" xr:uid="{BAF9696E-E930-4DF0-8A98-511EB5CFA7A1}"/>
    <cellStyle name="Comma 2 2 2 5" xfId="1554" xr:uid="{67DDAD3A-4435-44D1-AFBD-48E5DC44A647}"/>
    <cellStyle name="Comma 2 2 2 6" xfId="3922" xr:uid="{A285C2CC-60BB-4ED1-9603-A58EFE3F37CB}"/>
    <cellStyle name="Comma 2 2 3" xfId="127" xr:uid="{F8A7B3EC-3B5B-4B10-B7F2-F740B62AA0F9}"/>
    <cellStyle name="Comma 2 2 3 2" xfId="128" xr:uid="{FF60D049-D27E-485B-B8A5-C654DCF01DDE}"/>
    <cellStyle name="Comma 2 2 3 3" xfId="129" xr:uid="{D0741D1A-16FA-47C6-AF9F-7179300C3009}"/>
    <cellStyle name="Comma 2 2 3 4" xfId="349" xr:uid="{6AB37DF8-1C3A-41BE-9CE1-425BDAF023F0}"/>
    <cellStyle name="Comma 2 2 3 4 2" xfId="1555" xr:uid="{AECA560C-81F0-4C0E-80F9-35C2CDA42B4C}"/>
    <cellStyle name="Comma 2 2 3 5" xfId="3923" xr:uid="{39B2C8C7-8AAF-4402-BDD4-A2A8B1C3BF30}"/>
    <cellStyle name="Comma 2 2 4" xfId="130" xr:uid="{64FF0F75-345A-4E87-8669-6BA5048C0DDB}"/>
    <cellStyle name="Comma 2 2 4 2" xfId="1556" xr:uid="{CBF335D2-F82C-4496-8B40-973E8D987663}"/>
    <cellStyle name="Comma 2 2 5" xfId="131" xr:uid="{5248D6B4-5355-470B-9B54-B94EA676FF18}"/>
    <cellStyle name="Comma 2 2 6" xfId="348" xr:uid="{F8D75369-4678-4557-AC7E-EAA3A84A32CC}"/>
    <cellStyle name="Comma 2 2 6 2" xfId="1557" xr:uid="{D9FF81DE-292C-4E33-A4AF-8326F0CFAE63}"/>
    <cellStyle name="Comma 2 2 6 3" xfId="1558" xr:uid="{633B2BC5-6D69-4EBF-BBBA-76F3729AAE53}"/>
    <cellStyle name="Comma 2 2 7" xfId="1559" xr:uid="{F77ED5B3-3B24-4A12-BDFB-B9F9413F4E0C}"/>
    <cellStyle name="Comma 2 2 8" xfId="3921" xr:uid="{91DFA71B-00F5-4AE2-9803-0B36D15D6F15}"/>
    <cellStyle name="Comma 2 2 9" xfId="22537" xr:uid="{739B7C4C-B8A7-4E33-9156-3BACD4D1EBF7}"/>
    <cellStyle name="Comma 2 20" xfId="3924" xr:uid="{823FF035-B4B9-4C92-9608-7F8944C76968}"/>
    <cellStyle name="Comma 2 21" xfId="3925" xr:uid="{0DBDF2C3-5E54-41E0-BA2D-9E6F5FF26C2C}"/>
    <cellStyle name="Comma 2 22" xfId="22536" xr:uid="{4CC19644-30F4-47AA-80F0-13A65702ECB8}"/>
    <cellStyle name="Comma 2 3" xfId="132" xr:uid="{8E8DF468-68F3-4E72-A35C-F12169CEF750}"/>
    <cellStyle name="Comma 2 3 2" xfId="133" xr:uid="{33BAAB74-098D-4634-9C00-D92F42CA3289}"/>
    <cellStyle name="Comma 2 3 2 2" xfId="134" xr:uid="{081A8778-8051-474E-BBD6-624A48CE37C2}"/>
    <cellStyle name="Comma 2 3 2 3" xfId="135" xr:uid="{CCECA001-1924-46E9-A6B3-929B1E782C1A}"/>
    <cellStyle name="Comma 2 3 2 4" xfId="351" xr:uid="{41AC59E0-15DD-4A07-816C-0EB073C33070}"/>
    <cellStyle name="Comma 2 3 2 4 2" xfId="1561" xr:uid="{9B3A7523-3163-4FB6-A4FD-39FA52589B49}"/>
    <cellStyle name="Comma 2 3 2 4 3" xfId="1562" xr:uid="{556CB714-1478-43A7-8E4C-2419E98D1D18}"/>
    <cellStyle name="Comma 2 3 2 4 4" xfId="1560" xr:uid="{63C39A78-08F4-4BAF-A028-9DD707177F84}"/>
    <cellStyle name="Comma 2 3 2 5" xfId="1563" xr:uid="{7EA227F6-C646-48B8-8833-06FA92CF0AA6}"/>
    <cellStyle name="Comma 2 3 2 6" xfId="4977" xr:uid="{EF1853E9-DA64-45A1-9AA5-FC318102C11B}"/>
    <cellStyle name="Comma 2 3 2 7" xfId="22539" xr:uid="{96FE75A3-F9D0-42D7-A25A-0D8F35CE7718}"/>
    <cellStyle name="Comma 2 3 3" xfId="136" xr:uid="{931E9E2C-77FC-47A1-AC67-F620BAA0E9D8}"/>
    <cellStyle name="Comma 2 3 3 2" xfId="137" xr:uid="{7052582D-295D-488F-B067-DD44C71FEE6E}"/>
    <cellStyle name="Comma 2 3 3 3" xfId="138" xr:uid="{74C73D13-8955-47B6-B1D0-BD582148B7BB}"/>
    <cellStyle name="Comma 2 3 3 4" xfId="352" xr:uid="{EDB16FC4-AE7B-4A81-9AF4-1EE369F24AE6}"/>
    <cellStyle name="Comma 2 3 3 4 2" xfId="1564" xr:uid="{BFC6CA16-C86F-471C-9341-3F4C69245694}"/>
    <cellStyle name="Comma 2 3 4" xfId="139" xr:uid="{94B3329C-E2C5-4B8A-8604-75B40C6EBBA8}"/>
    <cellStyle name="Comma 2 3 4 2" xfId="1565" xr:uid="{ED95ED52-3C67-4A64-8AEA-94E8B4000797}"/>
    <cellStyle name="Comma 2 3 5" xfId="140" xr:uid="{09FDAA54-9E84-4DFF-B209-6F8175FB1DD3}"/>
    <cellStyle name="Comma 2 3 6" xfId="350" xr:uid="{233409B0-7370-44A6-AF03-C53CE1BBEDEC}"/>
    <cellStyle name="Comma 2 3 6 2" xfId="1566" xr:uid="{1D375072-DD51-4E84-A97C-8B283A430E25}"/>
    <cellStyle name="Comma 2 3 7" xfId="3926" xr:uid="{0E8A8867-F756-4ACA-9883-BB3F5421F5BA}"/>
    <cellStyle name="Comma 2 3 8" xfId="22538" xr:uid="{0E67A29C-B2E3-4B6B-BA27-65856F5D4FA4}"/>
    <cellStyle name="Comma 2 4" xfId="141" xr:uid="{31417DDE-5034-4C2A-B44A-AD11655C7B5F}"/>
    <cellStyle name="Comma 2 4 2" xfId="142" xr:uid="{5FA2BD83-D5E6-4B71-BF88-183C9771F2DE}"/>
    <cellStyle name="Comma 2 4 2 2" xfId="4978" xr:uid="{873E65D4-DFA1-4521-AB07-DC8989789C25}"/>
    <cellStyle name="Comma 2 4 2 3" xfId="22541" xr:uid="{75D931C4-07DA-4444-AAD6-5DC1773B59F7}"/>
    <cellStyle name="Comma 2 4 3" xfId="143" xr:uid="{9C740D48-715F-4FB1-AF25-93B9E06B86CA}"/>
    <cellStyle name="Comma 2 4 3 2" xfId="4979" xr:uid="{E5F947B7-F714-4C31-A5ED-482AE40FCCA5}"/>
    <cellStyle name="Comma 2 4 3 3" xfId="22542" xr:uid="{5003465B-AF27-4884-BB96-85DC114805F4}"/>
    <cellStyle name="Comma 2 4 4" xfId="353" xr:uid="{EFA0DE79-D03B-4928-B6CD-B30D7DB9D7C4}"/>
    <cellStyle name="Comma 2 4 4 2" xfId="1568" xr:uid="{A66F3599-8F36-418F-82F3-A7CA59BE0B7B}"/>
    <cellStyle name="Comma 2 4 4 3" xfId="1569" xr:uid="{FB7C0112-7560-4B4D-A6D6-CF206D18C9AE}"/>
    <cellStyle name="Comma 2 4 4 4" xfId="1567" xr:uid="{E084E346-0277-4605-8A4F-55AE99C75301}"/>
    <cellStyle name="Comma 2 4 5" xfId="1570" xr:uid="{9A5BB807-59EE-4AEE-93AB-CE0CB4DE2109}"/>
    <cellStyle name="Comma 2 4 6" xfId="3927" xr:uid="{1F85EE25-F58C-4098-B2A7-CB000CA882F0}"/>
    <cellStyle name="Comma 2 4 6 2" xfId="4980" xr:uid="{3826D743-B860-430F-BEC8-C1689367CC46}"/>
    <cellStyle name="Comma 2 4 7" xfId="22540" xr:uid="{3D8F5477-2857-4BC8-9AAD-9AF1BA76D50A}"/>
    <cellStyle name="Comma 2 5" xfId="144" xr:uid="{166CCBEF-2CAE-489F-81F8-BACEDA86A6AB}"/>
    <cellStyle name="Comma 2 5 2" xfId="145" xr:uid="{B91DF23E-C44C-44DF-BA5D-3DEF737D5EC4}"/>
    <cellStyle name="Comma 2 5 3" xfId="146" xr:uid="{07F44E73-070A-4A27-9C11-07EB05624475}"/>
    <cellStyle name="Comma 2 5 4" xfId="354" xr:uid="{95C54F2F-10A7-4047-A863-EAB7C8392FDE}"/>
    <cellStyle name="Comma 2 5 4 2" xfId="1571" xr:uid="{661B766E-F529-4DF9-A994-5B503C640346}"/>
    <cellStyle name="Comma 2 5 5" xfId="3928" xr:uid="{2F6BEB37-A7D2-4050-8943-0AC27AFDCDB2}"/>
    <cellStyle name="Comma 2 6" xfId="147" xr:uid="{190B9F96-90C3-484B-BD94-F209882975C3}"/>
    <cellStyle name="Comma 2 6 2" xfId="355" xr:uid="{A52626C3-54E2-4A6B-9CCD-0ACD13BFD60A}"/>
    <cellStyle name="Comma 2 6 2 2" xfId="1572" xr:uid="{DA75735B-794F-4D8E-B4FE-94BEBD851A40}"/>
    <cellStyle name="Comma 2 6 3" xfId="3929" xr:uid="{786D84F7-A1F8-4B90-B5C5-8717C3B1DCC1}"/>
    <cellStyle name="Comma 2 7" xfId="148" xr:uid="{36FF6FEE-A8F0-432B-85F8-6479A1EA1150}"/>
    <cellStyle name="Comma 2 7 2" xfId="356" xr:uid="{5D7E6CE0-ACC0-4C81-A38B-63AD9A77CC6F}"/>
    <cellStyle name="Comma 2 7 2 2" xfId="1573" xr:uid="{DC64A82A-4DD1-4E5E-BAF5-4F30A5D95CCC}"/>
    <cellStyle name="Comma 2 7 3" xfId="3930" xr:uid="{2FD4E86E-3B06-4BAB-BA2B-D0C85FF6DC67}"/>
    <cellStyle name="Comma 2 8" xfId="347" xr:uid="{DE611D16-61C3-4CF4-8B65-2E9E349708CF}"/>
    <cellStyle name="Comma 2 8 2" xfId="1575" xr:uid="{7DE81F44-E606-41EF-B769-DD00C49D9915}"/>
    <cellStyle name="Comma 2 8 3" xfId="1576" xr:uid="{0F0BB2E2-3BEE-4EAA-B941-0542E360091B}"/>
    <cellStyle name="Comma 2 8 4" xfId="1574" xr:uid="{D354345B-67CF-45EB-B716-0A6CBC063359}"/>
    <cellStyle name="Comma 2 8 4 2" xfId="4981" xr:uid="{CE15398F-4135-4D32-B845-5D38DB944812}"/>
    <cellStyle name="Comma 2 8 5" xfId="3931" xr:uid="{9DDF9BFD-9CE4-4BE9-B744-2914598831FB}"/>
    <cellStyle name="Comma 2 9" xfId="1577" xr:uid="{EAB4D2B6-7F19-44A6-BE21-5352B28E4D1D}"/>
    <cellStyle name="Comma 2 9 2" xfId="3932" xr:uid="{39FFD596-FBF9-46BE-ACB7-8B8D9F0D39C3}"/>
    <cellStyle name="Comma 2 9 2 2" xfId="4983" xr:uid="{6C354CB3-77FB-47D6-9C26-2B4793034DA7}"/>
    <cellStyle name="Comma 2 9 3" xfId="4984" xr:uid="{ECDD5A0B-9469-4D31-A581-6F2EA0008D40}"/>
    <cellStyle name="Comma 2 9 4" xfId="4982" xr:uid="{DC3F238C-A7BC-4C66-8E2E-95F9417A1972}"/>
    <cellStyle name="Comma 2_PrimaryEnergyPrices_TIMES" xfId="4985" xr:uid="{4CE69C88-6C34-428B-BFD3-4DF2CB2B6BD8}"/>
    <cellStyle name="Comma 20" xfId="22500" xr:uid="{29C99BF2-E158-459F-B8A3-17339035A0A8}"/>
    <cellStyle name="Comma 21" xfId="44" xr:uid="{E9B3B0F9-8B4F-4C1E-B543-E8D3C5E391F3}"/>
    <cellStyle name="Comma 22" xfId="45" xr:uid="{040BF2E8-2050-4547-9DEC-ACFE58EFE6EB}"/>
    <cellStyle name="Comma 3" xfId="1578" xr:uid="{2113BF07-968D-4101-8A96-E9A0042A26C7}"/>
    <cellStyle name="Comma 3 10" xfId="3934" xr:uid="{C8E99F46-5A90-44A5-9A2C-2A5C6E5B8350}"/>
    <cellStyle name="Comma 3 11" xfId="3933" xr:uid="{1BACD4AF-645B-41F9-917C-7369C7E97D4E}"/>
    <cellStyle name="Comma 3 12" xfId="22554" xr:uid="{BD5EAA98-BC17-49D3-B327-D877B19C4184}"/>
    <cellStyle name="Comma 3 2" xfId="1579" xr:uid="{EC2BF9D1-5CA9-44EE-A48B-8E383B5D270E}"/>
    <cellStyle name="Comma 3 2 2" xfId="1580" xr:uid="{01D7F25A-2847-47F1-856E-8C8CE7DDEA5E}"/>
    <cellStyle name="Comma 3 2 2 2" xfId="4986" xr:uid="{93FCF75C-DEA1-4B67-831C-D059A236B9CC}"/>
    <cellStyle name="Comma 3 2 3" xfId="3935" xr:uid="{199C3353-04F2-4C63-A831-F35DE8CDBC7C}"/>
    <cellStyle name="Comma 3 2 4" xfId="22555" xr:uid="{769DACA0-7576-447F-A9FF-EAEE659C0C2A}"/>
    <cellStyle name="Comma 3 3" xfId="1581" xr:uid="{342A6C39-77B1-4070-AF38-3A0424420D8F}"/>
    <cellStyle name="Comma 3 3 2" xfId="3936" xr:uid="{57B06AD0-8B87-4B4E-A537-FD6E9841BF45}"/>
    <cellStyle name="Comma 3 3 2 2" xfId="4988" xr:uid="{58865FD9-253C-40E9-9E23-4C66E14EB3A9}"/>
    <cellStyle name="Comma 3 3 3" xfId="4989" xr:uid="{1B8D5539-5B3A-4374-B0FB-91F35EB5DE0F}"/>
    <cellStyle name="Comma 3 3 4" xfId="4987" xr:uid="{94E914F5-A73A-4A2C-8163-4318988E69A9}"/>
    <cellStyle name="Comma 3 4" xfId="1582" xr:uid="{0255B75C-0B2E-4386-9662-BAFE59F706DA}"/>
    <cellStyle name="Comma 3 4 2" xfId="3937" xr:uid="{7FD738E8-AC60-4B73-A8BB-C3E7D7E11745}"/>
    <cellStyle name="Comma 3 5" xfId="3938" xr:uid="{AE0D6E8D-8F83-400C-BF7B-8698542CF252}"/>
    <cellStyle name="Comma 3 6" xfId="3939" xr:uid="{6CB47BC6-DA1F-40CD-AD6B-FDB8B8CBA8E5}"/>
    <cellStyle name="Comma 3 7" xfId="3940" xr:uid="{EA4590E3-18F0-4922-9307-B4EF38C54A18}"/>
    <cellStyle name="Comma 3 8" xfId="3941" xr:uid="{01F7E34A-7EF8-411E-853C-137A7077BE10}"/>
    <cellStyle name="Comma 3 9" xfId="3942" xr:uid="{11C4DB6C-3A22-4B8A-BD23-F598416FF8AD}"/>
    <cellStyle name="Comma 4" xfId="1583" xr:uid="{51C91AF0-2AAC-486F-9EC2-730DD3B064B9}"/>
    <cellStyle name="Comma 4 2" xfId="1584" xr:uid="{6E15DD16-146B-426F-862C-DDB3C8251784}"/>
    <cellStyle name="Comma 4 2 2" xfId="3944" xr:uid="{56A615BA-2318-45F8-BB77-9A3532A06A14}"/>
    <cellStyle name="Comma 4 3" xfId="3945" xr:uid="{85CA98E1-B6B5-4462-AFC3-457223623D61}"/>
    <cellStyle name="Comma 4 4" xfId="3946" xr:uid="{7EA35B4B-583F-473E-9E04-E528E2A0707D}"/>
    <cellStyle name="Comma 4 5" xfId="3947" xr:uid="{D969C436-858F-4294-AA57-971E557AF37F}"/>
    <cellStyle name="Comma 4 6" xfId="3948" xr:uid="{DB7D95BF-7B73-4C1C-BDE2-4F2EE7832F6E}"/>
    <cellStyle name="Comma 4 7" xfId="3949" xr:uid="{BF7F3682-0BE8-473A-806A-7A6F1A748E0F}"/>
    <cellStyle name="Comma 4 8" xfId="3950" xr:uid="{5082CD31-F139-4A3E-9496-40A0B3BB0F08}"/>
    <cellStyle name="Comma 4 9" xfId="3943" xr:uid="{58D6BE24-F4F4-420F-BB85-5404542A531F}"/>
    <cellStyle name="Comma 5" xfId="3951" xr:uid="{5049EB7D-068E-4BA1-8173-93907A56F0C1}"/>
    <cellStyle name="Comma 5 2" xfId="1585" xr:uid="{BA63B655-430E-4724-85CA-52FA9DA0714E}"/>
    <cellStyle name="Comma 5 3" xfId="1586" xr:uid="{ECCE7D2E-3D39-49A3-8109-7617D999C75B}"/>
    <cellStyle name="Comma 5 3 2" xfId="1587" xr:uid="{74CC6A69-6655-4658-BEA8-1BE2A037619E}"/>
    <cellStyle name="Comma 5 4" xfId="3952" xr:uid="{5356B2BD-DDC7-4B7B-9D06-249F5CDFF6CB}"/>
    <cellStyle name="Comma 5 5" xfId="3953" xr:uid="{3EDEFE93-50C6-4E9E-B013-16BA25C09401}"/>
    <cellStyle name="Comma 5 6" xfId="3954" xr:uid="{BD4CE950-FD98-4CB7-908C-3E6B3231271D}"/>
    <cellStyle name="Comma 5 7" xfId="3955" xr:uid="{D336231D-C652-48A2-8764-6630442C60A1}"/>
    <cellStyle name="Comma 5 8" xfId="3956" xr:uid="{E21363E0-7259-473D-A400-EBA1A38D688C}"/>
    <cellStyle name="Comma 6" xfId="3957" xr:uid="{5E762C94-B59E-4CA7-A5C1-D1BDEA65F730}"/>
    <cellStyle name="Comma 6 2" xfId="3958" xr:uid="{70D5365B-7F27-4A7E-A952-FC5C3EE6C3F9}"/>
    <cellStyle name="Comma 6 3" xfId="3959" xr:uid="{163BC278-832D-41B2-8B1F-0FB28FF2C732}"/>
    <cellStyle name="Comma 6 4" xfId="3960" xr:uid="{20D1D598-97E8-43F7-85EB-D2A062B85478}"/>
    <cellStyle name="Comma 6 5" xfId="3961" xr:uid="{A4031946-2F58-47ED-9456-ED5C4D8A77D5}"/>
    <cellStyle name="Comma 6 6" xfId="3962" xr:uid="{B9E99B9D-74B5-4E16-96E0-BFCB29DA6344}"/>
    <cellStyle name="Comma 6 7" xfId="3963" xr:uid="{BBBB1052-56E0-4A95-9F90-19D803E06A95}"/>
    <cellStyle name="Comma 6 8" xfId="3964" xr:uid="{8A69672A-9F54-4765-8ABF-0A60C3C0EA56}"/>
    <cellStyle name="Comma 7" xfId="3965" xr:uid="{7F94DB2E-91FF-4A81-8CF9-960B3DB11BBA}"/>
    <cellStyle name="Comma 7 10" xfId="3966" xr:uid="{58BCBA62-4263-47A6-89E0-A8970EB75117}"/>
    <cellStyle name="Comma 7 11" xfId="3967" xr:uid="{903F22A8-6B18-4AD4-9F49-49FF9AB70A62}"/>
    <cellStyle name="Comma 7 12" xfId="3968" xr:uid="{EBA93718-F791-49C9-B76A-BA13155E4A30}"/>
    <cellStyle name="Comma 7 13" xfId="3969" xr:uid="{CC860D04-98FC-4960-B527-7C8837E9DE29}"/>
    <cellStyle name="Comma 7 14" xfId="3970" xr:uid="{DA72D604-E68A-4548-B110-A3185439D799}"/>
    <cellStyle name="Comma 7 15" xfId="3971" xr:uid="{AC72E2CB-A81C-4288-A3FE-CE66517C719E}"/>
    <cellStyle name="Comma 7 16" xfId="3972" xr:uid="{F33FFBDF-A634-4CE5-BC86-641CC91BBAA3}"/>
    <cellStyle name="Comma 7 17" xfId="3973" xr:uid="{38CD6635-1E7B-4F38-B429-7AEE68746F16}"/>
    <cellStyle name="Comma 7 18" xfId="3974" xr:uid="{6635E62D-F628-42BA-BCC4-BB2DD91EF905}"/>
    <cellStyle name="Comma 7 19" xfId="3975" xr:uid="{5310C686-FC7D-43FF-B96E-283E9C770E25}"/>
    <cellStyle name="Comma 7 2" xfId="3976" xr:uid="{FA4567B6-2D29-4CB3-A613-BE8CB070F496}"/>
    <cellStyle name="Comma 7 20" xfId="3977" xr:uid="{C7B534AD-BDDE-461B-8479-C48221A0965F}"/>
    <cellStyle name="Comma 7 21" xfId="3978" xr:uid="{B15D37EC-83EC-464B-8A02-34AC52C63992}"/>
    <cellStyle name="Comma 7 3" xfId="3979" xr:uid="{BC4F7A44-EC30-4A54-99FF-80E4F125B38D}"/>
    <cellStyle name="Comma 7 3 10" xfId="3980" xr:uid="{392EB8BF-17F3-46F4-A549-879E2AAB5E39}"/>
    <cellStyle name="Comma 7 3 11" xfId="3981" xr:uid="{69FBF7AA-4022-4A3B-8ECC-1A4F41E620F4}"/>
    <cellStyle name="Comma 7 3 12" xfId="3982" xr:uid="{EBD7F289-7B41-43B5-8886-BB90FFADD8FA}"/>
    <cellStyle name="Comma 7 3 13" xfId="3983" xr:uid="{EF8FA039-3808-450D-A410-2CE8D81DA721}"/>
    <cellStyle name="Comma 7 3 14" xfId="3984" xr:uid="{3DFDD7FC-D939-46DF-82DF-CE856C3FC76C}"/>
    <cellStyle name="Comma 7 3 15" xfId="3985" xr:uid="{8A2A32ED-AB2A-4FC0-9C27-69E4D5EA3EA4}"/>
    <cellStyle name="Comma 7 3 2" xfId="3986" xr:uid="{0832080B-2DC4-4D24-ADEB-28A615F63E3E}"/>
    <cellStyle name="Comma 7 3 3" xfId="3987" xr:uid="{5E600385-5F8D-4712-AA40-C59D40C9454D}"/>
    <cellStyle name="Comma 7 3 4" xfId="3988" xr:uid="{6362A00F-94B5-49E7-90D5-C678CC1384ED}"/>
    <cellStyle name="Comma 7 3 5" xfId="3989" xr:uid="{FF01BB5E-9C2B-455D-908E-935FD070EDE6}"/>
    <cellStyle name="Comma 7 3 6" xfId="3990" xr:uid="{D916EC2D-5B26-4A44-9E60-5700AD14985C}"/>
    <cellStyle name="Comma 7 3 7" xfId="3991" xr:uid="{AD4B6F47-DE32-42B9-9EBD-A4A1D4DBFA75}"/>
    <cellStyle name="Comma 7 3 8" xfId="3992" xr:uid="{EE2333D1-1128-4986-BFF9-D47ACFA7ED31}"/>
    <cellStyle name="Comma 7 3 9" xfId="3993" xr:uid="{50A3D6C3-D0D4-4305-92A4-C41C37663C2B}"/>
    <cellStyle name="Comma 7 4" xfId="3994" xr:uid="{6632812E-718F-41FE-A3BD-1C4ED74372DA}"/>
    <cellStyle name="Comma 7 5" xfId="3995" xr:uid="{855B6D8D-625C-417A-9740-17C497E83CD3}"/>
    <cellStyle name="Comma 7 6" xfId="3996" xr:uid="{ED0749EC-AA3F-4D2D-8685-399E98F9E218}"/>
    <cellStyle name="Comma 7 7" xfId="3997" xr:uid="{26434166-5F4C-410C-8296-468523373861}"/>
    <cellStyle name="Comma 7 8" xfId="3998" xr:uid="{2BBBB486-B87C-4BD5-A00C-CF52A6946FF2}"/>
    <cellStyle name="Comma 7 9" xfId="3999" xr:uid="{AA90F0E6-DB68-427E-B0BE-E1E8D18E9691}"/>
    <cellStyle name="Comma 8" xfId="4000" xr:uid="{7959D1B5-5EE9-4465-AF2D-9D5048CC0BFD}"/>
    <cellStyle name="Comma 8 2" xfId="1588" xr:uid="{94CFCCDD-F662-4DAC-AEF8-9439B31ADF97}"/>
    <cellStyle name="Comma 8 2 2" xfId="1589" xr:uid="{B395DE24-B958-4F6B-9163-364A4A34B534}"/>
    <cellStyle name="Comma 8 3" xfId="4001" xr:uid="{C0497389-A1DD-40D9-86F5-182435419C93}"/>
    <cellStyle name="Comma 8 4" xfId="4002" xr:uid="{DDE49B13-C48A-4B43-8308-4140D820238E}"/>
    <cellStyle name="Comma 8 5" xfId="4003" xr:uid="{65FF18E4-99EE-421A-A655-BDCF3ED12644}"/>
    <cellStyle name="Comma 8 6" xfId="4004" xr:uid="{1943760B-5852-4700-9A70-8E57031EC18E}"/>
    <cellStyle name="Comma 8 7" xfId="4005" xr:uid="{BD0241A5-312B-4AA8-B7EB-3D0FF2812075}"/>
    <cellStyle name="Comma 8 8" xfId="4006" xr:uid="{428C8C6E-6918-4F18-94CF-84977F224D33}"/>
    <cellStyle name="Comma 9" xfId="4007" xr:uid="{AB27E0CD-DFDB-4AD6-A4F4-46C09B43DA9C}"/>
    <cellStyle name="Comma 9 10" xfId="4990" xr:uid="{E0AE4B39-FD52-4D43-84D8-4FFAAAEC3DE8}"/>
    <cellStyle name="Comma 9 2" xfId="4008" xr:uid="{51AA2F24-ACBF-4C95-AAF9-B7D84F3A21C0}"/>
    <cellStyle name="Comma 9 3" xfId="4009" xr:uid="{D4EFCAFF-F23C-49A0-BD79-5C495CD110F9}"/>
    <cellStyle name="Comma 9 4" xfId="4010" xr:uid="{F9317DA4-1D57-4717-AE88-7999F8CD521B}"/>
    <cellStyle name="Comma 9 5" xfId="4011" xr:uid="{1907D7F4-C817-46F2-9D51-9FA22033E3E1}"/>
    <cellStyle name="Comma 9 6" xfId="4012" xr:uid="{BFE9CE78-04F9-44E3-8571-C07B46CF9515}"/>
    <cellStyle name="Comma 9 7" xfId="4013" xr:uid="{E0DC251E-175C-4885-8E5B-9A51C3B7301D}"/>
    <cellStyle name="Comma 9 8" xfId="4014" xr:uid="{64C93449-F600-4F6D-80A3-97EFD8879FA2}"/>
    <cellStyle name="Comma 9 9" xfId="4015" xr:uid="{6ACF4EC4-37C7-46C1-A6BA-EFC62E0D9338}"/>
    <cellStyle name="Constants" xfId="1590" xr:uid="{DA7045F0-6318-4003-8330-0930F99A98B1}"/>
    <cellStyle name="Currency 2" xfId="57" xr:uid="{A1EF6836-1F65-4733-939C-6C8465472F98}"/>
    <cellStyle name="Currency 2 2" xfId="4016" xr:uid="{06CBD933-F2A8-484C-AA16-68180D8B41A2}"/>
    <cellStyle name="Currency 2 3" xfId="4991" xr:uid="{BDCAB0EE-F9BB-4B34-8631-566085E2AEE9}"/>
    <cellStyle name="Currency 2 4" xfId="1591" xr:uid="{DC1D82AA-3428-4686-8F9C-C247231438C0}"/>
    <cellStyle name="CustomCellsOrange" xfId="1592" xr:uid="{F40555A1-2CFE-4F80-B71F-E3E60B682EF3}"/>
    <cellStyle name="CustomizationCells" xfId="1593" xr:uid="{3137DB3B-0646-4D8B-8D6F-45F1950E9E71}"/>
    <cellStyle name="CustomizationGreenCells" xfId="1594" xr:uid="{9AD391DA-4D34-42C5-B7F1-67859CFD8EB6}"/>
    <cellStyle name="DocBox_EmptyRow" xfId="1595" xr:uid="{91C29423-EC98-466A-86A7-0961C4140D0A}"/>
    <cellStyle name="donn_normal" xfId="326" xr:uid="{0068F646-106B-4592-8205-606771386959}"/>
    <cellStyle name="Eingabe" xfId="1596" xr:uid="{22F73993-EB7C-4FCF-AA39-51DBF3211C29}"/>
    <cellStyle name="Empty_B_border" xfId="1597" xr:uid="{716CD7AE-2994-4D2D-9847-0B90C507CAC3}"/>
    <cellStyle name="ent_col_ser" xfId="327" xr:uid="{594443BE-B12B-4486-9C48-AA8EDFBF7B24}"/>
    <cellStyle name="entete_source" xfId="328" xr:uid="{3D35E202-9E36-4DFA-91C4-B428B613E177}"/>
    <cellStyle name="Ergebnis" xfId="1598" xr:uid="{6FA93C26-982C-49FA-89B0-CF7FC77366D4}"/>
    <cellStyle name="Erklärender Text" xfId="1599" xr:uid="{7EF7EDBE-E6B1-4450-B8BD-58457A9E0EC2}"/>
    <cellStyle name="Estilo 1" xfId="1600" xr:uid="{D46FFE7C-80DA-4CEE-B79C-5229226BA643}"/>
    <cellStyle name="Euro" xfId="149" xr:uid="{F4492383-00B1-4455-9136-7F3FA3B83050}"/>
    <cellStyle name="Euro 10" xfId="1602" xr:uid="{3FD7FB49-F3BE-4040-BCED-4C917BE2AF2A}"/>
    <cellStyle name="Euro 10 2" xfId="1603" xr:uid="{3751F4FF-ED58-494F-B0A9-5089C390AD70}"/>
    <cellStyle name="Euro 11" xfId="1604" xr:uid="{3EF89B58-21AC-4BB5-99F4-F679442295F1}"/>
    <cellStyle name="Euro 11 2" xfId="1605" xr:uid="{18E988D2-0F7C-4ACC-9CE4-73B4655F2601}"/>
    <cellStyle name="Euro 12" xfId="1606" xr:uid="{BA7C8B09-3715-4627-BC1D-0960743EA210}"/>
    <cellStyle name="Euro 13" xfId="1607" xr:uid="{9E5E1D37-59A6-493B-B044-A341B77379D4}"/>
    <cellStyle name="Euro 14" xfId="1608" xr:uid="{5A8750A8-9D24-4441-AFE0-176F552233BF}"/>
    <cellStyle name="Euro 15" xfId="1609" xr:uid="{91ED680F-4540-430D-A6F3-C55379CB629B}"/>
    <cellStyle name="Euro 16" xfId="1610" xr:uid="{C59EBF63-13B0-4DD5-981E-CC2D987A47CC}"/>
    <cellStyle name="Euro 17" xfId="1611" xr:uid="{E0D08B5B-FBF3-412C-A8EE-2368B2B4D1E9}"/>
    <cellStyle name="Euro 18" xfId="1612" xr:uid="{530CF1BB-833E-4733-8B92-1386F6124ADB}"/>
    <cellStyle name="Euro 19" xfId="1613" xr:uid="{D7082353-E129-41E5-8B42-0D9BFD991702}"/>
    <cellStyle name="Euro 2" xfId="150" xr:uid="{0A131F42-E623-4D89-9841-426651F19034}"/>
    <cellStyle name="Euro 2 2" xfId="151" xr:uid="{BD956C7E-71D6-4552-9779-322B5F1CCA39}"/>
    <cellStyle name="Euro 2 2 2" xfId="152" xr:uid="{072781DA-3EA3-4726-A4D6-207945067B38}"/>
    <cellStyle name="Euro 2 2 2 2" xfId="4992" xr:uid="{E6DF984D-5B7B-4ECF-99C7-2030C8E5A1FA}"/>
    <cellStyle name="Euro 2 2 3" xfId="153" xr:uid="{C17F6C5D-D378-4ECB-964A-C8A05009B8AD}"/>
    <cellStyle name="Euro 2 2 4" xfId="357" xr:uid="{A440F69F-6018-4641-9F85-376E22F34609}"/>
    <cellStyle name="Euro 2 2 4 2" xfId="1616" xr:uid="{94EF9D56-B335-4B09-BF04-6006ADB37AD9}"/>
    <cellStyle name="Euro 2 2 5" xfId="1617" xr:uid="{9E273B24-46A0-4592-9680-70644B6C2A50}"/>
    <cellStyle name="Euro 2 2 6" xfId="1615" xr:uid="{2D48A55C-BF55-4D7D-AE3A-834850F5ED2D}"/>
    <cellStyle name="Euro 2 3" xfId="1618" xr:uid="{6CD7FF88-F55F-46F6-B0F2-87343F6DF8EF}"/>
    <cellStyle name="Euro 2 3 2" xfId="4993" xr:uid="{0B8F9082-795D-4312-95E5-C889A375CF48}"/>
    <cellStyle name="Euro 2 4" xfId="1619" xr:uid="{D4F5F271-82B0-4E71-BC96-1DD6936C4390}"/>
    <cellStyle name="Euro 2 4 2" xfId="4994" xr:uid="{0F066111-B8EB-4069-8D9E-BCE558E301CF}"/>
    <cellStyle name="Euro 2 4 2 2" xfId="4995" xr:uid="{366695B4-3104-4C6E-9160-5CF2833212E7}"/>
    <cellStyle name="Euro 2 4 3" xfId="4996" xr:uid="{1AD210B4-5D2A-42E5-887C-A892567D62A1}"/>
    <cellStyle name="Euro 2 4 3 2" xfId="4997" xr:uid="{68969AB8-97BC-4D8F-B6AA-85C983DD76F3}"/>
    <cellStyle name="Euro 2 4 3 3" xfId="4998" xr:uid="{45AA9C79-6DAC-44E6-8900-FA9A361E094A}"/>
    <cellStyle name="Euro 2 4 4" xfId="4999" xr:uid="{9B3E8719-FE22-4B4E-B1DF-651C35C648F5}"/>
    <cellStyle name="Euro 2 5" xfId="1620" xr:uid="{9BB6E5AE-73BB-4967-AD34-18D4BB25A3D2}"/>
    <cellStyle name="Euro 2 6" xfId="1621" xr:uid="{4A8CD0A7-4957-4E90-A428-940EE89080EA}"/>
    <cellStyle name="Euro 2 7" xfId="1614" xr:uid="{C8AE6175-506D-499A-A315-3BC07F1D42C9}"/>
    <cellStyle name="Euro 20" xfId="1622" xr:uid="{F2390322-9963-44A6-B13C-7ED11E56529D}"/>
    <cellStyle name="Euro 21" xfId="1623" xr:uid="{D4A5ABBA-8C59-46FC-B28F-8FCFF308469D}"/>
    <cellStyle name="Euro 22" xfId="1624" xr:uid="{5B8ED250-D1A4-40CE-9AEE-63976747B3D8}"/>
    <cellStyle name="Euro 23" xfId="1625" xr:uid="{ACA2D541-879E-4EAA-9CB6-D8B3811455E4}"/>
    <cellStyle name="Euro 24" xfId="1626" xr:uid="{90CF26DA-01CE-4368-8572-34F503425F0D}"/>
    <cellStyle name="Euro 25" xfId="1627" xr:uid="{17B7CA8D-2D60-468F-9F69-A4FA41A7B566}"/>
    <cellStyle name="Euro 26" xfId="1628" xr:uid="{E6002A87-87F7-4E67-8961-997B1598DC33}"/>
    <cellStyle name="Euro 27" xfId="1629" xr:uid="{74EA5F97-C557-4990-86F4-9E23B65F5E02}"/>
    <cellStyle name="Euro 28" xfId="1630" xr:uid="{B50FFDC4-326A-49AE-A503-C6C32ADD5094}"/>
    <cellStyle name="Euro 29" xfId="1631" xr:uid="{A6C3926A-E972-4801-9B11-F985EF7185BA}"/>
    <cellStyle name="Euro 3" xfId="154" xr:uid="{5D9E231E-A19D-464A-84B3-E7FFD1478CA2}"/>
    <cellStyle name="Euro 3 10" xfId="22543" xr:uid="{0096A8D2-C87A-4883-9099-743F1AD7F91F}"/>
    <cellStyle name="Euro 3 2" xfId="155" xr:uid="{6F0A069E-F6CC-4B1D-BD53-6252C1B2AEFF}"/>
    <cellStyle name="Euro 3 2 2" xfId="1633" xr:uid="{80C92A5F-EE69-45EC-82FE-9FCFE7147AC4}"/>
    <cellStyle name="Euro 3 2 2 2" xfId="5000" xr:uid="{9DF97B06-B0CF-4502-AA6D-1AC8234E078C}"/>
    <cellStyle name="Euro 3 3" xfId="156" xr:uid="{FC1CCCA7-6C0A-4B6C-87BD-DE75028CCEEA}"/>
    <cellStyle name="Euro 3 3 2" xfId="157" xr:uid="{A71A1FB2-F2C9-4546-811E-46D43BBD9B0E}"/>
    <cellStyle name="Euro 3 3 3" xfId="158" xr:uid="{3A1318B3-40A7-48F3-AB74-A2D31E1D8172}"/>
    <cellStyle name="Euro 3 3 4" xfId="358" xr:uid="{6A0D6B8A-106D-464C-A2B3-B55825638DA4}"/>
    <cellStyle name="Euro 3 3 4 2" xfId="1634" xr:uid="{D1177D38-EAC7-413E-97B0-9CBC9E53C910}"/>
    <cellStyle name="Euro 3 3 5" xfId="5001" xr:uid="{295FA424-5442-41E0-A141-77CA07B5246F}"/>
    <cellStyle name="Euro 3 4" xfId="159" xr:uid="{27FA40F2-B6BB-4B92-82F9-F1AEC32779E9}"/>
    <cellStyle name="Euro 3 4 2" xfId="5002" xr:uid="{F27040A4-15ED-440C-BD02-61484C42D7D8}"/>
    <cellStyle name="Euro 3 5" xfId="1635" xr:uid="{1018C7D4-A54D-43A6-B9FA-4FE8EE6098A6}"/>
    <cellStyle name="Euro 3 5 2" xfId="5004" xr:uid="{25F0F395-FB1E-43EB-9B3B-C18AE8DB46CD}"/>
    <cellStyle name="Euro 3 5 3" xfId="5003" xr:uid="{E7F6950B-2B20-4146-9473-3836D2AE7393}"/>
    <cellStyle name="Euro 3 6" xfId="1636" xr:uid="{3992BC67-1252-4FC6-A4DB-AC647388469C}"/>
    <cellStyle name="Euro 3 7" xfId="1637" xr:uid="{8605ED83-B67D-41E9-A48D-A51053AA2E1D}"/>
    <cellStyle name="Euro 3 8" xfId="1632" xr:uid="{5E87FFA1-E786-4236-AABB-E33507570C9B}"/>
    <cellStyle name="Euro 3 9" xfId="4017" xr:uid="{A0636A0F-E26E-4F48-BE14-B3310BDF066C}"/>
    <cellStyle name="Euro 3_PrimaryEnergyPrices_TIMES" xfId="1638" xr:uid="{5DEFFEE6-1DE2-475A-AD54-970EE4520FCC}"/>
    <cellStyle name="Euro 30" xfId="1639" xr:uid="{5FDC88DB-0DC5-4CCC-8532-8CF238F206C3}"/>
    <cellStyle name="Euro 31" xfId="1640" xr:uid="{A0ECB742-B1E2-4F9D-8394-C10439CD6ECF}"/>
    <cellStyle name="Euro 32" xfId="1641" xr:uid="{49560C16-4001-4502-9B72-835DE7E69DB1}"/>
    <cellStyle name="Euro 33" xfId="1642" xr:uid="{1C31E174-E1DF-40D1-9328-1777FCEAAB3D}"/>
    <cellStyle name="Euro 34" xfId="1643" xr:uid="{9A7F4CD9-6495-4BA3-9B93-1BC9727D4FB6}"/>
    <cellStyle name="Euro 35" xfId="1644" xr:uid="{30C4B041-9B0B-4619-A264-91BCC98F61D3}"/>
    <cellStyle name="Euro 36" xfId="1645" xr:uid="{A723BBA4-47BA-4ABF-BA58-25CC4B533ABA}"/>
    <cellStyle name="Euro 37" xfId="1646" xr:uid="{6AF702B6-E21C-4FA6-A7BD-708E1EC0A05D}"/>
    <cellStyle name="Euro 38" xfId="1647" xr:uid="{18D04BD1-B501-4E13-A355-0BFF9BDF450F}"/>
    <cellStyle name="Euro 39" xfId="1648" xr:uid="{847BF4D3-67D1-4FE7-847A-A0DE81283E92}"/>
    <cellStyle name="Euro 4" xfId="160" xr:uid="{F246352E-14F2-4539-90FB-0A6E178A68D8}"/>
    <cellStyle name="Euro 4 2" xfId="161" xr:uid="{4154A0C9-CB9E-48E0-99DA-AE83DD5F05CC}"/>
    <cellStyle name="Euro 4 2 2" xfId="1649" xr:uid="{A2F51F50-FF08-4F6C-8B12-0B0A5BE7B843}"/>
    <cellStyle name="Euro 4 2 2 2" xfId="5005" xr:uid="{4360112C-A303-40EE-8799-A4A18428A11D}"/>
    <cellStyle name="Euro 4 3" xfId="162" xr:uid="{61EA304C-1EF9-4979-B9C9-5E4261FBB4B2}"/>
    <cellStyle name="Euro 4 3 2" xfId="163" xr:uid="{4A3862E8-3010-43CE-AD41-6682293AFA17}"/>
    <cellStyle name="Euro 4 3 3" xfId="164" xr:uid="{6477AC10-482D-4643-8D25-EAD0D5AA347C}"/>
    <cellStyle name="Euro 4 3 4" xfId="359" xr:uid="{2E982278-9D11-4F92-AE51-BC7464497378}"/>
    <cellStyle name="Euro 4 3 4 2" xfId="1650" xr:uid="{A22379B7-4B24-4836-9239-A7521536F824}"/>
    <cellStyle name="Euro 4 3 5" xfId="5006" xr:uid="{4DFDAAD3-E143-4E3C-AE6A-D47783A313CB}"/>
    <cellStyle name="Euro 4 4" xfId="165" xr:uid="{7BDA0B8D-A593-4E0D-AA04-F953A21B0806}"/>
    <cellStyle name="Euro 4 4 2" xfId="4018" xr:uid="{1E1C7D97-06A8-4C90-A501-8F3FA33FFCEC}"/>
    <cellStyle name="Euro 4 4 2 2" xfId="5007" xr:uid="{F0599434-6615-4A7F-9980-885942E81CB2}"/>
    <cellStyle name="Euro 4 5" xfId="1651" xr:uid="{A0FA3A71-7424-4415-AD45-7AF3EE4D22A9}"/>
    <cellStyle name="Euro 4 6" xfId="22544" xr:uid="{20C90E3D-5CF6-4E1E-A914-8EB9B0282CA4}"/>
    <cellStyle name="Euro 40" xfId="1652" xr:uid="{B0006E2C-12B5-4EF4-A90F-7B69ACFE5338}"/>
    <cellStyle name="Euro 41" xfId="1653" xr:uid="{42D8765E-DACA-4901-95D0-BD9638BBE4DE}"/>
    <cellStyle name="Euro 42" xfId="1654" xr:uid="{2CB2D1B6-9D74-4785-8659-1079D3A12176}"/>
    <cellStyle name="Euro 43" xfId="1655" xr:uid="{D3F5F8E4-B7EB-43B8-832A-3C7957A48C6A}"/>
    <cellStyle name="Euro 44" xfId="1656" xr:uid="{28FC111C-0152-41E9-B140-3F5673D32B3D}"/>
    <cellStyle name="Euro 45" xfId="1657" xr:uid="{5F21D745-6406-4D1A-BCF5-46AB3EE1703E}"/>
    <cellStyle name="Euro 46" xfId="1658" xr:uid="{16EEB1F3-764B-42D9-A532-CB4BEC2CBA21}"/>
    <cellStyle name="Euro 47" xfId="1659" xr:uid="{AE597B0B-8244-4A57-8CD6-84AC9E560A2C}"/>
    <cellStyle name="Euro 48" xfId="1660" xr:uid="{FE38EDD7-DED6-40AC-A955-9092B2E91A1C}"/>
    <cellStyle name="Euro 48 2" xfId="1661" xr:uid="{86C3764E-66F0-4894-B309-1B2145933986}"/>
    <cellStyle name="Euro 49" xfId="1662" xr:uid="{C801AA48-655D-40EB-A669-078F5A577C7F}"/>
    <cellStyle name="Euro 49 2" xfId="1663" xr:uid="{01651BF3-7235-4C3D-B0AE-33C032443F71}"/>
    <cellStyle name="Euro 5" xfId="166" xr:uid="{A12037A9-74C1-43DF-BBB5-A235B5E988E3}"/>
    <cellStyle name="Euro 5 2" xfId="167" xr:uid="{392BE166-E4DF-459E-BDCB-49F06E1541E2}"/>
    <cellStyle name="Euro 5 2 2" xfId="5008" xr:uid="{2F292C2E-5082-4CE0-8EFD-A79563C9CDED}"/>
    <cellStyle name="Euro 5 3" xfId="168" xr:uid="{C6E34E44-540F-489E-96D0-09A4A7A441B7}"/>
    <cellStyle name="Euro 5 3 2" xfId="5009" xr:uid="{FA84327F-6451-45AA-8A84-B61678A0E3AC}"/>
    <cellStyle name="Euro 5 4" xfId="360" xr:uid="{41ED94E8-2A4D-445A-BEFA-E23A0A918EDA}"/>
    <cellStyle name="Euro 5 4 2" xfId="1664" xr:uid="{345C91D4-8ACC-4363-9E56-F87493AA8F91}"/>
    <cellStyle name="Euro 50" xfId="1665" xr:uid="{955E0A28-6F39-4E34-B607-41A7E0524BE4}"/>
    <cellStyle name="Euro 50 2" xfId="1666" xr:uid="{22A8D62A-24EC-4848-9927-8A340A8644C1}"/>
    <cellStyle name="Euro 51" xfId="1667" xr:uid="{25D94C24-3891-480B-A148-175997965E53}"/>
    <cellStyle name="Euro 51 2" xfId="1668" xr:uid="{02F7C63D-5729-4713-AF6C-72CD66E409AD}"/>
    <cellStyle name="Euro 52" xfId="1669" xr:uid="{49F59C39-2C73-48C4-A88A-C88C0FE5707D}"/>
    <cellStyle name="Euro 52 2" xfId="1670" xr:uid="{F37DDE65-87D0-44DA-BF9D-A5FF57956617}"/>
    <cellStyle name="Euro 53" xfId="1671" xr:uid="{5F8F821E-88C8-45D0-89C4-F3C7F377C383}"/>
    <cellStyle name="Euro 53 2" xfId="1672" xr:uid="{3CFBEEC5-DFEE-4018-8D7F-F4F0F0FA505C}"/>
    <cellStyle name="Euro 54" xfId="1673" xr:uid="{D2BBE0F7-EB85-48F2-B782-A099F13B51CD}"/>
    <cellStyle name="Euro 54 2" xfId="1674" xr:uid="{F0357EF1-018F-4FD0-A68D-86A06E03C596}"/>
    <cellStyle name="Euro 55" xfId="1675" xr:uid="{B8955E8A-A9DD-4A71-B49C-8907A0E25BEE}"/>
    <cellStyle name="Euro 55 2" xfId="1676" xr:uid="{1AA62E60-D15A-419C-B1DB-BDC623DE611A}"/>
    <cellStyle name="Euro 56" xfId="1677" xr:uid="{1577022F-23C1-4A8A-8E68-40CAD6E983B8}"/>
    <cellStyle name="Euro 56 2" xfId="1678" xr:uid="{0A4258AF-256D-4A22-B4C6-DCD404B2B32A}"/>
    <cellStyle name="Euro 57" xfId="1679" xr:uid="{8BAF781C-4435-40EC-A031-B0EC12808E12}"/>
    <cellStyle name="Euro 58" xfId="1680" xr:uid="{80E8DF86-7641-45DD-9FD6-CAAD33A51112}"/>
    <cellStyle name="Euro 58 2" xfId="5010" xr:uid="{73441E4A-92A0-407F-8F58-B3D5759B29D7}"/>
    <cellStyle name="Euro 58 2 2" xfId="5011" xr:uid="{57840AAC-035F-4171-8A9B-FB1481857794}"/>
    <cellStyle name="Euro 58 3" xfId="5012" xr:uid="{91E296EC-D394-4FA3-B1D8-B75A556B61E0}"/>
    <cellStyle name="Euro 58 3 2" xfId="5013" xr:uid="{60E43DCD-F3AD-4C7F-A0BE-4BB1736D30F2}"/>
    <cellStyle name="Euro 58 3 3" xfId="5014" xr:uid="{7C830571-462A-4A42-81DF-0C95506158BA}"/>
    <cellStyle name="Euro 58 4" xfId="5015" xr:uid="{D18ED1A6-4754-44E4-8B55-1F299FF301DD}"/>
    <cellStyle name="Euro 58 5" xfId="5016" xr:uid="{9837C1A2-20DD-4366-8DEA-92D6A1D8D380}"/>
    <cellStyle name="Euro 59" xfId="1681" xr:uid="{671807EA-D74B-47B8-884F-FA9D74FEB2D7}"/>
    <cellStyle name="Euro 6" xfId="169" xr:uid="{AD518AA6-FB8E-407D-AC70-18FE1D535F64}"/>
    <cellStyle name="Euro 6 2" xfId="1682" xr:uid="{6832F5E3-F400-4BF3-A262-2EDAD9FEE897}"/>
    <cellStyle name="Euro 6 2 2" xfId="5017" xr:uid="{D972B23A-5BA5-4D7C-A569-4191E5A59085}"/>
    <cellStyle name="Euro 6 3" xfId="1683" xr:uid="{A5D4EE3E-24A3-4FDA-9E72-3BA39CBE14ED}"/>
    <cellStyle name="Euro 6 3 2" xfId="5018" xr:uid="{B4177C25-01FD-4402-9245-EC6379535FF7}"/>
    <cellStyle name="Euro 6 4" xfId="4019" xr:uid="{B15139F1-C6C4-4BA1-9C10-9FF468B3CDAD}"/>
    <cellStyle name="Euro 6 5" xfId="22545" xr:uid="{FAE8E0B8-7C20-4377-8731-EDE23473A24A}"/>
    <cellStyle name="Euro 60" xfId="1601" xr:uid="{7C1E3F56-7E6A-4F82-AAE7-6E6DA00D7703}"/>
    <cellStyle name="Euro 7" xfId="1684" xr:uid="{5B4BD707-AADE-444B-9B81-92D1153C47BA}"/>
    <cellStyle name="Euro 7 2" xfId="1685" xr:uid="{65400F37-C080-49E1-8D5B-2ABA4A743B1B}"/>
    <cellStyle name="Euro 7 3" xfId="1686" xr:uid="{E149C6EA-D9E1-4950-A974-8D1D3E21C1F8}"/>
    <cellStyle name="Euro 7 3 2" xfId="5019" xr:uid="{878F717F-68BA-41CA-A992-4CBD05322B59}"/>
    <cellStyle name="Euro 7 4" xfId="5020" xr:uid="{FDE82CE3-AF9C-4027-9F67-3C8CAF4B2836}"/>
    <cellStyle name="Euro 8" xfId="1687" xr:uid="{8EC96120-FB36-4B5D-99B5-9A9785C021E1}"/>
    <cellStyle name="Euro 8 2" xfId="1688" xr:uid="{5EAD3EA4-D076-4095-B194-72DE1CD3E4CE}"/>
    <cellStyle name="Euro 9" xfId="1689" xr:uid="{C7A74ADE-D260-4CDE-AFA2-71DADC97E1C5}"/>
    <cellStyle name="Euro 9 2" xfId="1690" xr:uid="{43775F20-F104-4548-8AC3-B9FC315164D8}"/>
    <cellStyle name="Euro_Potentials in TIMES" xfId="1691" xr:uid="{3B52309C-CCF6-4093-8FEB-FF651BAC3CE8}"/>
    <cellStyle name="Explanatory Text" xfId="18" builtinId="53" customBuiltin="1"/>
    <cellStyle name="Explanatory Text 10" xfId="1692" xr:uid="{B0A47EC6-360B-49FC-9A24-73E8975218CD}"/>
    <cellStyle name="Explanatory Text 11" xfId="1693" xr:uid="{FF3C6835-D1D7-4C7C-B22A-F4E35F93FA02}"/>
    <cellStyle name="Explanatory Text 12" xfId="1694" xr:uid="{8C498C51-31ED-41B3-8A80-DBEC487B6FBA}"/>
    <cellStyle name="Explanatory Text 13" xfId="1695" xr:uid="{F72CBD9D-F82C-41BA-8F8D-461D0D2216CD}"/>
    <cellStyle name="Explanatory Text 14" xfId="1696" xr:uid="{6B197269-B9A9-425A-A536-0344F7B1C8A8}"/>
    <cellStyle name="Explanatory Text 15" xfId="1697" xr:uid="{97370642-F992-4984-B05D-45500EAC0DD9}"/>
    <cellStyle name="Explanatory Text 16" xfId="1698" xr:uid="{3AEC468F-F343-49BB-BA6D-5DDA89F8DAC4}"/>
    <cellStyle name="Explanatory Text 17" xfId="1699" xr:uid="{70FC35CA-39AA-4A67-872D-BB3C7248ED86}"/>
    <cellStyle name="Explanatory Text 18" xfId="1700" xr:uid="{4E52E33E-60CE-4A17-B7DB-FCFCBCF9394D}"/>
    <cellStyle name="Explanatory Text 19" xfId="1701" xr:uid="{791BDB79-35FD-4F79-ACB7-0D81DF30C4CC}"/>
    <cellStyle name="Explanatory Text 2" xfId="170" xr:uid="{8A611312-A5EB-456A-834C-7A7080E9FA9A}"/>
    <cellStyle name="Explanatory Text 2 10" xfId="4020" xr:uid="{0F73A72F-BE39-4F84-A678-A1CF78791643}"/>
    <cellStyle name="Explanatory Text 2 2" xfId="4021" xr:uid="{C53F8732-3F1C-4D87-99BC-FD926F96DF2B}"/>
    <cellStyle name="Explanatory Text 2 3" xfId="4022" xr:uid="{CA719E86-7545-4F11-AB9E-E412CFB159AC}"/>
    <cellStyle name="Explanatory Text 2 4" xfId="4023" xr:uid="{984CCAEE-90E9-4E17-A729-6F24AFDCA092}"/>
    <cellStyle name="Explanatory Text 2 5" xfId="4024" xr:uid="{CBC13190-61E7-407D-8C4B-4A1FAFF525E5}"/>
    <cellStyle name="Explanatory Text 2 6" xfId="4025" xr:uid="{E92DB66A-2A79-4C47-90AF-C676440532A2}"/>
    <cellStyle name="Explanatory Text 2 7" xfId="4026" xr:uid="{88EE9068-2DBD-4688-9F70-42C93F146ED7}"/>
    <cellStyle name="Explanatory Text 2 8" xfId="4027" xr:uid="{035AB7A5-8078-476B-B70A-FD254771CBD2}"/>
    <cellStyle name="Explanatory Text 2 9" xfId="4028" xr:uid="{24A390B9-C789-4F85-B881-4CD85CC8358E}"/>
    <cellStyle name="Explanatory Text 20" xfId="1702" xr:uid="{67417711-0074-4F9F-96CA-4435249ECB31}"/>
    <cellStyle name="Explanatory Text 21" xfId="1703" xr:uid="{3F495D9B-24B5-4A4E-98EB-A0B78EE0594D}"/>
    <cellStyle name="Explanatory Text 22" xfId="1704" xr:uid="{43F3950C-CE90-4835-BD7B-844C0FF316AE}"/>
    <cellStyle name="Explanatory Text 23" xfId="1705" xr:uid="{38BC163C-256E-451A-ACED-5639BB175D07}"/>
    <cellStyle name="Explanatory Text 24" xfId="1706" xr:uid="{6B9EDE03-C06C-4080-B241-CE4CE51CD9B6}"/>
    <cellStyle name="Explanatory Text 25" xfId="1707" xr:uid="{A422FA1C-5A86-47C8-8A93-7CDE79565F8D}"/>
    <cellStyle name="Explanatory Text 26" xfId="1708" xr:uid="{B093C553-970A-406E-B460-E8C879FEB253}"/>
    <cellStyle name="Explanatory Text 27" xfId="1709" xr:uid="{717E1866-B753-4635-95B5-2A8AAC3B261C}"/>
    <cellStyle name="Explanatory Text 28" xfId="1710" xr:uid="{B497FD2F-F68A-4E2B-8A77-A72C02FEEC8E}"/>
    <cellStyle name="Explanatory Text 29" xfId="1711" xr:uid="{C48E7DD7-EE81-4D0E-A425-3C31ED7FC4AC}"/>
    <cellStyle name="Explanatory Text 3" xfId="171" xr:uid="{902640EC-7957-4F32-9C81-1AFEA5BEE6E5}"/>
    <cellStyle name="Explanatory Text 3 2" xfId="1712" xr:uid="{3610A1E8-9CDB-4ED7-8DE3-AEFF4C8560CD}"/>
    <cellStyle name="Explanatory Text 30" xfId="1713" xr:uid="{6241A6E0-D6EF-43F4-9CA9-87011AD7E433}"/>
    <cellStyle name="Explanatory Text 31" xfId="1714" xr:uid="{F3D514CA-2A26-4311-88BF-237BC48C84C4}"/>
    <cellStyle name="Explanatory Text 32" xfId="1715" xr:uid="{47FBABAA-3041-4B6A-8BFB-A4A639EBD0EB}"/>
    <cellStyle name="Explanatory Text 33" xfId="1716" xr:uid="{36DF280D-846D-45DD-8D30-3262AD73D1FB}"/>
    <cellStyle name="Explanatory Text 34" xfId="1717" xr:uid="{AC082321-F866-4773-92F6-EB646297F54A}"/>
    <cellStyle name="Explanatory Text 35" xfId="1718" xr:uid="{B0EA4774-20B7-4689-A565-80D6F49667EF}"/>
    <cellStyle name="Explanatory Text 36" xfId="1719" xr:uid="{98B55C8F-998E-48B8-8BD7-5ACB12FBF8F4}"/>
    <cellStyle name="Explanatory Text 37" xfId="1720" xr:uid="{6D25D901-2878-4A66-B9CE-9D7D559C995C}"/>
    <cellStyle name="Explanatory Text 38" xfId="1721" xr:uid="{208AECC4-35E0-4E3A-9629-ABC4AAFFB29F}"/>
    <cellStyle name="Explanatory Text 39" xfId="1722" xr:uid="{1660A3D4-5F9B-428A-B55F-40938BFE2FA7}"/>
    <cellStyle name="Explanatory Text 4" xfId="1723" xr:uid="{F64E7FC8-0C87-4C62-8F53-52C9234B53AD}"/>
    <cellStyle name="Explanatory Text 4 2" xfId="5021" xr:uid="{1474264E-99E1-4BA4-BF7A-951C6D99A8AE}"/>
    <cellStyle name="Explanatory Text 40" xfId="1724" xr:uid="{A4099239-E456-4F11-A8E0-9F2C9F43572A}"/>
    <cellStyle name="Explanatory Text 41" xfId="1725" xr:uid="{A697BE41-EEF1-45C3-802A-83B6BB098DFB}"/>
    <cellStyle name="Explanatory Text 42" xfId="1726" xr:uid="{17D792C1-DDE7-4D9E-B37B-752362644BDF}"/>
    <cellStyle name="Explanatory Text 43" xfId="1727" xr:uid="{0DE883BC-EE40-4BCB-AE99-69E373D62E59}"/>
    <cellStyle name="Explanatory Text 5" xfId="1728" xr:uid="{769C281A-088C-45EA-A2C8-35C97E20E259}"/>
    <cellStyle name="Explanatory Text 5 2" xfId="5022" xr:uid="{4885BB33-A69F-4AFF-BA78-173D8147B45F}"/>
    <cellStyle name="Explanatory Text 6" xfId="1729" xr:uid="{9E939D9C-0317-490E-BC72-2182195138E9}"/>
    <cellStyle name="Explanatory Text 6 2" xfId="5023" xr:uid="{89235066-E5A8-4AFA-A6EE-B099F4C73D8D}"/>
    <cellStyle name="Explanatory Text 7" xfId="1730" xr:uid="{4A527192-8D0B-4807-999D-CFC4E77734AE}"/>
    <cellStyle name="Explanatory Text 8" xfId="1731" xr:uid="{5532D2AC-0EEF-4303-95AE-68439C08BA84}"/>
    <cellStyle name="Explanatory Text 9" xfId="1732" xr:uid="{E82F25C9-A76A-494F-96C0-7B96C6612ED7}"/>
    <cellStyle name="Float" xfId="172" xr:uid="{8016AF15-5CDE-4C4B-A488-380ADB43A712}"/>
    <cellStyle name="Float 2" xfId="173" xr:uid="{9A31D5B9-D470-4524-A56D-93B330C386E1}"/>
    <cellStyle name="Float 2 2" xfId="4029" xr:uid="{6967E3D5-3044-4C0B-ADCB-0C7DD7F7E58F}"/>
    <cellStyle name="Float 3" xfId="1734" xr:uid="{79DCA504-B383-4474-AA2C-D1424D56E8F6}"/>
    <cellStyle name="Float 3 2" xfId="4030" xr:uid="{18AA87A0-FCAB-420C-AFD0-ACA0B7446DD4}"/>
    <cellStyle name="Float 4" xfId="1733" xr:uid="{7D533567-281E-4C09-BA6B-8720BA5D9E75}"/>
    <cellStyle name="Good" xfId="8" builtinId="26" customBuiltin="1"/>
    <cellStyle name="Good 10" xfId="1735" xr:uid="{E281B45D-8731-4125-B749-230B945A7427}"/>
    <cellStyle name="Good 11" xfId="1736" xr:uid="{E206702F-807F-431A-8B9E-18806F970BD5}"/>
    <cellStyle name="Good 12" xfId="1737" xr:uid="{C88184AB-7DD1-4AC9-AE43-775DC8718D15}"/>
    <cellStyle name="Good 13" xfId="1738" xr:uid="{EA439865-9029-4469-803D-7F7C6129911A}"/>
    <cellStyle name="Good 14" xfId="1739" xr:uid="{696899B8-3473-42F0-A5C3-D4511F06BC9B}"/>
    <cellStyle name="Good 15" xfId="1740" xr:uid="{E025E885-0301-411C-A4CF-B5A5EE694313}"/>
    <cellStyle name="Good 16" xfId="1741" xr:uid="{16DC80CC-0C7C-41E5-AE4F-0B292C5BBB5C}"/>
    <cellStyle name="Good 17" xfId="1742" xr:uid="{F58996FB-1501-461B-BA5C-9C922BECF75A}"/>
    <cellStyle name="Good 18" xfId="1743" xr:uid="{D81080B5-DE52-4183-860C-CFE74A349525}"/>
    <cellStyle name="Good 19" xfId="1744" xr:uid="{53591D91-C74E-4CAF-92E3-8248282426B8}"/>
    <cellStyle name="Good 2" xfId="174" xr:uid="{303FF58C-59F5-4318-9011-E054A057CA9F}"/>
    <cellStyle name="Good 2 10" xfId="4031" xr:uid="{A4963E6E-8A6C-43AB-B98D-A449382FBDB7}"/>
    <cellStyle name="Good 2 11" xfId="5024" xr:uid="{000CB4ED-C259-4F1B-B287-C37694AF0265}"/>
    <cellStyle name="Good 2 12" xfId="5025" xr:uid="{E9551369-AC1E-4FDD-B642-48F0CEB8C256}"/>
    <cellStyle name="Good 2 2" xfId="1745" xr:uid="{78071B13-1BF9-4A4C-AD7E-F5F9BF44B7C4}"/>
    <cellStyle name="Good 2 2 2" xfId="4032" xr:uid="{3552BDBF-963E-4E7F-A6A9-8E6B77B44064}"/>
    <cellStyle name="Good 2 2 2 2" xfId="5026" xr:uid="{C73CD671-F324-410F-82B0-1DC6F0C8BB53}"/>
    <cellStyle name="Good 2 3" xfId="1746" xr:uid="{577824D0-45B4-49BC-81D3-482C1CFA6CDD}"/>
    <cellStyle name="Good 2 3 2" xfId="4033" xr:uid="{DA3A0E8C-EE80-4066-8AD3-60EA7BE2C543}"/>
    <cellStyle name="Good 2 4" xfId="4034" xr:uid="{E09333DA-235C-4254-9BA4-4783873B14D8}"/>
    <cellStyle name="Good 2 5" xfId="4035" xr:uid="{B9B6D7E0-1FEA-4314-88B4-30FA02C46E6F}"/>
    <cellStyle name="Good 2 6" xfId="4036" xr:uid="{0125A764-BA96-4ABA-AE2C-9843C20ED578}"/>
    <cellStyle name="Good 2 7" xfId="4037" xr:uid="{7E846595-3F43-4164-BF7C-B7F3AA560C4A}"/>
    <cellStyle name="Good 2 8" xfId="4038" xr:uid="{DD558F39-2149-4489-9720-C78915786388}"/>
    <cellStyle name="Good 2 9" xfId="4039" xr:uid="{A88B606F-DCB3-4316-8B17-0F64EAA40F04}"/>
    <cellStyle name="Good 20" xfId="1747" xr:uid="{CE8CD4AE-EB43-4C41-91FD-00502679B15D}"/>
    <cellStyle name="Good 21" xfId="1748" xr:uid="{410DC874-B504-4152-B374-7E37A8966A5C}"/>
    <cellStyle name="Good 22" xfId="1749" xr:uid="{763452D7-666E-4D06-B634-4DB4AAC09477}"/>
    <cellStyle name="Good 23" xfId="1750" xr:uid="{7C5D58C9-976B-4ECF-B3F7-5F393DC5CA23}"/>
    <cellStyle name="Good 24" xfId="1751" xr:uid="{56F67A3F-F396-4411-A5D3-F7250F58C3FD}"/>
    <cellStyle name="Good 25" xfId="1752" xr:uid="{B7588532-0642-41DD-898A-C5AF9D5DF3BD}"/>
    <cellStyle name="Good 26" xfId="1753" xr:uid="{016DB466-7C7F-4B78-AFE2-0D28FA3FD4A5}"/>
    <cellStyle name="Good 27" xfId="1754" xr:uid="{2D0A8F07-E681-4936-AF29-2E57A9DD778D}"/>
    <cellStyle name="Good 28" xfId="1755" xr:uid="{BFEC1CE6-7F49-4D08-A308-AA5E63AC4B6D}"/>
    <cellStyle name="Good 29" xfId="1756" xr:uid="{1BA4854A-71C9-4D7F-814F-5E36CE1B9ABD}"/>
    <cellStyle name="Good 3" xfId="175" xr:uid="{31DC3972-B846-4089-BF99-E55A41E47A17}"/>
    <cellStyle name="Good 3 2" xfId="1757" xr:uid="{8A861508-5F22-4BBC-BA9F-F07484A27909}"/>
    <cellStyle name="Good 3 2 2" xfId="5027" xr:uid="{4435F0B0-EDC7-4E65-8CF1-1ABA5DEB1992}"/>
    <cellStyle name="Good 3 3" xfId="4040" xr:uid="{B5FC52E9-24C2-49B3-9E20-C6C5FAE3F29D}"/>
    <cellStyle name="Good 30" xfId="1758" xr:uid="{B3871580-E7FC-40C9-9241-99DD00DCF6C0}"/>
    <cellStyle name="Good 31" xfId="1759" xr:uid="{84E73D0C-AC08-43F2-9895-9AF2E3CDA9D8}"/>
    <cellStyle name="Good 32" xfId="1760" xr:uid="{AF964D5D-8EC6-4042-820F-7DADFFC7923D}"/>
    <cellStyle name="Good 33" xfId="1761" xr:uid="{15B37CD0-0287-453F-AF82-D36AECF76ED2}"/>
    <cellStyle name="Good 34" xfId="1762" xr:uid="{6F53C0DE-8353-4FF6-BCD8-51CE093EE8EF}"/>
    <cellStyle name="Good 35" xfId="1763" xr:uid="{35867D49-2693-4BE0-987D-D8D913B9033C}"/>
    <cellStyle name="Good 36" xfId="1764" xr:uid="{F951FD9D-1D5B-49CD-9085-67F134DC12B5}"/>
    <cellStyle name="Good 37" xfId="1765" xr:uid="{AA9495A0-58B7-4157-B9FD-1FF65D27F1AD}"/>
    <cellStyle name="Good 38" xfId="1766" xr:uid="{C2D36C10-E08B-4922-81B9-903CE801D23A}"/>
    <cellStyle name="Good 39" xfId="1767" xr:uid="{87870EF1-1283-4709-9124-4E07CBE80305}"/>
    <cellStyle name="Good 4" xfId="1768" xr:uid="{2A214AB3-A9D0-46F4-BE75-C37F89581AF4}"/>
    <cellStyle name="Good 4 2" xfId="5028" xr:uid="{FB43E815-E15A-4710-A6C8-800A302C8DEE}"/>
    <cellStyle name="Good 40" xfId="1769" xr:uid="{62561324-7841-4C71-A7B1-B24F27013865}"/>
    <cellStyle name="Good 41" xfId="1770" xr:uid="{B72892D2-6EEC-423E-9314-578C9D5A0FEB}"/>
    <cellStyle name="Good 42" xfId="1771" xr:uid="{04913FA2-9C7B-40BE-8D26-9B9CEA2B36AC}"/>
    <cellStyle name="Good 5" xfId="1772" xr:uid="{653314A0-F593-42E0-8218-37E969EA4186}"/>
    <cellStyle name="Good 5 2" xfId="5029" xr:uid="{9B124BAC-47EC-4BE4-AA65-8E4D5AE31BE8}"/>
    <cellStyle name="Good 5 3" xfId="22556" xr:uid="{80652D0E-54E9-4676-81B9-8C8B07603517}"/>
    <cellStyle name="Good 5 4" xfId="22518" xr:uid="{5814A820-F2CA-410B-9084-995858E2141D}"/>
    <cellStyle name="Good 6" xfId="1773" xr:uid="{C17B69FE-E5E6-4094-AA68-0FC955D6ED6C}"/>
    <cellStyle name="Good 6 2" xfId="5030" xr:uid="{34493C93-13F6-4C68-BFC6-085D90D767D0}"/>
    <cellStyle name="Good 7" xfId="1774" xr:uid="{E8C296B7-DCF1-438B-B2A7-51AB3A815BA0}"/>
    <cellStyle name="Good 8" xfId="1775" xr:uid="{EB51C6AA-45A5-4310-871B-C7770E9CBA18}"/>
    <cellStyle name="Good 9" xfId="1776" xr:uid="{C72146EE-83D2-4F69-8D6D-BF73FBC23C58}"/>
    <cellStyle name="Gut" xfId="1777" xr:uid="{02E2981D-602F-41AA-AF40-E4DC3A5E6B8D}"/>
    <cellStyle name="Heading 1" xfId="4" builtinId="16" customBuiltin="1"/>
    <cellStyle name="Heading 1 10" xfId="1778" xr:uid="{0514309C-B781-4DC6-8752-2CE4E8C9B2FD}"/>
    <cellStyle name="Heading 1 11" xfId="1779" xr:uid="{0C9071F0-A666-4C7A-ADE0-5EFDA27E948E}"/>
    <cellStyle name="Heading 1 12" xfId="1780" xr:uid="{BE452308-AC67-4028-8386-FB39C89C9B3F}"/>
    <cellStyle name="Heading 1 13" xfId="1781" xr:uid="{BBC65FD8-0A9F-4BB0-83DB-9865525DA9FF}"/>
    <cellStyle name="Heading 1 14" xfId="1782" xr:uid="{E28348B5-8E3D-4760-955C-3DC1579E6DE4}"/>
    <cellStyle name="Heading 1 15" xfId="1783" xr:uid="{E0CF5297-1F9B-4522-86DF-86D8B59846D4}"/>
    <cellStyle name="Heading 1 16" xfId="1784" xr:uid="{5E2A88C0-3CA4-483E-9A06-FAFAC2D3DE77}"/>
    <cellStyle name="Heading 1 17" xfId="1785" xr:uid="{D487802B-9BDD-4545-BD57-285614BAEC68}"/>
    <cellStyle name="Heading 1 18" xfId="1786" xr:uid="{8A707A89-A884-4047-B2F1-4B7585BB8C6B}"/>
    <cellStyle name="Heading 1 19" xfId="1787" xr:uid="{082E507D-2DE6-4625-9E73-6B7DDFC03271}"/>
    <cellStyle name="Heading 1 2" xfId="176" xr:uid="{117D20B9-3BE5-4846-B370-5AAEAF9F17B9}"/>
    <cellStyle name="Heading 1 2 10" xfId="4041" xr:uid="{31CB8418-4C5A-4C13-AC02-7930A1E6DE0C}"/>
    <cellStyle name="Heading 1 2 11" xfId="5031" xr:uid="{BC94C28B-CA9B-4F5A-BA9B-65AE682F7F07}"/>
    <cellStyle name="Heading 1 2 2" xfId="4042" xr:uid="{BA1F7CFC-CC06-4DB7-9822-B07B777D858B}"/>
    <cellStyle name="Heading 1 2 3" xfId="4043" xr:uid="{0398B04B-405D-4672-B66B-1AB461AF7211}"/>
    <cellStyle name="Heading 1 2 4" xfId="4044" xr:uid="{E86ACFC3-E56C-4529-A888-34089D3822B2}"/>
    <cellStyle name="Heading 1 2 5" xfId="4045" xr:uid="{45AD02F8-7BF1-4825-BB18-D7FC7AC76CD2}"/>
    <cellStyle name="Heading 1 2 6" xfId="4046" xr:uid="{F04E2704-3760-409D-9B6D-0F578E66A67B}"/>
    <cellStyle name="Heading 1 2 7" xfId="4047" xr:uid="{7AF74650-C7A0-4B71-B3B1-768105EDA9D7}"/>
    <cellStyle name="Heading 1 2 8" xfId="4048" xr:uid="{95386087-9D12-4132-BD3C-983D41C79BEA}"/>
    <cellStyle name="Heading 1 2 9" xfId="4049" xr:uid="{4A860CEA-7CDF-4353-8E2E-26D9CA488ECC}"/>
    <cellStyle name="Heading 1 20" xfId="1788" xr:uid="{D58C1CB4-98EC-4D44-A880-D8D03D52F721}"/>
    <cellStyle name="Heading 1 21" xfId="1789" xr:uid="{D395951C-40BE-4BA2-8418-8CEA38474D78}"/>
    <cellStyle name="Heading 1 22" xfId="1790" xr:uid="{FCFD290C-AFC9-4ACD-8C74-BE8C279DA7BC}"/>
    <cellStyle name="Heading 1 23" xfId="1791" xr:uid="{3CBC6668-5C7F-4711-B76C-240B90176661}"/>
    <cellStyle name="Heading 1 24" xfId="1792" xr:uid="{A8DB688D-D810-4A7F-A6C6-201FC728D8E3}"/>
    <cellStyle name="Heading 1 25" xfId="1793" xr:uid="{38CF0F3B-B8D9-4BF9-B175-345E1324A963}"/>
    <cellStyle name="Heading 1 26" xfId="1794" xr:uid="{1168EF35-92B9-4387-975C-EF09ABCB7D54}"/>
    <cellStyle name="Heading 1 27" xfId="1795" xr:uid="{91EF872E-3972-428C-99F4-44A7B2B3AE87}"/>
    <cellStyle name="Heading 1 28" xfId="1796" xr:uid="{5EEAAC1C-7D0B-4555-89CD-3C3E5A32C1B1}"/>
    <cellStyle name="Heading 1 29" xfId="1797" xr:uid="{3B5D5750-7E1E-42B2-97A2-099B47F29373}"/>
    <cellStyle name="Heading 1 3" xfId="177" xr:uid="{AC751A28-CFFF-4B63-81CD-0D220E885001}"/>
    <cellStyle name="Heading 1 3 2" xfId="1798" xr:uid="{6701968A-D124-429C-BA92-7C0DB7E501A9}"/>
    <cellStyle name="Heading 1 3 2 2" xfId="5032" xr:uid="{D688AF89-868B-448D-8B0A-22F82408ADAA}"/>
    <cellStyle name="Heading 1 3 3" xfId="4050" xr:uid="{984F436B-C891-4895-9B72-4624E6F33857}"/>
    <cellStyle name="Heading 1 30" xfId="1799" xr:uid="{0C150512-724D-48AC-952C-4A5670D82519}"/>
    <cellStyle name="Heading 1 31" xfId="1800" xr:uid="{694936A7-7B0B-4F7F-B08B-DEB7C943B0E5}"/>
    <cellStyle name="Heading 1 32" xfId="1801" xr:uid="{E9ADCFF9-EF4B-43F2-B05D-B8D90302E231}"/>
    <cellStyle name="Heading 1 33" xfId="1802" xr:uid="{987F21B8-4518-4068-B115-D6EA8736836F}"/>
    <cellStyle name="Heading 1 34" xfId="1803" xr:uid="{6F03C1FE-324F-4393-912E-F73A3FC5EABE}"/>
    <cellStyle name="Heading 1 35" xfId="1804" xr:uid="{CDED8500-8399-4ADA-9D2F-38C7B331B3EB}"/>
    <cellStyle name="Heading 1 36" xfId="1805" xr:uid="{1CBC3660-713A-4391-B78B-605F0108859B}"/>
    <cellStyle name="Heading 1 37" xfId="1806" xr:uid="{4D06B413-3A69-494A-9CBE-16F977CECAD4}"/>
    <cellStyle name="Heading 1 38" xfId="1807" xr:uid="{B649C187-8339-4439-9215-EAE4680B929B}"/>
    <cellStyle name="Heading 1 39" xfId="1808" xr:uid="{708528BE-02EA-4F87-BC06-89DFE65B9FCF}"/>
    <cellStyle name="Heading 1 4" xfId="1809" xr:uid="{8C37E7AE-64B3-4172-AE8C-89891F66B577}"/>
    <cellStyle name="Heading 1 4 2" xfId="5033" xr:uid="{FFCFB2E7-7C31-4217-91A6-5D29ED9F593A}"/>
    <cellStyle name="Heading 1 40" xfId="1810" xr:uid="{50083596-9F5B-40AF-A606-2B810C222F01}"/>
    <cellStyle name="Heading 1 41" xfId="1811" xr:uid="{08431AD5-5A3D-4990-A8F3-EC22BA0FC5EB}"/>
    <cellStyle name="Heading 1 5" xfId="1812" xr:uid="{8AF82E3D-FE30-4A6A-B6AB-FD2C342E010E}"/>
    <cellStyle name="Heading 1 5 2" xfId="5034" xr:uid="{7E7128DC-1B65-44D7-8678-7EB28900A1A5}"/>
    <cellStyle name="Heading 1 6" xfId="1813" xr:uid="{05D01828-1334-424A-9FE9-F58611747071}"/>
    <cellStyle name="Heading 1 6 2" xfId="5035" xr:uid="{1603E335-8263-42DB-BC52-5FEC1841FB34}"/>
    <cellStyle name="Heading 1 7" xfId="1814" xr:uid="{B92A3373-3D23-433F-9946-18F19FAF482F}"/>
    <cellStyle name="Heading 1 8" xfId="1815" xr:uid="{5A5BC065-1D0F-478F-8D9C-B42E5163E287}"/>
    <cellStyle name="Heading 1 9" xfId="1816" xr:uid="{5BB4FFCF-A2CB-4136-BA6B-09D4CCDFE2EE}"/>
    <cellStyle name="Heading 2" xfId="5" builtinId="17" customBuiltin="1"/>
    <cellStyle name="Heading 2 10" xfId="1817" xr:uid="{2F8B77C0-7BCE-4B16-8E05-247410B9A7AD}"/>
    <cellStyle name="Heading 2 11" xfId="1818" xr:uid="{8F63D9A7-8785-4C93-9C00-B844A6B6A5C3}"/>
    <cellStyle name="Heading 2 12" xfId="1819" xr:uid="{F0FF5EF4-C8EA-4EB4-B305-3A6F0A2718FB}"/>
    <cellStyle name="Heading 2 13" xfId="1820" xr:uid="{57042D46-1E73-4908-84E9-56AE15BA3550}"/>
    <cellStyle name="Heading 2 14" xfId="1821" xr:uid="{AFC9E4AB-6A42-4DBE-AF56-75EA08EC4153}"/>
    <cellStyle name="Heading 2 15" xfId="1822" xr:uid="{597D63E1-E97E-4BC4-B78E-4BB80A0E6755}"/>
    <cellStyle name="Heading 2 16" xfId="1823" xr:uid="{05B6501C-6C22-49D8-8728-B23512FD49A0}"/>
    <cellStyle name="Heading 2 17" xfId="1824" xr:uid="{6E109177-5C98-403E-BB2A-2C771B296798}"/>
    <cellStyle name="Heading 2 18" xfId="1825" xr:uid="{7648BF6A-01A2-4410-B09C-561D9EC2DEF2}"/>
    <cellStyle name="Heading 2 19" xfId="1826" xr:uid="{AF202EDB-8138-4BDF-9ECC-6F840B82642C}"/>
    <cellStyle name="Heading 2 2" xfId="178" xr:uid="{16B29F29-7E20-4B7B-900E-336AC8E9A3DD}"/>
    <cellStyle name="Heading 2 2 10" xfId="4051" xr:uid="{FC0A4326-512E-4B8C-AC56-30E88A69A81F}"/>
    <cellStyle name="Heading 2 2 11" xfId="5036" xr:uid="{32DF73DA-2EA5-43ED-84B2-C4D35173F8AF}"/>
    <cellStyle name="Heading 2 2 2" xfId="4052" xr:uid="{1DC05024-8A6F-45E1-9D1E-533D81007600}"/>
    <cellStyle name="Heading 2 2 3" xfId="4053" xr:uid="{CAF4F8F2-B1A2-4B12-9796-EE80844CCB3B}"/>
    <cellStyle name="Heading 2 2 4" xfId="4054" xr:uid="{3024E946-1D53-4A77-8C8D-F21CFAA4BD98}"/>
    <cellStyle name="Heading 2 2 5" xfId="4055" xr:uid="{48901660-E1E5-42C6-8A4B-23C6C06287A7}"/>
    <cellStyle name="Heading 2 2 6" xfId="4056" xr:uid="{061CC651-F3FB-4D5E-8B84-4DA043C3D3DD}"/>
    <cellStyle name="Heading 2 2 7" xfId="4057" xr:uid="{9BB9996C-C0D7-4B28-B389-9FE9B99B6163}"/>
    <cellStyle name="Heading 2 2 8" xfId="4058" xr:uid="{95048859-7E3B-4DFE-840C-EFA53AAD7DAD}"/>
    <cellStyle name="Heading 2 2 9" xfId="4059" xr:uid="{53E1D8D8-43E7-4866-B9C9-C23835738230}"/>
    <cellStyle name="Heading 2 20" xfId="1827" xr:uid="{E7EEE037-B1C2-487B-9508-71F86384F864}"/>
    <cellStyle name="Heading 2 21" xfId="1828" xr:uid="{4BC9CD64-28F8-4EA1-8F0C-9BD1A2B03F61}"/>
    <cellStyle name="Heading 2 22" xfId="1829" xr:uid="{24F2DBF9-C265-45E3-8F24-8D68E57A8742}"/>
    <cellStyle name="Heading 2 23" xfId="1830" xr:uid="{859F7894-5FA9-4602-84EC-49EDDB68215B}"/>
    <cellStyle name="Heading 2 24" xfId="1831" xr:uid="{6F344936-163D-4E37-B9CC-2B377A118F52}"/>
    <cellStyle name="Heading 2 25" xfId="1832" xr:uid="{B1C0E0D4-453B-4BFD-89C3-4088B11CC96C}"/>
    <cellStyle name="Heading 2 26" xfId="1833" xr:uid="{2189AF50-BEB7-455D-82CD-044398410C98}"/>
    <cellStyle name="Heading 2 27" xfId="1834" xr:uid="{581827AE-DC8B-49E0-BAF0-3BD4F71061AF}"/>
    <cellStyle name="Heading 2 28" xfId="1835" xr:uid="{7507F093-CBE4-40AF-B7B2-D0D38212A80F}"/>
    <cellStyle name="Heading 2 29" xfId="1836" xr:uid="{26673B0B-07C7-40F3-A47F-B255DDCBDB3D}"/>
    <cellStyle name="Heading 2 3" xfId="179" xr:uid="{43BCD9F6-4B89-4461-BF4A-CF145FA5274D}"/>
    <cellStyle name="Heading 2 3 2" xfId="1837" xr:uid="{1B916A40-3893-46E6-BAD1-B2EE46E17C55}"/>
    <cellStyle name="Heading 2 3 2 2" xfId="5037" xr:uid="{2F410524-875E-4255-8F91-37544757D39A}"/>
    <cellStyle name="Heading 2 3 3" xfId="4060" xr:uid="{297CF680-E1EE-4627-BB9C-421FDA35D094}"/>
    <cellStyle name="Heading 2 30" xfId="1838" xr:uid="{DD8A7A3A-ECA9-4A1E-A034-FD30B3D06A97}"/>
    <cellStyle name="Heading 2 31" xfId="1839" xr:uid="{B4AAEBBB-1E93-4053-B13F-C79BE94C8C45}"/>
    <cellStyle name="Heading 2 32" xfId="1840" xr:uid="{76B48A2F-9C01-4F94-AB23-79CD348E882F}"/>
    <cellStyle name="Heading 2 33" xfId="1841" xr:uid="{D5374C7E-45A5-4486-B944-A6D9F007715C}"/>
    <cellStyle name="Heading 2 34" xfId="1842" xr:uid="{1DAECE18-AF3E-4DEB-96F4-B3017A1E6E20}"/>
    <cellStyle name="Heading 2 35" xfId="1843" xr:uid="{ACF62B62-8C03-4FE1-9CEF-1FE3F6E2C759}"/>
    <cellStyle name="Heading 2 36" xfId="1844" xr:uid="{DC39BD5E-BFA6-4A7F-8DAB-0B470214181C}"/>
    <cellStyle name="Heading 2 37" xfId="1845" xr:uid="{21617CCE-95A4-4632-AB67-B6985C14205E}"/>
    <cellStyle name="Heading 2 38" xfId="1846" xr:uid="{A3D451AA-3470-4B88-93F4-2A4DF9337099}"/>
    <cellStyle name="Heading 2 39" xfId="1847" xr:uid="{CB3C7620-B139-4C4C-9623-8E3D8EEE48AD}"/>
    <cellStyle name="Heading 2 4" xfId="1848" xr:uid="{CB6C2EEA-F4DE-492B-A2BC-7395FF354B05}"/>
    <cellStyle name="Heading 2 4 2" xfId="5038" xr:uid="{688E2E63-707B-4BDA-AAB5-8F3E43082869}"/>
    <cellStyle name="Heading 2 40" xfId="1849" xr:uid="{1B0747D0-6473-4574-8B89-805D075C44B7}"/>
    <cellStyle name="Heading 2 41" xfId="1850" xr:uid="{79E0B1EE-CF46-4927-8425-0119BDE0C17D}"/>
    <cellStyle name="Heading 2 5" xfId="1851" xr:uid="{F8AC8C79-6BB6-4288-9624-F3891D5C5744}"/>
    <cellStyle name="Heading 2 5 2" xfId="5039" xr:uid="{00AB3DB5-86D0-4D50-9A96-FCAB71227542}"/>
    <cellStyle name="Heading 2 6" xfId="1852" xr:uid="{C11D9DCC-5947-4EB3-92FD-27423DDE85BF}"/>
    <cellStyle name="Heading 2 6 2" xfId="5040" xr:uid="{D8E96D06-765C-4641-9031-8B9902DB038F}"/>
    <cellStyle name="Heading 2 7" xfId="1853" xr:uid="{75E1967E-96B6-44B5-8FAD-959499010526}"/>
    <cellStyle name="Heading 2 8" xfId="1854" xr:uid="{DE5503CB-90EC-4D15-A9D7-C2330551BC5E}"/>
    <cellStyle name="Heading 2 9" xfId="1855" xr:uid="{D6F560D1-8674-4558-B1F8-B52E85BF6935}"/>
    <cellStyle name="Heading 3" xfId="6" builtinId="18" customBuiltin="1"/>
    <cellStyle name="Heading 3 10" xfId="1856" xr:uid="{AE5AD915-1D99-4BE4-B969-F745192B7154}"/>
    <cellStyle name="Heading 3 11" xfId="1857" xr:uid="{288D809E-458D-467F-B914-208A91C216FE}"/>
    <cellStyle name="Heading 3 12" xfId="1858" xr:uid="{67765E50-960C-4EE6-828D-17DA785BC0B0}"/>
    <cellStyle name="Heading 3 13" xfId="1859" xr:uid="{1792CF4B-BED6-44A1-964B-0BF800C06213}"/>
    <cellStyle name="Heading 3 14" xfId="1860" xr:uid="{2F1DD9EE-07E9-4484-90FB-9192B123BCE6}"/>
    <cellStyle name="Heading 3 15" xfId="1861" xr:uid="{AACEE929-53BE-41C3-B9E2-119A877AC118}"/>
    <cellStyle name="Heading 3 16" xfId="1862" xr:uid="{94639971-A080-4A37-9574-132446AB1795}"/>
    <cellStyle name="Heading 3 17" xfId="1863" xr:uid="{0682FBF3-A2AD-42A4-923C-05D7216699B0}"/>
    <cellStyle name="Heading 3 18" xfId="1864" xr:uid="{E6B820DF-C46E-4193-9F06-C824B3F42DD8}"/>
    <cellStyle name="Heading 3 19" xfId="1865" xr:uid="{53E612E8-2B79-4536-8FEE-CA2E32ECE24B}"/>
    <cellStyle name="Heading 3 2" xfId="180" xr:uid="{64E12313-3488-4775-ACF6-A050078D1DF6}"/>
    <cellStyle name="Heading 3 2 10" xfId="4061" xr:uid="{C7C871CC-7D02-4E71-B940-6DF23FD1E7A3}"/>
    <cellStyle name="Heading 3 2 11" xfId="5041" xr:uid="{66E13375-7D90-4B48-8277-0BDB1EE5145A}"/>
    <cellStyle name="Heading 3 2 2" xfId="4062" xr:uid="{C6E3FDFF-6F9E-48F6-BB02-A7042E1CCE2F}"/>
    <cellStyle name="Heading 3 2 3" xfId="4063" xr:uid="{8050961D-7AAA-40F5-BEC7-C9B1646D5FF5}"/>
    <cellStyle name="Heading 3 2 4" xfId="4064" xr:uid="{08DBB130-9FD0-47AE-96B0-8AE5EDAB04B0}"/>
    <cellStyle name="Heading 3 2 5" xfId="4065" xr:uid="{2E400A4D-4787-4D55-A616-A2955BE2BC6A}"/>
    <cellStyle name="Heading 3 2 6" xfId="4066" xr:uid="{2D27C260-9169-47F7-A53C-A884D32CC066}"/>
    <cellStyle name="Heading 3 2 7" xfId="4067" xr:uid="{AF20F523-92D3-4B42-92FD-3C113D048C1F}"/>
    <cellStyle name="Heading 3 2 8" xfId="4068" xr:uid="{3087C7D0-D8F6-462A-9907-D0AFC28060CA}"/>
    <cellStyle name="Heading 3 2 9" xfId="4069" xr:uid="{668070B9-2875-4634-86CD-D68643A6DCEA}"/>
    <cellStyle name="Heading 3 20" xfId="1866" xr:uid="{5DF81F3C-B859-4911-AED9-1D81EF796169}"/>
    <cellStyle name="Heading 3 21" xfId="1867" xr:uid="{EF07FAE6-F838-41EB-BAC9-D251664BE226}"/>
    <cellStyle name="Heading 3 22" xfId="1868" xr:uid="{15525D0B-837D-4BD6-B1F8-24C153F4C3C5}"/>
    <cellStyle name="Heading 3 23" xfId="1869" xr:uid="{A33BC7F7-2F05-4513-8FC0-7A129B51353A}"/>
    <cellStyle name="Heading 3 24" xfId="1870" xr:uid="{6BC1D0DC-D8EE-425B-8755-7C9FC59DAA7C}"/>
    <cellStyle name="Heading 3 25" xfId="1871" xr:uid="{6BE91C9A-CCBC-454B-9B1F-BEE2C804040C}"/>
    <cellStyle name="Heading 3 26" xfId="1872" xr:uid="{9E732ADC-54ED-4537-8DFB-393372978C8E}"/>
    <cellStyle name="Heading 3 27" xfId="1873" xr:uid="{D1402F03-D7AF-482C-A9FB-3D0F1418045C}"/>
    <cellStyle name="Heading 3 28" xfId="1874" xr:uid="{4A0D521E-12FC-4085-A69C-B01600BF75BD}"/>
    <cellStyle name="Heading 3 29" xfId="1875" xr:uid="{36EEFB5E-993C-4927-8FC3-BAA2B484E3AB}"/>
    <cellStyle name="Heading 3 3" xfId="181" xr:uid="{D79733D7-900E-4660-B3E4-C2763D191CB2}"/>
    <cellStyle name="Heading 3 3 2" xfId="1876" xr:uid="{5BFA6D94-6CCF-4C0F-96B8-8ADFEECEC412}"/>
    <cellStyle name="Heading 3 3 2 2" xfId="5042" xr:uid="{C0AD3262-7B53-4E71-9E5A-DEE9D1A0777B}"/>
    <cellStyle name="Heading 3 3 3" xfId="4070" xr:uid="{11F96389-7B7F-49FF-AC26-45F0633AC896}"/>
    <cellStyle name="Heading 3 30" xfId="1877" xr:uid="{63C08230-2B50-496F-B70C-E5677E48984D}"/>
    <cellStyle name="Heading 3 31" xfId="1878" xr:uid="{8F99CC25-C992-45D9-8EB9-E21C8C636BB8}"/>
    <cellStyle name="Heading 3 32" xfId="1879" xr:uid="{1CB38278-600E-4AA9-BC80-F2F24BACA003}"/>
    <cellStyle name="Heading 3 33" xfId="1880" xr:uid="{892EF735-00F8-4F17-AE00-B89E6283BD17}"/>
    <cellStyle name="Heading 3 34" xfId="1881" xr:uid="{1FC8D403-1411-4AA3-9A57-ECAA7EF60FE7}"/>
    <cellStyle name="Heading 3 35" xfId="1882" xr:uid="{4EFB11CF-10C2-4047-AB01-5F70A81EA4EE}"/>
    <cellStyle name="Heading 3 36" xfId="1883" xr:uid="{D3358621-2236-492B-B522-397E2C0B4458}"/>
    <cellStyle name="Heading 3 37" xfId="1884" xr:uid="{545CF996-5146-4241-81E9-829D938B34DE}"/>
    <cellStyle name="Heading 3 38" xfId="1885" xr:uid="{E58D308E-6FD0-4408-96B6-97ECF35AEEF5}"/>
    <cellStyle name="Heading 3 39" xfId="1886" xr:uid="{16B085BA-F0CF-4CAD-96DA-88D280E42428}"/>
    <cellStyle name="Heading 3 4" xfId="1887" xr:uid="{4760DF0A-936F-4807-9772-7396A9A195D3}"/>
    <cellStyle name="Heading 3 4 2" xfId="5043" xr:uid="{DE45733C-35DD-4406-B1BC-1D10D5883863}"/>
    <cellStyle name="Heading 3 40" xfId="1888" xr:uid="{414428E6-437C-4AFB-8350-8E1B08FDB43E}"/>
    <cellStyle name="Heading 3 41" xfId="1889" xr:uid="{0DE3BB6A-44F5-441E-99A1-7B52576F19CE}"/>
    <cellStyle name="Heading 3 5" xfId="1890" xr:uid="{B505980C-0E2D-4395-9F5D-9B4988D4C5E3}"/>
    <cellStyle name="Heading 3 5 2" xfId="5044" xr:uid="{C1AD96AA-59B1-4B1B-96A1-DA8EE4B7C4EC}"/>
    <cellStyle name="Heading 3 6" xfId="1891" xr:uid="{5D85FAA7-9394-4B09-B95F-542970D5A2A9}"/>
    <cellStyle name="Heading 3 6 2" xfId="5045" xr:uid="{AD1EF387-A10E-43B4-B9C2-7669F97AFBE6}"/>
    <cellStyle name="Heading 3 7" xfId="1892" xr:uid="{392EEC7D-A56F-470E-A58E-19344DDCD260}"/>
    <cellStyle name="Heading 3 8" xfId="1893" xr:uid="{A6ACA6BC-C76F-4D71-ABA7-E5D71D4F1C87}"/>
    <cellStyle name="Heading 3 9" xfId="1894" xr:uid="{97F7F9CC-FA75-4B74-AFFA-E0773F1C6717}"/>
    <cellStyle name="Heading 4" xfId="7" builtinId="19" customBuiltin="1"/>
    <cellStyle name="Heading 4 10" xfId="1895" xr:uid="{5333B26A-6540-485F-A9C9-56A659ADCA43}"/>
    <cellStyle name="Heading 4 11" xfId="1896" xr:uid="{FCFCDC03-B103-437F-AFB8-CF397395AAA9}"/>
    <cellStyle name="Heading 4 12" xfId="1897" xr:uid="{7C57DE10-98CB-4E49-9443-9BD23627EF0A}"/>
    <cellStyle name="Heading 4 13" xfId="1898" xr:uid="{61EA5563-39D0-44EB-ADD2-32D2B6FFF33E}"/>
    <cellStyle name="Heading 4 14" xfId="1899" xr:uid="{EC4A28EB-949D-4070-A506-2025B07C0DC9}"/>
    <cellStyle name="Heading 4 15" xfId="1900" xr:uid="{66A4AFBB-2047-4E39-AF5F-62CFC34A0A35}"/>
    <cellStyle name="Heading 4 16" xfId="1901" xr:uid="{0D63DDB0-6699-49AF-801E-288DD01F7195}"/>
    <cellStyle name="Heading 4 17" xfId="1902" xr:uid="{49122A8B-4C02-4211-83F0-B70DD4058681}"/>
    <cellStyle name="Heading 4 18" xfId="1903" xr:uid="{F282B0D8-6FA1-4803-B878-4697D7F9D758}"/>
    <cellStyle name="Heading 4 19" xfId="1904" xr:uid="{489C1277-37A3-430E-B996-91908CCD9E1E}"/>
    <cellStyle name="Heading 4 2" xfId="182" xr:uid="{3A0A0D7A-00E6-4DFA-BA55-47B13F7BD404}"/>
    <cellStyle name="Heading 4 2 10" xfId="4071" xr:uid="{64C7D608-ADC6-4065-9B26-E870F0707440}"/>
    <cellStyle name="Heading 4 2 11" xfId="5046" xr:uid="{5BD0EA6E-3458-41C9-A487-7471683931FD}"/>
    <cellStyle name="Heading 4 2 2" xfId="4072" xr:uid="{FDCA7DCA-BED5-4308-9475-467929416E31}"/>
    <cellStyle name="Heading 4 2 3" xfId="4073" xr:uid="{2A2BD327-8C33-4CB6-B86E-CBB75830C7D6}"/>
    <cellStyle name="Heading 4 2 4" xfId="4074" xr:uid="{3945E7CC-2052-4B58-81DC-824F0E085E53}"/>
    <cellStyle name="Heading 4 2 5" xfId="4075" xr:uid="{B145D691-2175-4945-9E34-84C0DFA7FC67}"/>
    <cellStyle name="Heading 4 2 6" xfId="4076" xr:uid="{D407194D-91A7-4685-80BD-57CDCDB075D0}"/>
    <cellStyle name="Heading 4 2 7" xfId="4077" xr:uid="{AB844A29-1649-446F-8F42-1A46238F6E67}"/>
    <cellStyle name="Heading 4 2 8" xfId="4078" xr:uid="{3DE97CEC-B739-4560-8A56-3CA8361D0BA1}"/>
    <cellStyle name="Heading 4 2 9" xfId="4079" xr:uid="{440B3527-BCE5-4EFF-BA24-A6CC2760DE72}"/>
    <cellStyle name="Heading 4 20" xfId="1905" xr:uid="{AB6D9E16-A0B3-4FE7-B5EB-2833949516E0}"/>
    <cellStyle name="Heading 4 21" xfId="1906" xr:uid="{A77F8F81-0114-40F3-902F-8075D05FB78C}"/>
    <cellStyle name="Heading 4 22" xfId="1907" xr:uid="{FC826E2A-FF6A-4D48-9B8E-D6F8731B0248}"/>
    <cellStyle name="Heading 4 23" xfId="1908" xr:uid="{A02C7742-D93F-4CB2-BB44-5D102775E643}"/>
    <cellStyle name="Heading 4 24" xfId="1909" xr:uid="{6AD38851-80AF-4154-8B39-64DFEF16D712}"/>
    <cellStyle name="Heading 4 25" xfId="1910" xr:uid="{AE858010-80CF-4EBF-A425-5E3B1B9E32E2}"/>
    <cellStyle name="Heading 4 26" xfId="1911" xr:uid="{39D7B184-9B9D-475A-9D1F-55091D730009}"/>
    <cellStyle name="Heading 4 27" xfId="1912" xr:uid="{D30578E5-2B88-4F91-833B-09921053429D}"/>
    <cellStyle name="Heading 4 28" xfId="1913" xr:uid="{EBA282B1-6D71-48AB-8056-872333E56CB4}"/>
    <cellStyle name="Heading 4 29" xfId="1914" xr:uid="{62818B34-C8F9-40C1-8316-F1ADC6EB28D5}"/>
    <cellStyle name="Heading 4 3" xfId="183" xr:uid="{A901DA49-DD4A-49FE-8AA4-2A2A80116995}"/>
    <cellStyle name="Heading 4 3 2" xfId="1915" xr:uid="{2DF7E9DF-43D3-431D-AC7E-F61F72412A77}"/>
    <cellStyle name="Heading 4 3 2 2" xfId="5047" xr:uid="{98F29002-3533-4FCD-A19B-145B4F5E182A}"/>
    <cellStyle name="Heading 4 3 3" xfId="4080" xr:uid="{B4AAFC5A-DF89-492F-A8B8-777E06796A4E}"/>
    <cellStyle name="Heading 4 30" xfId="1916" xr:uid="{4BA2EFCF-125F-4B1C-9F58-E7DB6CA5700B}"/>
    <cellStyle name="Heading 4 31" xfId="1917" xr:uid="{64B7958A-7F1A-40EB-B3BF-9912F7890489}"/>
    <cellStyle name="Heading 4 32" xfId="1918" xr:uid="{FF341F24-D003-4F29-9557-45CA7BC664B2}"/>
    <cellStyle name="Heading 4 33" xfId="1919" xr:uid="{D989A891-77CF-4955-8DCD-B66B3DDD897A}"/>
    <cellStyle name="Heading 4 34" xfId="1920" xr:uid="{D3D6760F-93EC-4326-BCA0-2A4730D76248}"/>
    <cellStyle name="Heading 4 35" xfId="1921" xr:uid="{24B11A31-343D-4051-B9C0-F9164BB64B2D}"/>
    <cellStyle name="Heading 4 36" xfId="1922" xr:uid="{E2A56FDF-44CB-4D45-B04A-ADFE91715F70}"/>
    <cellStyle name="Heading 4 37" xfId="1923" xr:uid="{8B91B1F0-7848-4D52-89BA-7C520EC211CE}"/>
    <cellStyle name="Heading 4 38" xfId="1924" xr:uid="{DD80B8D6-A6F6-44C0-97BB-AF63C72195BA}"/>
    <cellStyle name="Heading 4 39" xfId="1925" xr:uid="{DFFEE0A4-DC79-4013-8E5F-C4A0E5199E68}"/>
    <cellStyle name="Heading 4 4" xfId="1926" xr:uid="{0DF4EAB9-9F11-415C-A531-8F7257D72A56}"/>
    <cellStyle name="Heading 4 4 2" xfId="5048" xr:uid="{04B666F7-FA37-4902-BCC8-462D153A8EBF}"/>
    <cellStyle name="Heading 4 40" xfId="1927" xr:uid="{BBB2791E-BA07-44FB-9DEF-A85F9F0C191F}"/>
    <cellStyle name="Heading 4 41" xfId="1928" xr:uid="{6F648D86-9990-4BE3-875D-FE5104AFE98B}"/>
    <cellStyle name="Heading 4 5" xfId="1929" xr:uid="{E1A1949D-503E-448A-9D6A-F3765A636112}"/>
    <cellStyle name="Heading 4 5 2" xfId="5049" xr:uid="{4A8F5979-8845-40A9-AEF5-B6B4D7DF5554}"/>
    <cellStyle name="Heading 4 6" xfId="1930" xr:uid="{0043FC34-B141-4C07-86CB-ACA05FB74344}"/>
    <cellStyle name="Heading 4 6 2" xfId="5050" xr:uid="{96856389-DE39-4778-811C-233380E70A90}"/>
    <cellStyle name="Heading 4 7" xfId="1931" xr:uid="{52179907-2C36-4968-A652-FCE405185A87}"/>
    <cellStyle name="Heading 4 8" xfId="1932" xr:uid="{8565781F-D4DE-43E5-A67B-6E09BCAB7B77}"/>
    <cellStyle name="Heading 4 9" xfId="1933" xr:uid="{A485A9D4-0236-45D3-ACD3-19952B6521CA}"/>
    <cellStyle name="Headline" xfId="1934" xr:uid="{AE200B37-F81F-4E1C-A0E2-CECB5252EA97}"/>
    <cellStyle name="Hyperlink 2" xfId="1935" xr:uid="{8D79E462-8B42-475C-909F-FA134EB60570}"/>
    <cellStyle name="Hyperlink 2 2" xfId="22557" xr:uid="{55E017F8-4664-41DA-874E-3E80DB02CBC3}"/>
    <cellStyle name="Hyperlink 2 3" xfId="22519" xr:uid="{55F12B68-F95A-4E12-8EEE-AF0A44A591A6}"/>
    <cellStyle name="Hyperlink 3" xfId="5051" xr:uid="{F89AB915-142C-4A9B-9271-E8F5AB4EA8D5}"/>
    <cellStyle name="Input" xfId="11" builtinId="20" customBuiltin="1"/>
    <cellStyle name="Input 10 2" xfId="1936" xr:uid="{B80E6FF1-7D1E-4F3D-8227-CD6E2860E057}"/>
    <cellStyle name="Input 11 2" xfId="1937" xr:uid="{65620341-48D2-49DE-91F3-82350F20AF1A}"/>
    <cellStyle name="Input 12 2" xfId="1938" xr:uid="{A71EF34D-1FCC-46A3-B6F7-AF0C47B05586}"/>
    <cellStyle name="Input 13 2" xfId="1939" xr:uid="{25146F94-CC93-46C2-B912-F9CEFCF9CC9C}"/>
    <cellStyle name="Input 14 2" xfId="1940" xr:uid="{C5276760-E473-4204-A3D8-82691F9B5AE8}"/>
    <cellStyle name="Input 15 2" xfId="1941" xr:uid="{4F845DB8-AE29-432F-82AD-B5B5534249AF}"/>
    <cellStyle name="Input 16 2" xfId="1942" xr:uid="{7275799E-6889-47D7-A110-82CDCF1A2BE8}"/>
    <cellStyle name="Input 17 2" xfId="1943" xr:uid="{05EBC111-A0C7-47E4-9397-D1D31E57FA3D}"/>
    <cellStyle name="Input 18 2" xfId="1944" xr:uid="{515605B7-A4CD-4E52-9C6A-D59694049ABC}"/>
    <cellStyle name="Input 19 2" xfId="1945" xr:uid="{B2A86A49-AA2A-4AC9-981C-9BDED22E209F}"/>
    <cellStyle name="Input 2" xfId="184" xr:uid="{4A1600C2-9CCB-484F-8FCE-EEC9CBAE398B}"/>
    <cellStyle name="Input 2 10" xfId="4081" xr:uid="{851CD0D8-603F-4C2C-9D0E-EAD3C6F0ED57}"/>
    <cellStyle name="Input 2 11" xfId="5052" xr:uid="{31A24068-4A29-434B-9F58-197BFAD83BEB}"/>
    <cellStyle name="Input 2 12" xfId="5053" xr:uid="{C2A0B636-6C3A-43E8-A272-B941A078EDFE}"/>
    <cellStyle name="Input 2 2" xfId="1946" xr:uid="{31FD18ED-A26E-4DEE-8DF7-A35220D7CF31}"/>
    <cellStyle name="Input 2 2 2" xfId="4082" xr:uid="{E474C1BD-675B-474C-AA89-CE74C425E7F6}"/>
    <cellStyle name="Input 2 3" xfId="1947" xr:uid="{FD7D046D-650A-4AA6-8DF7-BB109BBB9664}"/>
    <cellStyle name="Input 2 3 2" xfId="4083" xr:uid="{B06EA778-9EC8-4426-87DD-0747C6F54B16}"/>
    <cellStyle name="Input 2 3 2 2" xfId="5054" xr:uid="{0B7778AA-EBD9-4A45-B361-1FA8246E0D51}"/>
    <cellStyle name="Input 2 4" xfId="4084" xr:uid="{7708B453-1EBC-460F-8E56-0A703FF37B4C}"/>
    <cellStyle name="Input 2 5" xfId="4085" xr:uid="{D7D4D98F-018C-488F-8CFA-37354D3F3776}"/>
    <cellStyle name="Input 2 6" xfId="4086" xr:uid="{7878DD90-D461-4239-84DC-AB05FB5361D0}"/>
    <cellStyle name="Input 2 7" xfId="4087" xr:uid="{73E199C0-CEF0-4277-8774-E0038D28ECB4}"/>
    <cellStyle name="Input 2 8" xfId="4088" xr:uid="{28F4B89C-A4EA-49DA-AEDB-1E7CCB79E8F1}"/>
    <cellStyle name="Input 2 9" xfId="4089" xr:uid="{62D2A14C-65D6-42D5-82C5-93F63EEB76F3}"/>
    <cellStyle name="Input 2_PrimaryEnergyPrices_TIMES" xfId="1948" xr:uid="{AAEB3DE8-1B46-4478-88F9-3C08F9A9737C}"/>
    <cellStyle name="Input 20 2" xfId="1949" xr:uid="{79E81DC1-7405-4F9F-BF7E-54D098BC8883}"/>
    <cellStyle name="Input 21 2" xfId="1950" xr:uid="{7CD5930F-9A2F-48AF-88F2-AF508C254481}"/>
    <cellStyle name="Input 22 2" xfId="1951" xr:uid="{2C4F1578-F72A-4A19-B22B-75CBC983410A}"/>
    <cellStyle name="Input 23 2" xfId="1952" xr:uid="{2B02598D-867E-4C25-959C-E685D387EDCF}"/>
    <cellStyle name="Input 24 2" xfId="1953" xr:uid="{1C787EE1-CAF9-4D5F-86DA-F8289856BADD}"/>
    <cellStyle name="Input 25 2" xfId="1954" xr:uid="{64336C91-1115-4243-912A-41042DEBF47A}"/>
    <cellStyle name="Input 26 2" xfId="1955" xr:uid="{DE6F2F30-81F1-4336-B10E-F42D9CBF91F3}"/>
    <cellStyle name="Input 27 2" xfId="1956" xr:uid="{C1D3E76A-F5A1-48DD-9BB7-2E8D015B45FA}"/>
    <cellStyle name="Input 28 2" xfId="1957" xr:uid="{FDD2B8A4-A9C5-4C4A-A63C-4A8095934F53}"/>
    <cellStyle name="Input 29 2" xfId="1958" xr:uid="{38DB78D6-DC3A-4888-8720-5B06B6BA67A2}"/>
    <cellStyle name="Input 3" xfId="185" xr:uid="{DA0D2F96-3762-4E6A-8759-9E665C9CAB7D}"/>
    <cellStyle name="Input 3 2" xfId="1959" xr:uid="{E8176DBE-11AF-46BB-A178-AAFBCD54F74E}"/>
    <cellStyle name="Input 3 3" xfId="1960" xr:uid="{889DBD4F-490D-4AB6-A0B3-AF254F69C62B}"/>
    <cellStyle name="Input 3 3 2" xfId="5055" xr:uid="{5EECB1FE-FC0B-409F-82DB-05ABE950AAA1}"/>
    <cellStyle name="Input 3 4" xfId="4090" xr:uid="{87BED76D-938B-47B0-9A29-D79AB844194E}"/>
    <cellStyle name="Input 3 5" xfId="22520" xr:uid="{434F775C-95F8-4849-98C8-7715530AD234}"/>
    <cellStyle name="Input 30 2" xfId="1961" xr:uid="{1ECD73FF-AEA6-456D-A51C-44D59306069A}"/>
    <cellStyle name="Input 31 2" xfId="1962" xr:uid="{FF860FF0-7E74-4CB6-84C8-75F7CEFF54A1}"/>
    <cellStyle name="Input 32 2" xfId="1963" xr:uid="{BA2BE3FE-333C-4B75-98EC-A4FB1912FF87}"/>
    <cellStyle name="Input 33 2" xfId="1964" xr:uid="{91DFF0CA-C10B-40E2-8051-703906D37DDE}"/>
    <cellStyle name="Input 34" xfId="1965" xr:uid="{C47A9736-853D-4048-A5F6-B3CE1E9C8793}"/>
    <cellStyle name="Input 34 2" xfId="1966" xr:uid="{773D47C6-C0EB-4D5A-8E90-FB14D6C43E5B}"/>
    <cellStyle name="Input 34_ELC_final" xfId="1967" xr:uid="{9D269349-1FBA-48A6-B631-9B1BCE1F907D}"/>
    <cellStyle name="Input 35" xfId="1968" xr:uid="{E1137FCA-1C8B-4927-BB22-5B9C655BBC47}"/>
    <cellStyle name="Input 36" xfId="1969" xr:uid="{1395B9D2-DE47-4C2B-A16F-F659735023AB}"/>
    <cellStyle name="Input 37" xfId="1970" xr:uid="{43C9D5E7-C7F1-46D3-AE35-CE733517E0D1}"/>
    <cellStyle name="Input 38" xfId="1971" xr:uid="{799BB04E-4294-4990-9B2C-38CA0BE95ACD}"/>
    <cellStyle name="Input 39" xfId="1972" xr:uid="{B4904ED8-AEF7-4721-9D3D-774741914B94}"/>
    <cellStyle name="Input 4" xfId="5056" xr:uid="{D264E689-8B44-4B0B-AD6F-97B265D2E4CD}"/>
    <cellStyle name="Input 4 2" xfId="1973" xr:uid="{C1828706-6B5C-4868-A92C-5E56028AF206}"/>
    <cellStyle name="Input 40" xfId="1974" xr:uid="{260D72BA-6013-4D1F-8B9E-D3144C32E0EB}"/>
    <cellStyle name="Input 5" xfId="5057" xr:uid="{B4FD9037-0799-4E6D-AAC1-C41E49F7BAA2}"/>
    <cellStyle name="Input 5 2" xfId="1975" xr:uid="{0B636A7A-D200-46C0-A9E9-6EC87B08B40F}"/>
    <cellStyle name="Input 6" xfId="5058" xr:uid="{06B0D607-4EE7-4A7B-9E0C-D0CBC29085DE}"/>
    <cellStyle name="Input 6 2" xfId="1976" xr:uid="{A92E22EE-5FA8-4DD9-A0B2-A1551FE6EE83}"/>
    <cellStyle name="Input 7 2" xfId="1977" xr:uid="{BE3A8315-CB17-401A-BE4F-51EE796CA030}"/>
    <cellStyle name="Input 8 2" xfId="1978" xr:uid="{74C73B4A-07C3-4ED2-AD7E-DD3BA0EA7C26}"/>
    <cellStyle name="Input 9 2" xfId="1979" xr:uid="{655635E5-33C6-4D0F-AA52-E0B09973802E}"/>
    <cellStyle name="InputCells" xfId="1980" xr:uid="{983E815B-0F91-4121-9B15-B78F76531073}"/>
    <cellStyle name="InputCells12" xfId="1981" xr:uid="{3EB5822E-1E77-4628-B9D0-C22DF1847EF8}"/>
    <cellStyle name="IntCells" xfId="1982" xr:uid="{87AC890F-F85A-4231-A0E7-48588F1351E2}"/>
    <cellStyle name="ligne_titre_0" xfId="329" xr:uid="{C46AD92D-9426-4CE6-8051-4DCDBF0161D6}"/>
    <cellStyle name="Linked Cell" xfId="14" builtinId="24" customBuiltin="1"/>
    <cellStyle name="Linked Cell 10" xfId="1983" xr:uid="{16B5500D-09B7-4FB0-9692-AA063D020585}"/>
    <cellStyle name="Linked Cell 11" xfId="1984" xr:uid="{9FF42C91-9AC4-4318-BA5A-B5A84129A26B}"/>
    <cellStyle name="Linked Cell 12" xfId="1985" xr:uid="{4470ED65-94C2-4D27-A7E9-9142878A9323}"/>
    <cellStyle name="Linked Cell 13" xfId="1986" xr:uid="{0685D82B-BBBB-483A-8572-0AED62DE8C8D}"/>
    <cellStyle name="Linked Cell 14" xfId="1987" xr:uid="{1DD151E5-FFFE-4F18-9B69-DB7791BF240F}"/>
    <cellStyle name="Linked Cell 15" xfId="1988" xr:uid="{756930E2-7D2C-4A3D-B307-50EBA36020D4}"/>
    <cellStyle name="Linked Cell 16" xfId="1989" xr:uid="{2A1CC1BF-090C-42CE-ACB6-CCAA62843D29}"/>
    <cellStyle name="Linked Cell 17" xfId="1990" xr:uid="{57748FAE-84C5-406D-8961-1949FA07172A}"/>
    <cellStyle name="Linked Cell 18" xfId="1991" xr:uid="{BA41D1C2-86C5-4A28-92DA-DB0D42DC69AE}"/>
    <cellStyle name="Linked Cell 19" xfId="1992" xr:uid="{EFABC3D4-82F7-4F40-AF1D-4749FC6D0B68}"/>
    <cellStyle name="Linked Cell 2" xfId="186" xr:uid="{1A168A4E-BC08-4DD6-BEF9-CCF8CDF0238E}"/>
    <cellStyle name="Linked Cell 2 10" xfId="4091" xr:uid="{C3A1EC91-BF88-400C-BA07-5320D14D8382}"/>
    <cellStyle name="Linked Cell 2 11" xfId="5059" xr:uid="{89C29878-65D5-4A7C-AF85-6B1EDC305DD0}"/>
    <cellStyle name="Linked Cell 2 2" xfId="4092" xr:uid="{22C48241-3FFD-4DEE-8EA9-FC086F0B8AC5}"/>
    <cellStyle name="Linked Cell 2 3" xfId="4093" xr:uid="{C10B895D-B45E-437F-940E-E61CC3175D15}"/>
    <cellStyle name="Linked Cell 2 4" xfId="4094" xr:uid="{421D1C96-47CE-47E6-9FDE-4C72B1DF3D1F}"/>
    <cellStyle name="Linked Cell 2 5" xfId="4095" xr:uid="{824476A5-74FE-4FA8-8768-346990CE9A00}"/>
    <cellStyle name="Linked Cell 2 6" xfId="4096" xr:uid="{86954BBB-F780-4082-B787-91747AF7A659}"/>
    <cellStyle name="Linked Cell 2 7" xfId="4097" xr:uid="{9BE74F08-E675-49DE-AFC3-F87F5EFCD5A9}"/>
    <cellStyle name="Linked Cell 2 8" xfId="4098" xr:uid="{9F1EBC91-C79B-442B-AFB1-3C7083780A79}"/>
    <cellStyle name="Linked Cell 2 9" xfId="4099" xr:uid="{C4191A0F-787B-4F5C-8020-CF4C4AFA8813}"/>
    <cellStyle name="Linked Cell 20" xfId="1993" xr:uid="{01F1BD65-D0B2-4CFF-AC75-722CE84AD14A}"/>
    <cellStyle name="Linked Cell 21" xfId="1994" xr:uid="{9C6FBB98-AA25-4BC7-8D42-667DD91EE7EA}"/>
    <cellStyle name="Linked Cell 22" xfId="1995" xr:uid="{E842C9E9-2BAA-4579-B6FE-64E19B956707}"/>
    <cellStyle name="Linked Cell 23" xfId="1996" xr:uid="{EAC3AD18-CBFB-41AC-9E5C-767C8696BC88}"/>
    <cellStyle name="Linked Cell 24" xfId="1997" xr:uid="{2D28E82F-7AFF-48BB-B42E-D4E11078A9AA}"/>
    <cellStyle name="Linked Cell 25" xfId="1998" xr:uid="{0CCF40E8-76A2-489F-8A69-1026E93D90C8}"/>
    <cellStyle name="Linked Cell 26" xfId="1999" xr:uid="{58AA03E8-A8B6-485D-972D-4CBE1FE01FCD}"/>
    <cellStyle name="Linked Cell 27" xfId="2000" xr:uid="{BAA75931-E622-4886-BE13-061F51444BEA}"/>
    <cellStyle name="Linked Cell 28" xfId="2001" xr:uid="{3447F24B-C3B1-4E70-A098-3C1F66DAC92F}"/>
    <cellStyle name="Linked Cell 29" xfId="2002" xr:uid="{A814296F-5BA1-41B3-824C-8087BAB8049E}"/>
    <cellStyle name="Linked Cell 3" xfId="187" xr:uid="{769FEC5F-5763-47C0-9375-08CC8AD603F4}"/>
    <cellStyle name="Linked Cell 3 2" xfId="2003" xr:uid="{9C3BE0B0-87EF-4D21-A8F4-B0BBBF90976A}"/>
    <cellStyle name="Linked Cell 3 2 2" xfId="5060" xr:uid="{C4E1DC51-0815-47B3-B2C7-5A6D17B0157E}"/>
    <cellStyle name="Linked Cell 3 3" xfId="4100" xr:uid="{CDA32FED-E137-4ED3-88A4-3D69B716730E}"/>
    <cellStyle name="Linked Cell 30" xfId="2004" xr:uid="{9B7D56DC-9CA7-46F3-89D0-52182F9EEF9C}"/>
    <cellStyle name="Linked Cell 31" xfId="2005" xr:uid="{2D0631C4-EDE9-499C-A894-BDFBA57AC1D3}"/>
    <cellStyle name="Linked Cell 32" xfId="2006" xr:uid="{EBFB4E44-68F3-48F0-94D5-88DF6761D293}"/>
    <cellStyle name="Linked Cell 33" xfId="2007" xr:uid="{E7032DD8-46F5-40E4-8164-31D1C9FE1BFB}"/>
    <cellStyle name="Linked Cell 34" xfId="2008" xr:uid="{20756D35-3693-41E8-B306-FAF6ADAF2A7D}"/>
    <cellStyle name="Linked Cell 35" xfId="2009" xr:uid="{8300E2B5-C845-4477-8CEC-84F6ABA44324}"/>
    <cellStyle name="Linked Cell 36" xfId="2010" xr:uid="{38426E06-0EB4-45B1-B172-D264B3104A93}"/>
    <cellStyle name="Linked Cell 37" xfId="2011" xr:uid="{FC437E51-0FB1-4672-8069-19E123F06447}"/>
    <cellStyle name="Linked Cell 38" xfId="2012" xr:uid="{A4D25F5D-D29D-41E5-B5D1-265F943E5FC8}"/>
    <cellStyle name="Linked Cell 39" xfId="2013" xr:uid="{6874C84C-E3BA-4054-AC3D-B033549C255E}"/>
    <cellStyle name="Linked Cell 4" xfId="2014" xr:uid="{5EE299F2-D25B-499D-B152-C5585087747A}"/>
    <cellStyle name="Linked Cell 4 2" xfId="5061" xr:uid="{EFC91EEA-905A-40BC-8100-DCBD3CA259C5}"/>
    <cellStyle name="Linked Cell 40" xfId="2015" xr:uid="{576E4ED9-1B66-40CA-B95D-AC45F1AD495A}"/>
    <cellStyle name="Linked Cell 41" xfId="2016" xr:uid="{7902C6A7-EFFB-4787-A52D-9B94CEF98869}"/>
    <cellStyle name="Linked Cell 5" xfId="2017" xr:uid="{718362AD-2751-4849-A081-C6D778E7791F}"/>
    <cellStyle name="Linked Cell 5 2" xfId="5062" xr:uid="{95B133F8-75BA-474C-8F45-F0CB03AB9C21}"/>
    <cellStyle name="Linked Cell 6" xfId="2018" xr:uid="{9BF615EC-6D53-4953-933B-26D4F4C5E0AC}"/>
    <cellStyle name="Linked Cell 6 2" xfId="5063" xr:uid="{AA01A460-0E27-497B-849A-DDEAA0F4B819}"/>
    <cellStyle name="Linked Cell 7" xfId="2019" xr:uid="{CC202AB0-56C1-4AD2-84C4-3F225C027CFD}"/>
    <cellStyle name="Linked Cell 8" xfId="2020" xr:uid="{D4A09752-50EC-49CC-BE80-C1BA85DBD465}"/>
    <cellStyle name="Linked Cell 9" xfId="2021" xr:uid="{EFCFE472-D8D8-40F7-AA66-15F28F1BE192}"/>
    <cellStyle name="Migliaia_Oil&amp;Gas IFE ARC POLITO" xfId="4101" xr:uid="{97F93E1B-72A2-4D46-AC22-DFDFC7FE30FF}"/>
    <cellStyle name="Neutral" xfId="10" builtinId="28" customBuiltin="1"/>
    <cellStyle name="Neutral 10" xfId="2022" xr:uid="{A1875458-69EB-4CCE-AFC5-16761E1AD5EA}"/>
    <cellStyle name="Neutral 11" xfId="2023" xr:uid="{C703154E-EEBE-46A3-8C16-AA171072B31E}"/>
    <cellStyle name="Neutral 12" xfId="2024" xr:uid="{F93D86D7-D6FE-414E-9F0F-B2E7F180D876}"/>
    <cellStyle name="Neutral 13" xfId="2025" xr:uid="{339E23A3-79A8-4005-90E6-FA0BB95348FA}"/>
    <cellStyle name="Neutral 14" xfId="2026" xr:uid="{012C54E9-2CD4-4184-A7F1-B58B5A9123DD}"/>
    <cellStyle name="Neutral 15" xfId="2027" xr:uid="{7FA80E6D-DBFC-474C-A3F0-E06B38659CF6}"/>
    <cellStyle name="Neutral 16" xfId="2028" xr:uid="{F4B136C4-86FA-47BE-855D-91B5FD9F3A2C}"/>
    <cellStyle name="Neutral 17" xfId="2029" xr:uid="{6A93E389-8254-4086-8513-A13F410A4D12}"/>
    <cellStyle name="Neutral 18" xfId="2030" xr:uid="{EFCD109B-EFD0-479C-933E-AE43554AA9DC}"/>
    <cellStyle name="Neutral 19" xfId="2031" xr:uid="{40F82001-70C9-4EE8-89A1-81E1CE109D49}"/>
    <cellStyle name="Neutral 2" xfId="188" xr:uid="{6035B6B2-9C90-4D98-88A5-AB5F9458202E}"/>
    <cellStyle name="Neutral 2 10" xfId="4102" xr:uid="{1CCDB5ED-3E26-49BD-AE9F-9725F5DA188F}"/>
    <cellStyle name="Neutral 2 11" xfId="5064" xr:uid="{48621921-1F1C-447A-AE44-82F05B671CEF}"/>
    <cellStyle name="Neutral 2 2" xfId="4103" xr:uid="{D0CD64EF-BAB5-443F-83C7-C52DBBD3B6DF}"/>
    <cellStyle name="Neutral 2 3" xfId="4104" xr:uid="{971A6221-5E95-4D44-8780-27451DA6C4AF}"/>
    <cellStyle name="Neutral 2 4" xfId="4105" xr:uid="{DB1EC32A-EFBB-4E30-B180-3D76C2507AE1}"/>
    <cellStyle name="Neutral 2 5" xfId="4106" xr:uid="{971B1CE8-33C1-4611-8C84-6DC0895906DD}"/>
    <cellStyle name="Neutral 2 6" xfId="4107" xr:uid="{17CAD107-EE8C-4905-9623-775E2067024C}"/>
    <cellStyle name="Neutral 2 7" xfId="4108" xr:uid="{7CE82BE6-7ED2-4C48-A698-1E52D5AA3BA6}"/>
    <cellStyle name="Neutral 2 8" xfId="4109" xr:uid="{B224CC86-2DA9-4EDA-B2F4-2CA58AA033AC}"/>
    <cellStyle name="Neutral 2 9" xfId="4110" xr:uid="{48047E39-CA9E-4DE5-860C-55C931085A6E}"/>
    <cellStyle name="Neutral 20" xfId="2032" xr:uid="{017D260F-B62F-423F-8574-ECE7F2F13AB2}"/>
    <cellStyle name="Neutral 21" xfId="2033" xr:uid="{4BF6FA8E-7A75-44FA-A5D0-B580EF98DF22}"/>
    <cellStyle name="Neutral 22" xfId="2034" xr:uid="{808C257C-33C4-48FF-AB13-7289E8603DAB}"/>
    <cellStyle name="Neutral 23" xfId="2035" xr:uid="{B1BC8E3B-5BBD-4F0A-B6DC-FE1F02F799C7}"/>
    <cellStyle name="Neutral 24" xfId="2036" xr:uid="{EE7D569A-5814-49D8-9A2E-E1A5369FB90B}"/>
    <cellStyle name="Neutral 25" xfId="2037" xr:uid="{8493DA76-F6A8-4BDD-8492-232FC572DB9C}"/>
    <cellStyle name="Neutral 26" xfId="2038" xr:uid="{4F672B9C-A87C-4BE7-B11C-63E150424A2D}"/>
    <cellStyle name="Neutral 27" xfId="2039" xr:uid="{F396FB42-6739-46D3-B515-688E79690E36}"/>
    <cellStyle name="Neutral 28" xfId="2040" xr:uid="{0B84618E-A87F-40AE-8E2D-504E4001F293}"/>
    <cellStyle name="Neutral 29" xfId="2041" xr:uid="{A693F5AD-AE17-450E-830B-26F68E554FD1}"/>
    <cellStyle name="Neutral 3" xfId="189" xr:uid="{6B5DFFF1-38E2-445E-B89B-98D5F992E76F}"/>
    <cellStyle name="Neutral 3 2" xfId="2043" xr:uid="{BE65527D-1C3B-4BD4-BCE2-A0D0CACC6C30}"/>
    <cellStyle name="Neutral 3 2 2" xfId="5065" xr:uid="{487FDC82-678E-4EF7-8FED-A3F3819C80EA}"/>
    <cellStyle name="Neutral 3 3" xfId="2044" xr:uid="{E4174D6D-A20D-4BD6-9481-50191E403273}"/>
    <cellStyle name="Neutral 3 3 2" xfId="5066" xr:uid="{9F3A58EA-74E0-41BF-A956-FFCBFE86DCF9}"/>
    <cellStyle name="Neutral 3 4" xfId="2045" xr:uid="{6DDB8652-C792-4BD5-AA16-91677D09772F}"/>
    <cellStyle name="Neutral 3 5" xfId="2042" xr:uid="{B56B75F5-DD92-480F-B646-99FE1D44751F}"/>
    <cellStyle name="Neutral 3 6" xfId="4111" xr:uid="{3E05E8FF-BDC6-4967-9817-CCAFAB078324}"/>
    <cellStyle name="Neutral 30" xfId="2046" xr:uid="{F42D6193-E50C-466D-BED5-28BCF20D9241}"/>
    <cellStyle name="Neutral 31" xfId="2047" xr:uid="{93630981-C84C-401D-8256-DB5E073EBA9D}"/>
    <cellStyle name="Neutral 32" xfId="2048" xr:uid="{86B9D2BD-EB78-468F-80C8-D7BD094E89FD}"/>
    <cellStyle name="Neutral 33" xfId="2049" xr:uid="{080C0B13-87BE-401E-B07E-8638A2789B6E}"/>
    <cellStyle name="Neutral 34" xfId="2050" xr:uid="{D0AF01C9-CF89-41FC-8B05-DC5DC65E2589}"/>
    <cellStyle name="Neutral 35" xfId="2051" xr:uid="{C5756BB5-83C6-489D-A39A-6AADE022A71B}"/>
    <cellStyle name="Neutral 36" xfId="2052" xr:uid="{4E50D5A4-A31B-4769-9426-76D8D40FD2FC}"/>
    <cellStyle name="Neutral 37" xfId="2053" xr:uid="{964B5F28-DC52-48AA-8C66-1E525248785A}"/>
    <cellStyle name="Neutral 38" xfId="2054" xr:uid="{3A0215A6-CC2A-4532-AEED-1F440EC88B0F}"/>
    <cellStyle name="Neutral 39" xfId="2055" xr:uid="{20D822AD-5B53-4CC1-97FA-094A6112BC40}"/>
    <cellStyle name="Neutral 4" xfId="2056" xr:uid="{F41A15CD-6D85-4E55-85FD-E82291E75E9D}"/>
    <cellStyle name="Neutral 4 2" xfId="2057" xr:uid="{AB9F5588-39E2-423C-B279-57CCC50A61F7}"/>
    <cellStyle name="Neutral 4 3" xfId="5067" xr:uid="{2254D148-9208-47B1-9FE2-4EAC00EE5812}"/>
    <cellStyle name="Neutral 4 4" xfId="22558" xr:uid="{8976A434-56FE-45EF-B6B8-0B0F13C895BF}"/>
    <cellStyle name="Neutral 40" xfId="2058" xr:uid="{91F1EE2C-E13E-4DB9-8E9E-48F6D7D84FE4}"/>
    <cellStyle name="Neutral 41" xfId="2059" xr:uid="{1339F339-458C-4FE8-9577-E9B1365BAE9C}"/>
    <cellStyle name="Neutral 42" xfId="2060" xr:uid="{87907982-CA4E-4B61-81B8-16059F3ED0A9}"/>
    <cellStyle name="Neutral 43" xfId="2061" xr:uid="{9D6AED43-C2AE-42B8-B9D2-A681F190D5A3}"/>
    <cellStyle name="Neutral 5" xfId="2062" xr:uid="{BC976F3B-E974-4FF5-BE11-EB2A7CEE7316}"/>
    <cellStyle name="Neutral 5 2" xfId="5068" xr:uid="{126DC15C-D75C-4CA9-A1B6-22860D3A9AC6}"/>
    <cellStyle name="Neutral 6" xfId="2063" xr:uid="{56D17E97-6D18-42E9-B369-07FC1FC4A5F9}"/>
    <cellStyle name="Neutral 6 2" xfId="5069" xr:uid="{8AB4A6A8-504B-4529-94F5-532C5982CCB5}"/>
    <cellStyle name="Neutral 7" xfId="2064" xr:uid="{26606A14-2CA4-40A7-82A7-024681A5388E}"/>
    <cellStyle name="Neutral 8" xfId="2065" xr:uid="{C3F4383F-E9BB-4508-8035-0DB6569DB143}"/>
    <cellStyle name="Neutral 9" xfId="2066" xr:uid="{FD800313-3C01-40BD-A66F-3EC227912FC6}"/>
    <cellStyle name="Neutro 2" xfId="22508" xr:uid="{369E1D30-EEFB-4F93-AEAA-AEA8B8E9FD0E}"/>
    <cellStyle name="Normal" xfId="0" builtinId="0"/>
    <cellStyle name="Normal 10" xfId="1" xr:uid="{00000000-0005-0000-0000-000001000000}"/>
    <cellStyle name="Normal 10 2" xfId="190" xr:uid="{3F6E8FF5-E0D4-48CB-AD69-A0E424E46C23}"/>
    <cellStyle name="Normal 10 2 2" xfId="361" xr:uid="{19FE561F-55C7-4E4D-88EE-339C7D582B45}"/>
    <cellStyle name="Normal 10 2 2 2" xfId="2068" xr:uid="{7FAE055F-14F1-4E60-BDDF-7DF1B89CC87A}"/>
    <cellStyle name="Normal 10 2 2 2 2" xfId="5071" xr:uid="{DF34D79C-B2FB-4C81-8489-1895DFCDFB3D}"/>
    <cellStyle name="Normal 10 2 3" xfId="2067" xr:uid="{CB6E418A-F8EE-4CC0-87B7-61B645BCA367}"/>
    <cellStyle name="Normal 10 2 4" xfId="4112" xr:uid="{31FA1E4C-3651-4242-BBB5-9C95A5302AB2}"/>
    <cellStyle name="Normal 10 2 5" xfId="5070" xr:uid="{920E58D5-442B-44F1-B2DB-E178495998BD}"/>
    <cellStyle name="Normal 10 2 6" xfId="22546" xr:uid="{3BAED070-E64B-4D67-903A-05125BE03ED8}"/>
    <cellStyle name="Normal 10 3" xfId="323" xr:uid="{4F0D1937-9EFC-4410-BC1B-C9F71500B0E4}"/>
    <cellStyle name="Normal 10 4" xfId="4113" xr:uid="{1E09781D-1566-4442-937C-58D739CD438C}"/>
    <cellStyle name="Normal 10 5" xfId="4114" xr:uid="{8A5E4E4E-6B78-4E1F-90B9-434655C04EC0}"/>
    <cellStyle name="Normal 10 6" xfId="4115" xr:uid="{C611F61F-8104-458B-B666-5D8051A3537B}"/>
    <cellStyle name="Normal 10 7" xfId="4116" xr:uid="{FE9C8298-D845-4892-80E1-D30B15A5F139}"/>
    <cellStyle name="Normal 10 8" xfId="4117" xr:uid="{DF517770-C8E1-42FA-B113-C1BD34BD7D90}"/>
    <cellStyle name="Normal 10 9" xfId="4118" xr:uid="{14457A5D-9BC1-4A1F-954B-6E654A8F54FF}"/>
    <cellStyle name="Normal 11" xfId="191" xr:uid="{0E3820F6-B853-4B3A-B55C-8A06A4961842}"/>
    <cellStyle name="Normal 11 2" xfId="192" xr:uid="{5DFB2A05-9CAA-4C5D-AFD4-93CDC5443690}"/>
    <cellStyle name="Normal 11 2 2" xfId="2069" xr:uid="{DF17E0F4-39AD-4EE6-85DA-55DA3DD9238E}"/>
    <cellStyle name="Normal 11 2 2 2" xfId="5072" xr:uid="{909A8D0D-DC98-4F34-BC57-12C80A4069CD}"/>
    <cellStyle name="Normal 11 3" xfId="193" xr:uid="{C8F181D1-5EC1-4031-AAC0-1051A41C033C}"/>
    <cellStyle name="Normal 11 4" xfId="362" xr:uid="{704FAEED-97AA-4779-B387-F8027D5905B0}"/>
    <cellStyle name="Normal 11 4 2" xfId="2070" xr:uid="{93A08B28-F2BD-4FE7-8FAB-6F395513EB75}"/>
    <cellStyle name="Normal 11 5" xfId="2071" xr:uid="{CFDB684C-425F-401F-814E-ADFBB7734BEA}"/>
    <cellStyle name="Normal 11 5 2" xfId="4119" xr:uid="{5C72A039-547F-4B83-BDD2-17ABD1D8A163}"/>
    <cellStyle name="Normal 11 5 3" xfId="5073" xr:uid="{21D9DDC4-D48C-4092-B224-047C99396F9B}"/>
    <cellStyle name="Normal 11 6" xfId="4120" xr:uid="{7477F977-B8DB-4042-9011-2332DA626468}"/>
    <cellStyle name="Normal 11 7" xfId="4121" xr:uid="{35172463-D55D-4E93-A4A4-40354E82C844}"/>
    <cellStyle name="Normal 11 8" xfId="4122" xr:uid="{F7A6CA7A-C198-4093-A17F-A9AF847AB3C6}"/>
    <cellStyle name="Normal 12" xfId="67" xr:uid="{F41E7CCC-D888-4509-8773-F5E6FC6C9C1D}"/>
    <cellStyle name="Normal 12 2" xfId="4123" xr:uid="{16CB3F1B-4F31-4CCF-9556-1FDC5647AFCB}"/>
    <cellStyle name="Normal 12 3" xfId="4124" xr:uid="{4A2B13C1-D781-46F5-82E7-8405F232B31D}"/>
    <cellStyle name="Normal 12 4" xfId="4125" xr:uid="{D806FBDD-7810-46A9-8893-1FD9D90BC1F4}"/>
    <cellStyle name="Normal 12 5" xfId="4126" xr:uid="{C6A0FB09-8B18-4DAF-8E77-C14E2214C878}"/>
    <cellStyle name="Normal 12 6" xfId="4127" xr:uid="{D0A16491-D9F0-4964-9D6E-6B4431F30897}"/>
    <cellStyle name="Normal 12 7" xfId="4128" xr:uid="{F807162D-15F0-490D-9973-E1720F304906}"/>
    <cellStyle name="Normal 12 8" xfId="4129" xr:uid="{64A597F9-917B-4444-AE55-323E2F1DA75B}"/>
    <cellStyle name="Normal 13" xfId="343" xr:uid="{54F555A9-80FE-4043-9EDF-26375E86DA2B}"/>
    <cellStyle name="Normal 13 10" xfId="4130" xr:uid="{E479FC9D-9564-46E1-B2B9-9C1A25DC7F44}"/>
    <cellStyle name="Normal 13 10 2" xfId="5074" xr:uid="{B7A01292-EDDC-4FD0-892E-773E63ADBBF8}"/>
    <cellStyle name="Normal 13 11" xfId="4131" xr:uid="{192F367E-C251-4857-AFAE-45FD2AF4E291}"/>
    <cellStyle name="Normal 13 11 2" xfId="5075" xr:uid="{CA69202F-120C-4388-B419-28D6664197D0}"/>
    <cellStyle name="Normal 13 12" xfId="4132" xr:uid="{80FC0463-CF2C-44B9-80AC-78311F56B8C2}"/>
    <cellStyle name="Normal 13 13" xfId="4133" xr:uid="{722A9DD4-D37A-4919-A266-E87A4C6C1B89}"/>
    <cellStyle name="Normal 13 13 2" xfId="5076" xr:uid="{EDEB661C-AAEE-498D-AF0E-EC02CBAF76CE}"/>
    <cellStyle name="Normal 13 14" xfId="4134" xr:uid="{CAFA535F-BFDF-4BE1-89EF-838ED56D3A7F}"/>
    <cellStyle name="Normal 13 14 2" xfId="5077" xr:uid="{FD0677E2-54C0-42F0-8728-D0B840DE3E62}"/>
    <cellStyle name="Normal 13 15" xfId="4135" xr:uid="{84650968-DCAD-4BD4-AB70-1F433C68601E}"/>
    <cellStyle name="Normal 13 15 2" xfId="5078" xr:uid="{0074D78D-D737-4C9E-AB64-3625830EBF21}"/>
    <cellStyle name="Normal 13 16" xfId="4136" xr:uid="{5BB5E6D5-4C22-497F-94A6-C6EDE5E99079}"/>
    <cellStyle name="Normal 13 16 2" xfId="5079" xr:uid="{D2A19923-3654-41D0-9E9C-35590583A702}"/>
    <cellStyle name="Normal 13 17" xfId="4137" xr:uid="{9BCB62F6-EB1E-417D-83E7-C0D92495C228}"/>
    <cellStyle name="Normal 13 18" xfId="4138" xr:uid="{10297FF7-4314-4137-8AFC-02336EBF8C6C}"/>
    <cellStyle name="Normal 13 19" xfId="4139" xr:uid="{DD4FA4AA-AE95-4CE3-9EB3-33A05132AA23}"/>
    <cellStyle name="Normal 13 2" xfId="2073" xr:uid="{583ACB13-5185-46A3-844A-BFE1FBC79939}"/>
    <cellStyle name="Normal 13 2 2" xfId="4141" xr:uid="{1EC795A4-B70F-4BCC-BBD4-7C4CC8B46D71}"/>
    <cellStyle name="Normal 13 2 2 2" xfId="5080" xr:uid="{CC3CBB90-E675-483F-BAD2-911E698DF3D8}"/>
    <cellStyle name="Normal 13 2 3" xfId="4142" xr:uid="{7C021C28-1066-42A0-91D8-D4E25CBB9D9D}"/>
    <cellStyle name="Normal 13 2 3 2" xfId="5081" xr:uid="{E9023850-FC9A-42E1-8CBD-187182891C28}"/>
    <cellStyle name="Normal 13 2 4" xfId="4143" xr:uid="{3D05785E-9147-49E1-B9D2-C89FA40BACA1}"/>
    <cellStyle name="Normal 13 2 4 2" xfId="5082" xr:uid="{EC6731BE-354D-4611-9CEB-68B5E116AEEA}"/>
    <cellStyle name="Normal 13 2 5" xfId="4144" xr:uid="{CEB1ED06-FE3D-4EC2-9D0C-EFCE17F5D43C}"/>
    <cellStyle name="Normal 13 2 5 2" xfId="5083" xr:uid="{83FE8714-E593-4A7D-8755-9FE4D4529395}"/>
    <cellStyle name="Normal 13 2 6" xfId="4145" xr:uid="{EA6922BD-B2AB-4B2A-87DD-88E0D7A3669A}"/>
    <cellStyle name="Normal 13 2 6 2" xfId="5084" xr:uid="{2765D67B-2998-4FEF-9745-882F0CA66EB4}"/>
    <cellStyle name="Normal 13 2 7" xfId="4146" xr:uid="{C9ED58AD-AAF9-4D4D-A220-0B96A6C4130A}"/>
    <cellStyle name="Normal 13 2 7 2" xfId="5085" xr:uid="{A91AF24E-818F-4FC2-A344-476F619B6B18}"/>
    <cellStyle name="Normal 13 2 8" xfId="4147" xr:uid="{085BE82A-09A9-4B97-8461-7255DC072D93}"/>
    <cellStyle name="Normal 13 2 8 2" xfId="5086" xr:uid="{BA48955C-B1EB-4C17-ABA7-4D54443D688C}"/>
    <cellStyle name="Normal 13 2 9" xfId="4140" xr:uid="{022652B4-889F-459E-9777-1B1D5421D8F4}"/>
    <cellStyle name="Normal 13 20" xfId="4148" xr:uid="{6996E5F5-3593-400F-91A2-C545E01AA6E8}"/>
    <cellStyle name="Normal 13 21" xfId="4149" xr:uid="{B45D6BC0-AF12-4325-97AC-B585725B1ACB}"/>
    <cellStyle name="Normal 13 22" xfId="4150" xr:uid="{2CA1D627-7604-400A-9D3C-C49B95154588}"/>
    <cellStyle name="Normal 13 23" xfId="4151" xr:uid="{D75C7BF7-82FF-4E1A-8454-B598AF28D734}"/>
    <cellStyle name="Normal 13 24" xfId="4152" xr:uid="{41EA2F49-F4BD-4069-9916-917A0455C21F}"/>
    <cellStyle name="Normal 13 25" xfId="4153" xr:uid="{3CDF3E7A-AFE5-450C-A1C4-452306B0726B}"/>
    <cellStyle name="Normal 13 26" xfId="4154" xr:uid="{453D9973-D9EF-4AB2-8351-8064DFE6AE03}"/>
    <cellStyle name="Normal 13 27" xfId="4155" xr:uid="{7D26C71B-7001-48C5-B943-49B32D09C3A1}"/>
    <cellStyle name="Normal 13 28" xfId="4156" xr:uid="{2FD3DF95-A9C8-479F-9013-FE6FA23FA228}"/>
    <cellStyle name="Normal 13 29" xfId="4157" xr:uid="{BD207CDA-A015-49E0-89CD-1E9AE3C38104}"/>
    <cellStyle name="Normal 13 3" xfId="2074" xr:uid="{C7DD61B1-5D9C-4E97-9CB8-F4F1FB091D05}"/>
    <cellStyle name="Normal 13 3 2" xfId="4158" xr:uid="{B1F0449A-84F9-4428-8C89-11AE7BC7A97E}"/>
    <cellStyle name="Normal 13 3 2 2" xfId="5087" xr:uid="{C11799BA-8D8E-4B6B-95ED-AFF7B00AC4D7}"/>
    <cellStyle name="Normal 13 30" xfId="4159" xr:uid="{4D7A1C91-D82E-408A-A8AD-A532F20E65EC}"/>
    <cellStyle name="Normal 13 31" xfId="4160" xr:uid="{0B7FEDB1-6027-4B9D-A401-7AF9CBC30A40}"/>
    <cellStyle name="Normal 13 32" xfId="4161" xr:uid="{0BCA9F29-5B94-43E7-952A-51D50ED40C31}"/>
    <cellStyle name="Normal 13 33" xfId="4162" xr:uid="{F8D720DA-1AF5-446F-A7C1-8C4AE7A443F1}"/>
    <cellStyle name="Normal 13 34" xfId="4163" xr:uid="{536B3FC8-4761-474F-A082-2152B6E44E5C}"/>
    <cellStyle name="Normal 13 35" xfId="4164" xr:uid="{4409D995-A023-4AB1-9FF9-BEB4D375059E}"/>
    <cellStyle name="Normal 13 36" xfId="4165" xr:uid="{98A82F48-071A-462A-B9BC-FEC0B977ADA2}"/>
    <cellStyle name="Normal 13 37" xfId="4166" xr:uid="{E29FD23D-6400-4A46-BD23-AAD8BC1FDE78}"/>
    <cellStyle name="Normal 13 38" xfId="4167" xr:uid="{6E6FB87B-A697-4794-9BAD-F228011FDC5E}"/>
    <cellStyle name="Normal 13 4" xfId="2072" xr:uid="{6F2311A1-4B53-46C2-A847-C2C56E72D057}"/>
    <cellStyle name="Normal 13 4 2" xfId="4168" xr:uid="{CFEF3851-2E9C-4CA2-A9B4-2067F5ECB5BF}"/>
    <cellStyle name="Normal 13 4 3" xfId="5088" xr:uid="{D31EE0BA-CE41-44BB-AB73-BCC66C6E1E32}"/>
    <cellStyle name="Normal 13 5" xfId="4169" xr:uid="{7999E5AF-5FBD-4954-9B2E-38EE70A5EF5D}"/>
    <cellStyle name="Normal 13 6" xfId="4170" xr:uid="{98770EBA-FF5C-481C-BB2B-CAE7305B53FA}"/>
    <cellStyle name="Normal 13 7" xfId="4171" xr:uid="{27620852-5204-4DAE-8E8C-4A7CF72DB3C0}"/>
    <cellStyle name="Normal 13 8" xfId="4172" xr:uid="{D12E4DC7-D18A-4A2A-84B0-8602814137A5}"/>
    <cellStyle name="Normal 13 9" xfId="4173" xr:uid="{F631EE88-1936-4F84-99FC-CB3CA990822E}"/>
    <cellStyle name="Normal 13 9 2" xfId="5089" xr:uid="{787C465E-1DD2-4B97-8BCF-5994A3B83C09}"/>
    <cellStyle name="Normal 14" xfId="345" xr:uid="{8F2C714B-2908-44B4-A3E0-9629B318F729}"/>
    <cellStyle name="Normal 14 10" xfId="4175" xr:uid="{A03AEF03-8A49-436F-A6BC-169B350AF868}"/>
    <cellStyle name="Normal 14 10 2" xfId="5090" xr:uid="{24BA4AB9-0BA8-4FED-88F4-8282E45F93D4}"/>
    <cellStyle name="Normal 14 11" xfId="4176" xr:uid="{1D161840-0D3B-48ED-827C-AEA64A744957}"/>
    <cellStyle name="Normal 14 11 2" xfId="5091" xr:uid="{3832C277-565A-4F16-9F1F-06ADE90FF3BF}"/>
    <cellStyle name="Normal 14 12" xfId="4177" xr:uid="{F0D5E656-66E4-475D-82C3-45B2DFF5275F}"/>
    <cellStyle name="Normal 14 12 2" xfId="5092" xr:uid="{BA90BD1B-788D-463C-B9BD-DD0804E7E814}"/>
    <cellStyle name="Normal 14 13" xfId="4178" xr:uid="{62AAC696-0622-4335-987D-C53A66E795CB}"/>
    <cellStyle name="Normal 14 13 2" xfId="5093" xr:uid="{2A2F8130-C39B-4CDB-ADC5-058B8A7F31B2}"/>
    <cellStyle name="Normal 14 14" xfId="4179" xr:uid="{1C0B8D37-4374-4BDF-AA52-B763BE699A10}"/>
    <cellStyle name="Normal 14 14 2" xfId="5094" xr:uid="{2554738D-F9FC-49BB-92A6-619B17CBEB1F}"/>
    <cellStyle name="Normal 14 15" xfId="4180" xr:uid="{2597CBE9-F137-49B6-847F-47A609EF5F36}"/>
    <cellStyle name="Normal 14 15 2" xfId="5095" xr:uid="{B9E74541-7B36-4B79-8F0E-2C703086B57A}"/>
    <cellStyle name="Normal 14 16" xfId="4174" xr:uid="{01D9D6FE-D697-4883-B886-948531FFCAF7}"/>
    <cellStyle name="Normal 14 2" xfId="2076" xr:uid="{55B9380D-FE58-4A71-BF2C-67268FC9FD5E}"/>
    <cellStyle name="Normal 14 2 2" xfId="4182" xr:uid="{537777D5-1A1E-4532-8194-C03CE1501621}"/>
    <cellStyle name="Normal 14 2 3" xfId="4183" xr:uid="{87334887-DFDA-4C33-AD4D-DEBE7584BD08}"/>
    <cellStyle name="Normal 14 2 4" xfId="4184" xr:uid="{BFFEFEE2-11E3-4FE3-B89B-852841AD04A2}"/>
    <cellStyle name="Normal 14 2 5" xfId="4185" xr:uid="{A85C4A92-9074-41D6-9FD9-F68FA196A248}"/>
    <cellStyle name="Normal 14 2 6" xfId="4186" xr:uid="{944408C2-C9D3-4A26-BCA1-DBE687580432}"/>
    <cellStyle name="Normal 14 2 7" xfId="4187" xr:uid="{5F81BD59-F719-4560-8CE5-3B3F9867A428}"/>
    <cellStyle name="Normal 14 2 8" xfId="4181" xr:uid="{54E02F4C-31F3-44C2-8191-87EF8D440371}"/>
    <cellStyle name="Normal 14 2 8 2" xfId="5096" xr:uid="{5BC1203F-BF62-4BEC-8D57-C5EDB2A6CBD4}"/>
    <cellStyle name="Normal 14 3" xfId="2075" xr:uid="{FD9228D1-7E8C-4E3D-BA95-E6F5E304D3A3}"/>
    <cellStyle name="Normal 14 4" xfId="4188" xr:uid="{52A6BF27-8324-4874-A5BE-314251243D08}"/>
    <cellStyle name="Normal 14 4 2" xfId="5097" xr:uid="{CBBFBBE8-49EA-477A-86D7-D397126B8C0B}"/>
    <cellStyle name="Normal 14 5" xfId="4189" xr:uid="{ADF23048-CEEA-447C-8F19-80122F256226}"/>
    <cellStyle name="Normal 14 5 2" xfId="5098" xr:uid="{47A7318D-F9BE-422B-88D8-30CDC9606694}"/>
    <cellStyle name="Normal 14 6" xfId="4190" xr:uid="{A8AF54E6-AB31-4EAA-AFC4-8DDE1FE2A33C}"/>
    <cellStyle name="Normal 14 7" xfId="4191" xr:uid="{C11F93BF-A8FE-4E96-9AD1-765127D02F44}"/>
    <cellStyle name="Normal 14 8" xfId="4192" xr:uid="{D2D249E9-0EB0-46F2-8984-DD7BC71AEF0E}"/>
    <cellStyle name="Normal 14 9" xfId="4193" xr:uid="{59A4CADD-3903-4A06-8C01-333C54A954F0}"/>
    <cellStyle name="Normal 15" xfId="2077" xr:uid="{EE93867E-813A-48B3-969F-D6EC9687D300}"/>
    <cellStyle name="Normal 15 2" xfId="2078" xr:uid="{E0723188-F43E-4EFC-88D0-8327066ED662}"/>
    <cellStyle name="Normal 15 2 2" xfId="4195" xr:uid="{716B4468-4A70-47F8-9AF6-1DB3E2D1F0F5}"/>
    <cellStyle name="Normal 15 3" xfId="4196" xr:uid="{867C3D94-6C39-45EF-A6C9-A9A138566BB0}"/>
    <cellStyle name="Normal 15 4" xfId="4197" xr:uid="{6CC32F9F-92F4-4514-B30B-2F95D4BEBFE7}"/>
    <cellStyle name="Normal 15 5" xfId="4198" xr:uid="{1C9A362B-28F3-4D05-9605-56767463B9DA}"/>
    <cellStyle name="Normal 15 6" xfId="4199" xr:uid="{51DE6EE4-8315-44F8-8227-7AC2A3C03E6D}"/>
    <cellStyle name="Normal 15 7" xfId="4194" xr:uid="{1796B8BB-1F46-4138-98D5-90F81C3A3737}"/>
    <cellStyle name="Normal 16" xfId="2079" xr:uid="{CD098675-43A8-49D2-BAD3-853BA7A7A936}"/>
    <cellStyle name="Normal 16 2" xfId="2080" xr:uid="{0483B514-3BA5-41F2-A3E8-32AFAB152D67}"/>
    <cellStyle name="Normal 16 2 2" xfId="4201" xr:uid="{71218823-542F-45E0-ADFB-767BBB971F60}"/>
    <cellStyle name="Normal 16 3" xfId="4202" xr:uid="{EE723C36-1C24-459B-B49E-207B4BD1299F}"/>
    <cellStyle name="Normal 16 4" xfId="4203" xr:uid="{1D994F26-F790-4B45-AD93-4D0E39A0BD3C}"/>
    <cellStyle name="Normal 16 5" xfId="4204" xr:uid="{CF1BC8E5-526C-4BE7-A617-043BE71419FC}"/>
    <cellStyle name="Normal 16 6" xfId="4205" xr:uid="{3DE6977F-E5A8-4BA5-BE55-BE89AEAAFCCB}"/>
    <cellStyle name="Normal 16 7" xfId="4200" xr:uid="{9C71BD69-9404-4B04-B2C1-B5FDC6F5C6B9}"/>
    <cellStyle name="Normal 16 7 2" xfId="5099" xr:uid="{52D80D81-3CE9-42CB-9B6F-0C03984DC024}"/>
    <cellStyle name="Normal 17" xfId="2081" xr:uid="{189C526B-D5E9-4700-9DAA-668441D6D4BE}"/>
    <cellStyle name="Normal 17 10" xfId="4207" xr:uid="{10AAFB6C-7B0C-4BA6-B273-F2D1148F8589}"/>
    <cellStyle name="Normal 17 11" xfId="4208" xr:uid="{7CE162BB-CE41-4F25-A9CC-E7136B0ED5C1}"/>
    <cellStyle name="Normal 17 12" xfId="4209" xr:uid="{D21529AA-A945-4A3C-BDAB-2B9AC785053B}"/>
    <cellStyle name="Normal 17 13" xfId="4210" xr:uid="{0770E99E-A9A6-4294-B63B-AC012F40FC78}"/>
    <cellStyle name="Normal 17 14" xfId="4206" xr:uid="{7738619C-6DF1-470F-AA36-B61ED53BBE6D}"/>
    <cellStyle name="Normal 17 14 2" xfId="5100" xr:uid="{00005AE0-5A2E-4796-A173-BC4CB4C4BC59}"/>
    <cellStyle name="Normal 17 2" xfId="2082" xr:uid="{4A0FF4B4-A0DB-414C-B955-6188C545BC81}"/>
    <cellStyle name="Normal 17 2 2" xfId="4211" xr:uid="{44B7E0A7-3415-41C5-B742-CB6B68827590}"/>
    <cellStyle name="Normal 17 3" xfId="4212" xr:uid="{21545E49-CDBC-4046-A305-DEB98B56BC22}"/>
    <cellStyle name="Normal 17 4" xfId="4213" xr:uid="{44631AD2-DDEC-4345-9ECF-718958877134}"/>
    <cellStyle name="Normal 17 5" xfId="4214" xr:uid="{2556BD5D-D6DC-45D6-BDF5-2492D183C91C}"/>
    <cellStyle name="Normal 17 6" xfId="4215" xr:uid="{76210498-F704-4C37-8AA3-B3DA1ECFEF9E}"/>
    <cellStyle name="Normal 17 7" xfId="4216" xr:uid="{EAD6AC07-B677-41A7-8DFA-FAC911F322F4}"/>
    <cellStyle name="Normal 17 8" xfId="4217" xr:uid="{55207425-C2F5-4C9A-9BD6-F14CE0A1DFC3}"/>
    <cellStyle name="Normal 17 9" xfId="4218" xr:uid="{4CFEAF46-3C30-452E-855C-C6D9A080C07B}"/>
    <cellStyle name="Normal 18" xfId="2083" xr:uid="{3E571473-CFC4-4EB7-BA8C-9D409EDB7ACB}"/>
    <cellStyle name="Normal 18 2" xfId="2084" xr:uid="{1799AE8A-036D-4118-8AA9-8023016BC2B0}"/>
    <cellStyle name="Normal 18 3" xfId="4219" xr:uid="{6C187742-2865-4780-83E5-28CEA9AEEBDB}"/>
    <cellStyle name="Normal 18 3 2" xfId="5101" xr:uid="{36B1808C-D9E4-4043-B428-628157CB61FD}"/>
    <cellStyle name="Normal 19" xfId="2085" xr:uid="{DADE26FE-E128-46B0-8C08-5F1A82A0E01C}"/>
    <cellStyle name="Normal 19 2" xfId="5102" xr:uid="{EE4C632F-56B4-4630-BD0C-A9F43D34C58D}"/>
    <cellStyle name="Normal 2" xfId="53" xr:uid="{2D9DE7A1-5DF2-46F7-A19B-AA6982D858F3}"/>
    <cellStyle name="Normal 2 10" xfId="324" xr:uid="{CAAF2FE1-DB85-4B59-B004-2D8F00AC7DDC}"/>
    <cellStyle name="Normal 2 10 2" xfId="2087" xr:uid="{DC0345FE-1328-4EB6-B480-69D629B098C0}"/>
    <cellStyle name="Normal 2 11" xfId="2088" xr:uid="{624CD9D9-0D7E-40E3-9793-D37E1D63C66D}"/>
    <cellStyle name="Normal 2 12" xfId="2089" xr:uid="{031E9FDF-1F1B-4879-B619-94A5BBF8AD55}"/>
    <cellStyle name="Normal 2 13" xfId="2090" xr:uid="{57F11357-206D-469F-9E64-469060698922}"/>
    <cellStyle name="Normal 2 14" xfId="2091" xr:uid="{EAC90EA9-8FD7-4D94-951A-54E09211FA80}"/>
    <cellStyle name="Normal 2 15" xfId="2092" xr:uid="{46794433-D14F-4495-9AD7-0C6846965C21}"/>
    <cellStyle name="Normal 2 16" xfId="2093" xr:uid="{A298B5D8-00D5-47BC-98D2-BBE4882CBB01}"/>
    <cellStyle name="Normal 2 17" xfId="2094" xr:uid="{2FAA6E6F-18C1-47CB-9E4B-6A58BCC4DD2E}"/>
    <cellStyle name="Normal 2 18" xfId="2095" xr:uid="{86FE66FA-E3CF-44B0-A8C2-E3D9437D8832}"/>
    <cellStyle name="Normal 2 18 2" xfId="4220" xr:uid="{BFE24F7D-E4A9-40A7-A880-EA6F89218CEF}"/>
    <cellStyle name="Normal 2 18 2 2" xfId="5103" xr:uid="{C2C1889A-DA26-4A70-AA3D-D52AA97B2994}"/>
    <cellStyle name="Normal 2 18 3" xfId="5104" xr:uid="{D4145E48-E761-4760-89B2-99CEC418C7CD}"/>
    <cellStyle name="Normal 2 19" xfId="2096" xr:uid="{D8A7AF07-DF16-41D9-B809-AD96DF1A7A02}"/>
    <cellStyle name="Normal 2 19 2" xfId="5105" xr:uid="{450CC0F0-99C5-4E44-B0A0-C6DAE33E7C84}"/>
    <cellStyle name="Normal 2 2" xfId="54" xr:uid="{B7808A5A-BF70-485C-A578-7378C4F9E440}"/>
    <cellStyle name="Normal 2 2 10" xfId="4222" xr:uid="{981A8F9E-B7EC-4320-B93E-8000F48E5F68}"/>
    <cellStyle name="Normal 2 2 10 2" xfId="5106" xr:uid="{ADEDE7C9-40A1-457B-AF23-29600F88A0E2}"/>
    <cellStyle name="Normal 2 2 11" xfId="4223" xr:uid="{D13E4D16-B16C-4CE6-964F-71FF311A6AB4}"/>
    <cellStyle name="Normal 2 2 11 2" xfId="5107" xr:uid="{F908E6F9-7752-4D43-983A-44A5350C73D6}"/>
    <cellStyle name="Normal 2 2 12" xfId="4224" xr:uid="{602AB34C-AF5D-42A6-BA33-2572ACF048B8}"/>
    <cellStyle name="Normal 2 2 12 2" xfId="5108" xr:uid="{FF69967A-211B-4025-818A-ADE6BB8BDEB0}"/>
    <cellStyle name="Normal 2 2 13" xfId="4225" xr:uid="{F9A0ECF9-8CD5-4058-880C-757DD1E176EB}"/>
    <cellStyle name="Normal 2 2 13 2" xfId="5109" xr:uid="{280CB04D-7F0C-4AE6-829B-74EE4781A409}"/>
    <cellStyle name="Normal 2 2 14" xfId="4226" xr:uid="{C28B7714-5092-4E3E-AD0A-5B631D8BE4CA}"/>
    <cellStyle name="Normal 2 2 15" xfId="4221" xr:uid="{FCF3CDFF-2DBA-42D0-A337-B44B81E5B911}"/>
    <cellStyle name="Normal 2 2 16" xfId="194" xr:uid="{B12EAB92-B930-4174-9102-BFCBC640936D}"/>
    <cellStyle name="Normal 2 2 2" xfId="195" xr:uid="{2ECC2DFC-D86A-4C87-8E55-B3D2604D3B7A}"/>
    <cellStyle name="Normal 2 2 2 2" xfId="196" xr:uid="{1A6606E5-ECB3-4012-A5C3-6F2C54E96E9D}"/>
    <cellStyle name="Normal 2 2 2 2 2" xfId="2098" xr:uid="{8B6D0490-D6D6-4BC2-BBF6-AFB5297923A1}"/>
    <cellStyle name="Normal 2 2 2 3" xfId="2099" xr:uid="{47CEF146-73F2-477E-A3AA-644331C38A94}"/>
    <cellStyle name="Normal 2 2 2 3 2" xfId="5110" xr:uid="{D9E8D40A-E1F1-403D-8950-2810FA02D61B}"/>
    <cellStyle name="Normal 2 2 2 4" xfId="2100" xr:uid="{DE7156F6-965C-46D0-B4BB-465F967323C8}"/>
    <cellStyle name="Normal 2 2 2 5" xfId="2097" xr:uid="{24E4317F-CCCC-4F97-AD58-04EFFC6EA082}"/>
    <cellStyle name="Normal 2 2 2 6" xfId="4227" xr:uid="{792A1F98-8685-4300-96DD-E216919D5979}"/>
    <cellStyle name="Normal 2 2 3" xfId="197" xr:uid="{F1BF2A81-1FAD-430B-ABCB-85E586F270AD}"/>
    <cellStyle name="Normal 2 2 3 2" xfId="4228" xr:uid="{5E4005AA-F9F4-4F6E-A1F5-759C261F7E40}"/>
    <cellStyle name="Normal 2 2 3 2 2" xfId="5111" xr:uid="{B16A31D9-1A08-4871-847E-34B49D40E034}"/>
    <cellStyle name="Normal 2 2 4" xfId="198" xr:uid="{BC4824AF-764A-42B5-9A83-170A81494935}"/>
    <cellStyle name="Normal 2 2 4 2" xfId="2101" xr:uid="{1CAFB101-5D9B-46FF-BA72-57F4347360DC}"/>
    <cellStyle name="Normal 2 2 4 2 2" xfId="5112" xr:uid="{266BA1D6-A350-43A5-9381-6F6D298028C0}"/>
    <cellStyle name="Normal 2 2 4 3" xfId="4229" xr:uid="{EB6A8F33-B4EA-4144-B83C-7920D541F678}"/>
    <cellStyle name="Normal 2 2 5" xfId="199" xr:uid="{00621815-2981-47C8-A2AB-F44F6892132C}"/>
    <cellStyle name="Normal 2 2 5 2" xfId="2102" xr:uid="{C3F617FB-A949-49C2-99A2-DA7C9010372E}"/>
    <cellStyle name="Normal 2 2 5 2 2" xfId="5113" xr:uid="{58BEE7E3-556B-4E92-88B2-E55A828E176F}"/>
    <cellStyle name="Normal 2 2 5 3" xfId="4230" xr:uid="{6ABC5FDE-24C3-4893-B4F4-72465D253C1C}"/>
    <cellStyle name="Normal 2 2 6" xfId="2103" xr:uid="{76E94E13-4BB0-479B-8637-51CC8BADBDAA}"/>
    <cellStyle name="Normal 2 2 6 2" xfId="4231" xr:uid="{9C0D49C1-9663-4190-868E-C0CE76223506}"/>
    <cellStyle name="Normal 2 2 6 2 2" xfId="5115" xr:uid="{F25D0D76-2BF4-4AFB-B526-5715C371DC8F}"/>
    <cellStyle name="Normal 2 2 6 3" xfId="5114" xr:uid="{983A823E-3E49-4B6E-BFAA-C637BD4DDF25}"/>
    <cellStyle name="Normal 2 2 7" xfId="2104" xr:uid="{BD43AFD3-625D-47E0-A43E-BAC7588A8F58}"/>
    <cellStyle name="Normal 2 2 7 2" xfId="4232" xr:uid="{5C7F813C-2F85-463E-A3BF-8EC1FE072FEE}"/>
    <cellStyle name="Normal 2 2 7 3" xfId="5116" xr:uid="{AA4E1E1C-52DA-4BAA-B4AD-AA8565234299}"/>
    <cellStyle name="Normal 2 2 8" xfId="2105" xr:uid="{372FB597-02BC-4E6D-AD3E-5B58A6C319B2}"/>
    <cellStyle name="Normal 2 2 8 2" xfId="4233" xr:uid="{6F04DCF9-6062-4696-91AE-FC7D052E42BA}"/>
    <cellStyle name="Normal 2 2 8 3" xfId="5117" xr:uid="{5A510687-E3B4-4577-AF63-DAEBEE68D05E}"/>
    <cellStyle name="Normal 2 2 9" xfId="4234" xr:uid="{689BFEA5-6CBC-4BBD-A331-D2D5DFA849AC}"/>
    <cellStyle name="Normal 2 2 9 2" xfId="5118" xr:uid="{2356172A-19C0-4C9D-B7E7-0AF23636EA6A}"/>
    <cellStyle name="Normal 2 2_ELC" xfId="2106" xr:uid="{651D203A-B775-4FF7-9357-07A959AF8EE8}"/>
    <cellStyle name="Normal 2 20" xfId="2107" xr:uid="{2C8989A0-B690-4D55-93F7-51ED5471F1A1}"/>
    <cellStyle name="Normal 2 21" xfId="2108" xr:uid="{9750E6A0-4C15-417D-A62B-69F6CB2D6E5C}"/>
    <cellStyle name="Normal 2 22" xfId="2109" xr:uid="{6F87FCA3-6113-47AB-875D-C66462CE2156}"/>
    <cellStyle name="Normal 2 23" xfId="2110" xr:uid="{600A1F6C-060E-48F3-B8F8-516A42FEEB1B}"/>
    <cellStyle name="Normal 2 24" xfId="2111" xr:uid="{4CD98217-6354-4526-B320-88F2EDF4136D}"/>
    <cellStyle name="Normal 2 25" xfId="2112" xr:uid="{A88FF7C5-9664-4566-A87F-748B29291B34}"/>
    <cellStyle name="Normal 2 26" xfId="2113" xr:uid="{71CD8506-B69C-4A85-AA32-16F602DEE5C1}"/>
    <cellStyle name="Normal 2 27" xfId="2114" xr:uid="{C4B4784B-35CF-4A2E-8D33-6CE310784861}"/>
    <cellStyle name="Normal 2 28" xfId="2115" xr:uid="{D5381D60-E16C-4C0A-9032-BA8D3C0BFCC6}"/>
    <cellStyle name="Normal 2 29" xfId="2116" xr:uid="{1268E129-7485-493D-811D-B122587D1635}"/>
    <cellStyle name="Normal 2 3" xfId="200" xr:uid="{B839590C-34B0-44D2-B7D5-568DA0BC3585}"/>
    <cellStyle name="Normal 2 3 10" xfId="4235" xr:uid="{F206FC75-0DFD-417C-B734-21B3642DF3AB}"/>
    <cellStyle name="Normal 2 3 10 2" xfId="5119" xr:uid="{3F3926D2-5855-4031-A3C8-66F233DC9215}"/>
    <cellStyle name="Normal 2 3 11" xfId="4236" xr:uid="{216670B8-5728-4806-89DA-C290EE7CFA30}"/>
    <cellStyle name="Normal 2 3 11 2" xfId="5120" xr:uid="{91307378-48F9-41FF-9C41-F395FD85193B}"/>
    <cellStyle name="Normal 2 3 12" xfId="4237" xr:uid="{4ACCB5E6-88F4-44F4-A43F-EB398D553D03}"/>
    <cellStyle name="Normal 2 3 12 2" xfId="5121" xr:uid="{DC01B429-72D6-43E0-8588-214C599208A6}"/>
    <cellStyle name="Normal 2 3 13" xfId="4238" xr:uid="{744D2D7C-B195-454B-8048-D7C29D9A39C8}"/>
    <cellStyle name="Normal 2 3 13 2" xfId="5122" xr:uid="{6B375C05-FFD8-476D-A8CE-D33D8E7C4738}"/>
    <cellStyle name="Normal 2 3 14" xfId="4239" xr:uid="{078B11FF-D3B6-4AEE-87AB-36A14CE9E7C2}"/>
    <cellStyle name="Normal 2 3 2" xfId="201" xr:uid="{663CE2FF-9921-4EF8-928D-C1030DE2E9F3}"/>
    <cellStyle name="Normal 2 3 2 2" xfId="365" xr:uid="{D4746975-7154-4082-89FD-46292DAB3A6E}"/>
    <cellStyle name="Normal 2 3 2 2 2" xfId="2118" xr:uid="{58015A9B-C146-4A81-8573-04BEB42396BE}"/>
    <cellStyle name="Normal 2 3 2 2 3" xfId="4241" xr:uid="{5E2896D1-B4A0-41A4-9696-A0F7C454BE3F}"/>
    <cellStyle name="Normal 2 3 2 2 4" xfId="5124" xr:uid="{FD9375FF-AA44-4DFA-ACEF-4F578F6E0C5F}"/>
    <cellStyle name="Normal 2 3 2 3" xfId="364" xr:uid="{733C805C-87E6-49E5-B547-A52D78E399A7}"/>
    <cellStyle name="Normal 2 3 2 4" xfId="2117" xr:uid="{FF12CCA8-6C43-4848-A5ED-4210692C2D33}"/>
    <cellStyle name="Normal 2 3 2 5" xfId="4240" xr:uid="{0EF4F7D3-06B1-41A3-AD9E-5D0BB8F2CD76}"/>
    <cellStyle name="Normal 2 3 2 6" xfId="5123" xr:uid="{266CAAF6-09CE-42FF-89D9-31A4ADBACA72}"/>
    <cellStyle name="Normal 2 3 3" xfId="202" xr:uid="{2EAB1AF2-E631-4910-9975-A4DBC5DC0FAE}"/>
    <cellStyle name="Normal 2 3 3 2" xfId="4242" xr:uid="{DCC7252D-151A-4EFA-AD02-AF7BB0E519E4}"/>
    <cellStyle name="Normal 2 3 3 2 2" xfId="5125" xr:uid="{3910B7DD-D9E9-4DF3-B457-3AB763BB9C0B}"/>
    <cellStyle name="Normal 2 3 4" xfId="203" xr:uid="{51417B37-B6E6-4638-8F80-7885C7164A06}"/>
    <cellStyle name="Normal 2 3 4 2" xfId="366" xr:uid="{256311C8-7DEB-4BC2-A42B-0BC54E808E9F}"/>
    <cellStyle name="Normal 2 3 4 2 2" xfId="4244" xr:uid="{FAEC3D84-4E52-4141-8B4F-9F68F4988274}"/>
    <cellStyle name="Normal 2 3 4 3" xfId="2119" xr:uid="{4083F48D-BA1F-4407-B0BB-DEBB3A4BA800}"/>
    <cellStyle name="Normal 2 3 4 4" xfId="4243" xr:uid="{346268EF-CF00-43BF-A4AC-E5E1A7252001}"/>
    <cellStyle name="Normal 2 3 4 5" xfId="5126" xr:uid="{552D7D01-2510-43E6-B56B-F096DDDE6863}"/>
    <cellStyle name="Normal 2 3 5" xfId="367" xr:uid="{413FBF40-EE9C-4094-AF83-CC8912685874}"/>
    <cellStyle name="Normal 2 3 5 2" xfId="2120" xr:uid="{2D2A073D-E106-4BAC-AE93-0913430A7503}"/>
    <cellStyle name="Normal 2 3 5 3" xfId="4245" xr:uid="{23FFAEF3-741F-4A9C-B8F9-3B5ECADCEC39}"/>
    <cellStyle name="Normal 2 3 5 4" xfId="5127" xr:uid="{10D46BB6-DB00-4340-821D-87D6B50DBD98}"/>
    <cellStyle name="Normal 2 3 6" xfId="363" xr:uid="{ACCEFD69-D296-44EB-9692-D8FC61F095DD}"/>
    <cellStyle name="Normal 2 3 6 2" xfId="2121" xr:uid="{B7A02B4D-1CA0-4DA1-8890-7D5FC9F92E08}"/>
    <cellStyle name="Normal 2 3 6 2 2" xfId="5128" xr:uid="{BEECC0B9-EB2F-4B87-AEB0-3B213C9E69E0}"/>
    <cellStyle name="Normal 2 3 6 3" xfId="4246" xr:uid="{82251137-EF84-45A7-8BA6-500D10135662}"/>
    <cellStyle name="Normal 2 3 7" xfId="4247" xr:uid="{2DF4E0DE-6B1E-435C-9DD1-3E21AA943D83}"/>
    <cellStyle name="Normal 2 3 7 2" xfId="5129" xr:uid="{D8DAB2A8-4B9A-4BAC-AC33-B692C1D5088D}"/>
    <cellStyle name="Normal 2 3 8" xfId="4248" xr:uid="{89E129CA-FA36-4BAD-8A78-2F17EECF9BB1}"/>
    <cellStyle name="Normal 2 3 8 2" xfId="5130" xr:uid="{C239C0C8-7F36-41B0-850C-EDDDDDF05DB3}"/>
    <cellStyle name="Normal 2 3 9" xfId="4249" xr:uid="{5F84CD9C-BEB4-416E-ABB1-7DC6E4A69347}"/>
    <cellStyle name="Normal 2 3 9 2" xfId="5131" xr:uid="{11BE992C-6A4E-4385-A9DD-0CC90607F82F}"/>
    <cellStyle name="Normal 2 30" xfId="2122" xr:uid="{89994CD5-AE59-430D-AF8B-8DB4EB9605B0}"/>
    <cellStyle name="Normal 2 31" xfId="2123" xr:uid="{92E0E072-2FAD-4EC9-802F-0C74C9A2AE09}"/>
    <cellStyle name="Normal 2 32" xfId="2124" xr:uid="{F238689D-2DED-490E-93D4-44D7B785CD22}"/>
    <cellStyle name="Normal 2 33" xfId="2125" xr:uid="{19E386C2-DAA6-4C4B-B790-C966AFBE786D}"/>
    <cellStyle name="Normal 2 34" xfId="2126" xr:uid="{80FED7F2-5CC3-431D-A182-C451E280751D}"/>
    <cellStyle name="Normal 2 35" xfId="2127" xr:uid="{1B18DE23-EC1C-4C8F-ABA3-A35CC6774DD0}"/>
    <cellStyle name="Normal 2 36" xfId="2128" xr:uid="{494D14C3-A2AE-45AA-9CF8-8CFE30312AD7}"/>
    <cellStyle name="Normal 2 37" xfId="2129" xr:uid="{3103B762-CC10-44EE-AD76-6C2AE5DA8FEB}"/>
    <cellStyle name="Normal 2 38" xfId="2130" xr:uid="{7243E877-5397-4E23-A5E3-1B2103C52579}"/>
    <cellStyle name="Normal 2 39" xfId="2131" xr:uid="{903B9088-4797-49AA-B9D2-CAEF0E15A28E}"/>
    <cellStyle name="Normal 2 4" xfId="204" xr:uid="{72775CD0-BABE-4151-9A9E-06D085D8BE05}"/>
    <cellStyle name="Normal 2 4 10" xfId="4250" xr:uid="{5867A160-6AC9-4342-804D-B540C7212066}"/>
    <cellStyle name="Normal 2 4 10 2" xfId="5132" xr:uid="{1A33DD0B-7284-4337-8041-53CDB8618049}"/>
    <cellStyle name="Normal 2 4 11" xfId="4251" xr:uid="{7F6FD029-7586-47F4-B5A4-CD1AA9A36B80}"/>
    <cellStyle name="Normal 2 4 11 2" xfId="5133" xr:uid="{9A6F34CC-D6E3-4F68-A3A4-7E07864C6F0D}"/>
    <cellStyle name="Normal 2 4 12" xfId="4252" xr:uid="{D0537ED8-03CC-41E4-A9F4-4E2F65234C46}"/>
    <cellStyle name="Normal 2 4 12 2" xfId="5134" xr:uid="{4F4EB83D-60E4-4568-807B-F30D41E5C630}"/>
    <cellStyle name="Normal 2 4 13" xfId="4253" xr:uid="{8C20639C-E189-40BB-AE56-B723E71BD468}"/>
    <cellStyle name="Normal 2 4 13 2" xfId="5135" xr:uid="{79EBFECB-11CD-4D31-8DA9-8BE5BD726EA4}"/>
    <cellStyle name="Normal 2 4 14" xfId="22547" xr:uid="{BD06B0BB-3F7C-4EB9-9876-D6B7C341BBF5}"/>
    <cellStyle name="Normal 2 4 2" xfId="205" xr:uid="{6EBA5342-DFAA-4457-B740-08AF2B0DAC7F}"/>
    <cellStyle name="Normal 2 4 2 2" xfId="4254" xr:uid="{83D3B2D4-E655-4510-8175-DF1CB8FA30C5}"/>
    <cellStyle name="Normal 2 4 2 2 2" xfId="5136" xr:uid="{F28494ED-8306-4C25-8B16-DD60B10A0FA5}"/>
    <cellStyle name="Normal 2 4 3" xfId="206" xr:uid="{C348ACC3-328B-4192-BFEA-8583850007A4}"/>
    <cellStyle name="Normal 2 4 3 2" xfId="4255" xr:uid="{8476793D-DF61-4C73-AEB4-66F14A1BC639}"/>
    <cellStyle name="Normal 2 4 3 2 2" xfId="5137" xr:uid="{56F590AA-8468-4854-A866-F4068EF7CEEC}"/>
    <cellStyle name="Normal 2 4 4" xfId="2132" xr:uid="{0EB50224-E684-4403-878E-25B4B002854E}"/>
    <cellStyle name="Normal 2 4 4 2" xfId="4256" xr:uid="{01EC9004-828C-4487-B5C3-C06A92D51D74}"/>
    <cellStyle name="Normal 2 4 4 2 2" xfId="5138" xr:uid="{DC7C51F6-890E-4B89-8364-2FECA66DA28C}"/>
    <cellStyle name="Normal 2 4 5" xfId="2133" xr:uid="{2A48225E-6D0B-49BF-B390-A71790D1B51E}"/>
    <cellStyle name="Normal 2 4 5 2" xfId="4257" xr:uid="{F0DD8CE4-C9A1-4F81-A6D6-54669FE5D54E}"/>
    <cellStyle name="Normal 2 4 5 3" xfId="5139" xr:uid="{8F7E7312-A630-4D64-965F-5E6F12E55207}"/>
    <cellStyle name="Normal 2 4 6" xfId="4258" xr:uid="{3F04E359-CC4D-4BF9-9430-5935DB15C86F}"/>
    <cellStyle name="Normal 2 4 6 2" xfId="5140" xr:uid="{B601AC57-4C91-404F-8CAA-19F3099E018A}"/>
    <cellStyle name="Normal 2 4 7" xfId="4259" xr:uid="{330291F6-FEFD-40ED-AE70-77653114E097}"/>
    <cellStyle name="Normal 2 4 7 2" xfId="5141" xr:uid="{5E8E278A-E263-44DF-B2CE-F55D8186883F}"/>
    <cellStyle name="Normal 2 4 8" xfId="4260" xr:uid="{1D99131A-B220-4E43-97FC-09D6C2B5F9BC}"/>
    <cellStyle name="Normal 2 4 8 2" xfId="5142" xr:uid="{A3F4EE98-C96E-4AAF-9B09-253D03CC93A3}"/>
    <cellStyle name="Normal 2 4 9" xfId="4261" xr:uid="{7F24DB9B-2BB3-447E-8611-D9F7A9AC934E}"/>
    <cellStyle name="Normal 2 4 9 2" xfId="5143" xr:uid="{6231960C-A60E-491B-8D22-C3573883BED3}"/>
    <cellStyle name="Normal 2 40" xfId="2134" xr:uid="{83CF6356-413D-4954-8713-67A42760DBAA}"/>
    <cellStyle name="Normal 2 41" xfId="2135" xr:uid="{7D34D0E3-1DDB-4093-9945-217D02850DE0}"/>
    <cellStyle name="Normal 2 42" xfId="2136" xr:uid="{4DAF3BCA-ABC8-4784-B9F5-6AFBDFC83BF8}"/>
    <cellStyle name="Normal 2 43" xfId="2137" xr:uid="{49E3430C-963A-4CE1-8562-494529EE2D13}"/>
    <cellStyle name="Normal 2 44" xfId="2138" xr:uid="{E03757EF-40F9-45F2-B4EE-32A7FBFBF03F}"/>
    <cellStyle name="Normal 2 45" xfId="2139" xr:uid="{6A2C727C-5C32-4137-9BFA-45B54814C945}"/>
    <cellStyle name="Normal 2 45 2" xfId="5144" xr:uid="{FE1556EF-24C5-46A8-BCC2-066C154FABC6}"/>
    <cellStyle name="Normal 2 46" xfId="2086" xr:uid="{E1BB8D1E-D625-4010-AD70-3DB77A044F9A}"/>
    <cellStyle name="Normal 2 47" xfId="64" xr:uid="{107721A9-A4CB-4413-B697-3407B5368A80}"/>
    <cellStyle name="Normal 2 5" xfId="207" xr:uid="{DAECD3DD-9548-47FD-A0F7-08CF04F9DFD6}"/>
    <cellStyle name="Normal 2 5 10" xfId="2140" xr:uid="{EE2E7C87-9944-45BE-9BFD-765A784953B6}"/>
    <cellStyle name="Normal 2 5 11" xfId="2141" xr:uid="{62D00D87-E570-46A2-8F5B-19F7AAA8646C}"/>
    <cellStyle name="Normal 2 5 12" xfId="2142" xr:uid="{87328D99-1B0F-4AD4-A4DB-4E70622C3F07}"/>
    <cellStyle name="Normal 2 5 13" xfId="2143" xr:uid="{AB5A36D0-BCE9-4CFA-8BEE-D6F82DC1D2F4}"/>
    <cellStyle name="Normal 2 5 14" xfId="2144" xr:uid="{E16D40A8-2A6A-4BC1-900D-7D06AD558743}"/>
    <cellStyle name="Normal 2 5 15" xfId="2145" xr:uid="{F572D399-1B15-483D-B2A5-06E7F222EF38}"/>
    <cellStyle name="Normal 2 5 16" xfId="2146" xr:uid="{1611E037-CD61-4488-A92F-3E5A01CF9C45}"/>
    <cellStyle name="Normal 2 5 2" xfId="208" xr:uid="{8372AB5D-F533-4D3B-928E-D86329A565D6}"/>
    <cellStyle name="Normal 2 5 2 2" xfId="368" xr:uid="{3C3C26C2-062C-4582-A9E4-2B1104B9C328}"/>
    <cellStyle name="Normal 2 5 2 2 2" xfId="2148" xr:uid="{3D467A49-1B99-4D58-A9F1-5C38F8C75224}"/>
    <cellStyle name="Normal 2 5 2 3" xfId="2147" xr:uid="{2D7C55C5-5600-4304-99B1-EE3A2CA1FF4B}"/>
    <cellStyle name="Normal 2 5 2 4" xfId="4262" xr:uid="{D8A3EE7C-7DF0-47F0-9853-BEF6B8F6E7BD}"/>
    <cellStyle name="Normal 2 5 2 5" xfId="5145" xr:uid="{FF2418F7-800A-4B6F-8C8E-EB30D65E5025}"/>
    <cellStyle name="Normal 2 5 3" xfId="2149" xr:uid="{06E4FADA-B5FF-439B-AA65-B63B5D103963}"/>
    <cellStyle name="Normal 2 5 4" xfId="2150" xr:uid="{8BA5B511-7348-49D6-AE35-F947FF0EB080}"/>
    <cellStyle name="Normal 2 5 5" xfId="2151" xr:uid="{5FA82EA2-5C88-4F25-A178-05D3889FB68C}"/>
    <cellStyle name="Normal 2 5 6" xfId="2152" xr:uid="{9BF45317-E033-43BA-96F2-2B774165986E}"/>
    <cellStyle name="Normal 2 5 7" xfId="2153" xr:uid="{3EA9BF63-D9A0-47E0-8AEB-3DB335A007DE}"/>
    <cellStyle name="Normal 2 5 8" xfId="2154" xr:uid="{0EC18405-B334-4206-9287-4C0B1E3D8540}"/>
    <cellStyle name="Normal 2 5 9" xfId="2155" xr:uid="{76697DDC-09D6-4423-B05D-A96BDFD1B641}"/>
    <cellStyle name="Normal 2 6" xfId="209" xr:uid="{7757DAAC-8CBE-41AC-9E29-FAEE9D0C29A2}"/>
    <cellStyle name="Normal 2 6 10" xfId="2157" xr:uid="{2EE97DFB-D8AF-401F-940E-1999A8CCAEE7}"/>
    <cellStyle name="Normal 2 6 11" xfId="2158" xr:uid="{23D7128D-7307-4428-9D39-2D344A820C25}"/>
    <cellStyle name="Normal 2 6 12" xfId="2159" xr:uid="{C6142BB5-46D8-43E3-A4D8-D2AFE6A524D8}"/>
    <cellStyle name="Normal 2 6 13" xfId="2160" xr:uid="{80999620-1B5D-4A9C-9C4F-12415765B037}"/>
    <cellStyle name="Normal 2 6 14" xfId="2161" xr:uid="{D9594AFD-C84F-4F5B-8C00-FF69415F32F1}"/>
    <cellStyle name="Normal 2 6 15" xfId="2162" xr:uid="{742B12D7-2020-4580-B074-516B26694076}"/>
    <cellStyle name="Normal 2 6 16" xfId="2163" xr:uid="{F859D8BE-19A3-4FDE-A153-71AA076CFFE1}"/>
    <cellStyle name="Normal 2 6 17" xfId="2156" xr:uid="{80CBE704-026A-4AE0-B44C-5B02F58FC11D}"/>
    <cellStyle name="Normal 2 6 18" xfId="5146" xr:uid="{22A4B2F0-2DC7-4C63-AD35-0EF4734EA724}"/>
    <cellStyle name="Normal 2 6 2" xfId="370" xr:uid="{53907A69-B243-4E26-AB56-F009E85735C5}"/>
    <cellStyle name="Normal 2 6 2 2" xfId="2165" xr:uid="{BB1FBF54-B718-4EA5-8E6B-54E642DB6F87}"/>
    <cellStyle name="Normal 2 6 2 3" xfId="2164" xr:uid="{1C3BD3CE-720A-419C-8497-AE9CA796A202}"/>
    <cellStyle name="Normal 2 6 2 4" xfId="4263" xr:uid="{1A028ADB-F53D-41D9-9222-E0F2BFCF526F}"/>
    <cellStyle name="Normal 2 6 2 5" xfId="5147" xr:uid="{4C38DD15-4860-46FD-B9C5-A021022A55EB}"/>
    <cellStyle name="Normal 2 6 3" xfId="369" xr:uid="{42FCC858-2453-4E28-9BE3-1070F2E6EB5C}"/>
    <cellStyle name="Normal 2 6 3 2" xfId="2166" xr:uid="{9A1A1DC4-4CE4-4D2E-AF8A-1786BAF873F5}"/>
    <cellStyle name="Normal 2 6 4" xfId="2167" xr:uid="{687BA3F8-185D-4921-BCD2-85EDC21DB9DD}"/>
    <cellStyle name="Normal 2 6 5" xfId="2168" xr:uid="{772FD208-AE5D-4B71-8F50-9E9C176C361B}"/>
    <cellStyle name="Normal 2 6 6" xfId="2169" xr:uid="{5321DC40-BADB-496B-9155-24DAB53351FC}"/>
    <cellStyle name="Normal 2 6 7" xfId="2170" xr:uid="{9E884C46-8348-4FD8-92C4-C0867DEEFE73}"/>
    <cellStyle name="Normal 2 6 8" xfId="2171" xr:uid="{86FC748F-2FC0-4379-9394-04E6720E3692}"/>
    <cellStyle name="Normal 2 6 9" xfId="2172" xr:uid="{F7A463EC-509F-4E11-A140-E48A4D01F410}"/>
    <cellStyle name="Normal 2 7" xfId="210" xr:uid="{F0D34AC3-5CB7-453F-A60F-691E0F3A165F}"/>
    <cellStyle name="Normal 2 7 2" xfId="4264" xr:uid="{B086B8E3-648B-4445-BE73-4932DF4530B9}"/>
    <cellStyle name="Normal 2 7 3" xfId="22548" xr:uid="{CD4501A8-E683-4E22-B491-EA0B80AD0DF4}"/>
    <cellStyle name="Normal 2 7 4" xfId="22521" xr:uid="{846811CC-0D71-42C0-B6C7-0D503027E604}"/>
    <cellStyle name="Normal 2 8" xfId="211" xr:uid="{1E9688FD-EAD4-4984-B52C-2BA1DACC5034}"/>
    <cellStyle name="Normal 2 8 2" xfId="212" xr:uid="{A8DE3993-75E6-4505-A3C0-5152210DDB48}"/>
    <cellStyle name="Normal 2 8 3" xfId="213" xr:uid="{A0D1FCA8-A267-4F44-B444-45625415B20E}"/>
    <cellStyle name="Normal 2 8 4" xfId="371" xr:uid="{0305A57F-19D4-4255-BFFA-92B7886FF966}"/>
    <cellStyle name="Normal 2 8 4 2" xfId="2173" xr:uid="{F7059861-7D39-4BC3-A3E1-F04DA6D329B1}"/>
    <cellStyle name="Normal 2 9" xfId="322" xr:uid="{F01A3AA4-9891-4851-8154-1002E1F51A91}"/>
    <cellStyle name="Normal 2 9 2" xfId="372" xr:uid="{5456E11F-1A01-48F0-B348-AD367F2B3BC7}"/>
    <cellStyle name="Normal 2 9 2 2" xfId="2175" xr:uid="{8D5A29CF-D96B-4CF4-9B5E-C5AD8FB2E1F8}"/>
    <cellStyle name="Normal 2 9 3" xfId="2174" xr:uid="{C8A432F2-68BF-4EC1-AE1D-3F873B60E250}"/>
    <cellStyle name="Normal 2 9 4" xfId="5148" xr:uid="{96A53D2C-549E-4F10-9A68-B0EC28274C70}"/>
    <cellStyle name="Normal 2_ELC" xfId="5149" xr:uid="{1A24A955-5514-4F58-82F2-BF814BDF5C25}"/>
    <cellStyle name="Normal 20" xfId="2176" xr:uid="{5280B5DD-D039-4602-8516-EFD8CEF2A1CE}"/>
    <cellStyle name="Normal 20 2" xfId="2177" xr:uid="{85F78C64-8BA0-44F9-9A01-6D55D9E0A187}"/>
    <cellStyle name="Normal 20 3" xfId="4265" xr:uid="{C1644FE5-9436-4E2F-89EE-2B039BD114B1}"/>
    <cellStyle name="Normal 21" xfId="2178" xr:uid="{B4B2AFF6-90E9-41C3-ACC4-A3AF1D5A1A70}"/>
    <cellStyle name="Normal 21 2" xfId="2179" xr:uid="{CBC87B94-F73D-4061-B0DA-BF6A3E9281E9}"/>
    <cellStyle name="Normal 21 2 2" xfId="5150" xr:uid="{ED210F1F-76A5-4D42-96D1-15CA3E496B6C}"/>
    <cellStyle name="Normal 21 3" xfId="4266" xr:uid="{AD0552F3-A0B1-4E37-958E-375B11B34EA8}"/>
    <cellStyle name="Normal 21_Scen_XBase" xfId="2180" xr:uid="{D1293594-9DD6-44BD-9186-F1BAA1352026}"/>
    <cellStyle name="Normal 22" xfId="2181" xr:uid="{53096C83-EA9B-434E-95D5-4DE8DFB7275D}"/>
    <cellStyle name="Normal 22 2" xfId="5151" xr:uid="{EA1A7EB6-3782-42E4-9B65-D48B369483FE}"/>
    <cellStyle name="Normal 23" xfId="2182" xr:uid="{977591E6-9DF1-4A8B-B1A0-0B8E405B8F84}"/>
    <cellStyle name="Normal 23 2" xfId="2183" xr:uid="{78838EDE-3946-4493-BE1F-8CCAD3B41B2D}"/>
    <cellStyle name="Normal 23 3" xfId="2184" xr:uid="{B488F60B-7B21-4B4F-8E6A-A3E1A9355403}"/>
    <cellStyle name="Normal 24" xfId="2185" xr:uid="{0DDF2A3C-0D84-4357-BB96-59F0AB484480}"/>
    <cellStyle name="Normal 24 10" xfId="2186" xr:uid="{2F8BCBDB-7D79-42C6-96AA-149BF5C9E6F5}"/>
    <cellStyle name="Normal 24 11" xfId="2187" xr:uid="{3ACE50DB-290A-4E45-AE5A-FB882CC7E83F}"/>
    <cellStyle name="Normal 24 12" xfId="2188" xr:uid="{B80AE219-4B71-441B-9091-BA6E88604951}"/>
    <cellStyle name="Normal 24 13" xfId="2189" xr:uid="{58A89D35-8B43-4128-87B2-AF65A6A27D46}"/>
    <cellStyle name="Normal 24 14" xfId="2190" xr:uid="{20688869-6523-4BF0-A6AA-F3C38B47954D}"/>
    <cellStyle name="Normal 24 15" xfId="2191" xr:uid="{91194D3F-40E9-4178-B8E9-6747BC6984D7}"/>
    <cellStyle name="Normal 24 16" xfId="2192" xr:uid="{BC3324BB-EBD0-4F9C-A311-6AC97B72A8DD}"/>
    <cellStyle name="Normal 24 17" xfId="2193" xr:uid="{FA50C661-8F81-4146-A6A7-B4F19BCB5E1D}"/>
    <cellStyle name="Normal 24 18" xfId="2194" xr:uid="{25B5402D-80FA-49F3-B9A4-A074CC6C90A6}"/>
    <cellStyle name="Normal 24 19" xfId="2195" xr:uid="{FDF956CE-97B4-4E44-84A8-F3A9334A02DA}"/>
    <cellStyle name="Normal 24 2" xfId="2196" xr:uid="{5355D665-361B-4E6D-9E51-0F23036BB42E}"/>
    <cellStyle name="Normal 24 20" xfId="2197" xr:uid="{B0E8E752-6AF4-4FE1-8563-A0E8398DE218}"/>
    <cellStyle name="Normal 24 21" xfId="5152" xr:uid="{EE23278C-5E74-4941-98EB-6EEA650E3102}"/>
    <cellStyle name="Normal 24 22" xfId="5153" xr:uid="{6BAC96AF-4418-47FC-9F4D-7731415512D5}"/>
    <cellStyle name="Normal 24 3" xfId="2198" xr:uid="{24D598CC-DE49-4AAC-825F-5E4553B9781A}"/>
    <cellStyle name="Normal 24 4" xfId="2199" xr:uid="{F415A8EE-9F7E-4CD3-8AE1-6C3AC685FC93}"/>
    <cellStyle name="Normal 24 5" xfId="2200" xr:uid="{CD1BE12D-AE03-4D66-BA5B-309BE4ADD11D}"/>
    <cellStyle name="Normal 24 6" xfId="2201" xr:uid="{8F981141-816D-4251-9DC6-60F0BE9664D0}"/>
    <cellStyle name="Normal 24 7" xfId="2202" xr:uid="{D336448E-D5E1-48E4-96F2-4056B5D596D3}"/>
    <cellStyle name="Normal 24 8" xfId="2203" xr:uid="{6D58BAC1-74AD-4DAB-9B41-73434FE76978}"/>
    <cellStyle name="Normal 24 9" xfId="2204" xr:uid="{AE85D8FD-21F9-4F8A-AC10-6E8B7C0847F3}"/>
    <cellStyle name="Normal 25" xfId="2205" xr:uid="{8A5D8212-8486-4617-8447-A93576E020D0}"/>
    <cellStyle name="Normal 25 2" xfId="5155" xr:uid="{258272A6-F2A9-496D-96F7-2CFF2D6C5655}"/>
    <cellStyle name="Normal 25 3" xfId="5156" xr:uid="{B819AB50-D453-4E37-9E42-7574019E5886}"/>
    <cellStyle name="Normal 25 4" xfId="5154" xr:uid="{74D04F33-14DF-47BB-9734-8F6718A19ECF}"/>
    <cellStyle name="Normal 26" xfId="2206" xr:uid="{2616AC00-B798-4083-A3CF-F79C208CE2CE}"/>
    <cellStyle name="Normal 26 2" xfId="2207" xr:uid="{04C88372-09BE-4F5F-8C8A-59C128D6B340}"/>
    <cellStyle name="Normal 27" xfId="2208" xr:uid="{D46E97AA-F59A-4B6B-98F6-6CC1460B4A1C}"/>
    <cellStyle name="Normal 27 2" xfId="2209" xr:uid="{35DB116D-7536-41B1-9B9D-90DBEC337AF0}"/>
    <cellStyle name="Normal 28" xfId="2210" xr:uid="{DBCAE9B8-C942-4655-BF4E-3F0FF53A780F}"/>
    <cellStyle name="Normal 29" xfId="2211" xr:uid="{000C3DCF-5AC6-4036-8180-6DAE47571162}"/>
    <cellStyle name="Normal 3" xfId="55" xr:uid="{28CD9038-6897-4473-90DB-8AB62359FABA}"/>
    <cellStyle name="Normal 3 10" xfId="2212" xr:uid="{02D54004-458B-4C39-96A0-66C99D6E7908}"/>
    <cellStyle name="Normal 3 11" xfId="2213" xr:uid="{FB3FB765-7451-43D2-90C9-DF11D0FB43CE}"/>
    <cellStyle name="Normal 3 12" xfId="2214" xr:uid="{C0DF9929-5C13-4915-B49F-0CB28C8F39E9}"/>
    <cellStyle name="Normal 3 13" xfId="2215" xr:uid="{7AA0B758-26F1-43E7-BF52-2E63764C6F9C}"/>
    <cellStyle name="Normal 3 14" xfId="2216" xr:uid="{513340C9-BE50-44CF-8957-5006208FDAD7}"/>
    <cellStyle name="Normal 3 15" xfId="2217" xr:uid="{76AFD882-8C8A-4DE4-9098-4192EB311EBD}"/>
    <cellStyle name="Normal 3 16" xfId="2218" xr:uid="{C0F71C70-CFB3-4364-BA39-83CC2B41115F}"/>
    <cellStyle name="Normal 3 17" xfId="2219" xr:uid="{7948AE57-7FD5-4EBB-AA72-845CC77AA882}"/>
    <cellStyle name="Normal 3 18" xfId="2220" xr:uid="{D155FC09-6E28-43DE-B9B3-E20E863021B3}"/>
    <cellStyle name="Normal 3 19" xfId="2221" xr:uid="{2167CFC2-3E94-4D87-85CD-AB22F7CD3907}"/>
    <cellStyle name="Normal 3 2" xfId="214" xr:uid="{D202DE97-95C1-4248-A5E9-08D14B5C3D23}"/>
    <cellStyle name="Normal 3 2 10" xfId="4268" xr:uid="{1BE740E2-F99D-4570-852B-319F0E9244FC}"/>
    <cellStyle name="Normal 3 2 11" xfId="4267" xr:uid="{57F6C598-17D3-4B1D-A928-6BD1202A25AC}"/>
    <cellStyle name="Normal 3 2 2" xfId="215" xr:uid="{502AD43F-AF3D-490E-A060-41CA3D065C5C}"/>
    <cellStyle name="Normal 3 2 2 2" xfId="2223" xr:uid="{62DC491E-B19F-424E-AF96-0E1932B85C02}"/>
    <cellStyle name="Normal 3 2 2 2 2" xfId="5157" xr:uid="{17E43AB4-D8E9-41CB-8173-94B01DA05AC6}"/>
    <cellStyle name="Normal 3 2 2 3" xfId="2224" xr:uid="{BA91AE60-8BDF-43A8-92FE-86B72DCEAE3C}"/>
    <cellStyle name="Normal 3 2 2 4" xfId="2222" xr:uid="{2DB25745-C90A-4E99-92B3-604C23FFD84F}"/>
    <cellStyle name="Normal 3 2 3" xfId="2225" xr:uid="{82405E94-EE22-4A5C-B2E6-5DF92A5E9229}"/>
    <cellStyle name="Normal 3 2 3 2" xfId="4269" xr:uid="{BD41D0ED-F42D-4B34-9A72-ADD9BA027CDD}"/>
    <cellStyle name="Normal 3 2 3 3" xfId="5158" xr:uid="{A8DEB12F-08EB-47E0-815F-1AB22C0AE9CE}"/>
    <cellStyle name="Normal 3 2 3 4" xfId="22559" xr:uid="{F730E092-047D-44F2-A0BF-CDFA6605B923}"/>
    <cellStyle name="Normal 3 2 3 5" xfId="22522" xr:uid="{FA58E2D6-1E1D-4520-BCEF-53BAD22A97EE}"/>
    <cellStyle name="Normal 3 2 4" xfId="2226" xr:uid="{F884F66A-C442-422C-963F-BDC6AAF8E044}"/>
    <cellStyle name="Normal 3 2 4 2" xfId="4270" xr:uid="{10D4655F-E3FA-4254-B7B5-698BA40CD72B}"/>
    <cellStyle name="Normal 3 2 4 3" xfId="22560" xr:uid="{319B8F62-FBEE-4BC4-B5CE-49D217D09FCF}"/>
    <cellStyle name="Normal 3 2 5" xfId="4271" xr:uid="{32188DC5-EB3E-4E02-8806-EDE7A0B3D05C}"/>
    <cellStyle name="Normal 3 2 6" xfId="4272" xr:uid="{86562A1C-C41E-4F67-B708-C50ADCBCF2F9}"/>
    <cellStyle name="Normal 3 2 7" xfId="4273" xr:uid="{C9586798-1811-4784-9F74-0C0DC5310E15}"/>
    <cellStyle name="Normal 3 2 8" xfId="4274" xr:uid="{21643DD2-6268-4F9A-8C2B-DA9A4D9CA87C}"/>
    <cellStyle name="Normal 3 2 9" xfId="4275" xr:uid="{796F85F5-81D0-4C66-91F1-3751E4B82B0E}"/>
    <cellStyle name="Normal 3 2 9 2" xfId="4276" xr:uid="{4503351A-D9F9-4010-A906-779F17A37315}"/>
    <cellStyle name="Normal 3 2 9 2 2" xfId="5159" xr:uid="{A0C7DB09-4364-4542-A986-5E542580311A}"/>
    <cellStyle name="Normal 3 2_ELC" xfId="2227" xr:uid="{8D96F453-F368-45A4-AEC6-5880E319833A}"/>
    <cellStyle name="Normal 3 20" xfId="2228" xr:uid="{94200ED0-D335-4505-A631-890562757373}"/>
    <cellStyle name="Normal 3 21" xfId="2229" xr:uid="{62C1C212-157E-4930-A3D8-80738FA4A007}"/>
    <cellStyle name="Normal 3 22" xfId="2230" xr:uid="{E432C4CF-F4E1-4BC3-A75C-0E98E285F6D2}"/>
    <cellStyle name="Normal 3 23" xfId="2231" xr:uid="{56084EE6-5DB0-4B6A-924E-B9216D5ECE2B}"/>
    <cellStyle name="Normal 3 24" xfId="2232" xr:uid="{15FC4A28-7BEF-416D-8EBB-704B58C6F07D}"/>
    <cellStyle name="Normal 3 25" xfId="2233" xr:uid="{76D13EF6-016E-44D7-B44A-9A6CC80325DC}"/>
    <cellStyle name="Normal 3 26" xfId="2234" xr:uid="{A733AD94-025F-4A8F-A4B0-489A63AE5A14}"/>
    <cellStyle name="Normal 3 27" xfId="2235" xr:uid="{5F1BA4EA-65DC-4049-8358-F2D49F5C785C}"/>
    <cellStyle name="Normal 3 28" xfId="2236" xr:uid="{03CF64B6-405E-4B81-87A3-38F34DA5CF84}"/>
    <cellStyle name="Normal 3 29" xfId="2237" xr:uid="{AF6B66DF-142B-418B-AB16-189F56611C44}"/>
    <cellStyle name="Normal 3 29 2" xfId="5160" xr:uid="{3D97360B-9B97-48AB-9E2B-035576CE51AB}"/>
    <cellStyle name="Normal 3 3" xfId="216" xr:uid="{1FC40903-6909-4F09-A21F-00AE53E3E37D}"/>
    <cellStyle name="Normal 3 3 2" xfId="217" xr:uid="{FBD0CDE6-100E-4B46-A80A-9F8BC2D6960A}"/>
    <cellStyle name="Normal 3 3 2 2" xfId="4277" xr:uid="{8DF338E7-340C-4ED9-8B66-8BA780B71DF9}"/>
    <cellStyle name="Normal 3 3 2 3" xfId="22549" xr:uid="{45BE1817-CD7D-40B7-8B28-E9A22EBFE606}"/>
    <cellStyle name="Normal 3 3 2 4" xfId="22523" xr:uid="{C1679EA6-3FD0-4BFE-9C99-74103FB4693C}"/>
    <cellStyle name="Normal 3 3 3" xfId="4278" xr:uid="{D396D594-1856-4515-BBA5-04AB23967979}"/>
    <cellStyle name="Normal 3 3 3 2" xfId="22568" xr:uid="{0FD11F46-5429-472B-86A5-064816D45053}"/>
    <cellStyle name="Normal 3 3 3 3" xfId="22524" xr:uid="{6414AE01-D146-4D60-B53F-71D89B08724E}"/>
    <cellStyle name="Normal 3 3 4" xfId="4279" xr:uid="{A3978ECF-9C29-4F35-A99C-140E8BEE9834}"/>
    <cellStyle name="Normal 3 3 4 2" xfId="22569" xr:uid="{A181EFBA-3EF8-4891-AF4C-7007EA527C48}"/>
    <cellStyle name="Normal 3 3 4 3" xfId="22525" xr:uid="{3B3CFF4A-ED24-4F6A-8AED-E359C8E574BB}"/>
    <cellStyle name="Normal 3 3 5" xfId="4280" xr:uid="{121D9338-514D-4245-BEE0-8EF3806EF714}"/>
    <cellStyle name="Normal 3 3 6" xfId="4281" xr:uid="{1A170A66-2A2F-4910-B2F0-C5FED8B8B923}"/>
    <cellStyle name="Normal 3 3 7" xfId="4282" xr:uid="{EDC47B32-8EC4-4364-AD67-E962F7CAB910}"/>
    <cellStyle name="Normal 3 3 8" xfId="4283" xr:uid="{604AA1CD-82C6-4E1C-8495-F8C744FC3F54}"/>
    <cellStyle name="Normal 3 3 9" xfId="4284" xr:uid="{66424D27-CBCA-4087-B636-0C8968A06E72}"/>
    <cellStyle name="Normal 3 30" xfId="5161" xr:uid="{F5EC650D-E0B0-47A6-A160-D65B89C600B3}"/>
    <cellStyle name="Normal 3 30 2" xfId="5162" xr:uid="{8A6E1DF4-A12C-41D2-A78B-B8623E6B6C9F}"/>
    <cellStyle name="Normal 3 31" xfId="5163" xr:uid="{7356625D-656D-40B3-8B8A-A27D6163CE7A}"/>
    <cellStyle name="Normal 3 31 2" xfId="5164" xr:uid="{C205E56C-0010-4716-978F-BC5690307B8D}"/>
    <cellStyle name="Normal 3 32" xfId="5165" xr:uid="{1FADDED4-581A-4F18-89E5-2930714EEBED}"/>
    <cellStyle name="Normal 3 33" xfId="5166" xr:uid="{A1CAD91B-F33C-495C-8CFD-22F455D31954}"/>
    <cellStyle name="Normal 3 34" xfId="5167" xr:uid="{D758D093-2C9D-43B5-8FE1-C7364E78FD06}"/>
    <cellStyle name="Normal 3 35" xfId="5168" xr:uid="{D12AD3CE-C440-48A5-A6AA-CA925E4DF1D4}"/>
    <cellStyle name="Normal 3 36" xfId="5169" xr:uid="{67039E54-50A4-4A4F-953F-728551937D4B}"/>
    <cellStyle name="Normal 3 37" xfId="66" xr:uid="{2FBAA634-C545-4CBF-BA07-BF7AC509B9A4}"/>
    <cellStyle name="Normal 3 4" xfId="218" xr:uid="{323884C4-FF15-4CEF-84DD-AB3388A9557F}"/>
    <cellStyle name="Normal 3 4 2" xfId="219" xr:uid="{4546E59F-1F23-4598-BB6F-1F8D552C4821}"/>
    <cellStyle name="Normal 3 4 3" xfId="220" xr:uid="{86E9EDF4-7865-4C3F-85A2-C2ABADB6769E}"/>
    <cellStyle name="Normal 3 4 4" xfId="373" xr:uid="{CBCA49E9-973C-4439-8BFA-B0174D52D8D8}"/>
    <cellStyle name="Normal 3 4 4 2" xfId="2238" xr:uid="{3EAC7F9E-7465-424F-B528-A4A4B6A5E293}"/>
    <cellStyle name="Normal 3 4 4 2 2" xfId="5170" xr:uid="{7553B47B-2568-4F57-8A4E-2B5FD13D6507}"/>
    <cellStyle name="Normal 3 4 4 3" xfId="4285" xr:uid="{FE48B011-5CD6-4908-AD95-6A6B037A224C}"/>
    <cellStyle name="Normal 3 4 5" xfId="4286" xr:uid="{CEC037B3-3EF3-4E0B-A097-E3083F977A5D}"/>
    <cellStyle name="Normal 3 4 6" xfId="4287" xr:uid="{D9A9E730-D2CC-4FE9-9E51-10414623238B}"/>
    <cellStyle name="Normal 3 4 7" xfId="4288" xr:uid="{BC358E3C-D488-44C5-8AC7-5D67D73C6025}"/>
    <cellStyle name="Normal 3 4 8" xfId="4289" xr:uid="{973CD4ED-7F54-4DA5-8885-CD71B3B7A4DD}"/>
    <cellStyle name="Normal 3 5" xfId="221" xr:uid="{FCEF0EA7-943E-447E-929E-C635618A1C45}"/>
    <cellStyle name="Normal 3 5 2" xfId="2240" xr:uid="{51CDDF87-12DC-4580-AF49-51590204C529}"/>
    <cellStyle name="Normal 3 5 3" xfId="2241" xr:uid="{F1C33688-3013-4C55-BB74-786AE6608196}"/>
    <cellStyle name="Normal 3 5 3 2" xfId="4290" xr:uid="{3192CFA8-E948-476E-AFB6-BC1BB22923CA}"/>
    <cellStyle name="Normal 3 5 4" xfId="2239" xr:uid="{0811D6F4-7774-416B-857D-4B21AC5A9E0E}"/>
    <cellStyle name="Normal 3 5 4 2" xfId="4291" xr:uid="{8DE9011D-46B7-4E41-929D-BC9F2707E5EB}"/>
    <cellStyle name="Normal 3 5 5" xfId="4292" xr:uid="{46486724-4A90-4451-9005-A491416C68DD}"/>
    <cellStyle name="Normal 3 5 6" xfId="4293" xr:uid="{23ED1D38-1036-46AE-B8D8-1F18BE641822}"/>
    <cellStyle name="Normal 3 5 7" xfId="4294" xr:uid="{43A14F68-8C5C-4E68-9831-5398A1A5CF32}"/>
    <cellStyle name="Normal 3 5 8" xfId="4295" xr:uid="{40E8AD5B-902D-47D1-A2E3-5EEB7360675F}"/>
    <cellStyle name="Normal 3 6" xfId="222" xr:uid="{8F7B1E25-3637-4F1B-99FD-5D47711ECF5E}"/>
    <cellStyle name="Normal 3 6 2" xfId="2243" xr:uid="{B4F31C1E-25EB-4884-8017-F14B33BE89F5}"/>
    <cellStyle name="Normal 3 6 3" xfId="2242" xr:uid="{353E823E-181D-4801-8E92-FC38BED66BD9}"/>
    <cellStyle name="Normal 3 6 4" xfId="22550" xr:uid="{F238E943-3DFD-4AAD-B7A6-7F3E36D463EB}"/>
    <cellStyle name="Normal 3 6 5" xfId="22526" xr:uid="{AE273E7C-790D-4010-B61F-27ACC673534B}"/>
    <cellStyle name="Normal 3 7" xfId="2244" xr:uid="{E9716EF3-8D06-4BAA-8088-FA0AFDF8B28D}"/>
    <cellStyle name="Normal 3 7 2" xfId="2245" xr:uid="{C255C244-D3DC-4EF7-A4C1-7210A7674A38}"/>
    <cellStyle name="Normal 3 7 3" xfId="5172" xr:uid="{FB143684-CF40-487D-9C48-AABA57D6335C}"/>
    <cellStyle name="Normal 3 7 4" xfId="5171" xr:uid="{64F121D4-BA70-415C-AE56-6D83E5688A71}"/>
    <cellStyle name="Normal 3 7 5" xfId="22561" xr:uid="{8A2F4235-E3D2-4647-B918-085453D816EE}"/>
    <cellStyle name="Normal 3 8" xfId="2246" xr:uid="{B7A72271-6C63-4D00-9AC1-400AFE4A9EE0}"/>
    <cellStyle name="Normal 3 9" xfId="2247" xr:uid="{71F6DA3D-AB19-41F8-8BD1-D4DE5098EE72}"/>
    <cellStyle name="Normal 3_PrimaryEnergyPrices_TIMES" xfId="5173" xr:uid="{E5996307-F82C-47F7-A2AE-9C927DC67E6D}"/>
    <cellStyle name="Normal 30" xfId="2248" xr:uid="{836A8E34-918F-4DC8-AF61-4D660BA1669D}"/>
    <cellStyle name="Normal 31" xfId="2249" xr:uid="{936848BF-162E-4876-B4DC-E5972995FB50}"/>
    <cellStyle name="Normal 31 2" xfId="2250" xr:uid="{8365BA21-5854-4729-9200-FF2AC4ED4509}"/>
    <cellStyle name="Normal 31 3" xfId="5175" xr:uid="{E8D5551A-72EB-45EF-A07B-E48484E5090F}"/>
    <cellStyle name="Normal 31 4" xfId="5176" xr:uid="{81FC5D7C-5CFB-4B59-9EFF-6B24336E8A13}"/>
    <cellStyle name="Normal 31 5" xfId="5177" xr:uid="{38C35C8A-9402-415F-90A4-9D5D9346D51F}"/>
    <cellStyle name="Normal 31 6" xfId="5174" xr:uid="{60D8F97D-CD2A-47A9-809D-D9C7FB46B929}"/>
    <cellStyle name="Normal 32" xfId="2251" xr:uid="{823FF469-9324-4A52-B03A-98BA43363552}"/>
    <cellStyle name="Normal 32 2" xfId="2252" xr:uid="{FAB4854B-4BAB-4C54-8322-B674DDB3EC37}"/>
    <cellStyle name="Normal 33" xfId="2253" xr:uid="{8AD97832-7B6D-49BD-9CFC-2A1E21E9F5DF}"/>
    <cellStyle name="Normal 33 10" xfId="2254" xr:uid="{E91BE1E9-D30E-4031-B5E1-AF90ED956979}"/>
    <cellStyle name="Normal 33 11" xfId="2255" xr:uid="{F25F5AC9-3937-4BEB-AB18-A799F4023B69}"/>
    <cellStyle name="Normal 33 12" xfId="2256" xr:uid="{FB20B42A-7E80-4D97-81A9-2FC5FE3E6C54}"/>
    <cellStyle name="Normal 33 13" xfId="2257" xr:uid="{2138AF31-339F-4D19-A129-981F7A6EA6C0}"/>
    <cellStyle name="Normal 33 2" xfId="2258" xr:uid="{6B562F0A-343A-4DE1-A1DC-33453E9BDACD}"/>
    <cellStyle name="Normal 33 3" xfId="2259" xr:uid="{9840029E-8A98-4ED2-B86B-6134BAF12DE1}"/>
    <cellStyle name="Normal 33 4" xfId="2260" xr:uid="{5D69DFF8-C9AC-47C9-95F6-F2153325C3AB}"/>
    <cellStyle name="Normal 33 5" xfId="2261" xr:uid="{2E815D42-7AE7-498E-AE43-656B3D80B67F}"/>
    <cellStyle name="Normal 33 6" xfId="2262" xr:uid="{F5E187C4-5DCC-4777-87AA-FFEBD85DFF44}"/>
    <cellStyle name="Normal 33 7" xfId="2263" xr:uid="{C0006090-C977-4871-98D1-6631486413C3}"/>
    <cellStyle name="Normal 33 8" xfId="2264" xr:uid="{4A992996-8C1F-40F4-B419-28143881F9C4}"/>
    <cellStyle name="Normal 33 9" xfId="2265" xr:uid="{ADB05B2D-9106-4C90-8175-667C0F33BD8C}"/>
    <cellStyle name="Normal 33_Scen_XBase" xfId="2266" xr:uid="{3060F0E9-1471-4173-8FC6-B73F99D09A59}"/>
    <cellStyle name="Normal 34" xfId="2267" xr:uid="{28FD2437-9F03-4E6E-BC94-2C234CB21DFB}"/>
    <cellStyle name="Normal 34 2" xfId="5178" xr:uid="{BD5C87D2-27C6-421B-A0CC-90509568126D}"/>
    <cellStyle name="Normal 35" xfId="5179" xr:uid="{B4D3AB95-2F41-477E-A7B5-DD4B9CA7C465}"/>
    <cellStyle name="Normal 36" xfId="5180" xr:uid="{38DA3C8F-9C90-4AC1-A7DA-F13EC3B435F3}"/>
    <cellStyle name="Normal 37" xfId="5181" xr:uid="{801A3E92-50C9-4627-9D88-BAF33ED8E36A}"/>
    <cellStyle name="Normal 38" xfId="4837" xr:uid="{3117893D-C6F4-4F1B-99B2-88B8C1EEE7CD}"/>
    <cellStyle name="Normal 39" xfId="61" xr:uid="{7F661582-3CCC-434A-B463-E63FDC35A4EB}"/>
    <cellStyle name="Normal 39 2" xfId="22499" xr:uid="{A803410B-5FCA-4A72-A019-99630D915212}"/>
    <cellStyle name="Normal 4" xfId="59" xr:uid="{54EAB425-7FE7-4497-9C41-554AB74022EF}"/>
    <cellStyle name="Normal 4 10" xfId="2269" xr:uid="{14B59AD8-8003-4951-BE38-447C5D3D8621}"/>
    <cellStyle name="Normal 4 10 2" xfId="4296" xr:uid="{BC15A8BE-6221-4B97-8960-6079A523319A}"/>
    <cellStyle name="Normal 4 11" xfId="2268" xr:uid="{6E594969-D206-4E9E-BA8A-556C9790C8F8}"/>
    <cellStyle name="Normal 4 11 2" xfId="4297" xr:uid="{8344FCEA-0182-411B-A235-0E1CDBF00129}"/>
    <cellStyle name="Normal 4 12" xfId="4298" xr:uid="{7705C3D4-E11F-42B7-9959-5A74FE1183D4}"/>
    <cellStyle name="Normal 4 13" xfId="5182" xr:uid="{65AD9A2F-12E9-4C80-8877-F342A1DA6F2F}"/>
    <cellStyle name="Normal 4 13 2" xfId="5183" xr:uid="{D2636AF6-12A5-4BA4-AEBD-05F5314F11DA}"/>
    <cellStyle name="Normal 4 13 2 2" xfId="5184" xr:uid="{25C75268-B67F-45E0-BE32-1D8034F06A9F}"/>
    <cellStyle name="Normal 4 13 2 3" xfId="5185" xr:uid="{6EFC84C9-8914-4D7C-90B1-9C71679FD521}"/>
    <cellStyle name="Normal 4 13 2 3 2" xfId="5186" xr:uid="{BBA14355-DBD3-4100-B8D2-0AB3BD739375}"/>
    <cellStyle name="Normal 4 13 2 3 3" xfId="5187" xr:uid="{E0778347-3F81-482C-840F-D9DCB817E8A8}"/>
    <cellStyle name="Normal 4 13 2 4" xfId="5188" xr:uid="{DE21ACAB-EDCD-4E57-9DA8-9A9ADC8E7C26}"/>
    <cellStyle name="Normal 4 13 2 5" xfId="5189" xr:uid="{E60D3885-2671-471E-941B-82D12C9C2DCF}"/>
    <cellStyle name="Normal 4 14" xfId="223" xr:uid="{386CE8DD-8F0B-423C-9C9F-B7866A3118C3}"/>
    <cellStyle name="Normal 4 2" xfId="224" xr:uid="{9F364CC9-7EBE-4D8C-9CCC-9CA6B0508DF4}"/>
    <cellStyle name="Normal 4 2 10" xfId="4299" xr:uid="{1BED2F8F-A992-48FB-AFDE-4B7E57FE43BB}"/>
    <cellStyle name="Normal 4 2 2" xfId="2271" xr:uid="{1F1323E1-0F5E-4896-A267-EEB867F8DE81}"/>
    <cellStyle name="Normal 4 2 2 10" xfId="4300" xr:uid="{27EC8E0F-CC80-45E7-875D-B1DA23F706A9}"/>
    <cellStyle name="Normal 4 2 2 10 2" xfId="5190" xr:uid="{D27E427F-7B3A-4401-B4C7-B2925FE47A46}"/>
    <cellStyle name="Normal 4 2 2 11" xfId="4301" xr:uid="{68B8185A-B8B8-4A5A-B65D-B3B175A12288}"/>
    <cellStyle name="Normal 4 2 2 11 2" xfId="5191" xr:uid="{1CDF304F-23EF-417E-A0F5-18F3B8FF0EDB}"/>
    <cellStyle name="Normal 4 2 2 12" xfId="4302" xr:uid="{14317080-E50D-461A-828A-64EEB0EDAA22}"/>
    <cellStyle name="Normal 4 2 2 12 2" xfId="5192" xr:uid="{045EADC2-5A96-4D0A-AD61-F68CCCA69B78}"/>
    <cellStyle name="Normal 4 2 2 13" xfId="4303" xr:uid="{4BAADC06-1A97-4D6D-8310-3C181DB58B07}"/>
    <cellStyle name="Normal 4 2 2 13 2" xfId="5193" xr:uid="{D2120FA4-E374-4F19-8706-5BA174D79485}"/>
    <cellStyle name="Normal 4 2 2 14" xfId="22563" xr:uid="{1CE74762-C5E4-4618-9270-11408457A230}"/>
    <cellStyle name="Normal 4 2 2 15" xfId="22527" xr:uid="{4439170A-9277-4B8C-8962-C950C6130035}"/>
    <cellStyle name="Normal 4 2 2 2" xfId="2272" xr:uid="{0A13556C-D043-43D5-BA14-66654E87CE4C}"/>
    <cellStyle name="Normal 4 2 2 2 10" xfId="4305" xr:uid="{4DD8E1D4-B68D-46DA-8C93-51D6815B9C14}"/>
    <cellStyle name="Normal 4 2 2 2 11" xfId="4306" xr:uid="{5A957A28-9E6C-4CB3-8902-79A8E18003DB}"/>
    <cellStyle name="Normal 4 2 2 2 12" xfId="4307" xr:uid="{A5423063-D821-450C-816C-1482C4BE9CFE}"/>
    <cellStyle name="Normal 4 2 2 2 13" xfId="4308" xr:uid="{1CE318A1-30DE-40BA-865E-6FB471818240}"/>
    <cellStyle name="Normal 4 2 2 2 14" xfId="4304" xr:uid="{AB653D01-D4A3-4F68-B4C5-EE563D6A8C51}"/>
    <cellStyle name="Normal 4 2 2 2 15" xfId="5194" xr:uid="{4805611D-7495-4A15-9787-79FA9159D1AC}"/>
    <cellStyle name="Normal 4 2 2 2 2" xfId="4309" xr:uid="{E08ECE38-166B-4B3F-AA0A-8061BEACF968}"/>
    <cellStyle name="Normal 4 2 2 2 3" xfId="4310" xr:uid="{BC7F5EBD-DD8A-4D81-B07A-456B37894306}"/>
    <cellStyle name="Normal 4 2 2 2 4" xfId="4311" xr:uid="{A2403190-D3C8-4F0A-B4C1-C7B079B02A4E}"/>
    <cellStyle name="Normal 4 2 2 2 5" xfId="4312" xr:uid="{3BF6551A-AF5C-440A-B3DE-47423A4DF38C}"/>
    <cellStyle name="Normal 4 2 2 2 6" xfId="4313" xr:uid="{48C03E2F-6202-4CD9-A992-A01DCEE42EDB}"/>
    <cellStyle name="Normal 4 2 2 2 7" xfId="4314" xr:uid="{72EA170B-D026-4735-A6AB-D5F254D62C2B}"/>
    <cellStyle name="Normal 4 2 2 2 8" xfId="4315" xr:uid="{0CE4E60F-F0BC-49AF-AAC7-61CCA63FCBF5}"/>
    <cellStyle name="Normal 4 2 2 2 9" xfId="4316" xr:uid="{583ACD19-2536-40C0-AE40-C81F17B835DE}"/>
    <cellStyle name="Normal 4 2 2 3" xfId="4317" xr:uid="{53B0A4A3-0630-488D-B5F3-D7AE5B2CC56B}"/>
    <cellStyle name="Normal 4 2 2 3 2" xfId="5195" xr:uid="{3C90BFB8-9213-4EBB-AF5A-F0EBA4823FD3}"/>
    <cellStyle name="Normal 4 2 2 4" xfId="4318" xr:uid="{AA166D35-7227-46EC-9387-AB9BDD4C62B6}"/>
    <cellStyle name="Normal 4 2 2 4 2" xfId="5196" xr:uid="{F9EC14B8-E29E-4112-8FBB-36BA740E8F03}"/>
    <cellStyle name="Normal 4 2 2 5" xfId="4319" xr:uid="{BE41776F-3272-47EE-BF2A-F8A77A91C48C}"/>
    <cellStyle name="Normal 4 2 2 5 2" xfId="5197" xr:uid="{3C1F295D-A117-47EE-8E01-EF3659FA3E3D}"/>
    <cellStyle name="Normal 4 2 2 6" xfId="4320" xr:uid="{A6CFED9D-9AA9-4824-B1F6-08818E9A0596}"/>
    <cellStyle name="Normal 4 2 2 6 2" xfId="5198" xr:uid="{70DEF7AD-BC17-47AE-AC0B-2E3129B1C86E}"/>
    <cellStyle name="Normal 4 2 2 7" xfId="4321" xr:uid="{02BBCD65-936C-4EB9-937F-EDA967BB3F01}"/>
    <cellStyle name="Normal 4 2 2 7 2" xfId="5199" xr:uid="{FEBF7FCD-A10F-4C2D-A997-CFE1A2C477D1}"/>
    <cellStyle name="Normal 4 2 2 8" xfId="4322" xr:uid="{8A8525B9-62D1-4A18-9719-D19EE81BAFCE}"/>
    <cellStyle name="Normal 4 2 2 8 2" xfId="5200" xr:uid="{AA66D656-2D3A-463A-9025-CD5A20EE14A7}"/>
    <cellStyle name="Normal 4 2 2 9" xfId="4323" xr:uid="{EB718FE7-A72C-4312-B8A5-C802420F23EA}"/>
    <cellStyle name="Normal 4 2 2 9 2" xfId="5201" xr:uid="{C6DA071E-7E29-48B8-9156-34C6B06A2E9C}"/>
    <cellStyle name="Normal 4 2 3" xfId="2273" xr:uid="{72FABC87-E125-4C0C-A173-25563BA81066}"/>
    <cellStyle name="Normal 4 2 3 2" xfId="2274" xr:uid="{92FDA744-D283-466D-9158-CA089DB19154}"/>
    <cellStyle name="Normal 4 2 3 2 2" xfId="5203" xr:uid="{6982DC6A-5C97-4357-BC1C-85EBDF066709}"/>
    <cellStyle name="Normal 4 2 3 3" xfId="4324" xr:uid="{0CFB1573-BB65-44D6-883F-D62BA321AE79}"/>
    <cellStyle name="Normal 4 2 3 4" xfId="5202" xr:uid="{2E027912-1858-4B4F-A231-DFB135F4D733}"/>
    <cellStyle name="Normal 4 2 3 5" xfId="22564" xr:uid="{E8A262DE-2668-404E-926D-FB28AD826674}"/>
    <cellStyle name="Normal 4 2 4" xfId="2270" xr:uid="{5E86B630-E26A-4288-B994-0505225F468D}"/>
    <cellStyle name="Normal 4 2 4 2" xfId="22562" xr:uid="{ABEA6F8F-BDB2-4DF1-BD49-45CEDF03D468}"/>
    <cellStyle name="Normal 4 2 4 3" xfId="22528" xr:uid="{43E85D83-0331-45AC-B055-D23D358AFE2F}"/>
    <cellStyle name="Normal 4 2 5" xfId="4325" xr:uid="{52BFB7D0-EACA-4981-8274-CEDF584B8B21}"/>
    <cellStyle name="Normal 4 2 6" xfId="4326" xr:uid="{2D227257-F4EB-42A4-BB68-3E08FDBB8FC1}"/>
    <cellStyle name="Normal 4 2 7" xfId="4327" xr:uid="{DCFF2097-4DF2-4CC9-A11E-6D0BC85EB412}"/>
    <cellStyle name="Normal 4 2 8" xfId="4328" xr:uid="{1E733D2B-E54D-4F79-B6E3-A3B94C10BFB6}"/>
    <cellStyle name="Normal 4 2 9" xfId="4329" xr:uid="{251E81C8-5A11-4415-85CF-57B1888F1275}"/>
    <cellStyle name="Normal 4 2_Scen_XBase" xfId="2275" xr:uid="{456DC5DB-6860-44F4-8BD1-0C9B4B38E921}"/>
    <cellStyle name="Normal 4 3" xfId="225" xr:uid="{A7E04AAF-FB83-496B-A018-6626B41E5D99}"/>
    <cellStyle name="Normal 4 3 2" xfId="226" xr:uid="{2D16842B-FC96-4DB0-B5FB-3A6AAB09B080}"/>
    <cellStyle name="Normal 4 3 2 2" xfId="2277" xr:uid="{90E06549-1B47-434D-A329-145C50F9A87E}"/>
    <cellStyle name="Normal 4 3 2 3" xfId="22551" xr:uid="{2EA41D02-C633-402F-AC51-1B1800D00231}"/>
    <cellStyle name="Normal 4 3 3" xfId="376" xr:uid="{8E323B75-1324-4FB5-9B0D-5EC552EFEE86}"/>
    <cellStyle name="Normal 4 3 3 2" xfId="2278" xr:uid="{7F9D69A0-44EC-4FEB-A7CA-0850E6CB908A}"/>
    <cellStyle name="Normal 4 3 3 2 2" xfId="5206" xr:uid="{A055A852-9191-4A15-B4A0-76EBF6AA4FBA}"/>
    <cellStyle name="Normal 4 3 3 3" xfId="4330" xr:uid="{D88006F4-E90A-41B4-982A-02E44178444E}"/>
    <cellStyle name="Normal 4 3 3 4" xfId="5205" xr:uid="{FEC78A8F-A1C0-4E24-9827-744186A6D919}"/>
    <cellStyle name="Normal 4 3 4" xfId="375" xr:uid="{9FD57B6A-F7D2-41E7-BF7F-210A7A31BCC9}"/>
    <cellStyle name="Normal 4 3 4 2" xfId="2279" xr:uid="{27EBFCE8-2D02-4E9C-971F-34E0A5AA6A18}"/>
    <cellStyle name="Normal 4 3 4 2 2" xfId="5207" xr:uid="{2BD16DD3-E22B-4BF1-B98C-7136B03F27B9}"/>
    <cellStyle name="Normal 4 3 4 3" xfId="4331" xr:uid="{E405CD55-9909-4FEE-83C8-3DDDEF55E2E0}"/>
    <cellStyle name="Normal 4 3 5" xfId="2280" xr:uid="{32CAFD8B-4235-4A8B-8E5D-335511933EF7}"/>
    <cellStyle name="Normal 4 3 5 2" xfId="4332" xr:uid="{428BEBC3-3BE2-40CF-AAAA-A89E62398235}"/>
    <cellStyle name="Normal 4 3 6" xfId="2276" xr:uid="{1B86B9BB-BA3A-4C0D-89EB-CFD5F8CB5B1D}"/>
    <cellStyle name="Normal 4 3 7" xfId="4333" xr:uid="{8C766E8D-1816-49F6-8036-D9AB4874DFCC}"/>
    <cellStyle name="Normal 4 3 8" xfId="4334" xr:uid="{7FB93C8E-F96B-40F8-8C45-77B82D052EF0}"/>
    <cellStyle name="Normal 4 3 9" xfId="5204" xr:uid="{29C23400-3CE9-408D-947A-0131623485D7}"/>
    <cellStyle name="Normal 4 3_Scen_XBase" xfId="2281" xr:uid="{1AB07E9F-B5D7-4DB6-B388-42177742C9A9}"/>
    <cellStyle name="Normal 4 4" xfId="227" xr:uid="{BC5E4AE9-FC9F-42CD-BB87-F4FA0A7BB075}"/>
    <cellStyle name="Normal 4 4 2" xfId="2283" xr:uid="{B44284A5-EDB1-4D74-92FE-F41F17B4F510}"/>
    <cellStyle name="Normal 4 4 3" xfId="2284" xr:uid="{89A9BC3F-4544-44E1-B69D-134C8DA33F5D}"/>
    <cellStyle name="Normal 4 4 3 2" xfId="4335" xr:uid="{77290623-EAC5-4812-93C9-424CA40AED11}"/>
    <cellStyle name="Normal 4 4 4" xfId="2282" xr:uid="{DBB62425-D0B7-4AF1-808A-233F0525AAA9}"/>
    <cellStyle name="Normal 4 4 5" xfId="4336" xr:uid="{B034F5AA-3AD6-40D1-A409-180714029341}"/>
    <cellStyle name="Normal 4 4 6" xfId="4337" xr:uid="{B6987DF7-F3FA-4E7A-8D3A-F9B46118F77E}"/>
    <cellStyle name="Normal 4 4 7" xfId="4338" xr:uid="{129E79EC-C9E3-45CF-8588-3E79C6065285}"/>
    <cellStyle name="Normal 4 4 8" xfId="4339" xr:uid="{DB40FA4B-FCF0-4304-9B9A-995A4E31195D}"/>
    <cellStyle name="Normal 4 5" xfId="228" xr:uid="{6AB6C0B7-46D8-4B76-AF5D-9D84873DE829}"/>
    <cellStyle name="Normal 4 5 10" xfId="22552" xr:uid="{014B75F2-2D98-4A29-8E54-EE8CE616415B}"/>
    <cellStyle name="Normal 4 5 2" xfId="377" xr:uid="{BD4D0B7A-5074-4D23-8B73-1A8457FDFA8A}"/>
    <cellStyle name="Normal 4 5 2 2" xfId="2286" xr:uid="{BB337C64-08C5-40B5-B664-EB2539CDFF6A}"/>
    <cellStyle name="Normal 4 5 3" xfId="2285" xr:uid="{184D4BC5-074E-4219-90ED-94D5EB201738}"/>
    <cellStyle name="Normal 4 5 3 2" xfId="4340" xr:uid="{9311485F-D815-4824-94E6-2AA4D44BEF93}"/>
    <cellStyle name="Normal 4 5 4" xfId="4341" xr:uid="{E0701352-0790-4D8A-A861-5DF80E040E89}"/>
    <cellStyle name="Normal 4 5 5" xfId="4342" xr:uid="{4015B35C-1BD8-4CC9-B23E-48C41F2649A3}"/>
    <cellStyle name="Normal 4 5 6" xfId="4343" xr:uid="{655C6FBC-9529-47D8-9788-4299E7EB3C21}"/>
    <cellStyle name="Normal 4 5 7" xfId="4344" xr:uid="{4F4CC2A5-039D-4F34-89A8-3B6B0B9C6687}"/>
    <cellStyle name="Normal 4 5 8" xfId="4345" xr:uid="{3B6FDF67-8E0A-42AD-BAB5-495D09FEB238}"/>
    <cellStyle name="Normal 4 5 9" xfId="5208" xr:uid="{7393C642-6DA6-4C7A-B8F6-ACEE5DD22B07}"/>
    <cellStyle name="Normal 4 6" xfId="229" xr:uid="{3E575241-1513-4B77-B125-4A4CABEBD156}"/>
    <cellStyle name="Normal 4 6 2" xfId="378" xr:uid="{07A05112-EEFD-48E0-B725-261AD6AA70FB}"/>
    <cellStyle name="Normal 4 6 2 2" xfId="2288" xr:uid="{B342A439-CD57-4D68-920C-523A8EFC4B4C}"/>
    <cellStyle name="Normal 4 6 3" xfId="2289" xr:uid="{F8D1C15F-4176-4AB3-96CE-6E28571DA798}"/>
    <cellStyle name="Normal 4 6 4" xfId="2287" xr:uid="{548D3742-ABB5-4163-B545-56A5F60807FE}"/>
    <cellStyle name="Normal 4 6 5" xfId="5209" xr:uid="{B9FE4995-FDF1-4959-A625-CEAC9FC61620}"/>
    <cellStyle name="Normal 4 7" xfId="379" xr:uid="{49417C4F-25B4-41A5-AA24-3272E3BCEC69}"/>
    <cellStyle name="Normal 4 7 2" xfId="2290" xr:uid="{D6E70B4B-318A-4DD2-82F6-A4E054CDFF03}"/>
    <cellStyle name="Normal 4 7 2 2" xfId="5211" xr:uid="{44E8FBDA-E62A-4CF0-9AA0-683F6F37CA11}"/>
    <cellStyle name="Normal 4 7 3" xfId="4346" xr:uid="{327AFCE8-B3EB-4119-8733-5E2600FD4CF3}"/>
    <cellStyle name="Normal 4 7 4" xfId="5210" xr:uid="{D6DE7536-54FB-436B-85D4-46E3BFBF4501}"/>
    <cellStyle name="Normal 4 8" xfId="374" xr:uid="{2F64138A-9316-4CC8-8A13-93070D0CF37E}"/>
    <cellStyle name="Normal 4 8 2" xfId="2291" xr:uid="{1F84CBD7-9BD3-41B0-BEDA-4F781786EC83}"/>
    <cellStyle name="Normal 4 8 2 2" xfId="5213" xr:uid="{52107E8A-17A2-483F-9DB0-CA5DDF9A9578}"/>
    <cellStyle name="Normal 4 8 3" xfId="4347" xr:uid="{F28FA0C5-436F-4B75-B0E9-8EF614FA93EB}"/>
    <cellStyle name="Normal 4 8 4" xfId="5212" xr:uid="{DA56660C-4CF1-4D2E-99E3-1BE84A58E4A5}"/>
    <cellStyle name="Normal 4 9" xfId="2292" xr:uid="{27F8F26C-093E-4B81-BD26-55FC8BA61B12}"/>
    <cellStyle name="Normal 4 9 2" xfId="4348" xr:uid="{C8B7A360-62B6-4CF0-9435-E2379DE2DACB}"/>
    <cellStyle name="Normal 4 9 3" xfId="5214" xr:uid="{952D1772-3069-495B-8C85-0D405E03A900}"/>
    <cellStyle name="Normal 4_ELC" xfId="5215" xr:uid="{A640CC8D-72C0-40BA-959F-61B9B3E0C916}"/>
    <cellStyle name="Normal 40" xfId="2293" xr:uid="{9880516D-8015-482A-81DF-46E3CC9F72C8}"/>
    <cellStyle name="Normal 41" xfId="22501" xr:uid="{5A902D7E-BC2E-43FE-B11D-08CC91906437}"/>
    <cellStyle name="Normal 41 2" xfId="22506" xr:uid="{1E3FFAC3-B432-41EF-92C0-C66C305E0202}"/>
    <cellStyle name="Normal 42" xfId="22502" xr:uid="{F3C4E59B-30E9-48D8-81D6-2D7CA5714170}"/>
    <cellStyle name="Normal 43" xfId="22503" xr:uid="{2353B466-1DB5-44C3-AFC0-DDCEA81C5B3C}"/>
    <cellStyle name="Normal 44" xfId="22505" xr:uid="{167FE66A-E4FC-483E-A965-C01BAC75BEBF}"/>
    <cellStyle name="Normal 5" xfId="230" xr:uid="{3F50F4A3-EDDA-4846-8E8E-9DEA592C699D}"/>
    <cellStyle name="Normal 5 10" xfId="2295" xr:uid="{2F4E7987-EAA8-4A91-A666-48F5315C446A}"/>
    <cellStyle name="Normal 5 10 2" xfId="4349" xr:uid="{F395042E-9EDA-410F-BD29-FB17569E4CD1}"/>
    <cellStyle name="Normal 5 11" xfId="2296" xr:uid="{75A781C0-70D2-47A9-85FE-993E15968653}"/>
    <cellStyle name="Normal 5 11 2" xfId="4350" xr:uid="{ACD45871-3E64-4643-A846-51296884BB25}"/>
    <cellStyle name="Normal 5 12" xfId="2297" xr:uid="{80CCB4AF-151B-474B-82E8-255BA130F571}"/>
    <cellStyle name="Normal 5 12 2" xfId="4351" xr:uid="{B195AB67-7F97-4B39-B08C-A21FDFFB725B}"/>
    <cellStyle name="Normal 5 13" xfId="2294" xr:uid="{B33563B3-955E-4693-B144-276EACE7781E}"/>
    <cellStyle name="Normal 5 13 2" xfId="5216" xr:uid="{91B06091-EC89-4DEB-A064-C61C87FEC3D0}"/>
    <cellStyle name="Normal 5 14" xfId="5217" xr:uid="{029C6EA0-06C1-48FC-946E-F01CDA1B65C3}"/>
    <cellStyle name="Normal 5 2" xfId="231" xr:uid="{ADEE869A-07D2-4991-818D-B55F9D08B42D}"/>
    <cellStyle name="Normal 5 2 10" xfId="5218" xr:uid="{DB71D52B-6FB2-4929-90BC-DF46E4990141}"/>
    <cellStyle name="Normal 5 2 2" xfId="232" xr:uid="{FF075F60-751D-4575-AB1F-4EB7CD77B61B}"/>
    <cellStyle name="Normal 5 2 2 10" xfId="4353" xr:uid="{87AE5624-F917-40BF-A3BD-F8AB3B392767}"/>
    <cellStyle name="Normal 5 2 2 10 2" xfId="5219" xr:uid="{66FA49F4-A9A0-48C4-B866-5F881F36902E}"/>
    <cellStyle name="Normal 5 2 2 11" xfId="4354" xr:uid="{8187F78E-74ED-46CC-8771-9F8BC24EDBB3}"/>
    <cellStyle name="Normal 5 2 2 11 2" xfId="5220" xr:uid="{52406B7A-01FC-4CDC-8EEB-316BE98E8202}"/>
    <cellStyle name="Normal 5 2 2 12" xfId="4355" xr:uid="{67F0EA9E-9B8F-42EA-A8C4-327CEA7520AF}"/>
    <cellStyle name="Normal 5 2 2 12 2" xfId="5221" xr:uid="{C7B187E2-BA21-4E58-9F88-612FA31E46A8}"/>
    <cellStyle name="Normal 5 2 2 13" xfId="4356" xr:uid="{FAC8C16D-5C14-4692-9D23-61EFF76C47C7}"/>
    <cellStyle name="Normal 5 2 2 13 2" xfId="5222" xr:uid="{B16AC665-97A2-4A84-ADE2-A8643323D63F}"/>
    <cellStyle name="Normal 5 2 2 14" xfId="4352" xr:uid="{92CDBF50-DF09-4C7A-BEC3-E6AB505D6292}"/>
    <cellStyle name="Normal 5 2 2 2" xfId="2299" xr:uid="{52535865-2457-4308-B6A4-0999E7A8591B}"/>
    <cellStyle name="Normal 5 2 2 2 10" xfId="4358" xr:uid="{6972C0C3-B1BE-452E-B662-A8C2F5E8BBE1}"/>
    <cellStyle name="Normal 5 2 2 2 11" xfId="4359" xr:uid="{1C0E0DAC-09D8-4E20-A190-8642601DF030}"/>
    <cellStyle name="Normal 5 2 2 2 12" xfId="4360" xr:uid="{15C0E5B3-7A2A-40E4-92A0-FFFE77201F61}"/>
    <cellStyle name="Normal 5 2 2 2 13" xfId="4361" xr:uid="{3E67E756-D7A8-465F-A768-8CBD55F579AF}"/>
    <cellStyle name="Normal 5 2 2 2 14" xfId="4357" xr:uid="{AB66DBEC-3FF8-4A98-A316-DD7111182499}"/>
    <cellStyle name="Normal 5 2 2 2 15" xfId="5223" xr:uid="{C01D8781-B2CA-48FA-A65B-512B78DA7DC0}"/>
    <cellStyle name="Normal 5 2 2 2 2" xfId="4362" xr:uid="{D29C54E7-69CA-4083-B07F-3FCEC9985DAB}"/>
    <cellStyle name="Normal 5 2 2 2 3" xfId="4363" xr:uid="{2366F2B3-307F-4967-815A-017184F8A6BC}"/>
    <cellStyle name="Normal 5 2 2 2 4" xfId="4364" xr:uid="{FE0BEF4A-87B1-4045-A459-CA7FD44FF037}"/>
    <cellStyle name="Normal 5 2 2 2 5" xfId="4365" xr:uid="{1818538B-9A6F-42B6-BBBD-75D55C4B929D}"/>
    <cellStyle name="Normal 5 2 2 2 6" xfId="4366" xr:uid="{66EB657D-CEDD-4ED7-8020-C81640F10AAA}"/>
    <cellStyle name="Normal 5 2 2 2 7" xfId="4367" xr:uid="{4A96E97F-C703-4A71-AC2E-F6C00C8962EB}"/>
    <cellStyle name="Normal 5 2 2 2 8" xfId="4368" xr:uid="{BF7014D3-4986-46F4-91A6-AAD398132CB6}"/>
    <cellStyle name="Normal 5 2 2 2 9" xfId="4369" xr:uid="{D631510B-0BD4-4C26-A0C6-0CA7BC3D82D5}"/>
    <cellStyle name="Normal 5 2 2 3" xfId="2298" xr:uid="{ABE64A11-F161-4929-A95B-9B00DFB53F7B}"/>
    <cellStyle name="Normal 5 2 2 3 2" xfId="4370" xr:uid="{CEB3B9DA-6511-4079-ABEE-C58FBC5D2A36}"/>
    <cellStyle name="Normal 5 2 2 3 3" xfId="5224" xr:uid="{4DF58995-5722-42B8-8BA3-22FEF3DE46C7}"/>
    <cellStyle name="Normal 5 2 2 4" xfId="4371" xr:uid="{5F9076CA-DCA4-4C43-B11A-4088008A3A17}"/>
    <cellStyle name="Normal 5 2 2 4 2" xfId="5225" xr:uid="{0F9B6E80-E8B0-408A-8FFE-4898FB612F72}"/>
    <cellStyle name="Normal 5 2 2 5" xfId="4372" xr:uid="{D991B512-98FB-416F-921F-03466FCB7C40}"/>
    <cellStyle name="Normal 5 2 2 5 2" xfId="5226" xr:uid="{D957D5E4-5FF3-489F-880B-0A6CBA8F3E0B}"/>
    <cellStyle name="Normal 5 2 2 6" xfId="4373" xr:uid="{82FA518D-5041-4E54-AF06-A6E10F602BFC}"/>
    <cellStyle name="Normal 5 2 2 6 2" xfId="5227" xr:uid="{B926BFCA-99C1-4991-B598-08A93A153A7B}"/>
    <cellStyle name="Normal 5 2 2 7" xfId="4374" xr:uid="{5E3F4578-7D58-46A5-8C3D-91AB87AAF25B}"/>
    <cellStyle name="Normal 5 2 2 7 2" xfId="5228" xr:uid="{6B0F7144-FD6F-47CD-BA56-179FFC86B48E}"/>
    <cellStyle name="Normal 5 2 2 8" xfId="4375" xr:uid="{180855AF-B30A-411B-A46A-3C51F52FC484}"/>
    <cellStyle name="Normal 5 2 2 8 2" xfId="5229" xr:uid="{A6823553-FF9E-4D5F-AB37-B69D4F8C1593}"/>
    <cellStyle name="Normal 5 2 2 9" xfId="4376" xr:uid="{EF1D1A42-F275-49F8-8B9E-EE494B2D292D}"/>
    <cellStyle name="Normal 5 2 2 9 2" xfId="5230" xr:uid="{58BA2E1F-59CB-4021-9F73-32384E6588E8}"/>
    <cellStyle name="Normal 5 2 3" xfId="2300" xr:uid="{FDB9FAD3-5B6E-41CA-BD6B-BF487ABC1881}"/>
    <cellStyle name="Normal 5 2 3 2" xfId="4377" xr:uid="{ABA0A6D6-C8F5-4A9B-A4DE-797F00A02DD5}"/>
    <cellStyle name="Normal 5 2 3 3" xfId="5231" xr:uid="{F7CB9A3A-DF88-49E5-9E90-43F2CD3D4C4C}"/>
    <cellStyle name="Normal 5 2 4" xfId="4378" xr:uid="{8D1E8EDB-DA56-485E-BC42-F574ECB72E1D}"/>
    <cellStyle name="Normal 5 2 5" xfId="4379" xr:uid="{72CEAF66-BA7D-4241-B350-467878536145}"/>
    <cellStyle name="Normal 5 2 6" xfId="4380" xr:uid="{AFA5A287-1DEB-4F4B-AD57-80C571C884BC}"/>
    <cellStyle name="Normal 5 2 7" xfId="4381" xr:uid="{1B6B17F8-6D25-4DB0-A9A5-4C602233AEEF}"/>
    <cellStyle name="Normal 5 2 8" xfId="4382" xr:uid="{71B4F58E-4395-4F04-BCAE-B15C74F7B934}"/>
    <cellStyle name="Normal 5 2 9" xfId="5232" xr:uid="{16774F44-7086-4EE7-A2F3-F31CF1EE9672}"/>
    <cellStyle name="Normal 5 3" xfId="233" xr:uid="{1BC7D480-795A-494F-B667-2DAF9D052555}"/>
    <cellStyle name="Normal 5 3 10" xfId="5233" xr:uid="{F55581F3-FDC2-4804-BCB5-63B822AEC1DF}"/>
    <cellStyle name="Normal 5 3 2" xfId="2301" xr:uid="{03391B54-4CCB-48DD-944B-7F15A3493F12}"/>
    <cellStyle name="Normal 5 3 2 2" xfId="4384" xr:uid="{DCA9F728-9276-440E-8D72-CB8C62253B40}"/>
    <cellStyle name="Normal 5 3 3" xfId="2302" xr:uid="{A6C4834B-EAF1-4ECE-81A3-AD10098E020D}"/>
    <cellStyle name="Normal 5 3 3 2" xfId="4385" xr:uid="{0D738D8D-1D01-46D3-997F-17AD4DAAEF2C}"/>
    <cellStyle name="Normal 5 3 3 3" xfId="5234" xr:uid="{0DDF3F15-6CB9-45D0-8779-21694192B563}"/>
    <cellStyle name="Normal 5 3 4" xfId="4386" xr:uid="{BDE2FCB5-26EA-4407-98BA-CE4E08F16C4C}"/>
    <cellStyle name="Normal 5 3 5" xfId="4387" xr:uid="{242818BA-801B-4EF2-8A1A-035593E96BC7}"/>
    <cellStyle name="Normal 5 3 6" xfId="4388" xr:uid="{032D3857-DD14-416E-8A2E-F2FF1818D055}"/>
    <cellStyle name="Normal 5 3 7" xfId="4389" xr:uid="{3AD8C9EF-6565-485E-823B-91383B75103F}"/>
    <cellStyle name="Normal 5 3 8" xfId="4390" xr:uid="{84A805F5-5486-4DE3-90E5-78D4EEB6AA12}"/>
    <cellStyle name="Normal 5 3 9" xfId="4383" xr:uid="{02FC6B1F-5A88-4E68-8D51-B2224D362753}"/>
    <cellStyle name="Normal 5 4" xfId="234" xr:uid="{9C4A9C15-AEE2-489D-965F-AFCE833E30EB}"/>
    <cellStyle name="Normal 5 4 2" xfId="4391" xr:uid="{0DFBA49D-0051-4A3D-8DB6-51C4B80ACC81}"/>
    <cellStyle name="Normal 5 4 3" xfId="4392" xr:uid="{84F1C75E-E6B0-4889-82C1-1FD8D7B73AB6}"/>
    <cellStyle name="Normal 5 4 4" xfId="4393" xr:uid="{C6E33A44-CBD0-4DAE-A156-9901DE060423}"/>
    <cellStyle name="Normal 5 4 5" xfId="4394" xr:uid="{A1404CF4-4C7A-45DC-B9A3-28E18192735E}"/>
    <cellStyle name="Normal 5 4 6" xfId="4395" xr:uid="{6FCC48B9-5CD7-4BCB-BF1B-D7124FB1AEA8}"/>
    <cellStyle name="Normal 5 4 7" xfId="4396" xr:uid="{84124175-59AC-46C6-A4E7-DC9DD6254E98}"/>
    <cellStyle name="Normal 5 4 8" xfId="4397" xr:uid="{0B534EC9-D2B6-47A3-9BF2-C69A329B3D31}"/>
    <cellStyle name="Normal 5 5" xfId="235" xr:uid="{01730AAD-489F-4D7E-9F48-91C3989EC892}"/>
    <cellStyle name="Normal 5 5 2" xfId="381" xr:uid="{A7D88B05-D27E-4E03-A2D4-F607024E8BDF}"/>
    <cellStyle name="Normal 5 5 2 2" xfId="2304" xr:uid="{55B92DD0-FEE0-4BC0-B290-E7F878620C17}"/>
    <cellStyle name="Normal 5 5 2 2 2" xfId="5237" xr:uid="{7B686999-29E9-45F9-9BAA-D8DEC46AB370}"/>
    <cellStyle name="Normal 5 5 2 3" xfId="4398" xr:uid="{2E0B5B5E-0865-49D5-ACB9-B4FE8BDF0EAB}"/>
    <cellStyle name="Normal 5 5 2 4" xfId="5236" xr:uid="{C28DBA39-A433-4402-B662-0E70A6935E49}"/>
    <cellStyle name="Normal 5 5 3" xfId="380" xr:uid="{708E54E2-F0C2-42E7-BE6C-E39D04011273}"/>
    <cellStyle name="Normal 5 5 3 2" xfId="2305" xr:uid="{39DFAA8D-43EA-4FCF-8885-392E028819EB}"/>
    <cellStyle name="Normal 5 5 4" xfId="2303" xr:uid="{F8C74947-5E28-47C8-B69A-6EE7354A867E}"/>
    <cellStyle name="Normal 5 5 4 2" xfId="4399" xr:uid="{937CADAB-2A00-4241-94A3-238435F24DAD}"/>
    <cellStyle name="Normal 5 5 5" xfId="4400" xr:uid="{F1A1A1E1-23B9-4119-9981-D6A0D6D27121}"/>
    <cellStyle name="Normal 5 5 6" xfId="4401" xr:uid="{C8B289BC-A837-4264-9996-D673F26503A9}"/>
    <cellStyle name="Normal 5 5 7" xfId="4402" xr:uid="{30D6BBBE-5409-4835-A8DD-7EEA38E44425}"/>
    <cellStyle name="Normal 5 5 8" xfId="4403" xr:uid="{F5828295-0410-4371-8A32-975A2D7CEC59}"/>
    <cellStyle name="Normal 5 5 9" xfId="5235" xr:uid="{FFF0F2C8-728F-4184-A585-5AA898806882}"/>
    <cellStyle name="Normal 5 6" xfId="236" xr:uid="{BB68F660-9D43-45DA-A165-0A537907400C}"/>
    <cellStyle name="Normal 5 6 2" xfId="2306" xr:uid="{E9D1CD1C-7200-41E8-83ED-6461DFAF5BE3}"/>
    <cellStyle name="Normal 5 6 3" xfId="22553" xr:uid="{1AFC34B2-63DF-4DAB-96DB-508E13457273}"/>
    <cellStyle name="Normal 5 6 4" xfId="22529" xr:uid="{BA1BFA85-A802-409D-85FB-923ABE51F0B2}"/>
    <cellStyle name="Normal 5 7" xfId="237" xr:uid="{B241BEF2-4E6D-4C65-B37C-B27CDD1CC8B3}"/>
    <cellStyle name="Normal 5 8" xfId="2307" xr:uid="{5ED3FE66-0EF2-4973-A44E-261FCCC99977}"/>
    <cellStyle name="Normal 5 9" xfId="2308" xr:uid="{0C947133-AFFC-4A93-922B-28A4C5B2F735}"/>
    <cellStyle name="Normal 5_ELC" xfId="5238" xr:uid="{7132EF7B-D6FE-4D46-B206-5B76E2B68721}"/>
    <cellStyle name="Normal 50" xfId="2309" xr:uid="{575C688E-0F51-4844-915C-2D26A3131049}"/>
    <cellStyle name="Normal 51" xfId="2310" xr:uid="{34C7A70B-0FC2-48C7-849B-3E84E4BBA36E}"/>
    <cellStyle name="Normal 52" xfId="2311" xr:uid="{6540F022-36B3-4CCB-9C53-9A90366ED337}"/>
    <cellStyle name="Normal 53" xfId="2312" xr:uid="{D0EBC5B7-0E23-42CA-A58D-32080D245220}"/>
    <cellStyle name="Normal 54" xfId="2313" xr:uid="{32220756-E096-4856-A758-82977B834BDA}"/>
    <cellStyle name="Normal 55" xfId="2314" xr:uid="{E85E0C40-282C-4527-9089-B229F71E82FB}"/>
    <cellStyle name="Normal 6" xfId="60" xr:uid="{A9E2DCC1-D03F-4F7E-BD26-E0187B87E159}"/>
    <cellStyle name="Normal 6 10" xfId="2315" xr:uid="{1EA2F32F-6C68-4ADE-808E-603DFEF83713}"/>
    <cellStyle name="Normal 6 10 2" xfId="4404" xr:uid="{58077170-9E34-43EC-8431-C364440CB7F3}"/>
    <cellStyle name="Normal 6 11" xfId="2316" xr:uid="{5F851BDF-500B-4116-8883-E6FF7E513B85}"/>
    <cellStyle name="Normal 6 12" xfId="2317" xr:uid="{8EBBA484-6EC9-4C0F-8B30-AA9BBA6D9D8C}"/>
    <cellStyle name="Normal 6 12 2" xfId="4405" xr:uid="{3875E59B-29FE-4883-A629-95918F8C215F}"/>
    <cellStyle name="Normal 6 2" xfId="238" xr:uid="{43539F36-4C09-4E9B-899C-3DD022A89329}"/>
    <cellStyle name="Normal 6 2 10" xfId="2318" xr:uid="{FA848465-866B-4648-8D84-5CF7742BE6B8}"/>
    <cellStyle name="Normal 6 2 11" xfId="2319" xr:uid="{5FB80A7E-F314-49D1-B24A-E6FA2BA74C47}"/>
    <cellStyle name="Normal 6 2 12" xfId="2320" xr:uid="{87593536-0A4F-46ED-9BA5-5B69335DB563}"/>
    <cellStyle name="Normal 6 2 13" xfId="2321" xr:uid="{9AF7066A-206D-40E3-887E-33DB8C42EAE5}"/>
    <cellStyle name="Normal 6 2 14" xfId="2322" xr:uid="{2B2FDC86-AD86-4543-B581-23F74F106451}"/>
    <cellStyle name="Normal 6 2 2" xfId="239" xr:uid="{D87CCBC2-8ECA-463C-A7FD-725AFB5172F0}"/>
    <cellStyle name="Normal 6 2 2 10" xfId="4406" xr:uid="{8C71914D-02B8-45D8-B4FC-5CBF74E89CBE}"/>
    <cellStyle name="Normal 6 2 2 10 2" xfId="5239" xr:uid="{F0A0820D-0082-4B27-AAD6-5E92BC2DEFCB}"/>
    <cellStyle name="Normal 6 2 2 11" xfId="4407" xr:uid="{A65820A3-7106-4E1B-9C4A-1DDEFEB641A7}"/>
    <cellStyle name="Normal 6 2 2 11 2" xfId="5240" xr:uid="{2492F383-9E0A-4437-A031-E75A067F7E8C}"/>
    <cellStyle name="Normal 6 2 2 12" xfId="4408" xr:uid="{1324AE9C-48A9-4029-B6DD-44C821CB2C83}"/>
    <cellStyle name="Normal 6 2 2 12 2" xfId="5241" xr:uid="{6810FF6E-FA93-4D86-AAE0-362E55AF17B5}"/>
    <cellStyle name="Normal 6 2 2 13" xfId="4409" xr:uid="{D311A124-1E1B-443B-A3E1-81A135588830}"/>
    <cellStyle name="Normal 6 2 2 13 2" xfId="5242" xr:uid="{360606D4-A559-47B2-ACAE-877C65999BCA}"/>
    <cellStyle name="Normal 6 2 2 2" xfId="4410" xr:uid="{62625B48-0B25-4680-B2F6-4856F7E8AEFF}"/>
    <cellStyle name="Normal 6 2 2 2 2" xfId="5243" xr:uid="{E30CDB4B-E9BB-4DDF-BC6C-FA2A19F35A57}"/>
    <cellStyle name="Normal 6 2 2 3" xfId="4411" xr:uid="{99108B95-2257-45EC-9E15-32524EA5384C}"/>
    <cellStyle name="Normal 6 2 2 3 2" xfId="5244" xr:uid="{EEB1A08E-C900-4C91-9787-71850E5D9892}"/>
    <cellStyle name="Normal 6 2 2 4" xfId="4412" xr:uid="{B79927FF-22DC-41DE-8FC1-B335CC57BBEA}"/>
    <cellStyle name="Normal 6 2 2 4 2" xfId="5245" xr:uid="{DADB93F6-E782-4A32-AC50-853C647A273E}"/>
    <cellStyle name="Normal 6 2 2 5" xfId="4413" xr:uid="{51C73017-8351-4B8D-81C8-EB70CBF45D2F}"/>
    <cellStyle name="Normal 6 2 2 5 2" xfId="5246" xr:uid="{B03D850F-0E23-4749-85D5-8CBBC54D54FF}"/>
    <cellStyle name="Normal 6 2 2 6" xfId="4414" xr:uid="{18B02D4E-2162-4CA7-B7DC-7E87272DD6D7}"/>
    <cellStyle name="Normal 6 2 2 6 2" xfId="5247" xr:uid="{F6CDD405-E481-40A1-8C1B-45B1FF49BB47}"/>
    <cellStyle name="Normal 6 2 2 7" xfId="4415" xr:uid="{61FAC0BD-F6A8-455E-B525-F35B7DCCC377}"/>
    <cellStyle name="Normal 6 2 2 7 2" xfId="5248" xr:uid="{425C1415-9127-4B1E-B8B7-56DA098CDE06}"/>
    <cellStyle name="Normal 6 2 2 8" xfId="4416" xr:uid="{0DCC42CE-EE4C-4F8A-A347-65E6189F9EBF}"/>
    <cellStyle name="Normal 6 2 2 8 2" xfId="5249" xr:uid="{71BB0578-4CFA-4270-84E2-AE8FDEAC61DC}"/>
    <cellStyle name="Normal 6 2 2 9" xfId="4417" xr:uid="{56602C21-EB22-4C39-B353-B5611C6BF7A4}"/>
    <cellStyle name="Normal 6 2 2 9 2" xfId="5250" xr:uid="{405E282D-C0FB-4865-A6BE-20855C29F38F}"/>
    <cellStyle name="Normal 6 2 3" xfId="240" xr:uid="{6828B478-AA94-4E0C-971B-79A7054E6048}"/>
    <cellStyle name="Normal 6 2 4" xfId="382" xr:uid="{903ABE8E-6212-4577-8FAE-60E7E2C3E1B2}"/>
    <cellStyle name="Normal 6 2 4 2" xfId="2323" xr:uid="{5B65A320-B48B-487A-9ABD-DFCADFE06439}"/>
    <cellStyle name="Normal 6 2 5" xfId="2324" xr:uid="{0989ABCB-DD19-49AF-AF35-1A172D3A3520}"/>
    <cellStyle name="Normal 6 2 6" xfId="2325" xr:uid="{35A6C012-EFB8-47B2-A7D3-5D228DB798A1}"/>
    <cellStyle name="Normal 6 2 7" xfId="2326" xr:uid="{150BB8D5-9C3C-4F8B-881D-C216B3903BC1}"/>
    <cellStyle name="Normal 6 2 8" xfId="2327" xr:uid="{63C0E361-9331-4025-A355-4A7075559FE9}"/>
    <cellStyle name="Normal 6 2 9" xfId="2328" xr:uid="{086F3A20-BD61-42D9-B136-7FE17810E396}"/>
    <cellStyle name="Normal 6 3" xfId="241" xr:uid="{EC666934-8929-49D2-A4D9-D6201A3006B8}"/>
    <cellStyle name="Normal 6 3 10" xfId="2330" xr:uid="{269F2DFC-1E35-48D5-A0FD-69C670E844B5}"/>
    <cellStyle name="Normal 6 3 11" xfId="2331" xr:uid="{7E6E6165-685C-49AA-B98A-85E0EB9EA3CA}"/>
    <cellStyle name="Normal 6 3 12" xfId="2332" xr:uid="{34D6FBEB-1CF7-44FF-BB81-E0D9E866A509}"/>
    <cellStyle name="Normal 6 3 13" xfId="2333" xr:uid="{48E48A5F-D097-4CB2-A0D2-5D3E0D8F4F37}"/>
    <cellStyle name="Normal 6 3 14" xfId="2334" xr:uid="{5126B28F-4226-4310-9863-E6C93BB9938A}"/>
    <cellStyle name="Normal 6 3 15" xfId="2335" xr:uid="{9FC8D8E0-6619-4B24-8398-908A36AA3DFC}"/>
    <cellStyle name="Normal 6 3 16" xfId="2336" xr:uid="{9CBC8C41-48EA-4BCB-98E0-6348FFE4D0B0}"/>
    <cellStyle name="Normal 6 3 17" xfId="2329" xr:uid="{A432DBAF-3F00-4636-80BA-E42BC86B5717}"/>
    <cellStyle name="Normal 6 3 2" xfId="2337" xr:uid="{2FA4C524-746D-445F-8A46-9A7F07CB860D}"/>
    <cellStyle name="Normal 6 3 3" xfId="2338" xr:uid="{192A9694-65D9-4C87-8437-826104DB3C2D}"/>
    <cellStyle name="Normal 6 3 4" xfId="2339" xr:uid="{08464D1C-EA21-4DBF-8CDC-9C3807176078}"/>
    <cellStyle name="Normal 6 3 5" xfId="2340" xr:uid="{E7775AB7-90E5-4C60-A0C2-DB50F990B08D}"/>
    <cellStyle name="Normal 6 3 6" xfId="2341" xr:uid="{64F6B6C5-CEF3-4434-BD08-FC31A2ACC9B0}"/>
    <cellStyle name="Normal 6 3 7" xfId="2342" xr:uid="{C5955876-1141-456C-8A1F-6A741327AD50}"/>
    <cellStyle name="Normal 6 3 8" xfId="2343" xr:uid="{A3D875E3-0F07-4B26-8EB8-069B1A38D5F9}"/>
    <cellStyle name="Normal 6 3 9" xfId="2344" xr:uid="{F12DA730-309D-4206-885A-DCDB66B37457}"/>
    <cellStyle name="Normal 6 4" xfId="242" xr:uid="{4D28344B-C5DB-4622-A6D6-54D823814E95}"/>
    <cellStyle name="Normal 6 4 2" xfId="4418" xr:uid="{F8FB49B0-DCA9-4446-A6C4-5C7890C52271}"/>
    <cellStyle name="Normal 6 4 3" xfId="4419" xr:uid="{3BED1314-4726-45AC-90E8-F53D40FC6F22}"/>
    <cellStyle name="Normal 6 4 4" xfId="4420" xr:uid="{7AEE0E69-1883-4EB0-B184-86559608FABB}"/>
    <cellStyle name="Normal 6 4 5" xfId="4421" xr:uid="{517C8A37-0221-4E79-B283-F5A3B775B212}"/>
    <cellStyle name="Normal 6 4 6" xfId="4422" xr:uid="{BC557CC2-780B-4FB5-BC56-1AF4038D042D}"/>
    <cellStyle name="Normal 6 4 7" xfId="4423" xr:uid="{26912F9D-CA34-4244-9216-0EE0156CB44B}"/>
    <cellStyle name="Normal 6 4 8" xfId="4424" xr:uid="{74E10B57-3BE3-49B5-9942-1B5CC918A669}"/>
    <cellStyle name="Normal 6 5" xfId="243" xr:uid="{6102D228-684A-414A-B4CF-95562ADEB71A}"/>
    <cellStyle name="Normal 6 5 2" xfId="4425" xr:uid="{07DC57C7-4C7C-4FCD-A438-5CF73028EB61}"/>
    <cellStyle name="Normal 6 5 3" xfId="4426" xr:uid="{78AC54D9-ABD4-42D0-AE7F-BBD9C3244245}"/>
    <cellStyle name="Normal 6 5 4" xfId="4427" xr:uid="{3DB80B3E-4CC6-4024-8609-04E617B9D6DB}"/>
    <cellStyle name="Normal 6 5 5" xfId="4428" xr:uid="{C2B20B72-F968-42F9-97AB-E552CD1311A1}"/>
    <cellStyle name="Normal 6 5 6" xfId="4429" xr:uid="{39B9EAD1-4E34-47FE-B195-DD2E6655C512}"/>
    <cellStyle name="Normal 6 5 7" xfId="4430" xr:uid="{967E6D5C-0C36-4AAD-B0BA-ADD0A25029E3}"/>
    <cellStyle name="Normal 6 5 8" xfId="4431" xr:uid="{DA57C443-B9AD-4576-A5E5-54BA08212941}"/>
    <cellStyle name="Normal 6 6" xfId="2345" xr:uid="{4CF3EABB-4479-4091-AD51-2114B7AC5FAC}"/>
    <cellStyle name="Normal 6 7" xfId="2346" xr:uid="{B0F5D7A5-B46F-4E41-B0E8-3B76310B902E}"/>
    <cellStyle name="Normal 6 8" xfId="2347" xr:uid="{B85655B8-E3BA-4A7E-AE5B-1E84E63BC8F6}"/>
    <cellStyle name="Normal 6 9" xfId="2348" xr:uid="{88FCA103-2113-448B-AF52-AA5D8140FA4D}"/>
    <cellStyle name="Normal 6_ELC" xfId="2349" xr:uid="{1A4B8FEB-86F8-4FD3-A673-328F745BE0AF}"/>
    <cellStyle name="Normal 7" xfId="244" xr:uid="{83CFAFEB-6223-471F-88FA-7CB331284851}"/>
    <cellStyle name="Normal 7 10" xfId="4432" xr:uid="{DA309ACF-AF7F-456B-902E-1235D4D805E6}"/>
    <cellStyle name="Normal 7 11" xfId="4433" xr:uid="{9EB80BDD-D67A-40C2-9DCD-FF31C49294E8}"/>
    <cellStyle name="Normal 7 12" xfId="4434" xr:uid="{53696018-DEE3-45BC-8BD2-8A67CF172C00}"/>
    <cellStyle name="Normal 7 13" xfId="4435" xr:uid="{BA89F056-B761-4A03-8213-B82CC1D1ED3F}"/>
    <cellStyle name="Normal 7 2" xfId="245" xr:uid="{16A0F94C-5CD0-4DB0-B71F-4A64C43F273D}"/>
    <cellStyle name="Normal 7 2 2" xfId="2350" xr:uid="{25D5782C-3E87-452C-A4ED-F8F39D01EBD7}"/>
    <cellStyle name="Normal 7 2 3" xfId="2351" xr:uid="{394EF8F8-D1DE-480D-A1C3-08FDC645773D}"/>
    <cellStyle name="Normal 7 2 3 2" xfId="4436" xr:uid="{82F6F256-929E-4B68-A6F2-7AC24BD5CD96}"/>
    <cellStyle name="Normal 7 2 4" xfId="4437" xr:uid="{3B6527A5-2703-4E76-A18E-AF6224BEEE02}"/>
    <cellStyle name="Normal 7 2 5" xfId="4438" xr:uid="{9DBC0B59-C240-4B53-82FA-1CFF30E95F91}"/>
    <cellStyle name="Normal 7 2 6" xfId="4439" xr:uid="{6F64A768-CCB0-47FC-B496-7C2CA4CD62A8}"/>
    <cellStyle name="Normal 7 2 7" xfId="4440" xr:uid="{DD1D5174-AFEC-45BE-B017-29507A728BCA}"/>
    <cellStyle name="Normal 7 2 8" xfId="4441" xr:uid="{68C22AE6-D632-40A4-90DF-FAE487F9CBEC}"/>
    <cellStyle name="Normal 7 2 9" xfId="4442" xr:uid="{926CB8A2-6FAD-40BB-8D46-238B9EBC85CD}"/>
    <cellStyle name="Normal 7 2_Scen_XBase" xfId="2352" xr:uid="{40908D69-B989-4961-8128-6C848B514135}"/>
    <cellStyle name="Normal 7 3" xfId="2353" xr:uid="{174B38C4-54F3-49E3-A335-AB6787D55FF6}"/>
    <cellStyle name="Normal 7 3 10" xfId="5251" xr:uid="{40D94609-29D0-47B2-A5B6-BEC28C8CD587}"/>
    <cellStyle name="Normal 7 3 2" xfId="4444" xr:uid="{0CB9A3B4-B34D-4C19-A38A-DDB692C5A467}"/>
    <cellStyle name="Normal 7 3 3" xfId="4445" xr:uid="{7DD6D36E-F166-40DB-B508-741973F74E8E}"/>
    <cellStyle name="Normal 7 3 4" xfId="4446" xr:uid="{ED2B6047-19B7-48B2-B89B-E5ED27EA1C5A}"/>
    <cellStyle name="Normal 7 3 5" xfId="4447" xr:uid="{59A172B5-5043-45CE-A596-B9C33A87A662}"/>
    <cellStyle name="Normal 7 3 6" xfId="4448" xr:uid="{72C6714A-7BE7-4B4D-9309-819A82CFF8AC}"/>
    <cellStyle name="Normal 7 3 7" xfId="4449" xr:uid="{539225AE-60D1-4D4A-A0A6-16A1AD668D64}"/>
    <cellStyle name="Normal 7 3 8" xfId="4450" xr:uid="{BC3D50DC-BD85-4AE5-AF81-3CAAA095AF60}"/>
    <cellStyle name="Normal 7 3 9" xfId="4443" xr:uid="{FB4EA718-C5A3-4E0A-986D-5A0E104595B4}"/>
    <cellStyle name="Normal 7 4" xfId="2354" xr:uid="{32F3281C-2387-4055-B0AF-36509F3AC29A}"/>
    <cellStyle name="Normal 7 4 10" xfId="5252" xr:uid="{68C8D29E-F1E6-4B1E-AE30-BCBB7CED282D}"/>
    <cellStyle name="Normal 7 4 11" xfId="22565" xr:uid="{35C8F809-2216-4CB3-ACE5-EAC021D1265E}"/>
    <cellStyle name="Normal 7 4 12" xfId="22530" xr:uid="{CBBB8E59-0C7E-4112-8259-F230E14BB439}"/>
    <cellStyle name="Normal 7 4 2" xfId="4451" xr:uid="{8E8C2D52-7F09-477F-9D15-5639EF5AB68D}"/>
    <cellStyle name="Normal 7 4 3" xfId="4452" xr:uid="{C2DA49CA-5FD3-4853-B64E-A9F0450DB453}"/>
    <cellStyle name="Normal 7 4 4" xfId="4453" xr:uid="{D7F0DA8A-B439-4CFF-A536-063E2364AB87}"/>
    <cellStyle name="Normal 7 4 5" xfId="4454" xr:uid="{0C9DA348-D477-4ACC-942E-9728B034DB47}"/>
    <cellStyle name="Normal 7 4 6" xfId="4455" xr:uid="{78AFABDC-3AE6-4386-8900-1BF94B4FF715}"/>
    <cellStyle name="Normal 7 4 7" xfId="4456" xr:uid="{EE5C843C-F76D-4991-8466-77778EFAF9D0}"/>
    <cellStyle name="Normal 7 4 8" xfId="4457" xr:uid="{FD89F634-1DA6-4349-8D1E-05207F2C6717}"/>
    <cellStyle name="Normal 7 4 9" xfId="5253" xr:uid="{707F87AB-E74F-45B9-AFD3-4EB6E8B8A619}"/>
    <cellStyle name="Normal 7 5" xfId="4458" xr:uid="{F7A86B2F-DFB7-43DB-BF01-1DB6F04217CB}"/>
    <cellStyle name="Normal 7 5 10" xfId="5254" xr:uid="{E7B143D2-D42E-475A-A8B4-8F78026D3E3C}"/>
    <cellStyle name="Normal 7 5 2" xfId="4459" xr:uid="{F4308FBF-F999-4BC5-A788-EFD3AE2A07EC}"/>
    <cellStyle name="Normal 7 5 3" xfId="4460" xr:uid="{34D484C7-19FC-460A-B608-636F02BE7D20}"/>
    <cellStyle name="Normal 7 5 4" xfId="4461" xr:uid="{89820B82-3B94-49DC-A7D7-20148E4BDADC}"/>
    <cellStyle name="Normal 7 5 5" xfId="4462" xr:uid="{9A9CFD4F-06F4-4E38-A2EC-3D060091F260}"/>
    <cellStyle name="Normal 7 5 6" xfId="4463" xr:uid="{4BFF535A-8BCB-4688-B5DD-AE3BD692074B}"/>
    <cellStyle name="Normal 7 5 7" xfId="4464" xr:uid="{42C19568-2E49-418A-9162-1CF0B057A0CB}"/>
    <cellStyle name="Normal 7 5 8" xfId="4465" xr:uid="{1579F3AF-310D-432A-90AD-F8E6EE4AB81F}"/>
    <cellStyle name="Normal 7 5 9" xfId="5255" xr:uid="{7B875E85-F16C-4D02-8B9F-C377014CDE3A}"/>
    <cellStyle name="Normal 7 6" xfId="4466" xr:uid="{9950F21A-F904-4E6B-B606-B6EED836E2EA}"/>
    <cellStyle name="Normal 7 7" xfId="4467" xr:uid="{8E2F43A8-F19E-47BF-BAD1-30CE8B769DE3}"/>
    <cellStyle name="Normal 7 8" xfId="4468" xr:uid="{529B1005-0C5D-4DCC-B48B-3710F0148B9F}"/>
    <cellStyle name="Normal 7 9" xfId="4469" xr:uid="{E3AD643D-B77C-4E99-9899-B2079E428C64}"/>
    <cellStyle name="Normal 8" xfId="246" xr:uid="{7978B7A5-CD15-46D6-84D9-D1C66AC41BE9}"/>
    <cellStyle name="Normal 8 10" xfId="2355" xr:uid="{C8F3256A-3A1A-4F74-B5F0-F732039F8D54}"/>
    <cellStyle name="Normal 8 10 2" xfId="4470" xr:uid="{62EBBDCC-878A-4338-A7B4-BB5FC4F6B074}"/>
    <cellStyle name="Normal 8 11" xfId="2356" xr:uid="{3366B977-ADBA-433A-B8FF-927B2D91881E}"/>
    <cellStyle name="Normal 8 11 2" xfId="4471" xr:uid="{DF87C66C-5D2F-4F66-B7FA-FBC5581C3CA0}"/>
    <cellStyle name="Normal 8 11 3" xfId="5256" xr:uid="{89958A49-7771-4B1B-BB25-713FEF0C695F}"/>
    <cellStyle name="Normal 8 12" xfId="4472" xr:uid="{CFDF3F45-E761-42A5-A004-1B6810C21F6B}"/>
    <cellStyle name="Normal 8 13" xfId="4473" xr:uid="{B9A4FC63-0E61-4B2A-8C8B-29B8668DC5B5}"/>
    <cellStyle name="Normal 8 2" xfId="247" xr:uid="{A240CE23-1E34-421B-930B-AF8EE92C7076}"/>
    <cellStyle name="Normal 8 2 2" xfId="4474" xr:uid="{47776802-199A-41B2-B4F1-325610A97490}"/>
    <cellStyle name="Normal 8 2 3" xfId="4475" xr:uid="{6A2FDE62-4E76-4D5C-9B5C-C5EB9E15D682}"/>
    <cellStyle name="Normal 8 2 4" xfId="4476" xr:uid="{CF491508-F0D8-43B0-AB21-B6D714A3DA4C}"/>
    <cellStyle name="Normal 8 2 5" xfId="4477" xr:uid="{0B1C5D71-D5C4-4E79-BEA1-677DBE0E65E3}"/>
    <cellStyle name="Normal 8 2 6" xfId="4478" xr:uid="{F0596055-FF9F-4570-AA45-195769EF1801}"/>
    <cellStyle name="Normal 8 2 7" xfId="4479" xr:uid="{CDBB5EE4-767E-412F-9828-B6901A0A1C7E}"/>
    <cellStyle name="Normal 8 2 8" xfId="4480" xr:uid="{AF429CE2-8B8D-4342-8385-20EC08B7DF72}"/>
    <cellStyle name="Normal 8 2 9" xfId="4481" xr:uid="{536B4ED5-CE28-402E-8B20-802B7522549F}"/>
    <cellStyle name="Normal 8 3" xfId="2357" xr:uid="{5F0E21C4-E616-4A0C-8653-3895C43AA3AB}"/>
    <cellStyle name="Normal 8 3 2" xfId="4482" xr:uid="{906BE74E-1E91-42D5-84AB-503137F50115}"/>
    <cellStyle name="Normal 8 3 3" xfId="4483" xr:uid="{00B4FCA1-23E5-4399-8903-5C1F901AC83A}"/>
    <cellStyle name="Normal 8 3 4" xfId="4484" xr:uid="{CE7E4688-B8D0-44FF-8BE4-28FE137A7DD6}"/>
    <cellStyle name="Normal 8 3 5" xfId="4485" xr:uid="{6906FB0F-121E-46EB-AA31-30661DD8F325}"/>
    <cellStyle name="Normal 8 3 6" xfId="4486" xr:uid="{DB4FD3BC-7E70-472D-87B6-3EE63C1ECB92}"/>
    <cellStyle name="Normal 8 3 7" xfId="4487" xr:uid="{FA0CDE12-A45E-437A-9859-34254CBC634F}"/>
    <cellStyle name="Normal 8 3 8" xfId="4488" xr:uid="{F893973C-7F93-4503-8D31-B43F33E13EE2}"/>
    <cellStyle name="Normal 8 4" xfId="2358" xr:uid="{8108637B-124F-4172-8BE1-3F8624C7A1DD}"/>
    <cellStyle name="Normal 8 4 2" xfId="4489" xr:uid="{7FC502D4-BCD6-4A76-914C-B0B58BAC34A3}"/>
    <cellStyle name="Normal 8 4 3" xfId="4490" xr:uid="{1697DC2F-4252-4F04-B263-AE2DC0490E91}"/>
    <cellStyle name="Normal 8 4 4" xfId="4491" xr:uid="{FC18B0B6-6F3C-4911-92A0-9BDDF5AE765B}"/>
    <cellStyle name="Normal 8 4 5" xfId="4492" xr:uid="{C21EEFCD-02D7-4D20-93A0-E96FC5E4D339}"/>
    <cellStyle name="Normal 8 4 6" xfId="4493" xr:uid="{D60A90C4-6B06-4DF6-BD61-8CF72142C31B}"/>
    <cellStyle name="Normal 8 4 7" xfId="4494" xr:uid="{498C185B-94BC-4E15-9B4A-9486A449C1EA}"/>
    <cellStyle name="Normal 8 4 8" xfId="4495" xr:uid="{EF6A7A64-78C1-4F2D-9755-B4C64FA20037}"/>
    <cellStyle name="Normal 8 5" xfId="2359" xr:uid="{43D4924A-CD07-428A-B7A6-3E25749D54F4}"/>
    <cellStyle name="Normal 8 5 2" xfId="4496" xr:uid="{BBE42F4D-09F9-46E8-9C79-943D8286FE6E}"/>
    <cellStyle name="Normal 8 5 3" xfId="4497" xr:uid="{1D1383AA-F3D4-4435-84A5-8F9DD747045E}"/>
    <cellStyle name="Normal 8 5 4" xfId="4498" xr:uid="{7B50D6F3-8197-4600-9411-973E91896ED9}"/>
    <cellStyle name="Normal 8 5 5" xfId="4499" xr:uid="{1FF5FA6E-2EDB-4FDA-BC54-235009DAF357}"/>
    <cellStyle name="Normal 8 5 6" xfId="4500" xr:uid="{7C14C696-DDC3-469F-8156-D42CD37AF9D5}"/>
    <cellStyle name="Normal 8 5 7" xfId="4501" xr:uid="{E02A7E4E-27B9-4742-AD2D-49E1768F5E5C}"/>
    <cellStyle name="Normal 8 5 8" xfId="4502" xr:uid="{8E0542FF-8C72-428B-A984-402B513E962F}"/>
    <cellStyle name="Normal 8 6" xfId="2360" xr:uid="{3C51AB75-E013-458C-91E3-E587DBE74CB8}"/>
    <cellStyle name="Normal 8 7" xfId="2361" xr:uid="{27B1CE70-8040-4C38-A60C-F5584A0C9D3B}"/>
    <cellStyle name="Normal 8 8" xfId="2362" xr:uid="{09D0AE3D-C92F-49C3-8806-1EFB17F68D0E}"/>
    <cellStyle name="Normal 8 9" xfId="2363" xr:uid="{0058475B-7C43-4685-B247-DE4E953FCADA}"/>
    <cellStyle name="Normal 9" xfId="248" xr:uid="{585302F4-EBD5-4ADD-8DDE-FBF2E15647F9}"/>
    <cellStyle name="Normal 9 10" xfId="2364" xr:uid="{14768530-1A1B-4FEC-8463-3EC2BDD8DC6A}"/>
    <cellStyle name="Normal 9 10 2" xfId="5258" xr:uid="{E804A224-7135-4907-8AC9-4C76ACB0B8C8}"/>
    <cellStyle name="Normal 9 11" xfId="5257" xr:uid="{C58B869D-3920-4ED0-B1AF-15142D188280}"/>
    <cellStyle name="Normal 9 2" xfId="249" xr:uid="{094D20DD-429A-40DC-BF4D-4D39CCDBCA2D}"/>
    <cellStyle name="Normal 9 2 2" xfId="384" xr:uid="{8D4FA8A1-DBDF-4378-B8A0-041D95B21778}"/>
    <cellStyle name="Normal 9 2 2 2" xfId="2366" xr:uid="{D70642EA-AAB0-45B4-B692-C01C4DD02B51}"/>
    <cellStyle name="Normal 9 2 3" xfId="2365" xr:uid="{51E53674-55BF-4CD2-BC5D-8B6A13C2A421}"/>
    <cellStyle name="Normal 9 2 4" xfId="5259" xr:uid="{75A1C8F3-ECF2-42D3-9D77-65B824AC4161}"/>
    <cellStyle name="Normal 9 3" xfId="383" xr:uid="{6682F34E-A82D-425E-9FC9-7E06A0908A36}"/>
    <cellStyle name="Normal 9 3 2" xfId="2367" xr:uid="{F9DEBCA7-B1FD-4223-B0CE-B7446975CE3A}"/>
    <cellStyle name="Normal 9 4" xfId="2368" xr:uid="{BCDFBEF9-BD34-4EC3-9A65-BE273CDFEE2A}"/>
    <cellStyle name="Normal 9 5" xfId="2369" xr:uid="{86D6CCA0-73C7-4829-95F9-DFDAF162B33B}"/>
    <cellStyle name="Normal 9 6" xfId="2370" xr:uid="{ABD7D816-C91F-4E44-A813-D33EE50EA03B}"/>
    <cellStyle name="Normal 9 7" xfId="2371" xr:uid="{72C56148-E18C-44C6-B203-0C9B36878118}"/>
    <cellStyle name="Normal 9 8" xfId="2372" xr:uid="{A2F15027-2E0C-48B7-88CE-BC213563315F}"/>
    <cellStyle name="Normal 9 9" xfId="2373" xr:uid="{1E88EC1B-B3A8-415E-AA80-9C2BD272509F}"/>
    <cellStyle name="Normal GHG Numbers (0.00)" xfId="2374" xr:uid="{32C5CF20-DF00-4913-BA67-65F6E9F26D27}"/>
    <cellStyle name="Normal GHG Textfiels Bold" xfId="2375" xr:uid="{AFA3B647-07E5-4206-8B71-706247144C3D}"/>
    <cellStyle name="Normal GHG whole table" xfId="2376" xr:uid="{F7EA19A0-3879-41DA-9E2C-D845E633D4CA}"/>
    <cellStyle name="Normal GHG-Shade" xfId="2377" xr:uid="{97980DA8-BF28-4380-993D-5AB53F882BA7}"/>
    <cellStyle name="Normal GHG-Shade 2" xfId="22531" xr:uid="{F9E5B3CC-82F2-4AF3-827B-927B9AD61A19}"/>
    <cellStyle name="Normale 2" xfId="58" xr:uid="{A536072C-C78F-4245-B8DA-505609839C7D}"/>
    <cellStyle name="Normale_B2020" xfId="62" xr:uid="{603F7D2B-E179-40C9-943F-EEB78F2E0D2B}"/>
    <cellStyle name="Normale_Scen_UC_IND-StrucConst" xfId="2" xr:uid="{00000000-0005-0000-0000-000002000000}"/>
    <cellStyle name="Nota 2" xfId="22509" xr:uid="{F09B95B9-98ED-4010-BEF0-E34625191E8E}"/>
    <cellStyle name="Note" xfId="17" builtinId="10" customBuiltin="1"/>
    <cellStyle name="Note 10" xfId="2378" xr:uid="{421336DD-1030-4103-8BC8-8CFB45E2BE6B}"/>
    <cellStyle name="Note 10 2" xfId="2379" xr:uid="{C4E192C7-3885-4CFB-BED9-53842FF5DF9D}"/>
    <cellStyle name="Note 10 3" xfId="2380" xr:uid="{8687DBAA-BF19-452C-8FDB-3BD6BEDA01A7}"/>
    <cellStyle name="Note 10 3 2" xfId="2381" xr:uid="{682BF7B3-2BAD-4CC8-A027-724969C14397}"/>
    <cellStyle name="Note 10 3_ELC_final" xfId="2382" xr:uid="{4DE4CC2B-4FCA-43E2-AE37-EC7EE828CCDD}"/>
    <cellStyle name="Note 10_ELC_final" xfId="2383" xr:uid="{98621BC2-C17F-477C-AB15-88D11A5CEB6E}"/>
    <cellStyle name="Note 11" xfId="2384" xr:uid="{6880376D-40DF-4008-AB48-E09CEF112EAF}"/>
    <cellStyle name="Note 11 2" xfId="2385" xr:uid="{0F06016A-FBAD-4ED4-A5E4-A50BBF60F2EB}"/>
    <cellStyle name="Note 11_ELC_final" xfId="2386" xr:uid="{D9A118DF-0591-4F7D-9E2A-44BC73A1A16E}"/>
    <cellStyle name="Note 12" xfId="2387" xr:uid="{484DAA0E-CB76-41F1-967F-261FD65BF84F}"/>
    <cellStyle name="Note 12 2" xfId="2388" xr:uid="{46C39D55-3C94-4A3C-A376-57C72D208140}"/>
    <cellStyle name="Note 12_ELC_final" xfId="2389" xr:uid="{214F0B5A-A9F5-4FFD-8382-8FA1968B2A7B}"/>
    <cellStyle name="Note 13" xfId="2390" xr:uid="{4C043E13-8943-4830-9767-BC2163923D99}"/>
    <cellStyle name="Note 13 2" xfId="2391" xr:uid="{EA7C9213-1251-4CF0-A0EA-A9A05F889C67}"/>
    <cellStyle name="Note 13_ELC_final" xfId="2392" xr:uid="{B426F3AA-85D9-405D-A70C-D9B55796BF25}"/>
    <cellStyle name="Note 14" xfId="2393" xr:uid="{5F904ABC-8F54-4A99-A40E-AD426087B129}"/>
    <cellStyle name="Note 14 2" xfId="2394" xr:uid="{BC18E865-2F6B-479B-B5E7-D8249C7504B1}"/>
    <cellStyle name="Note 14_ELC_final" xfId="2395" xr:uid="{3CF65D2E-33B2-4711-B977-F87374608420}"/>
    <cellStyle name="Note 15" xfId="2396" xr:uid="{8BE53200-0425-4775-9789-C023CC1F0488}"/>
    <cellStyle name="Note 15 2" xfId="2397" xr:uid="{DD83DD5F-8C83-46E9-A6C7-783A506986EA}"/>
    <cellStyle name="Note 15_ELC_final" xfId="2398" xr:uid="{DF878A1A-5B3E-4B0E-A5E0-DFD3DE2017C3}"/>
    <cellStyle name="Note 16" xfId="2399" xr:uid="{4A50D1DE-1960-48F9-8C71-3DF8AA74A1D8}"/>
    <cellStyle name="Note 16 2" xfId="2400" xr:uid="{AE40B47F-1B58-44F7-9EEA-9F259258AB12}"/>
    <cellStyle name="Note 16_ELC_final" xfId="2401" xr:uid="{F64C697A-F8FC-49D1-AC7E-428D4CE34DEA}"/>
    <cellStyle name="Note 17" xfId="2402" xr:uid="{8A34C3D8-75F5-4B1C-A581-79F9A8F01CDD}"/>
    <cellStyle name="Note 17 2" xfId="2403" xr:uid="{46C21017-9654-47FE-A5BE-30932AEC73FA}"/>
    <cellStyle name="Note 17_ELC_final" xfId="2404" xr:uid="{44F1B089-BA85-428C-9166-3CD8440EFB74}"/>
    <cellStyle name="Note 18" xfId="2405" xr:uid="{22ED2DC6-B3F9-4A58-9C65-BBE7EFD7B35E}"/>
    <cellStyle name="Note 18 2" xfId="2406" xr:uid="{081CE2A9-8C09-4974-B0F7-4139846A8A91}"/>
    <cellStyle name="Note 18_ELC_final" xfId="2407" xr:uid="{F3E32A6C-9AAA-491C-9997-D5837862CC46}"/>
    <cellStyle name="Note 19" xfId="2408" xr:uid="{662E90A0-70B2-4744-9590-DDB4C46B683B}"/>
    <cellStyle name="Note 2" xfId="250" xr:uid="{81020507-DBA0-457A-BE3F-1925D04F5B87}"/>
    <cellStyle name="Note 2 10" xfId="4503" xr:uid="{EB50EF45-E8BB-442B-81A3-838C19455FD2}"/>
    <cellStyle name="Note 2 11" xfId="4504" xr:uid="{33DC6CBF-D3C6-47C3-9062-8D9625CC9D9A}"/>
    <cellStyle name="Note 2 12" xfId="4505" xr:uid="{73E28CB6-CD63-4158-B3DA-05AEEFE1D5A7}"/>
    <cellStyle name="Note 2 13" xfId="4506" xr:uid="{C84B024A-CDD9-4A35-8A6F-6DB0090FD6BA}"/>
    <cellStyle name="Note 2 14" xfId="4507" xr:uid="{C2CA74E7-3C21-495B-B6C9-65D7CE3B5DC0}"/>
    <cellStyle name="Note 2 15" xfId="4508" xr:uid="{FFCCA6C7-DF68-49D5-979A-67114E9D8A6F}"/>
    <cellStyle name="Note 2 16" xfId="5260" xr:uid="{03C88681-3BB6-4663-9820-8A6C0096D708}"/>
    <cellStyle name="Note 2 2" xfId="330" xr:uid="{57B80F88-4286-4CA1-A02D-6419CD27A6BA}"/>
    <cellStyle name="Note 2 2 2" xfId="2409" xr:uid="{225B66CC-D8E3-4D6B-A92D-524561F56685}"/>
    <cellStyle name="Note 2 2 2 2" xfId="5261" xr:uid="{1D8439AF-3E42-469B-B0E1-831C18C19553}"/>
    <cellStyle name="Note 2 3" xfId="2410" xr:uid="{5A01B4E4-A24F-49EC-A768-B04B207F73C7}"/>
    <cellStyle name="Note 2 4" xfId="2411" xr:uid="{1528873E-49B4-41AC-B301-697F57B0482B}"/>
    <cellStyle name="Note 2 5" xfId="4509" xr:uid="{AD7AF816-6DBE-43C7-9811-5DEF1127DA08}"/>
    <cellStyle name="Note 2 6" xfId="4510" xr:uid="{191DF965-530D-4A71-83E9-E7239D1C2AED}"/>
    <cellStyle name="Note 2 7" xfId="4511" xr:uid="{97CC7A1C-4C7A-4DAD-8560-4C8EEAAD9D3E}"/>
    <cellStyle name="Note 2 8" xfId="4512" xr:uid="{E9522020-C461-46D1-BC8B-635753604447}"/>
    <cellStyle name="Note 2 9" xfId="4513" xr:uid="{56E014D5-83DF-4866-9E4A-6263599AC7FF}"/>
    <cellStyle name="Note 2_PrimaryEnergyPrices_TIMES" xfId="2412" xr:uid="{40DBB919-A2DB-461D-9CBF-759F52ABB6B6}"/>
    <cellStyle name="Note 20" xfId="2413" xr:uid="{DB0E40B7-B643-469F-8615-D372C844C2C3}"/>
    <cellStyle name="Note 21" xfId="2414" xr:uid="{ABD6C29C-6303-4E2C-8D15-0553E3C1A6EA}"/>
    <cellStyle name="Note 22" xfId="2415" xr:uid="{1744F0E2-ABF0-4D47-9ED2-5267A496DE88}"/>
    <cellStyle name="Note 23" xfId="2416" xr:uid="{BE70D34A-851A-46FC-A57E-2F48398D8173}"/>
    <cellStyle name="Note 24" xfId="2417" xr:uid="{D73FF33B-216B-455B-845C-E612307803AC}"/>
    <cellStyle name="Note 25" xfId="2418" xr:uid="{15EC1578-CF54-429A-9E03-3AE0C2C47618}"/>
    <cellStyle name="Note 26" xfId="2419" xr:uid="{68FE5E7C-3FE4-44CB-A7D9-8A6808A8D5A2}"/>
    <cellStyle name="Note 27" xfId="2420" xr:uid="{4318B010-5589-4C81-9E56-DC593C80A964}"/>
    <cellStyle name="Note 28" xfId="2421" xr:uid="{5EC092C3-3756-49FC-A945-0D947498B207}"/>
    <cellStyle name="Note 29" xfId="2422" xr:uid="{AA08BE93-757E-4187-9DC4-196EA1EB80C1}"/>
    <cellStyle name="Note 3" xfId="251" xr:uid="{AC7B8EC2-9194-423B-91EC-7F632CC99B22}"/>
    <cellStyle name="Note 3 2" xfId="252" xr:uid="{704BCEC3-F41F-4ACA-8458-0BCE634EE5B3}"/>
    <cellStyle name="Note 3 2 2" xfId="2424" xr:uid="{46AE601B-C9B0-49F0-BC39-96E2F6829E03}"/>
    <cellStyle name="Note 3 3" xfId="253" xr:uid="{1217CDEE-B61D-49F9-B350-7C09E55313F9}"/>
    <cellStyle name="Note 3 4" xfId="385" xr:uid="{FD9D8CDC-32D1-4BAB-B01E-4DD9B77EDBF9}"/>
    <cellStyle name="Note 3 4 2" xfId="2425" xr:uid="{2377425E-CE6E-4C33-87FA-8B975C2F6373}"/>
    <cellStyle name="Note 3 5" xfId="2426" xr:uid="{5C01147F-D8C1-49CA-BF1A-87D37946AAD2}"/>
    <cellStyle name="Note 3 6" xfId="2427" xr:uid="{AB5C48ED-7A36-47F0-B3D7-53FA0810D1A2}"/>
    <cellStyle name="Note 3 7" xfId="2423" xr:uid="{60D2803F-A593-490E-8061-6303847BD7EE}"/>
    <cellStyle name="Note 3_PrimaryEnergyPrices_TIMES" xfId="5262" xr:uid="{A058EE57-34B3-4A80-8B62-C91167F28094}"/>
    <cellStyle name="Note 30" xfId="2428" xr:uid="{46363993-CABD-4386-9122-4617211C8CEE}"/>
    <cellStyle name="Note 31" xfId="2429" xr:uid="{BD67D3E0-EB38-4E0A-8EE2-E1AC19C60BF1}"/>
    <cellStyle name="Note 32" xfId="2430" xr:uid="{654A5E08-2BE2-4B8C-8295-A78033AB63B8}"/>
    <cellStyle name="Note 33" xfId="2431" xr:uid="{32E946FC-A69C-4820-861A-AE20B4381347}"/>
    <cellStyle name="Note 34" xfId="2432" xr:uid="{9A9949DB-95B5-4F98-BC35-3BAE6E569188}"/>
    <cellStyle name="Note 35" xfId="2433" xr:uid="{D0143AC3-04F5-4652-ACAE-338448803CD7}"/>
    <cellStyle name="Note 36" xfId="2434" xr:uid="{B85E7ACE-C7DB-42A8-A1A8-172B1B2CD9BC}"/>
    <cellStyle name="Note 37" xfId="2435" xr:uid="{E8AF2672-0567-420C-A2C8-986090E90C92}"/>
    <cellStyle name="Note 38" xfId="2436" xr:uid="{B15A90F2-1AC5-42A7-AE59-1B0F9EC43BCB}"/>
    <cellStyle name="Note 39" xfId="2437" xr:uid="{25435FA0-0F77-4BBA-906D-BB865791090D}"/>
    <cellStyle name="Note 4" xfId="2438" xr:uid="{52AD7B7D-9AA8-4886-AF89-04B1B89C27CD}"/>
    <cellStyle name="Note 4 2" xfId="2439" xr:uid="{AC37F17F-E8A0-4783-990B-78826172BD9B}"/>
    <cellStyle name="Note 4 3" xfId="2440" xr:uid="{46B7814D-B32D-426E-A00C-FFD9B06D9AFD}"/>
    <cellStyle name="Note 4 3 2" xfId="2441" xr:uid="{2ADCE0A7-CF77-4CBC-BD45-B38229DA9E96}"/>
    <cellStyle name="Note 4 3_ELC_final" xfId="2442" xr:uid="{F4DB9C60-0399-4E8E-9541-B3E63736EDA5}"/>
    <cellStyle name="Note 4 4" xfId="2443" xr:uid="{401F9638-1FB6-4323-B3C4-B33160B5691D}"/>
    <cellStyle name="Note 4_ELC_final" xfId="2444" xr:uid="{3FBD4D25-6BCE-4C08-A365-4383A62B5D43}"/>
    <cellStyle name="Note 40" xfId="2445" xr:uid="{4B76A1ED-54F7-456A-A49C-DB3099CE585B}"/>
    <cellStyle name="Note 41" xfId="2446" xr:uid="{EFB494C7-21E2-4633-A4E9-3FED9D085F55}"/>
    <cellStyle name="Note 42" xfId="5263" xr:uid="{439AAF9C-3617-43C2-9E91-C7E9D5EF22A2}"/>
    <cellStyle name="Note 5" xfId="2447" xr:uid="{C5A2B41B-DDE9-4824-931C-FC68B8D28906}"/>
    <cellStyle name="Note 5 2" xfId="2448" xr:uid="{6615FB49-8AFB-45FA-BB09-3B8719C1A3EF}"/>
    <cellStyle name="Note 5 3" xfId="2449" xr:uid="{7CA19A3B-185F-495A-9854-8DBC31B9C838}"/>
    <cellStyle name="Note 5 3 2" xfId="2450" xr:uid="{0731602A-C186-4BDB-8FD7-80F98848938D}"/>
    <cellStyle name="Note 5 3_ELC_final" xfId="2451" xr:uid="{745E917A-1AB5-4434-A9CE-A07BE0877CE9}"/>
    <cellStyle name="Note 5 4" xfId="2452" xr:uid="{E752E1B3-C9AD-4C79-BB8F-1A4735BB85FB}"/>
    <cellStyle name="Note 5_ELC_final" xfId="2453" xr:uid="{4AA68AC9-F00B-4455-89DA-F00A78A030AD}"/>
    <cellStyle name="Note 6" xfId="2454" xr:uid="{4F2FD0D2-3C9F-42A7-9584-A884B68D9C3C}"/>
    <cellStyle name="Note 6 2" xfId="2455" xr:uid="{8118D9AD-7B62-4B3A-834E-49706086CF85}"/>
    <cellStyle name="Note 6 3" xfId="2456" xr:uid="{88AC618F-1288-4C3B-8D24-76D99623BB79}"/>
    <cellStyle name="Note 6 3 2" xfId="2457" xr:uid="{A9143E9B-BF99-49A6-A5FF-589AB9758E1F}"/>
    <cellStyle name="Note 6 3_ELC_final" xfId="2458" xr:uid="{55C1EE1C-9E4D-42F1-9450-D18657EBD654}"/>
    <cellStyle name="Note 6 4" xfId="2459" xr:uid="{18CB8E30-4B7D-4FB1-9D24-B9E9C1249DE5}"/>
    <cellStyle name="Note 6_ELC_final" xfId="2460" xr:uid="{B97AAF43-2581-4A3F-A223-AB9ED6D81264}"/>
    <cellStyle name="Note 7" xfId="2461" xr:uid="{8C182FB1-B7F5-474A-8490-54DF7EC02A44}"/>
    <cellStyle name="Note 7 2" xfId="2462" xr:uid="{00A4E49E-7358-4B2C-8E5A-21648F574DA6}"/>
    <cellStyle name="Note 7 3" xfId="2463" xr:uid="{30BED481-AD49-4119-8881-4B534FACBCB2}"/>
    <cellStyle name="Note 7 3 2" xfId="2464" xr:uid="{D33B639F-88C1-4B25-BE6C-C00E1BE4EA77}"/>
    <cellStyle name="Note 7 3_ELC_final" xfId="2465" xr:uid="{97ABE410-20DA-4619-83AD-E8E1D0EFE0B8}"/>
    <cellStyle name="Note 7 4" xfId="2466" xr:uid="{071FA483-09BE-4BE1-A528-ECF9FF224B39}"/>
    <cellStyle name="Note 7_ELC_final" xfId="2467" xr:uid="{B3863A1A-3BCA-4EA2-AD37-495D05115C7D}"/>
    <cellStyle name="Note 8" xfId="2468" xr:uid="{0DE3B21C-BE72-490C-B60C-3DFA61DDAF1B}"/>
    <cellStyle name="Note 8 2" xfId="2469" xr:uid="{C07922AF-9C48-4450-A839-BA2AB89645C8}"/>
    <cellStyle name="Note 8 3" xfId="2470" xr:uid="{D6F2CDD3-9A3B-4FC0-9B43-A3385C217855}"/>
    <cellStyle name="Note 8 3 2" xfId="2471" xr:uid="{AF65626A-9623-4BED-A7B7-EEE820D48C84}"/>
    <cellStyle name="Note 8 3_ELC_final" xfId="2472" xr:uid="{1935A387-9387-4E0C-84EC-CD03D1E5C380}"/>
    <cellStyle name="Note 8 4" xfId="2473" xr:uid="{C0D23038-900A-4FBD-91C9-A127F9201A4F}"/>
    <cellStyle name="Note 8_ELC_final" xfId="2474" xr:uid="{D89E0709-355D-449B-A2C4-F0DEB842239F}"/>
    <cellStyle name="Note 9" xfId="2475" xr:uid="{5376F23B-C2BC-4F65-89DE-2BBE210F5F53}"/>
    <cellStyle name="Note 9 2" xfId="2476" xr:uid="{F8133843-3C2B-41BC-847E-AD0F23B5CA00}"/>
    <cellStyle name="Note 9 3" xfId="2477" xr:uid="{E62E65EB-A6FC-4677-AD0A-037CB5D790D2}"/>
    <cellStyle name="Note 9 3 2" xfId="2478" xr:uid="{0F416B50-9E32-45AE-AD41-598B6ADD7E03}"/>
    <cellStyle name="Note 9 3_ELC_final" xfId="2479" xr:uid="{D16D5573-95A5-483F-AEFC-912AD3601FC3}"/>
    <cellStyle name="Note 9 4" xfId="2480" xr:uid="{3DA9507E-2493-49E6-9D31-FED4FDB3A1E3}"/>
    <cellStyle name="Note 9_ELC_final" xfId="2481" xr:uid="{46D0BB7E-0FB4-4ED1-92D0-5C5A43678535}"/>
    <cellStyle name="Notiz" xfId="2482" xr:uid="{CAE80A85-0FC3-447D-B10E-3F126804DCA0}"/>
    <cellStyle name="Notiz 2" xfId="2483" xr:uid="{A22AA9A7-1084-4804-A1C4-4904097E4213}"/>
    <cellStyle name="Notiz 3" xfId="2484" xr:uid="{70EA0B62-90F3-4AAA-8FBE-9355A90D3730}"/>
    <cellStyle name="num_note" xfId="331" xr:uid="{AE40FA50-3C6D-4707-9877-541FF84CDA19}"/>
    <cellStyle name="NumberCellStyle" xfId="56" xr:uid="{F2645BCE-0E69-4DAF-BAC9-7888C2181AAC}"/>
    <cellStyle name="Nuovo" xfId="254" xr:uid="{E2E105F4-7C68-4823-831D-208C1E121BDD}"/>
    <cellStyle name="Nuovo 10" xfId="2485" xr:uid="{556E3287-D136-4A11-85F3-327EADD98ABE}"/>
    <cellStyle name="Nuovo 11" xfId="2486" xr:uid="{725BCC4B-64E7-4CBF-BE9A-55FA2200AC3E}"/>
    <cellStyle name="Nuovo 12" xfId="2487" xr:uid="{BFAFB70C-9F58-4AA2-B389-94CDD7B28DDE}"/>
    <cellStyle name="Nuovo 13" xfId="2488" xr:uid="{C7F7549E-B703-4E28-9E6E-514B26C351A8}"/>
    <cellStyle name="Nuovo 14" xfId="2489" xr:uid="{DAC2D3AC-E0D0-4CDE-B795-A8F2EC28668B}"/>
    <cellStyle name="Nuovo 15" xfId="2490" xr:uid="{9A74944E-64D2-4A64-BD18-2E4CF8D63889}"/>
    <cellStyle name="Nuovo 16" xfId="2491" xr:uid="{6A2AB140-85BB-4E0B-9C26-AC03B59310D7}"/>
    <cellStyle name="Nuovo 17" xfId="2492" xr:uid="{CE239AF1-F822-417A-8C05-67B2954CB0B6}"/>
    <cellStyle name="Nuovo 18" xfId="2493" xr:uid="{F8F67D19-0CF8-461A-8ED6-C6ED16BF11A0}"/>
    <cellStyle name="Nuovo 19" xfId="2494" xr:uid="{BDB17FAC-1D5F-4EDA-93B8-2A1C6D1EA572}"/>
    <cellStyle name="Nuovo 2" xfId="255" xr:uid="{B5666B92-D68A-44AC-A36C-5E5F34F8E83F}"/>
    <cellStyle name="Nuovo 2 2" xfId="22532" xr:uid="{09CE6117-2157-498C-ABF3-C9A3C676F361}"/>
    <cellStyle name="Nuovo 2 3" xfId="22533" xr:uid="{0C834CB4-D731-49BA-A76F-4008A5367FA9}"/>
    <cellStyle name="Nuovo 20" xfId="2495" xr:uid="{E30ABCDB-6F09-4401-B225-8032CFB28F57}"/>
    <cellStyle name="Nuovo 21" xfId="2496" xr:uid="{182BBDA5-BD30-4ED7-9EF1-980D139F845F}"/>
    <cellStyle name="Nuovo 22" xfId="2497" xr:uid="{5FD16D93-CB9E-4A06-B906-7F29CA03C1BD}"/>
    <cellStyle name="Nuovo 23" xfId="2498" xr:uid="{3449579B-6A45-433B-8368-9E08D57C09C4}"/>
    <cellStyle name="Nuovo 24" xfId="2499" xr:uid="{A292EDC6-978D-44B7-BEA0-B4F002F765B6}"/>
    <cellStyle name="Nuovo 25" xfId="2500" xr:uid="{7C2BABF2-3A6F-4403-8115-841BA5E74F5F}"/>
    <cellStyle name="Nuovo 26" xfId="2501" xr:uid="{25FD8F3C-9632-4E95-97B0-A1F2D828477A}"/>
    <cellStyle name="Nuovo 27" xfId="2502" xr:uid="{FA8C5002-38FC-4DB1-B770-20D6661F1CA7}"/>
    <cellStyle name="Nuovo 28" xfId="2503" xr:uid="{87BAFB1B-191E-4022-9DBA-CA9DD7C711F6}"/>
    <cellStyle name="Nuovo 29" xfId="2504" xr:uid="{875F8E62-B441-4C45-B386-9B7C373CB0F5}"/>
    <cellStyle name="Nuovo 3" xfId="256" xr:uid="{2E9A75E2-3E93-4228-95DA-35E96F6D2528}"/>
    <cellStyle name="Nuovo 30" xfId="2505" xr:uid="{BC2D8066-817E-40D0-ADF4-318D7885294C}"/>
    <cellStyle name="Nuovo 31" xfId="2506" xr:uid="{720E97B2-A06D-4313-9726-940798E96313}"/>
    <cellStyle name="Nuovo 32" xfId="2507" xr:uid="{7CC126D6-24A8-4A0F-9A32-4399A5819DF3}"/>
    <cellStyle name="Nuovo 33" xfId="2508" xr:uid="{BB304627-C394-48BC-ADA1-4C890876A994}"/>
    <cellStyle name="Nuovo 34" xfId="2509" xr:uid="{B62829B9-C705-414F-AB61-1BEE64ACAEFB}"/>
    <cellStyle name="Nuovo 35" xfId="2510" xr:uid="{015B8109-1045-46E0-8DB8-5BBA4C0E39A8}"/>
    <cellStyle name="Nuovo 36" xfId="2511" xr:uid="{9333815F-34A4-4B3A-8E66-71CDE92662EB}"/>
    <cellStyle name="Nuovo 37" xfId="2512" xr:uid="{FA62CBD2-27A3-4819-9043-A43E9901C20A}"/>
    <cellStyle name="Nuovo 38" xfId="2513" xr:uid="{1BCB6635-E3DB-407E-B415-EED389326784}"/>
    <cellStyle name="Nuovo 38 2" xfId="5264" xr:uid="{85EF43E2-5AE6-4F22-AB40-4A3572D5E2BF}"/>
    <cellStyle name="Nuovo 38 2 2" xfId="5265" xr:uid="{7706C5AD-B255-4200-9DB6-DD9B32CB3A5A}"/>
    <cellStyle name="Nuovo 38 3" xfId="5266" xr:uid="{8A57B0DC-4B89-4777-818B-7C9B771507E1}"/>
    <cellStyle name="Nuovo 38 3 2" xfId="5267" xr:uid="{E3CF309D-81DF-4D52-A757-E8244C2C2055}"/>
    <cellStyle name="Nuovo 38 3 3" xfId="5268" xr:uid="{468037D6-44E4-4AB4-889D-D71C2B558FC3}"/>
    <cellStyle name="Nuovo 38 4" xfId="5269" xr:uid="{A8E4A7F0-2A8B-439E-8F07-327FEBAC27A0}"/>
    <cellStyle name="Nuovo 4" xfId="386" xr:uid="{84BD2045-E810-4618-BA28-23C8D84B46BA}"/>
    <cellStyle name="Nuovo 4 2" xfId="2514" xr:uid="{3D944902-E43A-4EAB-A0E6-6D86A930B92F}"/>
    <cellStyle name="Nuovo 5" xfId="2515" xr:uid="{B3BD3F6C-9969-4BC4-A0E6-EA7F011C98B0}"/>
    <cellStyle name="Nuovo 6" xfId="2516" xr:uid="{61780CC8-9C73-494E-AFB1-373D8D43D7B9}"/>
    <cellStyle name="Nuovo 7" xfId="2517" xr:uid="{6BFDC7F1-9AE7-43ED-9FDD-EDD18EEBDE72}"/>
    <cellStyle name="Nuovo 8" xfId="2518" xr:uid="{E5F5D951-EF1F-4AE0-B845-40B9E47A9CCD}"/>
    <cellStyle name="Nuovo 9" xfId="2519" xr:uid="{F8F01E78-8227-456F-B4D2-A124F38C73EB}"/>
    <cellStyle name="Output" xfId="12" builtinId="21" customBuiltin="1"/>
    <cellStyle name="Output 10" xfId="2520" xr:uid="{9D4D9B9C-934A-4739-9D65-4DDA88835EFB}"/>
    <cellStyle name="Output 11" xfId="2521" xr:uid="{207BF968-7AEF-4095-A9EF-29D8F33E7389}"/>
    <cellStyle name="Output 12" xfId="2522" xr:uid="{B42273B5-55A5-4C8F-B37B-F9ED276659FA}"/>
    <cellStyle name="Output 13" xfId="2523" xr:uid="{D5DCDC24-E4C0-4766-874E-7CFA42E83E9C}"/>
    <cellStyle name="Output 14" xfId="2524" xr:uid="{04290118-35A8-4942-9B50-5409B10634D8}"/>
    <cellStyle name="Output 15" xfId="2525" xr:uid="{B5FD3D2C-F1C8-4B85-B8F0-145A19FF5DD3}"/>
    <cellStyle name="Output 16" xfId="2526" xr:uid="{0CF3368C-8752-4DE8-9F09-3AE67805C179}"/>
    <cellStyle name="Output 17" xfId="2527" xr:uid="{D65582BC-7A81-46A8-99AC-0913B25B597A}"/>
    <cellStyle name="Output 18" xfId="2528" xr:uid="{7660E3B1-FC01-48B5-BDAE-A532306C358B}"/>
    <cellStyle name="Output 19" xfId="2529" xr:uid="{8980E5C7-06DA-4D69-A0FF-3A4FE76DED85}"/>
    <cellStyle name="Output 2" xfId="257" xr:uid="{6F3FEF77-50C0-47E0-9636-1533B9400139}"/>
    <cellStyle name="Output 2 10" xfId="4514" xr:uid="{03E0BCF7-06FF-42BC-A57C-77C77AE142EA}"/>
    <cellStyle name="Output 2 11" xfId="5270" xr:uid="{ABA4E52B-2686-44A8-A542-E01C19500934}"/>
    <cellStyle name="Output 2 2" xfId="4515" xr:uid="{39642510-AF0E-464E-B6D7-F6BA4EC448D7}"/>
    <cellStyle name="Output 2 3" xfId="4516" xr:uid="{DB5AE450-5BD0-4281-B8A1-0A605421CAF6}"/>
    <cellStyle name="Output 2 4" xfId="4517" xr:uid="{A81A088B-2F21-4E2D-B9D7-735A47F7A01B}"/>
    <cellStyle name="Output 2 5" xfId="4518" xr:uid="{7F0D43EA-9AB4-4CDA-831E-C8AB976D0645}"/>
    <cellStyle name="Output 2 6" xfId="4519" xr:uid="{3E2D66D0-14DF-41C9-8541-C1AC2B9D757A}"/>
    <cellStyle name="Output 2 7" xfId="4520" xr:uid="{80D84B28-8E6C-40B1-A7D2-EE63D05D779C}"/>
    <cellStyle name="Output 2 8" xfId="4521" xr:uid="{3BAF1109-F8B1-4B0E-B03C-2E922A6A33C3}"/>
    <cellStyle name="Output 2 9" xfId="4522" xr:uid="{BDBA6AFE-1064-4EA6-A225-0C31BC076AC8}"/>
    <cellStyle name="Output 20" xfId="2530" xr:uid="{F487AD44-2CC0-4CAE-8868-1F45B46DEA60}"/>
    <cellStyle name="Output 21" xfId="2531" xr:uid="{97A37E18-54A7-4B08-82F6-967C62D04858}"/>
    <cellStyle name="Output 22" xfId="2532" xr:uid="{762DCA6D-68A1-4372-87C9-4E35912F7C0F}"/>
    <cellStyle name="Output 23" xfId="2533" xr:uid="{2D0126AF-8E0E-4017-B247-117F6B2D97F8}"/>
    <cellStyle name="Output 24" xfId="2534" xr:uid="{6360C282-72C7-4613-B92D-2DD6C04ABDEE}"/>
    <cellStyle name="Output 25" xfId="2535" xr:uid="{877EBFF9-0619-4AB8-9648-1381B77B8920}"/>
    <cellStyle name="Output 26" xfId="2536" xr:uid="{DD5576A7-DB49-4CF2-954D-15902F73EE75}"/>
    <cellStyle name="Output 27" xfId="2537" xr:uid="{149CF4BC-EDFE-4323-AA3B-569654CDBB81}"/>
    <cellStyle name="Output 28" xfId="2538" xr:uid="{4A1DE9A6-8265-4E81-B477-22F4E775428C}"/>
    <cellStyle name="Output 29" xfId="2539" xr:uid="{549BDB62-7EDC-45CC-B1D5-3FE700440B90}"/>
    <cellStyle name="Output 3" xfId="258" xr:uid="{0EB04CC9-6CF4-4447-B39C-3597F5D12CE6}"/>
    <cellStyle name="Output 3 2" xfId="2540" xr:uid="{9C43E51B-1FAC-4E43-B41F-50155FC5CAAC}"/>
    <cellStyle name="Output 3 2 2" xfId="5271" xr:uid="{6C7E7042-6AC7-41BE-9F2C-7A06315D9583}"/>
    <cellStyle name="Output 3 3" xfId="4523" xr:uid="{3CC742E5-F0EB-49D6-9711-DE56E3AEDE5F}"/>
    <cellStyle name="Output 30" xfId="2541" xr:uid="{32DA03EF-E57C-4524-806C-1B4246F8A343}"/>
    <cellStyle name="Output 31" xfId="2542" xr:uid="{1D0863D7-038C-4784-9285-5D65E88BB412}"/>
    <cellStyle name="Output 32" xfId="2543" xr:uid="{A1B69CF2-110D-4296-BE1E-5C225293C378}"/>
    <cellStyle name="Output 33" xfId="2544" xr:uid="{26D77CCC-117A-481B-B200-BCF492CC15F8}"/>
    <cellStyle name="Output 34" xfId="2545" xr:uid="{8BB83CE7-AF6C-4912-8318-4C2CE5575250}"/>
    <cellStyle name="Output 35" xfId="2546" xr:uid="{94E66FAA-D825-48F0-B89A-D9E8023A680D}"/>
    <cellStyle name="Output 36" xfId="2547" xr:uid="{A3EB4A8C-AB4B-464B-A0FE-29F243913212}"/>
    <cellStyle name="Output 37" xfId="2548" xr:uid="{C7DCEA35-D0DA-468D-A43D-74C19942FEFE}"/>
    <cellStyle name="Output 38" xfId="2549" xr:uid="{13EC7F2B-C188-4541-BCB1-853227251EAA}"/>
    <cellStyle name="Output 39" xfId="2550" xr:uid="{A88844BD-D8FA-4BEF-BDB3-59D70BD95418}"/>
    <cellStyle name="Output 4" xfId="2551" xr:uid="{6F3E3543-E11C-4BE7-8DB6-9F170094F56C}"/>
    <cellStyle name="Output 4 2" xfId="5272" xr:uid="{31CBA5B4-BB82-450A-B0B6-AC13136A0BA8}"/>
    <cellStyle name="Output 40" xfId="2552" xr:uid="{5C6BAEC6-312A-48CA-BA6B-691756B643AB}"/>
    <cellStyle name="Output 41" xfId="2553" xr:uid="{59444628-E9F6-4A4C-9D11-AB6FAD93ADE6}"/>
    <cellStyle name="Output 42" xfId="2554" xr:uid="{70AEC6B8-EBCE-4C02-93AB-CDB2D2BE237F}"/>
    <cellStyle name="Output 43" xfId="2555" xr:uid="{BB69C0D2-B8AD-4219-8632-ED9E32B844FA}"/>
    <cellStyle name="Output 5" xfId="2556" xr:uid="{E1543277-E8D8-407D-8B7B-D214662A7B2E}"/>
    <cellStyle name="Output 5 2" xfId="5273" xr:uid="{2F187F2E-A2CA-4EF2-A554-AE5BBD5A8AAF}"/>
    <cellStyle name="Output 6" xfId="2557" xr:uid="{B1326C6F-88A6-45B6-BB6E-5D5AE7887D3D}"/>
    <cellStyle name="Output 6 2" xfId="5274" xr:uid="{816F7F48-A726-455B-8C6D-C6C6B2E30DEF}"/>
    <cellStyle name="Output 7" xfId="2558" xr:uid="{3EC2273D-4FF5-45E5-8598-7E5BC12AAF2A}"/>
    <cellStyle name="Output 8" xfId="2559" xr:uid="{33C1C8A6-303E-4D6F-9689-D6DE24646D74}"/>
    <cellStyle name="Output 9" xfId="2560" xr:uid="{69042CCC-014F-4A9B-8C4A-44845ED638A2}"/>
    <cellStyle name="Pattern" xfId="2561" xr:uid="{3E9A1763-C97F-42E9-BC26-978183B0B686}"/>
    <cellStyle name="Percent" xfId="22572" builtinId="5"/>
    <cellStyle name="Percent 10" xfId="4525" xr:uid="{DDF6AE83-143C-4739-A9DC-E888642B9151}"/>
    <cellStyle name="Percent 10 10" xfId="2563" xr:uid="{56C9DFF8-1901-4190-BE2B-BEF47DA0532B}"/>
    <cellStyle name="Percent 10 11" xfId="2564" xr:uid="{0F042CB2-C895-40C1-93DC-9FC355021DDE}"/>
    <cellStyle name="Percent 10 12" xfId="2565" xr:uid="{EBFFCBA9-CC68-4B05-B36E-9FBBD9C1558E}"/>
    <cellStyle name="Percent 10 13" xfId="2566" xr:uid="{D2C1591C-0AFA-473E-87CF-427FAEA08723}"/>
    <cellStyle name="Percent 10 14" xfId="2567" xr:uid="{67C6C0EA-3000-411D-A08C-9692544BD7A6}"/>
    <cellStyle name="Percent 10 15" xfId="2568" xr:uid="{DF339BE4-FD6C-4B25-A9B4-84BA504DFA99}"/>
    <cellStyle name="Percent 10 16" xfId="2569" xr:uid="{8E6CE475-1EF9-488C-A65F-8744655BD9D0}"/>
    <cellStyle name="Percent 10 17" xfId="2570" xr:uid="{D6FE6078-2D2F-4B57-A49E-84C13E6DB7D2}"/>
    <cellStyle name="Percent 10 18" xfId="2571" xr:uid="{0E06D713-F95F-4BB5-88A9-DE14B952CBAE}"/>
    <cellStyle name="Percent 10 19" xfId="2572" xr:uid="{4E6BB4F3-50BB-4711-A10F-085D3E67E873}"/>
    <cellStyle name="Percent 10 2" xfId="2573" xr:uid="{0E7FA15D-DC69-488A-89A5-70FCD69A603F}"/>
    <cellStyle name="Percent 10 2 2" xfId="4526" xr:uid="{88DC8655-5D9A-44FC-B38C-35BD745BB082}"/>
    <cellStyle name="Percent 10 20" xfId="2574" xr:uid="{0690059B-10F9-4D71-89A5-7052056CD2B3}"/>
    <cellStyle name="Percent 10 3" xfId="2575" xr:uid="{3B29756C-DD3E-4D63-A6F3-7C316C1928C3}"/>
    <cellStyle name="Percent 10 3 2" xfId="4527" xr:uid="{BE7487E1-4568-4E0A-8795-497CED5113BB}"/>
    <cellStyle name="Percent 10 4" xfId="2576" xr:uid="{1FC0BE06-61C1-4A0C-99A2-2C074C99E7DD}"/>
    <cellStyle name="Percent 10 4 2" xfId="4528" xr:uid="{B67EB687-9678-4257-9FAC-183314131C22}"/>
    <cellStyle name="Percent 10 5" xfId="2577" xr:uid="{D0FF0B3A-7B7C-4711-B88B-64130EF9C6AA}"/>
    <cellStyle name="Percent 10 5 2" xfId="4529" xr:uid="{E971B4ED-D29D-4A36-9007-790C34F94D23}"/>
    <cellStyle name="Percent 10 6" xfId="2578" xr:uid="{AA17565C-55EF-4DAF-A166-53CE0FCBE0B6}"/>
    <cellStyle name="Percent 10 6 2" xfId="4530" xr:uid="{CBAFEE81-5359-422D-B34A-D8A74BBE256A}"/>
    <cellStyle name="Percent 10 7" xfId="2579" xr:uid="{30E7CF61-5082-4763-930C-24AC0FA05D5A}"/>
    <cellStyle name="Percent 10 7 2" xfId="2580" xr:uid="{A0EFF8AA-9351-4F0D-8531-0C7A2354E025}"/>
    <cellStyle name="Percent 10 7 3" xfId="2581" xr:uid="{FBE15F0B-D855-4398-97FA-79FA92F12239}"/>
    <cellStyle name="Percent 10 7 4" xfId="4531" xr:uid="{971E1C7B-985D-41F4-B872-B708374C8A23}"/>
    <cellStyle name="Percent 10 8" xfId="2582" xr:uid="{B17205E1-F6FE-49E5-8C69-387D2465D2C3}"/>
    <cellStyle name="Percent 10 8 2" xfId="4532" xr:uid="{8A493ECB-2F92-475A-89EC-5549692CE1A4}"/>
    <cellStyle name="Percent 10 9" xfId="2583" xr:uid="{0C61107D-3F78-4D91-B682-4E8C83BAF70E}"/>
    <cellStyle name="Percent 11" xfId="4533" xr:uid="{0B12A48E-BA21-40E1-85CF-351248701AED}"/>
    <cellStyle name="Percent 11 10" xfId="2584" xr:uid="{9F8811D7-9B3A-46EC-98B2-4A4AC587D389}"/>
    <cellStyle name="Percent 11 2" xfId="2585" xr:uid="{FA519007-15BD-4D19-ADCE-365F10AF5644}"/>
    <cellStyle name="Percent 11 2 2" xfId="4534" xr:uid="{006329E1-5753-4DDF-AE01-FF846F535073}"/>
    <cellStyle name="Percent 11 3" xfId="2586" xr:uid="{BCC1B720-E6D0-4FE9-9236-0D4A767B1B40}"/>
    <cellStyle name="Percent 11 3 2" xfId="4535" xr:uid="{6EAA9B60-46BD-4A44-96CC-BE0B07EAD8A8}"/>
    <cellStyle name="Percent 11 4" xfId="2587" xr:uid="{845160B9-2ACF-4D2B-B818-CA78395FB07A}"/>
    <cellStyle name="Percent 11 4 2" xfId="4536" xr:uid="{D22168E4-859A-4BCB-8FBD-C3E304AC48BF}"/>
    <cellStyle name="Percent 11 5" xfId="2588" xr:uid="{609B09DE-7333-41E8-AC09-1B50F63D4BED}"/>
    <cellStyle name="Percent 11 5 2" xfId="4537" xr:uid="{FB1513D3-A741-4853-9F97-C55570BE0049}"/>
    <cellStyle name="Percent 11 6" xfId="2589" xr:uid="{ADBE1A34-C968-4428-AA30-C3C01EA6BE77}"/>
    <cellStyle name="Percent 11 6 2" xfId="4538" xr:uid="{05E4A41D-3B06-4F36-9F3E-D82CA12F7CC4}"/>
    <cellStyle name="Percent 11 7" xfId="2590" xr:uid="{8851E582-90CC-4C06-88E1-7A5F3FCA3B64}"/>
    <cellStyle name="Percent 11 7 2" xfId="2591" xr:uid="{E3477E48-4D59-4DFE-A8DD-4E26DA0EC611}"/>
    <cellStyle name="Percent 11 7 3" xfId="2592" xr:uid="{E96D6F89-32D1-47F2-B43E-6D3DEE96B719}"/>
    <cellStyle name="Percent 11 7 4" xfId="4539" xr:uid="{18EA706E-6736-420B-8D86-8EF9B4C41DB2}"/>
    <cellStyle name="Percent 11 8" xfId="2593" xr:uid="{3232398E-BF83-4D57-9992-51E5E771AC2C}"/>
    <cellStyle name="Percent 11 8 2" xfId="4540" xr:uid="{9286855D-E04C-4B76-B274-C8734D23D550}"/>
    <cellStyle name="Percent 11 9" xfId="2594" xr:uid="{AAF033A2-6170-484D-B860-B7A131147146}"/>
    <cellStyle name="Percent 12" xfId="4541" xr:uid="{7AEE4C86-2106-48A0-B90D-AD9988E4DF6B}"/>
    <cellStyle name="Percent 12 10" xfId="2595" xr:uid="{D5EFDEA1-DDEA-4F03-B874-1DFAF35C55FD}"/>
    <cellStyle name="Percent 12 2" xfId="2596" xr:uid="{8A1DCC33-806C-43B0-93FA-19E4AD7861E9}"/>
    <cellStyle name="Percent 12 2 2" xfId="4542" xr:uid="{CF5E0099-EA00-4B88-99D2-77A1A1B0F742}"/>
    <cellStyle name="Percent 12 3" xfId="2597" xr:uid="{476998BA-FFE8-445E-A255-DCAAFBE9BD5E}"/>
    <cellStyle name="Percent 12 3 2" xfId="4543" xr:uid="{40A66CEC-5C83-4FC0-B358-53FB2170F6DD}"/>
    <cellStyle name="Percent 12 4" xfId="2598" xr:uid="{69389DFA-A6B9-4739-B68F-C7CE53498DE9}"/>
    <cellStyle name="Percent 12 4 2" xfId="4544" xr:uid="{43E5AE22-DEA9-4C39-98B4-0467758DD247}"/>
    <cellStyle name="Percent 12 5" xfId="2599" xr:uid="{BC949206-6BE1-4C14-BED6-9A126764E174}"/>
    <cellStyle name="Percent 12 5 2" xfId="4545" xr:uid="{54B231C6-B5F6-4FB3-A462-2CDB55B4B822}"/>
    <cellStyle name="Percent 12 6" xfId="2600" xr:uid="{45AC2587-E574-41E0-A1A7-5DD5CCFF446C}"/>
    <cellStyle name="Percent 12 6 2" xfId="4546" xr:uid="{E14A67B0-A4BE-46D6-8BE9-F064E04A9EB2}"/>
    <cellStyle name="Percent 12 7" xfId="2601" xr:uid="{70656BAA-F7BD-41D9-8AF4-D1454F61C4E0}"/>
    <cellStyle name="Percent 12 7 2" xfId="2602" xr:uid="{407A42D4-6AD2-4A5A-9AB8-B400FDB5F0A4}"/>
    <cellStyle name="Percent 12 7 3" xfId="2603" xr:uid="{81628429-D376-4E4D-A226-6EB7F0D78593}"/>
    <cellStyle name="Percent 12 7 4" xfId="4547" xr:uid="{28341F87-006C-4F13-B1B4-F569FD6839FE}"/>
    <cellStyle name="Percent 12 8" xfId="2604" xr:uid="{4D9BDB92-8705-4DA1-990C-1713BA61AF50}"/>
    <cellStyle name="Percent 12 8 2" xfId="4548" xr:uid="{CA9FB3AE-C2D4-402A-B6F8-815A0D32CC71}"/>
    <cellStyle name="Percent 12 9" xfId="2605" xr:uid="{EA30A090-ED4B-4606-89EB-BDA49080FD6B}"/>
    <cellStyle name="Percent 13" xfId="4549" xr:uid="{3A44321D-3FCF-4FFC-BD57-82D5018F6083}"/>
    <cellStyle name="Percent 13 10" xfId="2606" xr:uid="{6361B44F-F581-4847-9F3F-C64CE44AD671}"/>
    <cellStyle name="Percent 13 2" xfId="2607" xr:uid="{7D70CBE3-F9CB-4CE7-91A0-479E42622A9A}"/>
    <cellStyle name="Percent 13 2 2" xfId="4550" xr:uid="{72228872-6622-4C0A-9EF4-120B72810CF4}"/>
    <cellStyle name="Percent 13 3" xfId="2608" xr:uid="{77C6B13D-CC58-4A18-9E54-9445CAFE3DC4}"/>
    <cellStyle name="Percent 13 3 2" xfId="4551" xr:uid="{FCE0F5B6-4C93-47E0-AC9C-93A0058594E4}"/>
    <cellStyle name="Percent 13 4" xfId="2609" xr:uid="{E99B4A1B-4CBF-4F8D-B139-B42B12EB9E3C}"/>
    <cellStyle name="Percent 13 4 2" xfId="4552" xr:uid="{5AAA6B47-37C6-4DDA-A561-87EB1FDD5279}"/>
    <cellStyle name="Percent 13 5" xfId="2610" xr:uid="{9424D240-11B6-4204-8FA9-291EA39D93FA}"/>
    <cellStyle name="Percent 13 5 2" xfId="4553" xr:uid="{7C28DAD5-B304-4670-B775-E7636656CC90}"/>
    <cellStyle name="Percent 13 6" xfId="2611" xr:uid="{8FE1571E-432E-4AB4-8CB2-20AEEB8D2F67}"/>
    <cellStyle name="Percent 13 6 2" xfId="4554" xr:uid="{C35A80D7-1565-4F26-8D94-DD9EF61CB6C2}"/>
    <cellStyle name="Percent 13 7" xfId="2612" xr:uid="{8B7D2635-12C7-4A21-9EC1-A70769B76AA5}"/>
    <cellStyle name="Percent 13 7 2" xfId="2613" xr:uid="{4B09C030-6F4C-41AD-B6CF-7A5B4DEE0EFB}"/>
    <cellStyle name="Percent 13 7 3" xfId="2614" xr:uid="{DC7D3D0D-4C79-477A-9231-FE2F4C63A51D}"/>
    <cellStyle name="Percent 13 7 4" xfId="4555" xr:uid="{1E8CBC0E-DABC-4414-A351-D7718E042429}"/>
    <cellStyle name="Percent 13 8" xfId="2615" xr:uid="{A5F64A23-EA2A-4409-822E-0AC58D8C3CAE}"/>
    <cellStyle name="Percent 13 8 2" xfId="4556" xr:uid="{079849E4-A406-458D-95CB-BE92E74383FC}"/>
    <cellStyle name="Percent 13 9" xfId="2616" xr:uid="{41EA9279-3336-451E-841E-C540C9BCAC0E}"/>
    <cellStyle name="Percent 14" xfId="4557" xr:uid="{F0A350DA-D2D4-4568-A9C4-FCF675FE2DBB}"/>
    <cellStyle name="Percent 14 10" xfId="2617" xr:uid="{9FC3AA48-8DCF-47C1-ACF2-CE2FCEDB3EF0}"/>
    <cellStyle name="Percent 14 2" xfId="2618" xr:uid="{F876EB22-810D-4329-80BE-3CFC823F9676}"/>
    <cellStyle name="Percent 14 2 2" xfId="4558" xr:uid="{560410DD-9539-495C-B3F4-151B236C2545}"/>
    <cellStyle name="Percent 14 3" xfId="2619" xr:uid="{8B0EB245-70A5-4430-9FBA-9939684C41F6}"/>
    <cellStyle name="Percent 14 3 2" xfId="4559" xr:uid="{FF2F53F7-2CDF-449B-9865-DF2865C249B4}"/>
    <cellStyle name="Percent 14 4" xfId="2620" xr:uid="{ECD69DA1-63EF-4003-A3E2-75B8AE6A20AC}"/>
    <cellStyle name="Percent 14 4 2" xfId="4560" xr:uid="{294367F8-B86E-47CD-8B08-83454D5EF36A}"/>
    <cellStyle name="Percent 14 5" xfId="2621" xr:uid="{62CD70BC-C925-48BA-9FE1-738352DF76DC}"/>
    <cellStyle name="Percent 14 5 2" xfId="4561" xr:uid="{30FEB2DD-4A74-46EA-A060-C3099A6E8AF1}"/>
    <cellStyle name="Percent 14 6" xfId="2622" xr:uid="{DCD22647-2A1B-4C2A-B130-1F983DC7A65A}"/>
    <cellStyle name="Percent 14 6 2" xfId="4562" xr:uid="{CFDEF9FC-F517-4F84-8B71-DCA490149C10}"/>
    <cellStyle name="Percent 14 7" xfId="2623" xr:uid="{21289DD2-CA8A-4D92-82B0-8A49C65EA830}"/>
    <cellStyle name="Percent 14 7 2" xfId="2624" xr:uid="{5E7CAD67-764C-47D5-8565-8A8F07833946}"/>
    <cellStyle name="Percent 14 7 3" xfId="2625" xr:uid="{F3C98BCA-44C1-45BF-B239-7553CA31E559}"/>
    <cellStyle name="Percent 14 7 4" xfId="4563" xr:uid="{82A42D5C-AE1D-4DD8-8B12-A3C76DD0A00C}"/>
    <cellStyle name="Percent 14 8" xfId="2626" xr:uid="{8E0FB381-DCE2-43DF-B476-374E9C6CD098}"/>
    <cellStyle name="Percent 14 8 2" xfId="4564" xr:uid="{7C35C3EF-7E8E-4188-865D-B1CB4F05DCC6}"/>
    <cellStyle name="Percent 14 9" xfId="2627" xr:uid="{883D571F-2E5A-4F78-B3EB-0B728016FF7D}"/>
    <cellStyle name="Percent 15" xfId="2628" xr:uid="{C5D12B39-094F-435A-8B97-DC43E5685EC9}"/>
    <cellStyle name="Percent 15 10" xfId="4566" xr:uid="{E416EF78-3A36-4C46-92F9-BF46631B330F}"/>
    <cellStyle name="Percent 15 11" xfId="4567" xr:uid="{6E96D754-347C-47CD-BE90-45EFBB1DE718}"/>
    <cellStyle name="Percent 15 12" xfId="4568" xr:uid="{F5565C4C-21CA-482B-B486-60E60327FFF9}"/>
    <cellStyle name="Percent 15 13" xfId="4569" xr:uid="{5C2FA117-CFF1-4160-B0CE-C325F4597CE7}"/>
    <cellStyle name="Percent 15 14" xfId="4570" xr:uid="{2018E192-EFAF-43DC-BC2D-E80F9D2478B7}"/>
    <cellStyle name="Percent 15 15" xfId="4565" xr:uid="{7CE232FC-C1FB-40F4-87E0-C0F407DF0560}"/>
    <cellStyle name="Percent 15 2" xfId="2629" xr:uid="{E88DF61E-4B03-4299-B5EC-199980EB4690}"/>
    <cellStyle name="Percent 15 2 2" xfId="4572" xr:uid="{DEA426D8-F890-48F3-B359-1B18296FBDC1}"/>
    <cellStyle name="Percent 15 2 2 2" xfId="5275" xr:uid="{EF836F04-965A-43C4-A6B7-85BD4823F86D}"/>
    <cellStyle name="Percent 15 2 3" xfId="4573" xr:uid="{C271A2A1-1ADD-4F4F-8DDF-91775C592E4E}"/>
    <cellStyle name="Percent 15 2 3 2" xfId="5276" xr:uid="{7BF3ADED-AECD-43B0-84DE-A71540456A8D}"/>
    <cellStyle name="Percent 15 2 4" xfId="4574" xr:uid="{2CC8E3AD-551D-4742-BB05-8E4A1ED03697}"/>
    <cellStyle name="Percent 15 2 4 2" xfId="5277" xr:uid="{E62CAE51-C87D-4A32-8E08-EE312F90DF36}"/>
    <cellStyle name="Percent 15 2 5" xfId="4575" xr:uid="{70F01A5E-2282-4656-B821-20CF475D2754}"/>
    <cellStyle name="Percent 15 2 5 2" xfId="5278" xr:uid="{6D49FC08-5CE3-42B5-90D3-6DC1366EDC7D}"/>
    <cellStyle name="Percent 15 2 6" xfId="4576" xr:uid="{36947240-09A4-4385-B697-200F294F227C}"/>
    <cellStyle name="Percent 15 2 6 2" xfId="5279" xr:uid="{DC2349AB-BBA9-4671-B582-78DEAB742856}"/>
    <cellStyle name="Percent 15 2 7" xfId="4577" xr:uid="{A842BD86-C09A-4D65-9EBF-C9EA85B1EBEE}"/>
    <cellStyle name="Percent 15 2 7 2" xfId="5280" xr:uid="{847A1C29-F0F3-4403-9FB4-CDCAFD58BE58}"/>
    <cellStyle name="Percent 15 2 8" xfId="4571" xr:uid="{D6E1DD5A-7FAE-4B3A-A84A-A2F7AE514296}"/>
    <cellStyle name="Percent 15 3" xfId="2630" xr:uid="{ED042319-9162-4C36-8706-306EAEF23AD3}"/>
    <cellStyle name="Percent 15 3 2" xfId="5281" xr:uid="{C5040571-2D60-4912-B8E4-EC431A0A279B}"/>
    <cellStyle name="Percent 15 3 3" xfId="5282" xr:uid="{70EE4BBB-297E-4274-A853-FDEDC4173E42}"/>
    <cellStyle name="Percent 15 3 3 2" xfId="5283" xr:uid="{E94C33C5-EB16-486E-806D-32FF1EF11BD6}"/>
    <cellStyle name="Percent 15 4" xfId="2631" xr:uid="{AF04F2A0-CBB5-45A5-ADC6-9FCDDE15264E}"/>
    <cellStyle name="Percent 15 4 2" xfId="4578" xr:uid="{6EBB6247-D4DE-485B-B2BF-13B1C30C6D95}"/>
    <cellStyle name="Percent 15 5" xfId="2632" xr:uid="{9EED0BE4-A6EB-47ED-94F0-E03D1604FD37}"/>
    <cellStyle name="Percent 15 5 2" xfId="5284" xr:uid="{79740E7A-7113-4BDA-BCEE-649490E716C8}"/>
    <cellStyle name="Percent 15 5 3" xfId="5285" xr:uid="{8B9A7AB5-A789-4D42-B192-5C87E89D9EA5}"/>
    <cellStyle name="Percent 15 5 3 2" xfId="5286" xr:uid="{E9616498-0BB9-4DFB-9D87-F4C331F255D2}"/>
    <cellStyle name="Percent 15 6" xfId="2633" xr:uid="{ED10F81F-8B77-47DE-89D5-A05D8EFB26FE}"/>
    <cellStyle name="Percent 15 6 2" xfId="5287" xr:uid="{FB4F3B1A-4A63-432B-A7F8-9DD5539DA945}"/>
    <cellStyle name="Percent 15 6 3" xfId="5288" xr:uid="{5F249ECE-876D-462F-8241-2135567FB230}"/>
    <cellStyle name="Percent 15 6 3 2" xfId="5289" xr:uid="{38016BC5-51B4-442D-B758-A637D3BD615E}"/>
    <cellStyle name="Percent 15 7" xfId="2634" xr:uid="{CA535AA1-549F-48A6-ABE1-1DC70707AC82}"/>
    <cellStyle name="Percent 15 7 2" xfId="2635" xr:uid="{3444DCA9-AB6C-4C71-B0D9-C52E1EECFFDE}"/>
    <cellStyle name="Percent 15 7 3" xfId="2636" xr:uid="{F9494C07-993F-454E-923A-1D184531D470}"/>
    <cellStyle name="Percent 15 7 4" xfId="5290" xr:uid="{570D6708-4BDF-4709-B723-732A3CD0E63B}"/>
    <cellStyle name="Percent 15 7 4 2" xfId="5291" xr:uid="{C8B5C57E-49DE-4C0F-AB88-4A8A2AC0EF8E}"/>
    <cellStyle name="Percent 15 8" xfId="4579" xr:uid="{A1977A19-5FE4-4B38-9986-6F81DC7687CF}"/>
    <cellStyle name="Percent 15 8 2" xfId="5292" xr:uid="{9C2AEB74-4CBF-4C6F-B5C9-8EAB3B97D63D}"/>
    <cellStyle name="Percent 15 9" xfId="4580" xr:uid="{1902A79F-F2E5-4D2E-9D9B-3E2F30470230}"/>
    <cellStyle name="Percent 16" xfId="4581" xr:uid="{E61C9D84-E316-4A5B-A5CD-C43A01A28C36}"/>
    <cellStyle name="Percent 16 2" xfId="2637" xr:uid="{F38AB5ED-BF66-4C06-A864-0ED79219E9A8}"/>
    <cellStyle name="Percent 16 2 2" xfId="4582" xr:uid="{AB2A1BEF-2E14-40FC-9A56-498C0B5D77BA}"/>
    <cellStyle name="Percent 16 3" xfId="2638" xr:uid="{AFC1AE8A-EF2B-4F0E-90C5-40D106BD8611}"/>
    <cellStyle name="Percent 16 3 10" xfId="4584" xr:uid="{605420DE-6679-4441-8561-6C6E0C047846}"/>
    <cellStyle name="Percent 16 3 11" xfId="4585" xr:uid="{2A5D2CFF-AA36-48D7-BE6F-9DB4D4E66047}"/>
    <cellStyle name="Percent 16 3 12" xfId="4586" xr:uid="{0BF6DD43-C68B-4118-B72E-8A484A2463FE}"/>
    <cellStyle name="Percent 16 3 13" xfId="4587" xr:uid="{65A0BE36-9B60-4294-A39F-E41CEC91F383}"/>
    <cellStyle name="Percent 16 3 14" xfId="4588" xr:uid="{E02D7245-9D5F-404C-A852-2E5F7F81BAC9}"/>
    <cellStyle name="Percent 16 3 15" xfId="4589" xr:uid="{B3134AAA-8C9E-4B80-9C98-CBFAC809B4DE}"/>
    <cellStyle name="Percent 16 3 16" xfId="4590" xr:uid="{85BF2B1F-E1C0-44D2-A10B-9C2699B86052}"/>
    <cellStyle name="Percent 16 3 17" xfId="4591" xr:uid="{F64DC99A-CB28-47FC-B9E1-EB7AB706C1D7}"/>
    <cellStyle name="Percent 16 3 18" xfId="4583" xr:uid="{2BE5991D-0456-4C5F-A603-D5CC1A290FE0}"/>
    <cellStyle name="Percent 16 3 2" xfId="4592" xr:uid="{7C3A7758-23B5-4005-BB8A-AE3F1372A88C}"/>
    <cellStyle name="Percent 16 3 3" xfId="4593" xr:uid="{930BCA46-269C-4076-97AF-191611D57710}"/>
    <cellStyle name="Percent 16 3 4" xfId="4594" xr:uid="{F2C23337-F086-438C-B4C0-81B2C5F2356B}"/>
    <cellStyle name="Percent 16 3 5" xfId="4595" xr:uid="{FC0B38E6-965F-4C2E-9487-2C45494D7BF2}"/>
    <cellStyle name="Percent 16 3 6" xfId="4596" xr:uid="{04311056-329A-47C2-A179-79E12F06BDB6}"/>
    <cellStyle name="Percent 16 3 7" xfId="4597" xr:uid="{AC7B492E-1AFC-4049-ACD1-DF724DA74DDF}"/>
    <cellStyle name="Percent 16 3 8" xfId="4598" xr:uid="{5FBAF302-4DF0-430E-9EF3-1562D7B7D5D1}"/>
    <cellStyle name="Percent 16 3 9" xfId="4599" xr:uid="{D6FCF9F5-F369-4CCC-B833-9A31549B62E1}"/>
    <cellStyle name="Percent 16 4" xfId="2639" xr:uid="{A8933A7E-0D9A-47B0-A05A-C4437B65BA88}"/>
    <cellStyle name="Percent 16 4 10" xfId="4601" xr:uid="{29895D00-7732-4BB7-8F72-586E169B9887}"/>
    <cellStyle name="Percent 16 4 11" xfId="4602" xr:uid="{2F7A2E04-549E-462E-8942-4F408B6805B8}"/>
    <cellStyle name="Percent 16 4 12" xfId="4603" xr:uid="{B72944C4-EF68-4F14-B5A8-FCF1627332DC}"/>
    <cellStyle name="Percent 16 4 13" xfId="4604" xr:uid="{2911235A-B1E8-4ECC-AC2B-FD94080F6B30}"/>
    <cellStyle name="Percent 16 4 14" xfId="4605" xr:uid="{1FF381EB-99D3-401C-AE01-6BFB2063DE8C}"/>
    <cellStyle name="Percent 16 4 15" xfId="4606" xr:uid="{6FC97F6C-E98C-4893-BA65-48858721BCFB}"/>
    <cellStyle name="Percent 16 4 16" xfId="4607" xr:uid="{74B5B262-E4C5-4AD0-932A-9BF1BB608DC4}"/>
    <cellStyle name="Percent 16 4 17" xfId="4608" xr:uid="{CF07E9C8-2A05-4C8D-B93E-42AD62361333}"/>
    <cellStyle name="Percent 16 4 18" xfId="4600" xr:uid="{2A5F1229-7A83-4621-800B-AE181DEE1A28}"/>
    <cellStyle name="Percent 16 4 2" xfId="4609" xr:uid="{C3A21622-EB3B-4E27-84BA-729C3AB80E80}"/>
    <cellStyle name="Percent 16 4 3" xfId="4610" xr:uid="{90B9F40F-12D3-4F70-9117-8D7940DC823C}"/>
    <cellStyle name="Percent 16 4 4" xfId="4611" xr:uid="{DB4F1750-3642-4759-9330-57AE9AFBCC88}"/>
    <cellStyle name="Percent 16 4 5" xfId="4612" xr:uid="{FF1E4539-E846-4551-8619-CC4914F33A8B}"/>
    <cellStyle name="Percent 16 4 6" xfId="4613" xr:uid="{B141F1A4-5B07-4245-B099-B14EDF3CBB3F}"/>
    <cellStyle name="Percent 16 4 7" xfId="4614" xr:uid="{F5FAB1C1-95FD-4225-B026-225A00D9FDC1}"/>
    <cellStyle name="Percent 16 4 8" xfId="4615" xr:uid="{04F3BEC7-69D8-485E-AE9C-7BD1101B5012}"/>
    <cellStyle name="Percent 16 4 9" xfId="4616" xr:uid="{97682757-78A9-479D-A4FE-A39C58B18B35}"/>
    <cellStyle name="Percent 16 5" xfId="2640" xr:uid="{24E22A65-2378-4769-9DB2-72FDE0D652B2}"/>
    <cellStyle name="Percent 16 5 10" xfId="4618" xr:uid="{D38296AE-DFBA-426E-B735-BD0C7A0C3551}"/>
    <cellStyle name="Percent 16 5 11" xfId="4619" xr:uid="{5944239D-A090-40E1-8E42-EB13C15694FD}"/>
    <cellStyle name="Percent 16 5 12" xfId="4620" xr:uid="{5EBC649C-972D-4B05-9FEF-FF4C722E6F60}"/>
    <cellStyle name="Percent 16 5 13" xfId="4621" xr:uid="{DD203904-7502-4D62-B0F9-F6C6F0AD8113}"/>
    <cellStyle name="Percent 16 5 14" xfId="4622" xr:uid="{34899861-93F3-436B-931D-4EFD9E006F8F}"/>
    <cellStyle name="Percent 16 5 15" xfId="4623" xr:uid="{B4FD473B-26EC-4EE1-BA7D-27FC5022CFBD}"/>
    <cellStyle name="Percent 16 5 16" xfId="4624" xr:uid="{5688D64E-9DE1-4634-AAB0-43081F25552D}"/>
    <cellStyle name="Percent 16 5 17" xfId="4625" xr:uid="{59E6D1E4-9D25-4340-AF70-CDCC295DA430}"/>
    <cellStyle name="Percent 16 5 18" xfId="4617" xr:uid="{ED780BAA-0F62-40C1-908B-E54AF3183D48}"/>
    <cellStyle name="Percent 16 5 2" xfId="4626" xr:uid="{B96B909E-0D2E-4B2E-B468-6F4F1EEAC4B4}"/>
    <cellStyle name="Percent 16 5 3" xfId="4627" xr:uid="{9F6FA9A5-A96E-46E7-9B7E-CC161D8341A1}"/>
    <cellStyle name="Percent 16 5 4" xfId="4628" xr:uid="{BECA22CB-EBE4-48CF-8EE1-B25A2424D4F0}"/>
    <cellStyle name="Percent 16 5 5" xfId="4629" xr:uid="{AC55BEC3-93A9-4DE5-861F-026A2F8FF605}"/>
    <cellStyle name="Percent 16 5 6" xfId="4630" xr:uid="{A5517F4D-BA39-4FB7-86C0-DBDE0FF156EA}"/>
    <cellStyle name="Percent 16 5 7" xfId="4631" xr:uid="{C9AFB52C-4336-4562-9517-5E5D5F8C50F7}"/>
    <cellStyle name="Percent 16 5 8" xfId="4632" xr:uid="{2334088E-8009-4CC7-AFB5-10535F78C00D}"/>
    <cellStyle name="Percent 16 5 9" xfId="4633" xr:uid="{7102E297-7661-4AFF-AE51-ABE2E48FAF51}"/>
    <cellStyle name="Percent 16 6" xfId="2641" xr:uid="{0C00B151-DDD4-4C5A-B4FF-ABA1C5FF18A4}"/>
    <cellStyle name="Percent 16 6 10" xfId="4635" xr:uid="{A326CC53-724E-46EE-AC4E-0F5429EFA95C}"/>
    <cellStyle name="Percent 16 6 11" xfId="4636" xr:uid="{A25A1D14-2E00-4987-BBB5-DD6247B50AE9}"/>
    <cellStyle name="Percent 16 6 12" xfId="4637" xr:uid="{EEE8DFB8-7078-4A43-8441-3E3E290CF05D}"/>
    <cellStyle name="Percent 16 6 13" xfId="4638" xr:uid="{57A620AB-E65E-490E-A495-E96431D97FFD}"/>
    <cellStyle name="Percent 16 6 14" xfId="4639" xr:uid="{78287F7D-994E-4E57-A5E5-3683805843E4}"/>
    <cellStyle name="Percent 16 6 15" xfId="4640" xr:uid="{04B3A63E-7C1E-4F15-A4A9-8DD6FFF251B4}"/>
    <cellStyle name="Percent 16 6 16" xfId="4641" xr:uid="{D6E31C2D-380A-4332-BD69-DF907A658E57}"/>
    <cellStyle name="Percent 16 6 17" xfId="4642" xr:uid="{BA513F55-6CB3-42B3-AEDE-93835896DBE7}"/>
    <cellStyle name="Percent 16 6 18" xfId="4634" xr:uid="{944558B8-5C78-4B5F-8426-73D0285DF2AE}"/>
    <cellStyle name="Percent 16 6 2" xfId="4643" xr:uid="{43E25519-F203-4D8F-8EA2-49307105C6D2}"/>
    <cellStyle name="Percent 16 6 3" xfId="4644" xr:uid="{90CE74C3-A327-4AAD-8395-CF29490A3129}"/>
    <cellStyle name="Percent 16 6 4" xfId="4645" xr:uid="{DBA9A860-9D98-4934-AE78-FB193219169F}"/>
    <cellStyle name="Percent 16 6 5" xfId="4646" xr:uid="{329B5DD4-B6F6-483E-AFBF-90CE72E82407}"/>
    <cellStyle name="Percent 16 6 6" xfId="4647" xr:uid="{B017B718-E56E-4831-9897-19FF745FCFD9}"/>
    <cellStyle name="Percent 16 6 7" xfId="4648" xr:uid="{61D0EB75-5B6E-47EB-A683-86156A0730EA}"/>
    <cellStyle name="Percent 16 6 8" xfId="4649" xr:uid="{EDAFD4FE-0D1D-40C0-AAEE-2EF19393FBA7}"/>
    <cellStyle name="Percent 16 6 9" xfId="4650" xr:uid="{E1DB6375-1184-4138-9995-4FFB4E0DA0BD}"/>
    <cellStyle name="Percent 16 7" xfId="2642" xr:uid="{6AE4FF98-298C-41F9-BA2A-A3A3175D14BF}"/>
    <cellStyle name="Percent 16 7 10" xfId="4652" xr:uid="{AC7BFE7A-3EDD-4F36-83F0-3595D15025B7}"/>
    <cellStyle name="Percent 16 7 11" xfId="4653" xr:uid="{E67FB657-D151-4286-A059-53E6993291BA}"/>
    <cellStyle name="Percent 16 7 12" xfId="4654" xr:uid="{B82558F4-D92E-415D-9DE8-0CA3B7526E6A}"/>
    <cellStyle name="Percent 16 7 13" xfId="4655" xr:uid="{7D8F89C3-9D88-44DF-8006-154A9C6537C6}"/>
    <cellStyle name="Percent 16 7 14" xfId="4656" xr:uid="{51C247EC-0214-4DBF-9510-8ACF79578718}"/>
    <cellStyle name="Percent 16 7 15" xfId="4657" xr:uid="{98501BE4-0337-43BB-9CA0-0FF577958B2C}"/>
    <cellStyle name="Percent 16 7 16" xfId="4658" xr:uid="{0F335A21-636C-4BFE-9F4F-49C47032946A}"/>
    <cellStyle name="Percent 16 7 17" xfId="4659" xr:uid="{DADFFE00-B2BF-481A-A3E3-F60AD85EAB85}"/>
    <cellStyle name="Percent 16 7 18" xfId="4651" xr:uid="{822D2046-0C47-4CED-A8D1-1D456F3690A3}"/>
    <cellStyle name="Percent 16 7 2" xfId="2643" xr:uid="{9C0E9B37-E7FD-40B6-9110-B5FF6177E02F}"/>
    <cellStyle name="Percent 16 7 2 2" xfId="4660" xr:uid="{6B53014E-AFC6-4D92-B0BD-214E610E9C94}"/>
    <cellStyle name="Percent 16 7 3" xfId="2644" xr:uid="{82A4F778-75C8-48B5-9FF9-9366FD77C5A4}"/>
    <cellStyle name="Percent 16 7 3 2" xfId="4661" xr:uid="{CB549AED-8C9D-4388-B38E-9570BCC2565A}"/>
    <cellStyle name="Percent 16 7 4" xfId="4662" xr:uid="{02236F1A-D389-4F34-A03D-D23311A7062E}"/>
    <cellStyle name="Percent 16 7 5" xfId="4663" xr:uid="{DE3B5273-0AF5-4661-A0EE-C5B1D78B7720}"/>
    <cellStyle name="Percent 16 7 6" xfId="4664" xr:uid="{0C2A45DD-0D7C-4A67-84BC-74FA58A40971}"/>
    <cellStyle name="Percent 16 7 7" xfId="4665" xr:uid="{27C4AFE9-E519-4D02-8B69-717557412058}"/>
    <cellStyle name="Percent 16 7 8" xfId="4666" xr:uid="{A502A7B6-B1AC-45C5-8A19-A21B3634A194}"/>
    <cellStyle name="Percent 16 7 9" xfId="4667" xr:uid="{7687762C-9AA4-4DCC-9406-61072306B594}"/>
    <cellStyle name="Percent 16 8" xfId="4668" xr:uid="{C830C44A-0CAA-4EFF-BD6F-48F812C69237}"/>
    <cellStyle name="Percent 16 8 10" xfId="4669" xr:uid="{AB522AC1-109A-42FD-A29F-2ED08120719F}"/>
    <cellStyle name="Percent 16 8 11" xfId="4670" xr:uid="{430CE11D-AF3D-44AF-A506-4EDF95C5020B}"/>
    <cellStyle name="Percent 16 8 12" xfId="4671" xr:uid="{2728A7DD-2D34-4816-98AF-E0C5030EEFE0}"/>
    <cellStyle name="Percent 16 8 13" xfId="4672" xr:uid="{E167F490-CB4F-41FC-8643-2D7F6E1BA6B5}"/>
    <cellStyle name="Percent 16 8 14" xfId="4673" xr:uid="{92F4876C-474A-4D83-9E8E-B876DC6FDE3C}"/>
    <cellStyle name="Percent 16 8 15" xfId="4674" xr:uid="{49A87C88-0722-41C5-B25F-44E8623687C9}"/>
    <cellStyle name="Percent 16 8 16" xfId="4675" xr:uid="{8FF6D437-13D8-4026-93F4-B096924E0035}"/>
    <cellStyle name="Percent 16 8 17" xfId="4676" xr:uid="{3F9E1E52-C833-47BE-9537-33AF69407D88}"/>
    <cellStyle name="Percent 16 8 2" xfId="4677" xr:uid="{9BC236DB-B35B-443A-84D5-28018B5249FE}"/>
    <cellStyle name="Percent 16 8 3" xfId="4678" xr:uid="{1C1EEC0C-4C70-4DDE-BD9D-F4521EE5C253}"/>
    <cellStyle name="Percent 16 8 4" xfId="4679" xr:uid="{AD5AE570-9840-462B-8D00-875597662CFA}"/>
    <cellStyle name="Percent 16 8 5" xfId="4680" xr:uid="{4EFD0E85-1D35-4342-B652-829447D05752}"/>
    <cellStyle name="Percent 16 8 6" xfId="4681" xr:uid="{0061968C-0876-46E2-AAB1-287F81021A4A}"/>
    <cellStyle name="Percent 16 8 7" xfId="4682" xr:uid="{4730E41A-C0AD-4A29-BD13-5EFE3E63AAF7}"/>
    <cellStyle name="Percent 16 8 8" xfId="4683" xr:uid="{676F4D01-38CB-452C-BE42-991D470D0608}"/>
    <cellStyle name="Percent 16 8 9" xfId="4684" xr:uid="{FBC1969B-AE43-4542-8258-E87F7F0578AB}"/>
    <cellStyle name="Percent 16 9" xfId="4685" xr:uid="{54DB5715-F637-4E22-BCC7-4B496DA61BD9}"/>
    <cellStyle name="Percent 16 9 10" xfId="4686" xr:uid="{6D84FB32-E52B-40E7-9F0E-C3AF45E76E40}"/>
    <cellStyle name="Percent 16 9 11" xfId="4687" xr:uid="{960518AF-D78A-47CE-8177-DB70C08725CF}"/>
    <cellStyle name="Percent 16 9 12" xfId="4688" xr:uid="{574E9EC6-7260-4B43-95AD-1AE532215647}"/>
    <cellStyle name="Percent 16 9 13" xfId="4689" xr:uid="{4047AE71-BE65-42D9-9107-AF6C78A9ED79}"/>
    <cellStyle name="Percent 16 9 14" xfId="4690" xr:uid="{C4FEBDF3-AE88-49DC-AB58-FC981EC69399}"/>
    <cellStyle name="Percent 16 9 15" xfId="4691" xr:uid="{D145DDF1-9499-42B7-B85F-5DA5427DBC64}"/>
    <cellStyle name="Percent 16 9 16" xfId="4692" xr:uid="{62459C54-3DC6-4DF2-A2D3-D18A2ED6325E}"/>
    <cellStyle name="Percent 16 9 17" xfId="4693" xr:uid="{4A673157-E5F4-4ED2-9289-AFF8177F700F}"/>
    <cellStyle name="Percent 16 9 2" xfId="4694" xr:uid="{300151D4-E63D-4805-912E-B9084623C040}"/>
    <cellStyle name="Percent 16 9 3" xfId="4695" xr:uid="{5C646439-CAE6-4E5F-A74F-066CE510FD05}"/>
    <cellStyle name="Percent 16 9 4" xfId="4696" xr:uid="{03D61CBC-2BDF-442D-A484-DDD23F06EEDB}"/>
    <cellStyle name="Percent 16 9 5" xfId="4697" xr:uid="{B992D35E-1D54-4293-97EF-402E2D9C166E}"/>
    <cellStyle name="Percent 16 9 6" xfId="4698" xr:uid="{F2C007DA-B7AD-4E1C-A257-4ACBEB4AFCC7}"/>
    <cellStyle name="Percent 16 9 7" xfId="4699" xr:uid="{5AD3181C-3ED6-4E65-A64E-B8846D1D8317}"/>
    <cellStyle name="Percent 16 9 8" xfId="4700" xr:uid="{66B5F9CD-DC44-4B97-8C8B-28494DA4A799}"/>
    <cellStyle name="Percent 16 9 9" xfId="4701" xr:uid="{DC96E6AA-8B0F-4DB3-BB90-536B4CB1B758}"/>
    <cellStyle name="Percent 17" xfId="2645" xr:uid="{0B1C5CDE-F4ED-41FD-9A1B-B1FC6330E8A3}"/>
    <cellStyle name="Percent 17 2" xfId="2646" xr:uid="{0A817C5E-0D40-4DAC-9F29-EDB782A836FA}"/>
    <cellStyle name="Percent 17 2 2" xfId="5293" xr:uid="{882092C4-CC34-4CE1-B238-AA4689A84677}"/>
    <cellStyle name="Percent 17 3" xfId="2647" xr:uid="{16408969-A31B-4145-8F79-7F5CF9A13FAD}"/>
    <cellStyle name="Percent 17 4" xfId="2648" xr:uid="{1DAAD861-A908-4414-BE41-2372D96F35AA}"/>
    <cellStyle name="Percent 17 5" xfId="2649" xr:uid="{833E9F69-DD0B-431A-AA9E-706FD3E8A6E2}"/>
    <cellStyle name="Percent 17 6" xfId="2650" xr:uid="{5AF00521-F0B4-42A5-BC4C-3D2851A1AFB3}"/>
    <cellStyle name="Percent 17 7" xfId="2651" xr:uid="{796D5D4A-E8BE-4F15-9607-FA70B3120B15}"/>
    <cellStyle name="Percent 17 7 2" xfId="2652" xr:uid="{CBDE1295-DE09-4CF1-B573-1572BF95D3D2}"/>
    <cellStyle name="Percent 17 7 3" xfId="2653" xr:uid="{D3998585-7CA3-40BA-96A1-2C51A278FB35}"/>
    <cellStyle name="Percent 17 8" xfId="2654" xr:uid="{E0767E20-DA97-4D88-A73F-BC99321B77C0}"/>
    <cellStyle name="Percent 17 8 2" xfId="2655" xr:uid="{4B7BBCCE-CA66-4CAC-A47B-7E81FC686C70}"/>
    <cellStyle name="Percent 17 9" xfId="5294" xr:uid="{8DA10F9D-FACF-4114-A68F-92E7FBBA5651}"/>
    <cellStyle name="Percent 17 9 2" xfId="5295" xr:uid="{580823FD-6FCF-48D1-A83D-C92DE73FF55E}"/>
    <cellStyle name="Percent 17 9 3" xfId="5296" xr:uid="{C984A990-CD45-462E-AE92-0692248F6C7F}"/>
    <cellStyle name="Percent 17 9 3 2" xfId="5297" xr:uid="{A5733BF1-BE5E-4936-8FBD-4B69565E8591}"/>
    <cellStyle name="Percent 17 9 3 3" xfId="5298" xr:uid="{FF4A278E-43AD-42D0-A4C4-F2DC3058BD9C}"/>
    <cellStyle name="Percent 17 9 4" xfId="5299" xr:uid="{EC55ADDB-59AB-442B-A6A6-6AC5CAE3409A}"/>
    <cellStyle name="Percent 17 9 5" xfId="5300" xr:uid="{F69C9E61-E0C5-424F-BB96-54CBA6571926}"/>
    <cellStyle name="Percent 18" xfId="4702" xr:uid="{ABCE2707-CDD4-4C9D-89AE-616E43E5BA0D}"/>
    <cellStyle name="Percent 18 2" xfId="5302" xr:uid="{058C8B87-A9E3-497B-B31E-452F33D6CE61}"/>
    <cellStyle name="Percent 18 3" xfId="5301" xr:uid="{E4B63753-9991-4FCF-B300-A0A5BD068811}"/>
    <cellStyle name="Percent 19" xfId="4524" xr:uid="{AD15AA87-083A-4C10-9DF3-8DD43E2EED3A}"/>
    <cellStyle name="Percent 2" xfId="65" xr:uid="{28A08382-678F-4FBC-B32D-977FB18B887E}"/>
    <cellStyle name="Percent 2 10" xfId="2656" xr:uid="{A78E4E66-6657-473A-966C-39C22AB1F55E}"/>
    <cellStyle name="Percent 2 10 2" xfId="2657" xr:uid="{AAE45B9A-B25D-456B-ACC7-0355FC6D5204}"/>
    <cellStyle name="Percent 2 10 3" xfId="4703" xr:uid="{C359363E-708E-4015-9FA6-B4D9A35DA873}"/>
    <cellStyle name="Percent 2 10 4" xfId="4704" xr:uid="{E09E08C5-5133-4B00-B6F9-46EEB28AFBA9}"/>
    <cellStyle name="Percent 2 10 5" xfId="4705" xr:uid="{C2CC6EE2-C501-49E0-B0FA-DF24FF7BBB03}"/>
    <cellStyle name="Percent 2 10 6" xfId="4706" xr:uid="{68C6922D-B11C-44C2-BA2E-027ECC106F84}"/>
    <cellStyle name="Percent 2 10 7" xfId="4707" xr:uid="{4EA982ED-443D-4F06-A630-03732072334E}"/>
    <cellStyle name="Percent 2 10 8" xfId="4708" xr:uid="{D727A613-F524-4437-B010-F58C4979780B}"/>
    <cellStyle name="Percent 2 11" xfId="2658" xr:uid="{0DEC6C16-4182-47A9-A544-6C941DEA014F}"/>
    <cellStyle name="Percent 2 11 2" xfId="2659" xr:uid="{976C3C50-F56F-4D02-9B06-D86A4AE08C24}"/>
    <cellStyle name="Percent 2 11 3" xfId="4709" xr:uid="{951ABE48-9148-43ED-A004-C7150F31D3B6}"/>
    <cellStyle name="Percent 2 11 4" xfId="4710" xr:uid="{39FA67F5-C1FD-4A4B-9D5E-7AAC7644B551}"/>
    <cellStyle name="Percent 2 11 5" xfId="4711" xr:uid="{BF035807-F8BA-48D6-87D6-6AC279547B89}"/>
    <cellStyle name="Percent 2 11 6" xfId="4712" xr:uid="{3C1E1456-9EFE-4E6D-A563-25EC040375B8}"/>
    <cellStyle name="Percent 2 11 7" xfId="4713" xr:uid="{7D17A3F6-5BF2-4D36-98A8-15F29C813BF1}"/>
    <cellStyle name="Percent 2 11 8" xfId="4714" xr:uid="{E1A0B534-AE53-43B7-9EAA-D77EBC0F70A9}"/>
    <cellStyle name="Percent 2 12" xfId="2660" xr:uid="{5611C576-36A2-41C6-873E-98E14FC9AE43}"/>
    <cellStyle name="Percent 2 13" xfId="2661" xr:uid="{7CEBA61C-0DD0-429C-B83D-446F183375D8}"/>
    <cellStyle name="Percent 2 14" xfId="2662" xr:uid="{3E38ED7E-9186-48D2-B5A8-6E156E2665B2}"/>
    <cellStyle name="Percent 2 15" xfId="2663" xr:uid="{942FD74D-31EA-4F6A-9FA0-1B5EBC83EE82}"/>
    <cellStyle name="Percent 2 16" xfId="2664" xr:uid="{B18662F4-6848-4E6B-B798-D413F8F4BEAE}"/>
    <cellStyle name="Percent 2 17" xfId="2665" xr:uid="{6DAC05A9-A3CB-41BF-88A1-96DBA6F29478}"/>
    <cellStyle name="Percent 2 18" xfId="2666" xr:uid="{1F178201-13C4-42DC-820E-055A09188DB8}"/>
    <cellStyle name="Percent 2 19" xfId="2667" xr:uid="{3837677B-C4BE-4258-8215-B95D2E770B77}"/>
    <cellStyle name="Percent 2 2" xfId="259" xr:uid="{67DD65E6-55C3-4672-8B00-9E3182CBD553}"/>
    <cellStyle name="Percent 2 2 2" xfId="260" xr:uid="{0EFA2930-84E3-4C13-9ECE-B7C59F3A6423}"/>
    <cellStyle name="Percent 2 2 3" xfId="261" xr:uid="{F9DCB75D-8826-4FEE-BDCB-ADAFC67D7BE4}"/>
    <cellStyle name="Percent 2 2 3 2" xfId="262" xr:uid="{952CCD8F-07CD-415B-9E48-4946600020C2}"/>
    <cellStyle name="Percent 2 2 3 3" xfId="263" xr:uid="{731E63C7-AFF6-420A-9E46-9FE042191350}"/>
    <cellStyle name="Percent 2 2 3 4" xfId="387" xr:uid="{9B2F2969-542A-4E86-8E5E-9F8A8F0A37EF}"/>
    <cellStyle name="Percent 2 2 4" xfId="264" xr:uid="{A38E1E87-AA14-49E6-987D-7790F4405B94}"/>
    <cellStyle name="Percent 2 2 4 2" xfId="2669" xr:uid="{23D57A47-332A-47F9-A921-472B0A248725}"/>
    <cellStyle name="Percent 2 2 5" xfId="2670" xr:uid="{8CF722E6-FE3C-4426-9237-C85ECE16F31E}"/>
    <cellStyle name="Percent 2 2 6" xfId="2671" xr:uid="{6BF5F87A-8298-41E6-9D81-56B009C7D0C8}"/>
    <cellStyle name="Percent 2 2 6 2" xfId="4715" xr:uid="{857AE799-B856-4C60-A248-50D69CCFD3E2}"/>
    <cellStyle name="Percent 2 2 7" xfId="2668" xr:uid="{4ACCFA53-533C-4801-8A47-FA35C795E945}"/>
    <cellStyle name="Percent 2 2 7 2" xfId="4716" xr:uid="{E8445A95-95C7-45E1-9A76-6987455B1DCD}"/>
    <cellStyle name="Percent 2 2 8" xfId="4717" xr:uid="{584C1C57-8DC3-4B61-886D-07AD21AC36C4}"/>
    <cellStyle name="Percent 2 2 9" xfId="4718" xr:uid="{6EFED750-2136-46D2-9916-61D2C3848EF2}"/>
    <cellStyle name="Percent 2 20" xfId="2672" xr:uid="{F5FFFC8D-AF6C-4A01-A86D-CB206BBC3FFD}"/>
    <cellStyle name="Percent 2 20 2" xfId="5303" xr:uid="{0E3A72A0-98E5-423D-86DE-608545E7A004}"/>
    <cellStyle name="Percent 2 20 2 2" xfId="5304" xr:uid="{80961B0D-E04D-41E6-BAED-0E6C6A395F75}"/>
    <cellStyle name="Percent 2 20 2 3" xfId="5305" xr:uid="{A1C707BA-D766-48C6-97B1-1AD193B40C8B}"/>
    <cellStyle name="Percent 2 20 2 3 2" xfId="5306" xr:uid="{33C67503-61B3-464E-BCE7-7C7F148D7D7A}"/>
    <cellStyle name="Percent 2 20 2 3 3" xfId="5307" xr:uid="{9F788FCE-DAE8-4A31-B080-CDB93177866B}"/>
    <cellStyle name="Percent 2 20 2 4" xfId="5308" xr:uid="{1463D24F-DC19-49EA-B3DB-258BF01BE3F9}"/>
    <cellStyle name="Percent 2 20 2 5" xfId="5309" xr:uid="{D9939D21-F908-42EF-9110-163D577512C8}"/>
    <cellStyle name="Percent 2 21" xfId="2673" xr:uid="{A5253986-E9D5-442E-A865-9093BE22E934}"/>
    <cellStyle name="Percent 2 22" xfId="2674" xr:uid="{CA6AD72A-863A-44D3-B275-19DBCD1DC144}"/>
    <cellStyle name="Percent 2 23" xfId="2675" xr:uid="{CE8050A6-8891-42C0-8EA0-A93AEEC95419}"/>
    <cellStyle name="Percent 2 24" xfId="2676" xr:uid="{9C9B970C-9F06-4DBD-939A-B593843B4E97}"/>
    <cellStyle name="Percent 2 25" xfId="2677" xr:uid="{29827606-A00E-4E3B-84B6-7FE4A860787A}"/>
    <cellStyle name="Percent 2 26" xfId="2678" xr:uid="{BDEF5E57-C265-4985-94E6-7B4252533CD3}"/>
    <cellStyle name="Percent 2 27" xfId="2679" xr:uid="{FB1F6D3A-F849-4CB5-BD42-404E1A973B27}"/>
    <cellStyle name="Percent 2 28" xfId="2680" xr:uid="{1B4C0349-533C-4892-8DA1-7658521FB532}"/>
    <cellStyle name="Percent 2 29" xfId="2681" xr:uid="{9F155B31-1BE5-4615-B8DD-EF69881A3CDC}"/>
    <cellStyle name="Percent 2 3" xfId="265" xr:uid="{17245129-EEE8-4E84-96CB-3AB20A4CFC82}"/>
    <cellStyle name="Percent 2 3 10" xfId="2682" xr:uid="{C8744441-1CB3-464A-A7D9-0CDE3ECEAD43}"/>
    <cellStyle name="Percent 2 3 11" xfId="2683" xr:uid="{095404BA-E024-4DBB-8C70-EC2EDD17940B}"/>
    <cellStyle name="Percent 2 3 12" xfId="2684" xr:uid="{B43F4AEF-F3DC-43D6-8432-FAF1D8ECBA01}"/>
    <cellStyle name="Percent 2 3 13" xfId="2685" xr:uid="{E6414FE5-B7A0-4144-B46B-29BEBE5F0DA1}"/>
    <cellStyle name="Percent 2 3 14" xfId="2686" xr:uid="{477BB8EA-B01F-43BC-B89A-DC039AD8663F}"/>
    <cellStyle name="Percent 2 3 15" xfId="2687" xr:uid="{42114775-6423-4AE6-92AC-3AE07B6A36BF}"/>
    <cellStyle name="Percent 2 3 16" xfId="2688" xr:uid="{2AA69EE5-F722-47A5-8DF0-0B9BA8FA0C80}"/>
    <cellStyle name="Percent 2 3 2" xfId="266" xr:uid="{9E117909-AF69-44FC-A68F-37248303DD50}"/>
    <cellStyle name="Percent 2 3 3" xfId="267" xr:uid="{7393A303-AC59-4166-A090-28F0EC70393A}"/>
    <cellStyle name="Percent 2 3 3 2" xfId="268" xr:uid="{B88FD810-F87B-41CB-A4E9-69433C7DDE3F}"/>
    <cellStyle name="Percent 2 3 3 3" xfId="269" xr:uid="{D4EDADFA-1694-4C12-88BA-0A3AA781762B}"/>
    <cellStyle name="Percent 2 3 3 3 2" xfId="270" xr:uid="{29A39949-F966-4664-BFC9-457A82BEE0E3}"/>
    <cellStyle name="Percent 2 3 3 3 3" xfId="271" xr:uid="{3173B48C-58C9-43ED-A2F5-BFDD309B8EC4}"/>
    <cellStyle name="Percent 2 3 3 3 4" xfId="389" xr:uid="{A60AA612-4139-4B05-86CF-4B596C29B05D}"/>
    <cellStyle name="Percent 2 3 3 3 4 2" xfId="2689" xr:uid="{00EFBE1E-64FD-4762-B400-CF9B7C954AF4}"/>
    <cellStyle name="Percent 2 3 4" xfId="272" xr:uid="{95CE5312-AED1-42EB-9846-90C12D6DAAA9}"/>
    <cellStyle name="Percent 2 3 5" xfId="388" xr:uid="{A5026F5C-5383-461A-A623-FF7A16CD30C6}"/>
    <cellStyle name="Percent 2 3 5 2" xfId="2690" xr:uid="{DD03761E-8DD0-4E48-A2AC-ACA4CCE93118}"/>
    <cellStyle name="Percent 2 3 6" xfId="2691" xr:uid="{3D85D548-A184-4A0D-887E-5BFCA13E4230}"/>
    <cellStyle name="Percent 2 3 7" xfId="2692" xr:uid="{815D90F9-D850-4618-953F-2DDD6158FAD9}"/>
    <cellStyle name="Percent 2 3 8" xfId="2693" xr:uid="{8440D6C5-2B61-4514-BA27-498D73D2B0BC}"/>
    <cellStyle name="Percent 2 3 9" xfId="2694" xr:uid="{95679E5A-1EA4-4273-897D-3E7BBC724D36}"/>
    <cellStyle name="Percent 2 30" xfId="2695" xr:uid="{AF20F709-2146-42F7-964A-8DBAAAC74083}"/>
    <cellStyle name="Percent 2 31" xfId="2696" xr:uid="{886D9A00-5F16-44C5-8D0A-27870B8650C0}"/>
    <cellStyle name="Percent 2 32" xfId="2697" xr:uid="{229B34FC-91A7-4E3E-AFE0-14423D97BE1D}"/>
    <cellStyle name="Percent 2 33" xfId="2698" xr:uid="{C94132F9-1B0C-4B18-B872-021A6D0459B6}"/>
    <cellStyle name="Percent 2 33 2" xfId="5310" xr:uid="{9036E08D-E277-4D75-927C-2951F4079999}"/>
    <cellStyle name="Percent 2 34" xfId="2699" xr:uid="{8022E49F-691A-44BC-B83F-8054F869F760}"/>
    <cellStyle name="Percent 2 34 2" xfId="5311" xr:uid="{988DDBA6-8E8C-4EA8-976B-F2DD37CA7AA1}"/>
    <cellStyle name="Percent 2 35" xfId="2700" xr:uid="{D8F5F75D-43FC-40A7-80CE-A3FB5D4BA570}"/>
    <cellStyle name="Percent 2 35 2" xfId="5312" xr:uid="{A2A30058-D6AA-4B57-BFDB-C633F8A745EF}"/>
    <cellStyle name="Percent 2 36" xfId="2701" xr:uid="{14C5E16C-4264-48BD-AE3C-871AC145CF15}"/>
    <cellStyle name="Percent 2 36 2" xfId="5313" xr:uid="{97B1808F-152A-470E-AC74-66F4F3F0325A}"/>
    <cellStyle name="Percent 2 37" xfId="2702" xr:uid="{D95ECB30-14F6-4202-97F2-A138052E7A6D}"/>
    <cellStyle name="Percent 2 37 2" xfId="5314" xr:uid="{D3F615FF-4CCC-4B9F-9A87-4FCB4F33E5D1}"/>
    <cellStyle name="Percent 2 38" xfId="2703" xr:uid="{816B0C75-5247-4B01-8D63-1EBD683F77AC}"/>
    <cellStyle name="Percent 2 38 2" xfId="5315" xr:uid="{729576DF-266A-459A-BB0B-CBF11AC250DB}"/>
    <cellStyle name="Percent 2 39" xfId="2704" xr:uid="{2E58E215-300B-413D-96C1-C9548B0BD692}"/>
    <cellStyle name="Percent 2 39 2" xfId="5316" xr:uid="{135F8BFA-B12A-4133-ADE0-D33D98D7AB47}"/>
    <cellStyle name="Percent 2 4" xfId="273" xr:uid="{CE947EFB-08EE-4DBE-8A67-549237FC364F}"/>
    <cellStyle name="Percent 2 4 10" xfId="2705" xr:uid="{8782F425-51DB-485E-AB16-C786860571D2}"/>
    <cellStyle name="Percent 2 4 10 2" xfId="5318" xr:uid="{501AF568-CEEE-430C-B5E2-BDA63CAB81D7}"/>
    <cellStyle name="Percent 2 4 11" xfId="2706" xr:uid="{40B2CB34-9AAF-408F-825E-2B53D4D3D6A8}"/>
    <cellStyle name="Percent 2 4 11 2" xfId="5319" xr:uid="{C6C1132C-6BC1-41A1-AA81-61CB64884EF2}"/>
    <cellStyle name="Percent 2 4 12" xfId="2707" xr:uid="{7682EED5-0552-490A-A3FC-DF321C4AFA85}"/>
    <cellStyle name="Percent 2 4 12 2" xfId="5320" xr:uid="{C25E46BB-40A5-4969-BA85-46B3A045A6C8}"/>
    <cellStyle name="Percent 2 4 13" xfId="2708" xr:uid="{92CBC8AA-6623-4AB7-BAAE-DD749410FED4}"/>
    <cellStyle name="Percent 2 4 13 2" xfId="5321" xr:uid="{DB01DFB9-4AAC-4FAE-A776-9323096CD15F}"/>
    <cellStyle name="Percent 2 4 14" xfId="2709" xr:uid="{DD0B7178-22B0-4747-A467-5A058C51D232}"/>
    <cellStyle name="Percent 2 4 14 2" xfId="5322" xr:uid="{B2F7049B-7BAC-490B-A788-62690D2AC58B}"/>
    <cellStyle name="Percent 2 4 15" xfId="2710" xr:uid="{B3A6450E-F89B-4A24-96EB-7508ECE832CF}"/>
    <cellStyle name="Percent 2 4 15 2" xfId="5323" xr:uid="{9514C4B9-7064-4C43-9E92-837FE5F0C02A}"/>
    <cellStyle name="Percent 2 4 16" xfId="2711" xr:uid="{19280348-99F9-4622-9A04-F7C9CF91FBD8}"/>
    <cellStyle name="Percent 2 4 16 2" xfId="5324" xr:uid="{23FF8054-0524-4A48-B2D3-A38E22D8BB04}"/>
    <cellStyle name="Percent 2 4 17" xfId="5317" xr:uid="{EC1A6DC4-1EA4-4BF3-817E-B295102969C2}"/>
    <cellStyle name="Percent 2 4 2" xfId="2712" xr:uid="{02FAC144-392F-41AB-994C-F37B7ECE9ED9}"/>
    <cellStyle name="Percent 2 4 2 2" xfId="5325" xr:uid="{B4113DD6-A06E-42F4-821C-5E986B4B8AC9}"/>
    <cellStyle name="Percent 2 4 3" xfId="2713" xr:uid="{9AF12882-7776-417E-8337-319BA455F884}"/>
    <cellStyle name="Percent 2 4 3 2" xfId="5326" xr:uid="{C66C2E34-AAB0-4185-9300-FDE3B405B35B}"/>
    <cellStyle name="Percent 2 4 4" xfId="2714" xr:uid="{659A07DE-0FC8-43D8-904F-E329029CD07B}"/>
    <cellStyle name="Percent 2 4 4 2" xfId="5327" xr:uid="{CCF32F6A-E10D-4A30-B0FD-43E9FA79AB6D}"/>
    <cellStyle name="Percent 2 4 5" xfId="2715" xr:uid="{9E2A58DA-F401-4088-94CF-76BDB47A8C08}"/>
    <cellStyle name="Percent 2 4 5 2" xfId="5328" xr:uid="{837584FF-9B3C-4D9F-BE88-B14BCC67A1A1}"/>
    <cellStyle name="Percent 2 4 6" xfId="2716" xr:uid="{DDC3EC5C-AB89-4264-B8FA-F35186C97317}"/>
    <cellStyle name="Percent 2 4 6 2" xfId="5329" xr:uid="{DF72B104-9119-4A3B-84E2-EE4294AD2ED8}"/>
    <cellStyle name="Percent 2 4 7" xfId="2717" xr:uid="{9A2D45BA-20C3-4D37-90F4-EEB31F980CF3}"/>
    <cellStyle name="Percent 2 4 7 2" xfId="5330" xr:uid="{41182A98-3940-4ADD-9D78-576F48B93D1B}"/>
    <cellStyle name="Percent 2 4 8" xfId="2718" xr:uid="{57CF7CA2-75E2-4383-A51D-98B9E36FD219}"/>
    <cellStyle name="Percent 2 4 8 2" xfId="5331" xr:uid="{5879FF5A-937F-4FAC-9310-B1A0992CB74A}"/>
    <cellStyle name="Percent 2 4 9" xfId="2719" xr:uid="{F3EBF82E-A535-453C-8849-FA86162D2247}"/>
    <cellStyle name="Percent 2 4 9 2" xfId="5332" xr:uid="{55903BC1-3562-4DA0-9CDA-9D0DD538FCF8}"/>
    <cellStyle name="Percent 2 40" xfId="2720" xr:uid="{05135658-EC42-4CA0-8FB5-E493996501C9}"/>
    <cellStyle name="Percent 2 40 2" xfId="5333" xr:uid="{36EE7129-F5F5-4AD9-888E-8FB00071701E}"/>
    <cellStyle name="Percent 2 41" xfId="2721" xr:uid="{3650A4F7-F522-4AA5-8BDF-DCBB5671B315}"/>
    <cellStyle name="Percent 2 41 2" xfId="5334" xr:uid="{9C1683F4-36E6-442A-954D-4F21A713DEF3}"/>
    <cellStyle name="Percent 2 42" xfId="2722" xr:uid="{CC1D454E-85AC-4174-AC3C-626BEED0FD84}"/>
    <cellStyle name="Percent 2 42 2" xfId="5335" xr:uid="{49CBF892-5647-44A1-ABFA-B6D7E39876BE}"/>
    <cellStyle name="Percent 2 43" xfId="2723" xr:uid="{0C49468F-B185-481D-A908-B128DDCEA07D}"/>
    <cellStyle name="Percent 2 43 2" xfId="5336" xr:uid="{43F0E757-37DA-482B-B99C-EEC4D9C1D04D}"/>
    <cellStyle name="Percent 2 44" xfId="2724" xr:uid="{1447B0DB-775D-4325-86D0-1C27DE436360}"/>
    <cellStyle name="Percent 2 44 2" xfId="5337" xr:uid="{6ACB7AC2-FA60-40B9-AA3E-047B4E310A52}"/>
    <cellStyle name="Percent 2 45" xfId="2725" xr:uid="{F930E697-2DBF-4218-A6EC-715D9BDE32D4}"/>
    <cellStyle name="Percent 2 45 2" xfId="5338" xr:uid="{C7D83426-375B-44D3-8A34-6363838ADA04}"/>
    <cellStyle name="Percent 2 46" xfId="2726" xr:uid="{85585CB9-2067-47DF-905D-7DC5E247F8AF}"/>
    <cellStyle name="Percent 2 46 2" xfId="5339" xr:uid="{80B2348C-FC4E-45EF-AF50-660BC3A11198}"/>
    <cellStyle name="Percent 2 47" xfId="2727" xr:uid="{3D241563-8BE0-4178-972E-7DF71900398E}"/>
    <cellStyle name="Percent 2 47 2" xfId="5340" xr:uid="{9B52568E-D508-4C2E-8B26-922F8F46A165}"/>
    <cellStyle name="Percent 2 48" xfId="2728" xr:uid="{80DF68E1-BCCB-427D-87BB-757FDC2C60C2}"/>
    <cellStyle name="Percent 2 48 2" xfId="2729" xr:uid="{61C2B6F8-0C45-461E-8852-447D7D0E3C10}"/>
    <cellStyle name="Percent 2 48 2 2" xfId="5342" xr:uid="{C6D77966-8D61-4126-B926-55B8B639A251}"/>
    <cellStyle name="Percent 2 48 3" xfId="5343" xr:uid="{D5A68BA8-5641-4171-905F-4CE5B150A765}"/>
    <cellStyle name="Percent 2 48 4" xfId="5341" xr:uid="{DF97D271-A109-44A6-849B-9A8043A03EB8}"/>
    <cellStyle name="Percent 2 49" xfId="2730" xr:uid="{A741EDEC-AABD-4BAA-933A-E636AFD3DC6A}"/>
    <cellStyle name="Percent 2 49 2" xfId="5345" xr:uid="{771E0D65-854E-4AA4-B6DA-F4F71DD8FD23}"/>
    <cellStyle name="Percent 2 49 3" xfId="5344" xr:uid="{B80BE91B-5ACF-4072-B631-4BC443869A28}"/>
    <cellStyle name="Percent 2 5" xfId="274" xr:uid="{D50B7779-34A4-4822-9E76-48A5482024AE}"/>
    <cellStyle name="Percent 2 5 10" xfId="2731" xr:uid="{E9F6694F-D922-4CE9-8855-AACD7C449755}"/>
    <cellStyle name="Percent 2 5 10 2" xfId="5347" xr:uid="{4CD0E76C-AA18-406E-95DA-9C377EA48DAC}"/>
    <cellStyle name="Percent 2 5 11" xfId="2732" xr:uid="{431FE580-CA2A-4C1B-AB4A-6187BAE074F6}"/>
    <cellStyle name="Percent 2 5 11 2" xfId="5348" xr:uid="{2ED460C8-C4C6-4DA0-B782-104DCA1E69A4}"/>
    <cellStyle name="Percent 2 5 12" xfId="2733" xr:uid="{B8A17FC3-875C-4749-A2EF-B9F95AADD95C}"/>
    <cellStyle name="Percent 2 5 12 2" xfId="5349" xr:uid="{8B4B6BD7-CF1D-4038-93AF-D6F4BB5AC129}"/>
    <cellStyle name="Percent 2 5 13" xfId="2734" xr:uid="{AA9C34B1-B892-45D2-BE44-5BEA74216160}"/>
    <cellStyle name="Percent 2 5 13 2" xfId="5350" xr:uid="{E0820D36-7F4E-48CB-881F-275C1DB83230}"/>
    <cellStyle name="Percent 2 5 14" xfId="2735" xr:uid="{588AE338-5AE3-462C-8CDF-890E1BD423DD}"/>
    <cellStyle name="Percent 2 5 14 2" xfId="5351" xr:uid="{2AA4CF8C-A0A1-4395-9763-136885B741DA}"/>
    <cellStyle name="Percent 2 5 15" xfId="2736" xr:uid="{9F86DC98-619B-435B-AA8F-DBD16097B887}"/>
    <cellStyle name="Percent 2 5 15 2" xfId="5352" xr:uid="{35D77951-3D44-4785-B035-49AA4724558F}"/>
    <cellStyle name="Percent 2 5 16" xfId="5346" xr:uid="{6B27C0EC-7BC8-4960-B7F9-2002DA2180BE}"/>
    <cellStyle name="Percent 2 5 2" xfId="2737" xr:uid="{A4D37A57-6BD5-47CB-BDCB-59B92710C187}"/>
    <cellStyle name="Percent 2 5 2 2" xfId="5353" xr:uid="{67054AC1-B141-44E6-BCEB-744E5B229E0E}"/>
    <cellStyle name="Percent 2 5 3" xfId="2738" xr:uid="{55BCD19E-1787-4A80-8D46-D2E1BA44021B}"/>
    <cellStyle name="Percent 2 5 3 2" xfId="5354" xr:uid="{42A97E36-7CA7-432E-829F-125BBB0BA252}"/>
    <cellStyle name="Percent 2 5 4" xfId="2739" xr:uid="{D542AF84-B533-48C5-A3B1-8A99C39C4E70}"/>
    <cellStyle name="Percent 2 5 4 2" xfId="5355" xr:uid="{FE085DBD-0DA3-4581-A6A2-B6B80F9971E3}"/>
    <cellStyle name="Percent 2 5 5" xfId="2740" xr:uid="{558C96BF-D7B2-4118-88BC-CB5996DD326C}"/>
    <cellStyle name="Percent 2 5 5 2" xfId="5356" xr:uid="{3F4DDCDF-D8F7-4ACB-B7A9-5C6074963530}"/>
    <cellStyle name="Percent 2 5 6" xfId="2741" xr:uid="{2FC1F951-C706-42F9-8035-692941FAA1C0}"/>
    <cellStyle name="Percent 2 5 6 2" xfId="5357" xr:uid="{3ABFC09E-AECF-4173-B763-208FF632F264}"/>
    <cellStyle name="Percent 2 5 7" xfId="2742" xr:uid="{63751E6F-5025-486C-A574-E0E1C439887B}"/>
    <cellStyle name="Percent 2 5 7 2" xfId="5358" xr:uid="{581F156C-BA3B-4093-89FE-EA57757AE964}"/>
    <cellStyle name="Percent 2 5 8" xfId="2743" xr:uid="{3BDF5CEA-F1F1-477B-9265-A54722C07CCD}"/>
    <cellStyle name="Percent 2 5 8 2" xfId="5359" xr:uid="{3148E230-B364-4319-B80A-37BEFD5625AD}"/>
    <cellStyle name="Percent 2 5 9" xfId="2744" xr:uid="{7ADFCE35-E573-4A81-B675-1D8A7460C98E}"/>
    <cellStyle name="Percent 2 5 9 2" xfId="5360" xr:uid="{126954D7-CA8E-430C-BF50-2869EB6D28A6}"/>
    <cellStyle name="Percent 2 6" xfId="2745" xr:uid="{A193CD2F-543D-4190-8547-33092488A30E}"/>
    <cellStyle name="Percent 2 6 10" xfId="2746" xr:uid="{D29387A5-5BE2-445A-B4B2-0C196633DED7}"/>
    <cellStyle name="Percent 2 6 10 2" xfId="5362" xr:uid="{32E8D171-2765-4024-B568-7EC5D5B63DD2}"/>
    <cellStyle name="Percent 2 6 11" xfId="2747" xr:uid="{C3C0F35F-DF22-412E-9352-6A12850EE745}"/>
    <cellStyle name="Percent 2 6 11 2" xfId="5363" xr:uid="{1F4E0318-2059-4129-98C2-31082CF7EF41}"/>
    <cellStyle name="Percent 2 6 12" xfId="2748" xr:uid="{4E7136DB-DFEC-4070-A7C6-8213DD750B41}"/>
    <cellStyle name="Percent 2 6 12 2" xfId="5364" xr:uid="{0814F388-1DCC-4C50-A35C-0405BF6F534D}"/>
    <cellStyle name="Percent 2 6 13" xfId="2749" xr:uid="{F365D114-7DC6-465C-8C01-EC38778F8B23}"/>
    <cellStyle name="Percent 2 6 13 2" xfId="5365" xr:uid="{C86DA7C0-93F1-4BA5-9E89-DEFCF10C691A}"/>
    <cellStyle name="Percent 2 6 14" xfId="2750" xr:uid="{05A8435B-C7F4-458F-AB3B-9BA5CF6EF4BF}"/>
    <cellStyle name="Percent 2 6 14 2" xfId="5366" xr:uid="{7E61152E-8403-48C4-A9C1-009E11CCBDF6}"/>
    <cellStyle name="Percent 2 6 15" xfId="2751" xr:uid="{DB6FBDDA-C78B-48B7-A7B2-8B48C0E5FBF0}"/>
    <cellStyle name="Percent 2 6 15 2" xfId="5367" xr:uid="{E04D932B-1B0C-46BC-BF3E-F80DB48421BE}"/>
    <cellStyle name="Percent 2 6 16" xfId="5361" xr:uid="{D505E062-7AF4-4B3A-8DBD-85B3AE2B024B}"/>
    <cellStyle name="Percent 2 6 2" xfId="2752" xr:uid="{2A52D850-B8EC-4426-9D55-820E08BAE71B}"/>
    <cellStyle name="Percent 2 6 2 2" xfId="5368" xr:uid="{E0099219-DC50-4691-BA85-CEBC935E66D3}"/>
    <cellStyle name="Percent 2 6 3" xfId="2753" xr:uid="{3BF50D62-DE17-464A-B327-6D6DD93A375B}"/>
    <cellStyle name="Percent 2 6 3 2" xfId="5369" xr:uid="{65204558-7D72-4A46-976F-A64FBA5566ED}"/>
    <cellStyle name="Percent 2 6 4" xfId="2754" xr:uid="{7AEF353E-29BE-40BD-A1AF-48ABD3181D19}"/>
    <cellStyle name="Percent 2 6 4 2" xfId="5370" xr:uid="{8D97AD8C-A367-41F7-B2BE-466C52E76C91}"/>
    <cellStyle name="Percent 2 6 5" xfId="2755" xr:uid="{5AA72BF7-DD12-4A73-8456-29F2DFC8434C}"/>
    <cellStyle name="Percent 2 6 5 2" xfId="5371" xr:uid="{9C6E58AB-D4B0-4C13-BE1A-ECBDC1B398F3}"/>
    <cellStyle name="Percent 2 6 6" xfId="2756" xr:uid="{AB2FB45B-1049-48EB-974C-A4F4176E558E}"/>
    <cellStyle name="Percent 2 6 6 2" xfId="5372" xr:uid="{5B0F4C62-E2ED-49C0-815E-AA0D715D7109}"/>
    <cellStyle name="Percent 2 6 7" xfId="2757" xr:uid="{9B2472CB-7AAF-4E22-86F9-E6E0ED17FD78}"/>
    <cellStyle name="Percent 2 6 7 2" xfId="5373" xr:uid="{C475C72E-9198-41EB-BAEC-1C07F5F5ECB3}"/>
    <cellStyle name="Percent 2 6 8" xfId="2758" xr:uid="{101C08DC-8411-4137-A185-D377BDEEBA63}"/>
    <cellStyle name="Percent 2 6 8 2" xfId="5374" xr:uid="{DCA38C97-BF4B-473E-8616-895991455134}"/>
    <cellStyle name="Percent 2 6 9" xfId="2759" xr:uid="{8C00A805-AC50-4683-AB73-3CC5FC99DCDE}"/>
    <cellStyle name="Percent 2 6 9 2" xfId="5375" xr:uid="{F3AA46F6-ED71-4F27-AAC3-6F2C29D83445}"/>
    <cellStyle name="Percent 2 7" xfId="2760" xr:uid="{49D66E03-3410-4D0F-8975-259AE449658B}"/>
    <cellStyle name="Percent 2 7 2" xfId="2761" xr:uid="{C40DC8BD-6622-41E5-8F80-2D3FEDA4BE34}"/>
    <cellStyle name="Percent 2 7 2 2" xfId="5377" xr:uid="{09FE7FBE-F9E6-4811-8EF2-1F16BDCA5B4B}"/>
    <cellStyle name="Percent 2 7 3" xfId="4719" xr:uid="{233CD424-FC85-48C8-9160-83503515681C}"/>
    <cellStyle name="Percent 2 7 3 2" xfId="5378" xr:uid="{3018F33F-3C70-43F8-83A8-3932B0877B22}"/>
    <cellStyle name="Percent 2 7 4" xfId="4720" xr:uid="{01384AD2-5963-4202-B5CF-5BFC5FB25E0A}"/>
    <cellStyle name="Percent 2 7 4 2" xfId="5379" xr:uid="{348EA263-1206-4562-A944-4C79A3C819C8}"/>
    <cellStyle name="Percent 2 7 5" xfId="4721" xr:uid="{9169C8EE-462A-4D48-8A1B-2B3F29FA96F8}"/>
    <cellStyle name="Percent 2 7 5 2" xfId="5380" xr:uid="{36434B23-A8C1-4BC9-96E1-5D5C1360D731}"/>
    <cellStyle name="Percent 2 7 6" xfId="4722" xr:uid="{DD843DD8-6811-4A15-92C9-1C79D86E38E1}"/>
    <cellStyle name="Percent 2 7 6 2" xfId="5381" xr:uid="{026FD3F8-B711-4EF9-854A-0ACC40F935B7}"/>
    <cellStyle name="Percent 2 7 7" xfId="4723" xr:uid="{43490F0F-5FBD-4A08-A566-C63D9A61970D}"/>
    <cellStyle name="Percent 2 7 7 2" xfId="5382" xr:uid="{EDF05D1B-C121-4976-A94B-D5F33BC42DC5}"/>
    <cellStyle name="Percent 2 7 8" xfId="4724" xr:uid="{A95531D0-AF40-4F09-892F-F7F21F579E77}"/>
    <cellStyle name="Percent 2 7 8 2" xfId="5383" xr:uid="{BDC4E7F7-3D20-4D59-BF1C-26258177D0DD}"/>
    <cellStyle name="Percent 2 7 9" xfId="5376" xr:uid="{D92CF848-B567-4B65-9744-51DDC2D1C829}"/>
    <cellStyle name="Percent 2 8" xfId="2762" xr:uid="{F4F27C8D-61B3-4CA3-90E7-EAC0D75101AE}"/>
    <cellStyle name="Percent 2 8 10" xfId="5384" xr:uid="{875F9710-A105-4838-9030-62B73ADB0F30}"/>
    <cellStyle name="Percent 2 8 2" xfId="2763" xr:uid="{20B661A9-0F3E-4AE3-93AE-515B45CE4940}"/>
    <cellStyle name="Percent 2 8 2 2" xfId="5386" xr:uid="{EC499073-0DB0-4BC6-BF14-085FE7BDB702}"/>
    <cellStyle name="Percent 2 8 2 3" xfId="5385" xr:uid="{BCF52DB1-672E-4E06-B7CF-246C1D156EFE}"/>
    <cellStyle name="Percent 2 8 3" xfId="4725" xr:uid="{2F4F5DC5-DB2C-4A2B-AD1C-43B8F17F9A66}"/>
    <cellStyle name="Percent 2 8 3 2" xfId="5388" xr:uid="{C14C3EFB-EA9B-42E6-B2FC-A30F2F4695B1}"/>
    <cellStyle name="Percent 2 8 3 3" xfId="5387" xr:uid="{743BB8B1-762D-4DA0-864A-6F51251EB7A5}"/>
    <cellStyle name="Percent 2 8 4" xfId="4726" xr:uid="{27AC7937-2022-4DC2-8719-37E41F4F4610}"/>
    <cellStyle name="Percent 2 8 4 2" xfId="5390" xr:uid="{BBBAC6BB-1FD2-441C-927C-1EA5E5C6F191}"/>
    <cellStyle name="Percent 2 8 4 3" xfId="5389" xr:uid="{89C40851-A322-4333-BA43-A54E2568A9B0}"/>
    <cellStyle name="Percent 2 8 5" xfId="4727" xr:uid="{43D4656E-41BF-41CD-97FF-0018CC138508}"/>
    <cellStyle name="Percent 2 8 5 2" xfId="5392" xr:uid="{CEA7305D-1775-46BE-8870-9B1EC50E6470}"/>
    <cellStyle name="Percent 2 8 5 3" xfId="5391" xr:uid="{484E9205-44AE-41BA-BC92-1F290BF2C5B4}"/>
    <cellStyle name="Percent 2 8 6" xfId="4728" xr:uid="{809F381C-44FE-4058-ACA3-34EB52F8B334}"/>
    <cellStyle name="Percent 2 8 6 2" xfId="5394" xr:uid="{95F9E26E-5090-4C78-858D-4EC11700F225}"/>
    <cellStyle name="Percent 2 8 6 3" xfId="5393" xr:uid="{DDC02757-2785-4019-815B-4E1E87E6F295}"/>
    <cellStyle name="Percent 2 8 7" xfId="4729" xr:uid="{AA6EAE90-6BEE-4710-88E0-F25E537FB638}"/>
    <cellStyle name="Percent 2 8 7 2" xfId="5396" xr:uid="{AB0EE854-48CC-4841-A4C2-49460574BA2F}"/>
    <cellStyle name="Percent 2 8 7 3" xfId="5395" xr:uid="{6DE09ED5-0A3D-4B2D-92DD-F347B4F1FE79}"/>
    <cellStyle name="Percent 2 8 8" xfId="4730" xr:uid="{D6FA2869-FCF9-4B0C-B9DC-24A70B7F86D9}"/>
    <cellStyle name="Percent 2 8 8 2" xfId="5398" xr:uid="{5BCBE33E-DB09-464F-B178-4B1B61D9E323}"/>
    <cellStyle name="Percent 2 8 8 3" xfId="5397" xr:uid="{B5E175CF-1EF5-45F0-B657-C2BE9563D66D}"/>
    <cellStyle name="Percent 2 8 9" xfId="5399" xr:uid="{87676448-5C31-4C94-8CB5-30F1F026F2DE}"/>
    <cellStyle name="Percent 2 9" xfId="2764" xr:uid="{0113EDDE-55E9-49A4-BD8C-34D3F2B5F37F}"/>
    <cellStyle name="Percent 2 9 10" xfId="5400" xr:uid="{689B6B18-036D-41EB-913A-8A7BAD0F3B1A}"/>
    <cellStyle name="Percent 2 9 2" xfId="2765" xr:uid="{80436D24-27FB-43C7-8C3C-33E8A5C9E3EA}"/>
    <cellStyle name="Percent 2 9 2 2" xfId="5402" xr:uid="{0C16ECDE-87A4-4513-8981-0EEE72A58EB3}"/>
    <cellStyle name="Percent 2 9 2 3" xfId="5401" xr:uid="{6E056DC2-45DF-4F8D-862B-4DCBF8327BFA}"/>
    <cellStyle name="Percent 2 9 3" xfId="4731" xr:uid="{2CAE37E7-9688-4B18-9E12-24A539D7B526}"/>
    <cellStyle name="Percent 2 9 3 2" xfId="5404" xr:uid="{ED9273D4-BD60-49F9-A9A1-BBFCFF52E151}"/>
    <cellStyle name="Percent 2 9 3 3" xfId="5403" xr:uid="{306BDDC4-5E24-4835-A007-28229730EF21}"/>
    <cellStyle name="Percent 2 9 4" xfId="4732" xr:uid="{D8B5FA9D-9A54-460B-BA79-B3D7D683AD48}"/>
    <cellStyle name="Percent 2 9 4 2" xfId="5406" xr:uid="{D2A22C19-9D2F-42D9-904A-5C1B9FB2A562}"/>
    <cellStyle name="Percent 2 9 4 3" xfId="5405" xr:uid="{86B58608-4FA8-44A9-B4BF-D8051862B79A}"/>
    <cellStyle name="Percent 2 9 5" xfId="4733" xr:uid="{21F480DA-14E6-4035-ACCD-2BBA31B463A2}"/>
    <cellStyle name="Percent 2 9 5 2" xfId="5408" xr:uid="{FF13EF8D-59EF-47FF-B343-85BF89FA4BBD}"/>
    <cellStyle name="Percent 2 9 5 3" xfId="5407" xr:uid="{89C5868F-9AB2-4776-8B95-8DA254CFCCF1}"/>
    <cellStyle name="Percent 2 9 6" xfId="4734" xr:uid="{0E83FCF6-28F4-4FFA-84F1-263FE4414D7F}"/>
    <cellStyle name="Percent 2 9 6 2" xfId="5410" xr:uid="{6DB86149-C42B-4D41-B3A9-D7481D2E385F}"/>
    <cellStyle name="Percent 2 9 6 3" xfId="5409" xr:uid="{B33C7005-738C-4588-92BD-5D047D3EE595}"/>
    <cellStyle name="Percent 2 9 7" xfId="4735" xr:uid="{C124646D-520A-4077-8662-0D86CF238D50}"/>
    <cellStyle name="Percent 2 9 7 2" xfId="5412" xr:uid="{DD0CA775-1752-445F-A89A-C374AC0DC46D}"/>
    <cellStyle name="Percent 2 9 7 3" xfId="5411" xr:uid="{B426F513-10B4-476F-B00C-07D815EB083F}"/>
    <cellStyle name="Percent 2 9 8" xfId="4736" xr:uid="{3DDCA37C-A621-4AC9-B956-603905A59A80}"/>
    <cellStyle name="Percent 2 9 8 2" xfId="5414" xr:uid="{36B11D98-5677-4A14-B171-5D75E71F39E7}"/>
    <cellStyle name="Percent 2 9 8 3" xfId="5413" xr:uid="{27DF5315-D225-4B09-ADB8-7E08C4C40D1A}"/>
    <cellStyle name="Percent 2 9 9" xfId="5415" xr:uid="{33B9F8D1-02A3-4887-8329-C0DA1B6EBF0C}"/>
    <cellStyle name="Percent 20" xfId="2766" xr:uid="{93D5DE7B-938D-4833-A37D-91DE34329D4D}"/>
    <cellStyle name="Percent 20 10" xfId="5416" xr:uid="{6A01C8F2-C016-490F-A30B-138CCA17AAE1}"/>
    <cellStyle name="Percent 20 2" xfId="2767" xr:uid="{52F08FDC-AD10-46F3-B270-08DA313624A1}"/>
    <cellStyle name="Percent 20 2 2" xfId="5418" xr:uid="{925D6CC8-99C1-4E19-94AB-850A752ACB85}"/>
    <cellStyle name="Percent 20 2 2 2" xfId="5419" xr:uid="{4F2EEA04-2818-4BBB-8D75-12F53A3A2770}"/>
    <cellStyle name="Percent 20 2 3" xfId="5420" xr:uid="{6B5D1F06-FFDF-4F48-8CD4-C0C9129DEDC0}"/>
    <cellStyle name="Percent 20 2 4" xfId="5417" xr:uid="{CE551BEB-5C3C-496A-8BAE-5987A3705449}"/>
    <cellStyle name="Percent 20 3" xfId="2768" xr:uid="{69553981-1700-4D3D-89C8-E792247D5E66}"/>
    <cellStyle name="Percent 20 3 2" xfId="5422" xr:uid="{15A8ADA3-0844-4C89-8120-A447D5E9CE32}"/>
    <cellStyle name="Percent 20 3 3" xfId="5421" xr:uid="{72EEED34-D730-4E4A-AA46-4790323D11F6}"/>
    <cellStyle name="Percent 20 4" xfId="2769" xr:uid="{12FF2461-6C2B-4121-A3E8-B737245D14C0}"/>
    <cellStyle name="Percent 20 4 2" xfId="5424" xr:uid="{4C754F41-FA86-4156-9AEA-EBA0FA31D0A2}"/>
    <cellStyle name="Percent 20 4 3" xfId="5423" xr:uid="{43EAB5D7-79A3-4256-8D66-22A039AB4422}"/>
    <cellStyle name="Percent 20 5" xfId="2770" xr:uid="{C3C150B8-6D07-429A-8241-7B679113D4EC}"/>
    <cellStyle name="Percent 20 5 2" xfId="5426" xr:uid="{FAC26017-64E4-4F28-88FF-7B5A4BD1BB54}"/>
    <cellStyle name="Percent 20 5 3" xfId="5425" xr:uid="{81723DE8-A085-4BD0-8DAD-E04E9C1D3F54}"/>
    <cellStyle name="Percent 20 6" xfId="2771" xr:uid="{EDA3C1DD-2321-425F-A713-7ACE733290A6}"/>
    <cellStyle name="Percent 20 6 2" xfId="5428" xr:uid="{A8F13396-FFA3-4BF3-BA46-302BA4DBFF35}"/>
    <cellStyle name="Percent 20 6 3" xfId="5427" xr:uid="{1809028C-7892-4A08-9368-FB98B53BEC8F}"/>
    <cellStyle name="Percent 20 7" xfId="2772" xr:uid="{21B28CCC-95A5-4EFE-AFB2-237590FF4D1F}"/>
    <cellStyle name="Percent 20 7 2" xfId="2773" xr:uid="{799842DD-BCF2-4B5B-A0B8-9AF9FB51AB78}"/>
    <cellStyle name="Percent 20 7 2 2" xfId="5431" xr:uid="{FA961517-59E2-4249-A262-B80A330FAEA5}"/>
    <cellStyle name="Percent 20 7 2 3" xfId="5430" xr:uid="{0238D2B3-01EE-4AF8-8BD9-51761089FEEC}"/>
    <cellStyle name="Percent 20 7 3" xfId="2774" xr:uid="{6BED5A44-72D6-4D4C-B547-64D4DC6ABF4A}"/>
    <cellStyle name="Percent 20 7 3 2" xfId="5433" xr:uid="{AB677F5F-03E3-4A16-906E-0F6F5EC28614}"/>
    <cellStyle name="Percent 20 7 3 3" xfId="5432" xr:uid="{B6CC7DA6-3D19-4961-A2C4-55ED8E8EFC18}"/>
    <cellStyle name="Percent 20 7 4" xfId="5434" xr:uid="{1668537A-2661-4C02-B2B7-F195DED18514}"/>
    <cellStyle name="Percent 20 7 5" xfId="5429" xr:uid="{D668267A-94A7-4C45-B975-192F59BEC5EF}"/>
    <cellStyle name="Percent 20 8" xfId="5435" xr:uid="{812FC7A9-F3E8-4C02-B762-36C09BBC7247}"/>
    <cellStyle name="Percent 20 8 2" xfId="5436" xr:uid="{00422EC4-9222-456D-B71F-F4CACC8BCA0F}"/>
    <cellStyle name="Percent 20 9" xfId="5437" xr:uid="{D7316D9D-6C88-438A-9B00-795B4B6F2149}"/>
    <cellStyle name="Percent 21" xfId="2775" xr:uid="{A3F1A896-4003-4F00-82BC-CDFA1552594A}"/>
    <cellStyle name="Percent 21 2" xfId="2776" xr:uid="{A284B558-430C-4B4D-A289-68CC90817B82}"/>
    <cellStyle name="Percent 21 2 2" xfId="5440" xr:uid="{E8F05BF6-52EB-439A-B2CB-26183265E16B}"/>
    <cellStyle name="Percent 21 2 3" xfId="5439" xr:uid="{9D21EBCA-E260-433C-A5CA-E93213BBABCC}"/>
    <cellStyle name="Percent 21 3" xfId="2777" xr:uid="{AB2F2B06-DCE2-407F-9810-533CB63448BA}"/>
    <cellStyle name="Percent 21 3 2" xfId="5442" xr:uid="{7836064B-CA83-46A7-9CF1-7A70E9B7010B}"/>
    <cellStyle name="Percent 21 3 3" xfId="5441" xr:uid="{9365F4D2-CC02-4055-9AD8-35185A48D8EB}"/>
    <cellStyle name="Percent 21 4" xfId="2778" xr:uid="{122EC9A6-16C0-4AFB-93AE-4E4809E85A52}"/>
    <cellStyle name="Percent 21 4 2" xfId="5444" xr:uid="{6B40CA26-EA89-498C-A864-A56193711C8A}"/>
    <cellStyle name="Percent 21 4 3" xfId="5443" xr:uid="{1BF09E36-A3B4-49A0-87B2-E6AC1CDC03FA}"/>
    <cellStyle name="Percent 21 5" xfId="2779" xr:uid="{788B32D3-EBD7-485C-B86F-AABF06F27CA4}"/>
    <cellStyle name="Percent 21 5 2" xfId="5446" xr:uid="{FC47253B-14D2-4811-8ABB-92A5B810C619}"/>
    <cellStyle name="Percent 21 5 3" xfId="5445" xr:uid="{76F57CEE-71F1-408C-B98D-EDE3FA283BB1}"/>
    <cellStyle name="Percent 21 6" xfId="2780" xr:uid="{3138FAE1-6E9D-458A-A103-FE2F132DEE5A}"/>
    <cellStyle name="Percent 21 6 2" xfId="5448" xr:uid="{A3CE5B93-8BA4-4D3C-8668-896F99A1A150}"/>
    <cellStyle name="Percent 21 6 3" xfId="5447" xr:uid="{5085FC67-7223-4F6A-8034-B4B7070EDCF4}"/>
    <cellStyle name="Percent 21 7" xfId="2781" xr:uid="{EC85BAB3-F8EF-4790-A6E2-261253012B74}"/>
    <cellStyle name="Percent 21 7 2" xfId="2782" xr:uid="{DEBFB590-2C0B-42AF-98B8-07197F0F2904}"/>
    <cellStyle name="Percent 21 7 2 2" xfId="5451" xr:uid="{FB25563B-21D4-43D2-ADA3-CD29D2551D05}"/>
    <cellStyle name="Percent 21 7 2 3" xfId="5450" xr:uid="{8A35748D-E917-4ABD-BC81-64590E450D6D}"/>
    <cellStyle name="Percent 21 7 3" xfId="2783" xr:uid="{E197AA77-D084-4CF7-8D72-EC7285F993E4}"/>
    <cellStyle name="Percent 21 7 3 2" xfId="5453" xr:uid="{CD839A22-1FD5-4D94-85D5-8BEBB08DB767}"/>
    <cellStyle name="Percent 21 7 3 3" xfId="5452" xr:uid="{E15236B9-5619-4DBC-ADDC-E9B0C55DBF43}"/>
    <cellStyle name="Percent 21 7 4" xfId="5454" xr:uid="{6BE6ACD6-D9F4-4F60-96A0-DCDBAD1B3C9A}"/>
    <cellStyle name="Percent 21 7 5" xfId="5449" xr:uid="{5F9D64D6-A86D-412A-A002-A36BA9F28279}"/>
    <cellStyle name="Percent 21 8" xfId="5455" xr:uid="{5F973A8A-A48D-44E7-B6E9-2B87BDB4ED7F}"/>
    <cellStyle name="Percent 21 9" xfId="5438" xr:uid="{9EEA813A-6AA7-4482-8556-C8E61844EB8A}"/>
    <cellStyle name="Percent 22" xfId="2784" xr:uid="{B178705C-5822-4703-B0A1-C9FC6776D4BF}"/>
    <cellStyle name="Percent 22 2" xfId="2785" xr:uid="{9C3DD27C-2E17-40B3-B0B6-21E878BD3AE4}"/>
    <cellStyle name="Percent 22 2 2" xfId="5458" xr:uid="{0DC9A55A-6FB2-4B35-93D1-D21069655A4C}"/>
    <cellStyle name="Percent 22 2 3" xfId="5457" xr:uid="{612BAF26-0A38-4AD7-9A3F-959891D0493E}"/>
    <cellStyle name="Percent 22 3" xfId="2786" xr:uid="{5439FCE9-9159-40DF-BED3-F1F9ACD11732}"/>
    <cellStyle name="Percent 22 3 2" xfId="5460" xr:uid="{DBABC66E-4A3F-42FE-BB4E-7F99DAF0F9DF}"/>
    <cellStyle name="Percent 22 3 3" xfId="5459" xr:uid="{E75EB63B-E86B-42A9-8AAF-71EE12659B9E}"/>
    <cellStyle name="Percent 22 4" xfId="2787" xr:uid="{0970B4F6-345D-42C9-A986-87713E2B8FB7}"/>
    <cellStyle name="Percent 22 4 2" xfId="5462" xr:uid="{EBC174CD-D66F-4689-986D-96EA042CE2B5}"/>
    <cellStyle name="Percent 22 4 3" xfId="5461" xr:uid="{1C20434F-35CF-42AC-8386-A34B150C447E}"/>
    <cellStyle name="Percent 22 5" xfId="2788" xr:uid="{5D622077-048F-4AD2-8769-962C69261AE2}"/>
    <cellStyle name="Percent 22 5 2" xfId="5464" xr:uid="{FD6BADED-D655-45E6-92CD-5022EE3338C5}"/>
    <cellStyle name="Percent 22 5 3" xfId="5463" xr:uid="{B574A27C-B76F-4A08-9AE9-8659FB3A55D5}"/>
    <cellStyle name="Percent 22 6" xfId="2789" xr:uid="{61336DB0-8670-43B0-91EB-7A3979305386}"/>
    <cellStyle name="Percent 22 6 2" xfId="5466" xr:uid="{8D8DA26C-C100-4757-97F9-7E09B38B4FFD}"/>
    <cellStyle name="Percent 22 6 3" xfId="5465" xr:uid="{77032C51-2C25-4AEE-A588-3CDA0668D50D}"/>
    <cellStyle name="Percent 22 7" xfId="2790" xr:uid="{4E548644-71BA-4715-A832-1F7063770CF3}"/>
    <cellStyle name="Percent 22 7 2" xfId="2791" xr:uid="{212C349F-07EB-4AF7-A3B3-6865A9653213}"/>
    <cellStyle name="Percent 22 7 2 2" xfId="5469" xr:uid="{9509014A-651A-47D5-8CA1-9025F52DAF8D}"/>
    <cellStyle name="Percent 22 7 2 3" xfId="5468" xr:uid="{51D9D119-8406-4F06-A457-FF3E58945B6C}"/>
    <cellStyle name="Percent 22 7 3" xfId="2792" xr:uid="{AC3D5798-F548-4827-AD32-4CE52AF8F536}"/>
    <cellStyle name="Percent 22 7 3 2" xfId="5471" xr:uid="{F2827EB5-A78A-45CA-92A9-BB365D0D507F}"/>
    <cellStyle name="Percent 22 7 3 3" xfId="5470" xr:uid="{5DC66291-E8EC-4873-81BA-DEDB2B016FE3}"/>
    <cellStyle name="Percent 22 7 4" xfId="5472" xr:uid="{0A4F196A-0B79-4205-A7DE-EBD747A55583}"/>
    <cellStyle name="Percent 22 7 5" xfId="5467" xr:uid="{297198D3-A71C-4529-982E-46EC8181581F}"/>
    <cellStyle name="Percent 22 8" xfId="5473" xr:uid="{7FBDB03A-730E-4CB5-BDAE-9F15F7EA1ACF}"/>
    <cellStyle name="Percent 22 9" xfId="5456" xr:uid="{AAA70E26-0342-4C03-BD67-FD6A85FD4102}"/>
    <cellStyle name="Percent 23" xfId="2793" xr:uid="{0EE1F2B0-2759-4137-8E27-340951126D75}"/>
    <cellStyle name="Percent 23 2" xfId="2794" xr:uid="{2DBDEDB4-B885-40C7-8497-420948384034}"/>
    <cellStyle name="Percent 23 2 2" xfId="5476" xr:uid="{C86E0D52-0585-4986-ADFE-7BDA075197E5}"/>
    <cellStyle name="Percent 23 2 3" xfId="5475" xr:uid="{CA338393-9580-4FC5-AE4D-16F67938C36F}"/>
    <cellStyle name="Percent 23 3" xfId="2795" xr:uid="{A60170F6-B6B2-4CEE-B993-8886D53C8A16}"/>
    <cellStyle name="Percent 23 3 2" xfId="5478" xr:uid="{1C08B9D9-CDF5-49DA-83F8-1E9B4D246EC1}"/>
    <cellStyle name="Percent 23 3 3" xfId="5477" xr:uid="{54B5D3C2-051A-47CB-8A05-06B3020328A5}"/>
    <cellStyle name="Percent 23 4" xfId="2796" xr:uid="{657D8498-A5CC-4FB4-8F25-EEF6B1700E15}"/>
    <cellStyle name="Percent 23 4 2" xfId="5480" xr:uid="{41CCD325-2D36-4F71-98F7-704AE343CBB9}"/>
    <cellStyle name="Percent 23 4 3" xfId="5479" xr:uid="{79AE6F21-1A7E-4205-91D3-3B335817896E}"/>
    <cellStyle name="Percent 23 5" xfId="2797" xr:uid="{A27285B9-B88E-4F0E-9152-A4FC13FCB48A}"/>
    <cellStyle name="Percent 23 5 2" xfId="5482" xr:uid="{E12A9BD6-EF5A-4F56-AFE0-57A45F6834B6}"/>
    <cellStyle name="Percent 23 5 3" xfId="5481" xr:uid="{EA00B58A-4CE9-4B4A-BFD5-074C82C4F2F0}"/>
    <cellStyle name="Percent 23 6" xfId="2798" xr:uid="{5F706C9A-A0FF-4CB6-98F3-BAAA1287C3A7}"/>
    <cellStyle name="Percent 23 6 2" xfId="5484" xr:uid="{0BA3FD4E-1439-4A2B-8EB4-956B34CF97A0}"/>
    <cellStyle name="Percent 23 6 3" xfId="5483" xr:uid="{00A2D045-E15C-4E78-B050-B7D34B616598}"/>
    <cellStyle name="Percent 23 7" xfId="2799" xr:uid="{FFDBE190-188F-4359-9314-8CA7745AD900}"/>
    <cellStyle name="Percent 23 7 2" xfId="2800" xr:uid="{DB835EB1-7727-4051-9D9C-95B2EA55A5B1}"/>
    <cellStyle name="Percent 23 7 2 2" xfId="5487" xr:uid="{E47DAEA3-9408-4DD0-971B-E5D7665D7FD3}"/>
    <cellStyle name="Percent 23 7 2 3" xfId="5486" xr:uid="{9E7F516F-DA47-404C-9C56-0B3A2DF265A7}"/>
    <cellStyle name="Percent 23 7 3" xfId="2801" xr:uid="{56A6C36F-FCEA-4471-9132-A5ED0FC5D54A}"/>
    <cellStyle name="Percent 23 7 3 2" xfId="5489" xr:uid="{67AE7036-E20B-4D4B-B238-CD2E8E74EF9E}"/>
    <cellStyle name="Percent 23 7 3 3" xfId="5488" xr:uid="{62EF6BED-9DA7-4CB9-9C6B-CE6740D4E220}"/>
    <cellStyle name="Percent 23 7 4" xfId="5490" xr:uid="{B901FCB3-F0DE-4EDC-B78B-403CD7B1AE3A}"/>
    <cellStyle name="Percent 23 7 5" xfId="5485" xr:uid="{01C0ADF6-790F-427C-9CE0-13219FF0C131}"/>
    <cellStyle name="Percent 23 8" xfId="5491" xr:uid="{9253C6F2-36B9-45D8-B4F0-9F709ABDA977}"/>
    <cellStyle name="Percent 23 9" xfId="5474" xr:uid="{139F12D4-8F35-41D7-ABBF-52B1C20A4740}"/>
    <cellStyle name="Percent 24" xfId="22498" xr:uid="{54C1AF5B-3728-4CAC-AAA3-88429F7378E4}"/>
    <cellStyle name="Percent 24 2" xfId="2802" xr:uid="{531A70FA-9524-4025-9049-29FF85234F1C}"/>
    <cellStyle name="Percent 24 2 2" xfId="5493" xr:uid="{69CFA8AA-C9B4-428D-B99C-7865ED6903F6}"/>
    <cellStyle name="Percent 24 2 3" xfId="5492" xr:uid="{23A4EECA-04DD-460F-AC03-525770EFB555}"/>
    <cellStyle name="Percent 24 3" xfId="2803" xr:uid="{3D79D6F7-37A4-4BB4-92C2-E96D6553B1C2}"/>
    <cellStyle name="Percent 24 3 2" xfId="5495" xr:uid="{5145B23A-BC4A-4F99-A469-F43FDED80200}"/>
    <cellStyle name="Percent 24 3 3" xfId="5494" xr:uid="{4E63FEE2-8204-4EC8-9E57-181ED0ECD7D5}"/>
    <cellStyle name="Percent 24 4" xfId="2804" xr:uid="{2AB92C0B-DC77-42DD-8021-5929F1A6BB87}"/>
    <cellStyle name="Percent 24 4 2" xfId="5497" xr:uid="{68E402D9-824E-4DE4-BD33-AE186F1D0D82}"/>
    <cellStyle name="Percent 24 4 3" xfId="5496" xr:uid="{A42D2525-6491-4184-86DF-1D44B951B794}"/>
    <cellStyle name="Percent 24 5" xfId="2805" xr:uid="{D7634803-B748-4C22-BB43-1E43FC5A7D8C}"/>
    <cellStyle name="Percent 24 5 2" xfId="5499" xr:uid="{58EA28EA-0BD4-42AE-8C90-69B1E2666CBF}"/>
    <cellStyle name="Percent 24 5 3" xfId="5498" xr:uid="{46BF2709-4D2A-4D03-AE58-C5A8DA96D90B}"/>
    <cellStyle name="Percent 24 6" xfId="2806" xr:uid="{1C371C92-68C9-42E0-A50D-CD2A5C2B3CDD}"/>
    <cellStyle name="Percent 24 6 2" xfId="5501" xr:uid="{E2C85D8F-31BD-48A7-A94B-BC74CE38D25F}"/>
    <cellStyle name="Percent 24 6 3" xfId="5500" xr:uid="{1CE47B37-58AC-48C1-94FB-0FA6B8240ACD}"/>
    <cellStyle name="Percent 24 7" xfId="2807" xr:uid="{76E7935F-F40D-4D24-AEEB-2EC389E3FF2B}"/>
    <cellStyle name="Percent 24 7 2" xfId="2808" xr:uid="{7294FCAB-BB7D-4454-82E2-F1FA82204B70}"/>
    <cellStyle name="Percent 24 7 2 2" xfId="5504" xr:uid="{F56FC710-46A8-4AB6-A241-26F6699AC859}"/>
    <cellStyle name="Percent 24 7 2 3" xfId="5503" xr:uid="{B5A37AD3-0996-4E89-B6CD-45C72F98A261}"/>
    <cellStyle name="Percent 24 7 3" xfId="2809" xr:uid="{20499392-5718-4201-932C-D62E7D968C37}"/>
    <cellStyle name="Percent 24 7 3 2" xfId="5506" xr:uid="{D53CDD08-DA4F-40BC-A59F-A5B4DADC0465}"/>
    <cellStyle name="Percent 24 7 3 3" xfId="5505" xr:uid="{31BEF04E-1E6C-4ABA-8002-DDDA09305340}"/>
    <cellStyle name="Percent 24 7 4" xfId="5507" xr:uid="{3A7C4A57-1E56-4398-B262-F17686886174}"/>
    <cellStyle name="Percent 24 7 5" xfId="5502" xr:uid="{65089A55-D6DF-4EEA-8575-CE0FAE411592}"/>
    <cellStyle name="Percent 25" xfId="2810" xr:uid="{AC7372DB-AA46-4984-A811-83C3455E6195}"/>
    <cellStyle name="Percent 25 2" xfId="2811" xr:uid="{FC7C4458-9442-4B8B-867B-AAAFA2176737}"/>
    <cellStyle name="Percent 25 2 2" xfId="5510" xr:uid="{F4D21738-BE89-4D39-981C-0B196031A659}"/>
    <cellStyle name="Percent 25 2 3" xfId="5509" xr:uid="{4BA2C2E3-C615-46CB-8356-5BF4783D12A9}"/>
    <cellStyle name="Percent 25 3" xfId="2812" xr:uid="{61419B85-9227-416D-9757-37A42A276F79}"/>
    <cellStyle name="Percent 25 3 2" xfId="5512" xr:uid="{D71DF9AD-4143-4D89-A1D1-30A983BD7771}"/>
    <cellStyle name="Percent 25 3 3" xfId="5511" xr:uid="{68BFA4E8-DECA-4EC7-84EE-BE525222B038}"/>
    <cellStyle name="Percent 25 4" xfId="2813" xr:uid="{290C7A62-E4E4-41AC-80BD-DDCFAA91D399}"/>
    <cellStyle name="Percent 25 4 2" xfId="5514" xr:uid="{B8226518-B918-49C7-BB0C-6CD043FFB9FC}"/>
    <cellStyle name="Percent 25 4 3" xfId="5513" xr:uid="{E616B82E-146C-496A-9AE5-0F97F18436AA}"/>
    <cellStyle name="Percent 25 5" xfId="2814" xr:uid="{44AFEAE1-8A46-4B24-9C4D-E98C1B6A8301}"/>
    <cellStyle name="Percent 25 5 2" xfId="5516" xr:uid="{1DBD6D71-60AB-4D08-AF59-77A7D62DFB82}"/>
    <cellStyle name="Percent 25 5 3" xfId="5515" xr:uid="{E32EE697-E295-4400-AA79-497C5D7AAAE6}"/>
    <cellStyle name="Percent 25 6" xfId="2815" xr:uid="{10828E0B-F29A-4BDA-9433-7D9F6E168357}"/>
    <cellStyle name="Percent 25 6 2" xfId="5518" xr:uid="{769A7488-4E2A-41B9-9606-DC90A9F2EE18}"/>
    <cellStyle name="Percent 25 6 3" xfId="5517" xr:uid="{5C3B3CFC-9F07-419F-A29C-F72F8B8E04E0}"/>
    <cellStyle name="Percent 25 7" xfId="2816" xr:uid="{769C56D8-4EE5-490B-A39E-6937FEBB59E4}"/>
    <cellStyle name="Percent 25 7 2" xfId="2817" xr:uid="{60996144-34F2-4870-BD4C-1298941B0D36}"/>
    <cellStyle name="Percent 25 7 2 2" xfId="5521" xr:uid="{87A885DC-7EB2-4981-AD2E-E9DC636B3D04}"/>
    <cellStyle name="Percent 25 7 2 3" xfId="5520" xr:uid="{3DB649FD-029B-43AF-B2FA-4F1579B11912}"/>
    <cellStyle name="Percent 25 7 3" xfId="2818" xr:uid="{5600EF2A-B6C7-45EB-A1A3-432A114ABB44}"/>
    <cellStyle name="Percent 25 7 3 2" xfId="5523" xr:uid="{B0789AA1-2C98-45C3-9381-3A3DA585FDCA}"/>
    <cellStyle name="Percent 25 7 3 3" xfId="5522" xr:uid="{CCC04D2B-ADA2-4AA0-853E-4FA87D2EBAE5}"/>
    <cellStyle name="Percent 25 7 4" xfId="5524" xr:uid="{E1EF1997-3DFA-4AB9-B73C-B4E171075BCE}"/>
    <cellStyle name="Percent 25 7 5" xfId="5519" xr:uid="{9F84ED7A-036A-4D88-B1E8-9D9D509589AE}"/>
    <cellStyle name="Percent 25 8" xfId="5525" xr:uid="{67C57081-A8B1-4312-8184-5BC75CBFBA89}"/>
    <cellStyle name="Percent 25 9" xfId="5508" xr:uid="{084EAA82-F5FD-4E98-A6F6-615B4AD8AB1C}"/>
    <cellStyle name="Percent 26" xfId="2819" xr:uid="{ADDF0E4E-D8D9-4C24-9716-AC1E80404596}"/>
    <cellStyle name="Percent 26 2" xfId="2820" xr:uid="{2F4635B4-166B-42B1-AF37-94F855A1355A}"/>
    <cellStyle name="Percent 26 2 2" xfId="5528" xr:uid="{8F990DF7-AC93-4990-BC78-56E3734796BE}"/>
    <cellStyle name="Percent 26 2 3" xfId="5527" xr:uid="{E29DA1BB-83BA-41CC-8F15-66254E7AE9E7}"/>
    <cellStyle name="Percent 26 3" xfId="2821" xr:uid="{44778D07-EE01-498B-8594-B01C0C3AD156}"/>
    <cellStyle name="Percent 26 3 2" xfId="5530" xr:uid="{1C15BB31-9DAF-4D23-8065-523E241EEE70}"/>
    <cellStyle name="Percent 26 3 3" xfId="5529" xr:uid="{7F9D9AB0-883F-458D-ADE2-65E13DE6C7E0}"/>
    <cellStyle name="Percent 26 4" xfId="2822" xr:uid="{4D2CC20B-912B-4E26-97C0-6548651C9E9A}"/>
    <cellStyle name="Percent 26 4 2" xfId="5532" xr:uid="{2404F9D7-D393-4A70-9F90-6E9DC24FA95A}"/>
    <cellStyle name="Percent 26 4 3" xfId="5531" xr:uid="{8B4D6C76-DF2C-4AE6-AED1-8EE792D222A9}"/>
    <cellStyle name="Percent 26 5" xfId="2823" xr:uid="{4065942C-0B19-4C76-91BE-EFB10376A4EF}"/>
    <cellStyle name="Percent 26 5 2" xfId="5534" xr:uid="{90D7F62C-5CAF-4EED-A832-189CC2D0C876}"/>
    <cellStyle name="Percent 26 5 3" xfId="5533" xr:uid="{E2AD6777-5112-498F-8E3A-A007725391D3}"/>
    <cellStyle name="Percent 26 6" xfId="2824" xr:uid="{910530D7-1927-4E90-94D0-8FC18538DEC5}"/>
    <cellStyle name="Percent 26 6 2" xfId="5536" xr:uid="{0283401D-31C4-4484-9B47-7ABF874C65EE}"/>
    <cellStyle name="Percent 26 6 3" xfId="5535" xr:uid="{ACD30DEA-3343-4445-8C45-DD7B306EB9BD}"/>
    <cellStyle name="Percent 26 7" xfId="2825" xr:uid="{5F27AA5B-2460-4EED-9F30-9C7E75A05122}"/>
    <cellStyle name="Percent 26 7 2" xfId="2826" xr:uid="{FA6292FE-6E07-4119-9A9C-991E83DBEBA3}"/>
    <cellStyle name="Percent 26 7 2 2" xfId="5539" xr:uid="{F14465F9-413A-4282-B1E3-3ABFCFBD9CF5}"/>
    <cellStyle name="Percent 26 7 2 3" xfId="5538" xr:uid="{9DA7017D-E55B-469E-9149-4BBB57AEDC17}"/>
    <cellStyle name="Percent 26 7 3" xfId="2827" xr:uid="{83F10790-9F58-4AC7-94E7-114A727737E9}"/>
    <cellStyle name="Percent 26 7 3 2" xfId="5541" xr:uid="{B42908FC-363D-4918-8AD1-E253FE0799B2}"/>
    <cellStyle name="Percent 26 7 3 3" xfId="5540" xr:uid="{088932C5-A528-42DB-9161-F7064B1A2F2E}"/>
    <cellStyle name="Percent 26 7 4" xfId="5542" xr:uid="{DA4E9EC5-FF42-41D8-9FED-C1F17788520C}"/>
    <cellStyle name="Percent 26 7 5" xfId="5537" xr:uid="{E6969032-0C3E-48D1-91EB-7C44B82B0E5C}"/>
    <cellStyle name="Percent 26 8" xfId="5543" xr:uid="{B859D2B8-7C96-4F63-8EC8-61DDB7C7EEF8}"/>
    <cellStyle name="Percent 26 9" xfId="5526" xr:uid="{A7D351DA-A540-48C0-9C88-D01DD671B783}"/>
    <cellStyle name="Percent 27" xfId="2828" xr:uid="{4FE4E561-A74D-4DF6-8A6C-FD34FA92DA9E}"/>
    <cellStyle name="Percent 27 2" xfId="5545" xr:uid="{BC34C262-37CA-4E58-80AC-6C093EE69EEE}"/>
    <cellStyle name="Percent 27 3" xfId="5544" xr:uid="{15905E2A-9422-4D21-9A1C-B1FED525B3E6}"/>
    <cellStyle name="Percent 28" xfId="63" xr:uid="{FAA2F5CD-DF91-4E6F-8717-072EAC8994D4}"/>
    <cellStyle name="Percent 29" xfId="22571" xr:uid="{10C980EB-83C8-490A-B61E-D91DEF6C1541}"/>
    <cellStyle name="Percent 3" xfId="275" xr:uid="{DCBBF611-9B5E-47A4-8C7A-720EF05AA2FB}"/>
    <cellStyle name="Percent 3 10" xfId="2830" xr:uid="{3439AA70-020F-4915-BE22-CA099F80B142}"/>
    <cellStyle name="Percent 3 10 10" xfId="2831" xr:uid="{03AE11D7-B23F-40A4-BC50-110251A88031}"/>
    <cellStyle name="Percent 3 10 10 2" xfId="5549" xr:uid="{28B28CEF-C123-4CFD-9951-5B9EF998D2AB}"/>
    <cellStyle name="Percent 3 10 10 3" xfId="5548" xr:uid="{5DB8733A-0567-4D1E-BCC6-C28C585EEC1D}"/>
    <cellStyle name="Percent 3 10 11" xfId="2832" xr:uid="{D3750243-EB71-4E4A-A68A-DB085CEE595D}"/>
    <cellStyle name="Percent 3 10 11 2" xfId="5551" xr:uid="{1EF73008-CF46-40C6-99C2-8FDC16506183}"/>
    <cellStyle name="Percent 3 10 11 3" xfId="5550" xr:uid="{2A1DD418-4B45-482A-BE73-5E612E9F97FE}"/>
    <cellStyle name="Percent 3 10 12" xfId="2833" xr:uid="{5F0115BE-1969-49E4-B00A-3130A89971CC}"/>
    <cellStyle name="Percent 3 10 12 2" xfId="5553" xr:uid="{81C8A5D7-0900-4747-BA2E-7811654DC53F}"/>
    <cellStyle name="Percent 3 10 12 3" xfId="5552" xr:uid="{114DBAB6-2E9E-4DB0-896C-47E1F9F43963}"/>
    <cellStyle name="Percent 3 10 13" xfId="2834" xr:uid="{F4D26D3D-09C1-4996-8F28-57A6071FE5ED}"/>
    <cellStyle name="Percent 3 10 13 2" xfId="5555" xr:uid="{30F8490B-5F34-4A95-AA0C-CCE669B4A7BB}"/>
    <cellStyle name="Percent 3 10 13 3" xfId="5554" xr:uid="{D4C3D916-9B0B-4665-93D3-DD8468404BDF}"/>
    <cellStyle name="Percent 3 10 14" xfId="2835" xr:uid="{E1A1ECB8-F51B-4AFE-A96C-44E316F483A4}"/>
    <cellStyle name="Percent 3 10 14 2" xfId="5557" xr:uid="{42316389-00D7-47EA-9DD4-E6F14D50D11E}"/>
    <cellStyle name="Percent 3 10 14 3" xfId="5556" xr:uid="{C39FFA45-5B59-4B84-A820-96F1FC0968F9}"/>
    <cellStyle name="Percent 3 10 15" xfId="2836" xr:uid="{CD7627E6-34D5-4695-B1E0-C64B6BD14307}"/>
    <cellStyle name="Percent 3 10 15 2" xfId="5559" xr:uid="{AE03FBD4-06B8-4789-9A7B-03C658470D96}"/>
    <cellStyle name="Percent 3 10 15 3" xfId="5558" xr:uid="{5C28416F-F9A3-40C0-BD1B-08B2FE85CFA7}"/>
    <cellStyle name="Percent 3 10 16" xfId="5560" xr:uid="{25AD977D-D278-428B-AB2D-27F52FF4189D}"/>
    <cellStyle name="Percent 3 10 17" xfId="5547" xr:uid="{76769473-A28C-498C-9697-A7F8FF3A4572}"/>
    <cellStyle name="Percent 3 10 2" xfId="2837" xr:uid="{8D4D52B2-55CF-42A1-91AD-23332670D11E}"/>
    <cellStyle name="Percent 3 10 2 2" xfId="5562" xr:uid="{BD6F1606-BA35-4E7B-8229-0A6DC5BFA688}"/>
    <cellStyle name="Percent 3 10 2 3" xfId="5561" xr:uid="{40961E75-9C3A-480B-845B-94BED4CA475F}"/>
    <cellStyle name="Percent 3 10 3" xfId="2838" xr:uid="{529C5898-D916-4F7C-809E-D6247F5063C3}"/>
    <cellStyle name="Percent 3 10 3 2" xfId="5564" xr:uid="{DE6E934D-97F9-4C19-870F-DC6370BFC2FA}"/>
    <cellStyle name="Percent 3 10 3 3" xfId="5565" xr:uid="{0EF22709-9D48-4498-9874-443E770BCA35}"/>
    <cellStyle name="Percent 3 10 3 4" xfId="5563" xr:uid="{F3F43002-9607-4A36-AC1A-A3975D2A3A78}"/>
    <cellStyle name="Percent 3 10 4" xfId="2839" xr:uid="{4D164D33-2BA2-4348-8C4C-A97D11421191}"/>
    <cellStyle name="Percent 3 10 4 2" xfId="5567" xr:uid="{682FD447-B14B-4440-93BF-950A4C9D2246}"/>
    <cellStyle name="Percent 3 10 4 3" xfId="5568" xr:uid="{13299918-D2AC-4643-A0CC-4C476D2CB381}"/>
    <cellStyle name="Percent 3 10 4 4" xfId="5566" xr:uid="{CCD3E084-22CC-443C-9CCA-8018C7C02DB6}"/>
    <cellStyle name="Percent 3 10 5" xfId="2840" xr:uid="{616A0CB0-DF1B-40C3-90F1-5D6B72F39898}"/>
    <cellStyle name="Percent 3 10 5 2" xfId="5570" xr:uid="{2668566E-8CC3-4CFC-B420-BD8A973D3A55}"/>
    <cellStyle name="Percent 3 10 5 3" xfId="5571" xr:uid="{7A89EB9A-0D21-42EF-B179-0E53C98DA359}"/>
    <cellStyle name="Percent 3 10 5 4" xfId="5569" xr:uid="{10E4F313-8117-4AB8-A201-27040028A0D7}"/>
    <cellStyle name="Percent 3 10 6" xfId="2841" xr:uid="{FEB4EDB3-2643-4AC8-BF87-4C1C20DD45DB}"/>
    <cellStyle name="Percent 3 10 6 2" xfId="5573" xr:uid="{0FE700CD-193B-4F9B-BB47-47E31CCDFE2C}"/>
    <cellStyle name="Percent 3 10 6 3" xfId="5574" xr:uid="{232AA8DD-5AA2-4AFA-834F-E09DCB8C6583}"/>
    <cellStyle name="Percent 3 10 6 4" xfId="5572" xr:uid="{BD28112F-4854-4E36-BE5D-EFB686351460}"/>
    <cellStyle name="Percent 3 10 7" xfId="2842" xr:uid="{D0A900AB-44EE-4761-B81C-A183FB4021BA}"/>
    <cellStyle name="Percent 3 10 7 2" xfId="5576" xr:uid="{D1B25EFF-8D75-436C-9C14-F8C20249B2C4}"/>
    <cellStyle name="Percent 3 10 7 3" xfId="5577" xr:uid="{3B01B291-0A66-46BB-92E0-8E2E3DEECEC8}"/>
    <cellStyle name="Percent 3 10 7 4" xfId="5575" xr:uid="{F5556B5D-9A54-403C-AEB1-0F0136E6D677}"/>
    <cellStyle name="Percent 3 10 8" xfId="2843" xr:uid="{0AB394D0-C5E6-4EA8-BE15-6F8466718344}"/>
    <cellStyle name="Percent 3 10 8 2" xfId="5579" xr:uid="{FEF8851B-011F-4A9F-A7F5-28DAEE3B45BC}"/>
    <cellStyle name="Percent 3 10 8 3" xfId="5580" xr:uid="{3140FEA1-BF42-4FCA-849B-7E7CA7588B90}"/>
    <cellStyle name="Percent 3 10 8 4" xfId="5578" xr:uid="{EF8CC13E-A2C9-4EB7-918F-2518708FD8E0}"/>
    <cellStyle name="Percent 3 10 9" xfId="2844" xr:uid="{9554DECA-AE39-4346-B769-DBCA63E22E52}"/>
    <cellStyle name="Percent 3 10 9 2" xfId="5582" xr:uid="{64DF674F-830B-474F-9A73-DB396ADB731D}"/>
    <cellStyle name="Percent 3 10 9 3" xfId="5583" xr:uid="{FF0A3221-FF49-4A40-BE4B-681E45C9A92D}"/>
    <cellStyle name="Percent 3 10 9 4" xfId="5581" xr:uid="{97936249-5C75-4DA1-BB48-D286CCE4FAA2}"/>
    <cellStyle name="Percent 3 11" xfId="2845" xr:uid="{A4A215F5-E3DA-4052-AB60-3726E87EB82B}"/>
    <cellStyle name="Percent 3 11 2" xfId="5585" xr:uid="{0CE80607-4C3E-4EAE-A012-B4B6B70BDF57}"/>
    <cellStyle name="Percent 3 11 3" xfId="5586" xr:uid="{F1A8AE4C-BD2F-43D4-B41E-43F35FB78112}"/>
    <cellStyle name="Percent 3 11 4" xfId="5584" xr:uid="{D8B8566F-CFC3-4C06-9250-45395BCFDC43}"/>
    <cellStyle name="Percent 3 12" xfId="2846" xr:uid="{20EB0765-F939-4BB9-9D4F-7CD47A4BA20B}"/>
    <cellStyle name="Percent 3 12 2" xfId="5588" xr:uid="{341399BE-FE1C-489B-B34A-C4B68B84E4CC}"/>
    <cellStyle name="Percent 3 12 3" xfId="5589" xr:uid="{AF8F0E62-46BE-4016-8F65-F8A84DC4E82D}"/>
    <cellStyle name="Percent 3 12 4" xfId="5587" xr:uid="{3E5A0286-39F0-45C8-9D9E-012746B08AE5}"/>
    <cellStyle name="Percent 3 13" xfId="2847" xr:uid="{58697B42-2326-4F4A-8C53-E86C25DBF6D8}"/>
    <cellStyle name="Percent 3 13 2" xfId="5591" xr:uid="{D2BBA949-1D75-447C-92DA-47FAB2FA552F}"/>
    <cellStyle name="Percent 3 13 3" xfId="5592" xr:uid="{CEBA7695-444D-4602-9807-35CAAA728D2A}"/>
    <cellStyle name="Percent 3 13 4" xfId="5590" xr:uid="{B336B37E-A5FB-4D39-8FF1-AD3DC539DA6A}"/>
    <cellStyle name="Percent 3 14" xfId="2848" xr:uid="{FCCC8629-FD9A-4B3C-9DAA-536BD76EB3EB}"/>
    <cellStyle name="Percent 3 14 2" xfId="5594" xr:uid="{16CD51F8-6D22-4CCB-A790-9C0DBD36E0ED}"/>
    <cellStyle name="Percent 3 14 3" xfId="5595" xr:uid="{26229868-ABE3-42F1-9786-0D1D85A32B0B}"/>
    <cellStyle name="Percent 3 14 4" xfId="5593" xr:uid="{23CBA1BA-8F04-4AB4-8FC0-7420657EBD8E}"/>
    <cellStyle name="Percent 3 15" xfId="2849" xr:uid="{411321A0-D329-457A-A91E-AD37AC33F656}"/>
    <cellStyle name="Percent 3 15 2" xfId="5597" xr:uid="{37205F2F-6C0D-4336-8FFF-A2711CF902B7}"/>
    <cellStyle name="Percent 3 15 3" xfId="5598" xr:uid="{528AE8BE-D480-43E7-B4F4-D586C6A1967D}"/>
    <cellStyle name="Percent 3 15 4" xfId="5596" xr:uid="{1947F6D1-F924-4230-87AC-B2C8501B0999}"/>
    <cellStyle name="Percent 3 16" xfId="2850" xr:uid="{69359F4D-3531-4170-B748-D3EDFE3BF47B}"/>
    <cellStyle name="Percent 3 16 2" xfId="5600" xr:uid="{C830D5DF-D466-496B-9B44-0F22089F7C48}"/>
    <cellStyle name="Percent 3 16 3" xfId="5601" xr:uid="{60919AAB-89A5-4FE2-ADD0-4B16727179A7}"/>
    <cellStyle name="Percent 3 16 4" xfId="5599" xr:uid="{13AB9A9F-D226-4B70-96DB-57A50220001F}"/>
    <cellStyle name="Percent 3 17" xfId="2851" xr:uid="{328F6DC1-6558-4DCF-B812-E3595F06872C}"/>
    <cellStyle name="Percent 3 17 2" xfId="5603" xr:uid="{9FDD70A0-63C4-4CF2-81DF-3DC4D0458DFA}"/>
    <cellStyle name="Percent 3 17 3" xfId="5604" xr:uid="{97274536-DB9A-40BC-AB31-2D97EA6818EB}"/>
    <cellStyle name="Percent 3 17 4" xfId="5602" xr:uid="{67480114-5441-4661-8FB2-55E7594B9F5F}"/>
    <cellStyle name="Percent 3 18" xfId="2852" xr:uid="{18D7A5AA-E060-4786-8BA8-E9DCDC95C57B}"/>
    <cellStyle name="Percent 3 18 2" xfId="5606" xr:uid="{63A35695-C1EE-4103-908D-B1EADC32B472}"/>
    <cellStyle name="Percent 3 18 3" xfId="5607" xr:uid="{278D3434-D556-4E67-9388-C3E01A1389BE}"/>
    <cellStyle name="Percent 3 18 4" xfId="5605" xr:uid="{9BE69713-8B6D-4BF0-823A-C878D3EE65CA}"/>
    <cellStyle name="Percent 3 19" xfId="2853" xr:uid="{8FE88E2A-18DA-48D6-9CF1-9BF5AA95E5EE}"/>
    <cellStyle name="Percent 3 19 2" xfId="5609" xr:uid="{B04433CB-6427-425C-B3D7-7B5CCEF3F8AA}"/>
    <cellStyle name="Percent 3 19 2 2" xfId="5610" xr:uid="{50953C43-B1C8-4D6D-9316-C8730C29C09F}"/>
    <cellStyle name="Percent 3 19 3" xfId="5611" xr:uid="{28B5D00A-0642-4E4F-8031-ABB1A5290CA9}"/>
    <cellStyle name="Percent 3 19 4" xfId="5612" xr:uid="{BE6CF4BA-D549-4A3C-A062-5A26FD820ACC}"/>
    <cellStyle name="Percent 3 19 5" xfId="5608" xr:uid="{E40072EE-28E2-4F50-8323-DB868968A55A}"/>
    <cellStyle name="Percent 3 2" xfId="276" xr:uid="{6DE54C43-4851-4EFC-BAA3-861CC0DE0688}"/>
    <cellStyle name="Percent 3 2 10" xfId="2855" xr:uid="{89A06811-0E61-42D7-88BA-9F7FE21D3DFB}"/>
    <cellStyle name="Percent 3 2 10 2" xfId="5615" xr:uid="{5EEFEECE-4E31-4027-BAD6-5782BA7AEFF3}"/>
    <cellStyle name="Percent 3 2 10 2 2" xfId="5616" xr:uid="{317A818E-164E-4FCF-BB4B-81CD99FB37C6}"/>
    <cellStyle name="Percent 3 2 10 3" xfId="5617" xr:uid="{2E6C39AD-2C6C-490E-A79E-98496DCBCFD9}"/>
    <cellStyle name="Percent 3 2 10 3 2" xfId="5618" xr:uid="{EE1CC5D2-7689-46BF-9321-0BE3419A2DB8}"/>
    <cellStyle name="Percent 3 2 10 4" xfId="5619" xr:uid="{03C89463-7D81-4D9A-ACB3-7F3FD7C649FC}"/>
    <cellStyle name="Percent 3 2 10 5" xfId="5620" xr:uid="{D59209B7-C2F7-42AB-B890-E2AC86018E0E}"/>
    <cellStyle name="Percent 3 2 10 6" xfId="5614" xr:uid="{C9543FA4-579B-4474-B3C0-D3AB53F20064}"/>
    <cellStyle name="Percent 3 2 11" xfId="2856" xr:uid="{5610E6F6-99E3-4410-85E8-85486D01A4C0}"/>
    <cellStyle name="Percent 3 2 11 2" xfId="5622" xr:uid="{27548E6D-EC99-4212-92C5-A94D928B8790}"/>
    <cellStyle name="Percent 3 2 11 2 2" xfId="5623" xr:uid="{125B8002-A577-4C08-9B72-CCE909E3E2D2}"/>
    <cellStyle name="Percent 3 2 11 3" xfId="5624" xr:uid="{4F442EF9-0149-4CFD-B360-94AAA9AB849E}"/>
    <cellStyle name="Percent 3 2 11 3 2" xfId="5625" xr:uid="{215D2ED0-35FC-4814-BDF3-AE241D84C58F}"/>
    <cellStyle name="Percent 3 2 11 4" xfId="5626" xr:uid="{5B01697E-6ABC-4E5A-A45E-B6F1B9AA0B7A}"/>
    <cellStyle name="Percent 3 2 11 5" xfId="5627" xr:uid="{CC7AE30A-B658-4293-B80A-57DE7D5CA392}"/>
    <cellStyle name="Percent 3 2 11 6" xfId="5621" xr:uid="{D02839EC-6A33-48C4-A063-55F84312DCD5}"/>
    <cellStyle name="Percent 3 2 12" xfId="2857" xr:uid="{4AA5A8A4-1DBA-475E-84E3-744595907D0B}"/>
    <cellStyle name="Percent 3 2 12 2" xfId="5629" xr:uid="{25B91E66-2FF0-4BE8-B5A4-3BA7C77C1F44}"/>
    <cellStyle name="Percent 3 2 12 2 2" xfId="5630" xr:uid="{16DB7252-37B5-4E6A-A37A-DA93454BB349}"/>
    <cellStyle name="Percent 3 2 12 3" xfId="5631" xr:uid="{D6D3BC98-94E5-415A-8AAF-AA890EFC489B}"/>
    <cellStyle name="Percent 3 2 12 3 2" xfId="5632" xr:uid="{CFED5C0F-05C0-47AB-854E-CC743F79B9DF}"/>
    <cellStyle name="Percent 3 2 12 4" xfId="5633" xr:uid="{1C4BC17A-336C-40B2-9EBA-C7A6B82782C0}"/>
    <cellStyle name="Percent 3 2 12 5" xfId="5634" xr:uid="{B92696B4-AED8-441A-BE37-587BE7C0D2E3}"/>
    <cellStyle name="Percent 3 2 12 6" xfId="5628" xr:uid="{E5E8369A-D0E4-4CB6-9810-B8B10EB54BEF}"/>
    <cellStyle name="Percent 3 2 13" xfId="2858" xr:uid="{74F67DFB-43B0-4289-8840-6111264721A1}"/>
    <cellStyle name="Percent 3 2 13 2" xfId="5636" xr:uid="{3DA672F3-15EB-45D9-86A2-F16504EDB37B}"/>
    <cellStyle name="Percent 3 2 13 2 2" xfId="5637" xr:uid="{A73BE94A-AD7E-4C3C-BBD8-EBA63D188512}"/>
    <cellStyle name="Percent 3 2 13 3" xfId="5638" xr:uid="{FD5498C3-4338-4F76-A006-D85645B983D4}"/>
    <cellStyle name="Percent 3 2 13 3 2" xfId="5639" xr:uid="{06BD3154-BC6E-4229-8CD4-5089D31FD65A}"/>
    <cellStyle name="Percent 3 2 13 4" xfId="5640" xr:uid="{62F10C95-C60A-4934-BC75-89631C1B5672}"/>
    <cellStyle name="Percent 3 2 13 5" xfId="5641" xr:uid="{67CAB895-366A-4411-9ED8-66967776F1AE}"/>
    <cellStyle name="Percent 3 2 13 6" xfId="5635" xr:uid="{A75857FA-A1B6-417B-BA43-A7362A188399}"/>
    <cellStyle name="Percent 3 2 14" xfId="2859" xr:uid="{78432EFA-8ED9-460E-B542-C4E34F48B682}"/>
    <cellStyle name="Percent 3 2 14 2" xfId="5643" xr:uid="{FFAE2DB3-4E5A-4E96-8115-E89463BB101C}"/>
    <cellStyle name="Percent 3 2 14 2 2" xfId="5644" xr:uid="{6F6723F8-3B53-441F-AA19-9BC3D979E268}"/>
    <cellStyle name="Percent 3 2 14 3" xfId="5645" xr:uid="{6E145DCF-DBEE-4468-AC84-183C513AE6F1}"/>
    <cellStyle name="Percent 3 2 14 3 2" xfId="5646" xr:uid="{9175F650-43B5-46CB-A55A-D29085262008}"/>
    <cellStyle name="Percent 3 2 14 4" xfId="5647" xr:uid="{9AE349DA-3BE9-4BCB-AAE5-58039A4A5F6C}"/>
    <cellStyle name="Percent 3 2 14 5" xfId="5648" xr:uid="{98DC82E5-088C-4BD8-BDDB-1CB039FAEE3C}"/>
    <cellStyle name="Percent 3 2 14 6" xfId="5642" xr:uid="{AD2C8067-D4E1-48D0-B545-EE0BC0846DB3}"/>
    <cellStyle name="Percent 3 2 15" xfId="2860" xr:uid="{604937DF-614D-468B-AEFE-3D34073DF9BC}"/>
    <cellStyle name="Percent 3 2 15 2" xfId="5650" xr:uid="{6428E2D7-6357-4F0D-BD4B-C8BA5890FA3B}"/>
    <cellStyle name="Percent 3 2 15 2 2" xfId="5651" xr:uid="{F8F25D9E-1BE1-47BB-9CFB-116B1DBC2775}"/>
    <cellStyle name="Percent 3 2 15 3" xfId="5652" xr:uid="{98BA3CCA-5151-4335-AF30-2FA803AB11FB}"/>
    <cellStyle name="Percent 3 2 15 3 2" xfId="5653" xr:uid="{62527F0B-6667-40B8-A155-5026A8FC4705}"/>
    <cellStyle name="Percent 3 2 15 4" xfId="5654" xr:uid="{52B72E53-4074-40DD-8CFF-42981655C31A}"/>
    <cellStyle name="Percent 3 2 15 5" xfId="5655" xr:uid="{A9834E4D-6B75-4BA2-85AA-0A0C763EBBD2}"/>
    <cellStyle name="Percent 3 2 15 6" xfId="5649" xr:uid="{0ACB797C-7075-4A7E-86CC-7F6E4A94E4DF}"/>
    <cellStyle name="Percent 3 2 16" xfId="2861" xr:uid="{98172F39-3153-4117-A935-FA8C311F4B5F}"/>
    <cellStyle name="Percent 3 2 16 2" xfId="5657" xr:uid="{0D0F43DC-F416-46EF-9130-498C909DA444}"/>
    <cellStyle name="Percent 3 2 16 2 2" xfId="5658" xr:uid="{18EBF064-A00A-44A9-9273-74AFA6DC79A8}"/>
    <cellStyle name="Percent 3 2 16 3" xfId="5659" xr:uid="{80D1D238-6849-4E54-A7F0-B37C5632DF91}"/>
    <cellStyle name="Percent 3 2 16 3 2" xfId="5660" xr:uid="{48753A00-509A-4680-AA26-732D954F7AD6}"/>
    <cellStyle name="Percent 3 2 16 4" xfId="5661" xr:uid="{5C3A32C6-1AE1-4AA6-8576-6B1A448E19EF}"/>
    <cellStyle name="Percent 3 2 16 5" xfId="5662" xr:uid="{289536DB-34FC-460A-B136-62020A81BD13}"/>
    <cellStyle name="Percent 3 2 16 6" xfId="5656" xr:uid="{CE2399F8-3C0A-4F5F-87C0-1E704A08A38A}"/>
    <cellStyle name="Percent 3 2 17" xfId="2854" xr:uid="{CC816C04-4A8B-4995-ACB2-274E86D3762B}"/>
    <cellStyle name="Percent 3 2 17 2" xfId="5664" xr:uid="{5D9AADCB-F6A0-4B74-A0A3-EF1C6B30030E}"/>
    <cellStyle name="Percent 3 2 17 3" xfId="5663" xr:uid="{67E9CD73-9BE4-48BA-85C1-4C63622F65AC}"/>
    <cellStyle name="Percent 3 2 18" xfId="5665" xr:uid="{ABF8CE7C-0DBD-42FD-A41B-BF2EE5D9EA56}"/>
    <cellStyle name="Percent 3 2 19" xfId="5666" xr:uid="{CC08A52C-09C5-4998-96DC-F1AC99252920}"/>
    <cellStyle name="Percent 3 2 2" xfId="277" xr:uid="{830CA3FA-BA76-434A-8DF9-546684038E7D}"/>
    <cellStyle name="Percent 3 2 2 2" xfId="2863" xr:uid="{44292172-CAA9-45D9-ADEE-5C435D9B8539}"/>
    <cellStyle name="Percent 3 2 2 2 2" xfId="4737" xr:uid="{F116FECB-983D-43B9-8506-FC8819DF8828}"/>
    <cellStyle name="Percent 3 2 2 2 2 2" xfId="5670" xr:uid="{DF4A276E-C335-46F3-82B1-250F2516A445}"/>
    <cellStyle name="Percent 3 2 2 2 2 3" xfId="5669" xr:uid="{DBC09F7E-1A93-46AD-B60F-F9EF84428E16}"/>
    <cellStyle name="Percent 3 2 2 2 3" xfId="5671" xr:uid="{3D522688-5A32-4CFF-B157-D8C845F2FF62}"/>
    <cellStyle name="Percent 3 2 2 2 3 2" xfId="5672" xr:uid="{34FA415D-8FC7-4031-ABF6-153F4C808EC6}"/>
    <cellStyle name="Percent 3 2 2 2 4" xfId="5673" xr:uid="{FB5A4C95-8FD0-486E-A127-54C002E3829E}"/>
    <cellStyle name="Percent 3 2 2 2 5" xfId="5674" xr:uid="{052ADC0B-EB7B-4E48-8678-AC3853512D2B}"/>
    <cellStyle name="Percent 3 2 2 2 6" xfId="5668" xr:uid="{C32ABDE2-88A6-4294-B08E-67093387DD96}"/>
    <cellStyle name="Percent 3 2 2 3" xfId="2862" xr:uid="{753B9EA4-8F04-4A6B-A91C-DA3CB0436DF1}"/>
    <cellStyle name="Percent 3 2 2 3 2" xfId="5676" xr:uid="{780A8F33-FFD8-4B03-A4C1-81C6C9555166}"/>
    <cellStyle name="Percent 3 2 2 3 3" xfId="5675" xr:uid="{4C14EB85-F43F-4793-A973-504DF82BE018}"/>
    <cellStyle name="Percent 3 2 2 4" xfId="5677" xr:uid="{9D30CB51-12C9-444C-BA1B-A6CF8CC8FDBA}"/>
    <cellStyle name="Percent 3 2 2 4 2" xfId="5678" xr:uid="{9FAB43FD-5C9D-401E-960D-229C139BB7D9}"/>
    <cellStyle name="Percent 3 2 2 5" xfId="5679" xr:uid="{5316BD5D-A3EC-4BB6-960C-8424C09D8DE1}"/>
    <cellStyle name="Percent 3 2 2 6" xfId="5680" xr:uid="{86F771E5-EE54-4B97-962A-46D8E7D0DF2A}"/>
    <cellStyle name="Percent 3 2 2 7" xfId="5667" xr:uid="{BCB007B7-6459-4C3A-BAB5-869094ECF135}"/>
    <cellStyle name="Percent 3 2 20" xfId="5613" xr:uid="{6F7E7B6B-D193-4B86-B73B-370DA554BBA7}"/>
    <cellStyle name="Percent 3 2 3" xfId="278" xr:uid="{B403B70E-530C-4C0F-AF38-E131949306F3}"/>
    <cellStyle name="Percent 3 2 3 2" xfId="2864" xr:uid="{38AC2196-BAE1-47F2-BF43-B0156310BF72}"/>
    <cellStyle name="Percent 3 2 3 2 2" xfId="5683" xr:uid="{3738213A-AB6A-48C4-AEBD-0C8D54DB44F6}"/>
    <cellStyle name="Percent 3 2 3 2 3" xfId="5684" xr:uid="{FFA76EFC-6878-4E8D-848F-B8C4709ABA74}"/>
    <cellStyle name="Percent 3 2 3 2 4" xfId="5682" xr:uid="{6E2CA053-4067-4918-AAF0-DCBAD41B9807}"/>
    <cellStyle name="Percent 3 2 3 3" xfId="5685" xr:uid="{320674E4-B1AC-412D-A5D2-F50BD2D22776}"/>
    <cellStyle name="Percent 3 2 3 3 2" xfId="5686" xr:uid="{5401E32F-9B68-4C1D-A236-26D62BF8352C}"/>
    <cellStyle name="Percent 3 2 3 4" xfId="5687" xr:uid="{20B8876E-F8D2-46DA-B383-094ABBF30079}"/>
    <cellStyle name="Percent 3 2 3 5" xfId="5688" xr:uid="{9B622C93-299F-4436-BA31-C4D567569641}"/>
    <cellStyle name="Percent 3 2 3 6" xfId="5681" xr:uid="{14817CB0-4F65-421E-8D5E-868E9B34AC2C}"/>
    <cellStyle name="Percent 3 2 4" xfId="279" xr:uid="{58EACC14-D44E-4A1B-A68B-D9860FD2B927}"/>
    <cellStyle name="Percent 3 2 4 2" xfId="5690" xr:uid="{C251A81B-DE3C-407D-98E4-2A4206BCA25F}"/>
    <cellStyle name="Percent 3 2 4 2 2" xfId="5691" xr:uid="{0CAF85C2-052F-46B6-A6E5-D3B51B5622D0}"/>
    <cellStyle name="Percent 3 2 4 3" xfId="5692" xr:uid="{2FEAB009-D65D-44C4-BA50-706F16814018}"/>
    <cellStyle name="Percent 3 2 4 3 2" xfId="5693" xr:uid="{570538B9-2C01-41BF-992F-6230D298C28E}"/>
    <cellStyle name="Percent 3 2 4 4" xfId="5694" xr:uid="{01076868-247B-419A-B31F-DD499C1E5D85}"/>
    <cellStyle name="Percent 3 2 4 5" xfId="5695" xr:uid="{14B8FE2A-C2A7-4609-9BE0-526FF909DF9F}"/>
    <cellStyle name="Percent 3 2 4 6" xfId="5689" xr:uid="{84AE577D-29D0-432B-926C-24638BBCFF55}"/>
    <cellStyle name="Percent 3 2 5" xfId="2865" xr:uid="{C19C48E1-F5E0-449C-AF56-6A19126C10F1}"/>
    <cellStyle name="Percent 3 2 5 2" xfId="5697" xr:uid="{40340A85-A4B3-408E-BAE0-C448F3578667}"/>
    <cellStyle name="Percent 3 2 5 2 2" xfId="5698" xr:uid="{064D8576-B205-4E0D-87D7-47E4587905C2}"/>
    <cellStyle name="Percent 3 2 5 3" xfId="5699" xr:uid="{75AC9CF6-0592-4C70-93FC-7700A46DD730}"/>
    <cellStyle name="Percent 3 2 5 3 2" xfId="5700" xr:uid="{D958BC3F-DD91-4885-A554-259DBB71FC8F}"/>
    <cellStyle name="Percent 3 2 5 4" xfId="5701" xr:uid="{10EC0EE2-DB8E-461D-A984-949F611FC57C}"/>
    <cellStyle name="Percent 3 2 5 5" xfId="5702" xr:uid="{5A6FFF2C-75DB-4E4E-8568-BC3653BC1E49}"/>
    <cellStyle name="Percent 3 2 5 6" xfId="5696" xr:uid="{953B2999-430A-4629-94DB-2D273A9E9E33}"/>
    <cellStyle name="Percent 3 2 6" xfId="2866" xr:uid="{3057234F-0C18-4C79-97F7-EE519FA24929}"/>
    <cellStyle name="Percent 3 2 6 2" xfId="5704" xr:uid="{AC174063-7842-4A61-AAB8-06AED07165DF}"/>
    <cellStyle name="Percent 3 2 6 2 2" xfId="5705" xr:uid="{8B66A2C0-E404-43EF-B593-A8ACCF38C442}"/>
    <cellStyle name="Percent 3 2 6 3" xfId="5706" xr:uid="{0F1DBE3C-08AB-47D8-9C2F-EFA55CB886A8}"/>
    <cellStyle name="Percent 3 2 6 3 2" xfId="5707" xr:uid="{A4267583-E0D6-440C-B642-23D2974FACF1}"/>
    <cellStyle name="Percent 3 2 6 4" xfId="5708" xr:uid="{20BB6BF6-6C81-4AC7-844A-8E872330E876}"/>
    <cellStyle name="Percent 3 2 6 5" xfId="5709" xr:uid="{845F52DC-C851-471A-8970-07AEAB11C452}"/>
    <cellStyle name="Percent 3 2 6 6" xfId="5703" xr:uid="{93285BF1-F911-45B2-B0FA-F637081B4216}"/>
    <cellStyle name="Percent 3 2 7" xfId="2867" xr:uid="{FAFB83E6-DC09-4266-9233-B98DF056F451}"/>
    <cellStyle name="Percent 3 2 7 2" xfId="5711" xr:uid="{BE4630BB-3107-4B02-B641-EEFD3C59CE7A}"/>
    <cellStyle name="Percent 3 2 7 2 2" xfId="5712" xr:uid="{BA9232B0-1B7C-4AB4-9348-6A5F72156A51}"/>
    <cellStyle name="Percent 3 2 7 3" xfId="5713" xr:uid="{437CFFE0-F9C9-4179-A6AB-81D54FAF292C}"/>
    <cellStyle name="Percent 3 2 7 3 2" xfId="5714" xr:uid="{F3150BEF-DCB3-4ADB-AE64-3A122CF3061E}"/>
    <cellStyle name="Percent 3 2 7 4" xfId="5715" xr:uid="{9272F303-54EC-40C2-8D3D-5744582B059B}"/>
    <cellStyle name="Percent 3 2 7 5" xfId="5716" xr:uid="{88166EEF-A8B7-4CB2-B2C5-6853FFB93C87}"/>
    <cellStyle name="Percent 3 2 7 6" xfId="5710" xr:uid="{37AD945A-18A9-47BF-80EF-3469390C4458}"/>
    <cellStyle name="Percent 3 2 8" xfId="2868" xr:uid="{3804EDD2-911C-48C4-B38F-5E751A62DD0C}"/>
    <cellStyle name="Percent 3 2 8 2" xfId="5718" xr:uid="{1C80B654-7747-4B24-BBD6-82C53ECF8A5C}"/>
    <cellStyle name="Percent 3 2 8 2 2" xfId="5719" xr:uid="{0FEAEF20-8523-42CA-905A-735247C59325}"/>
    <cellStyle name="Percent 3 2 8 3" xfId="5720" xr:uid="{28E1F7FE-8A38-403A-9EE5-C9C62904AF9D}"/>
    <cellStyle name="Percent 3 2 8 3 2" xfId="5721" xr:uid="{794DF5DA-7D6E-4973-A8C3-FDEFA6BC175B}"/>
    <cellStyle name="Percent 3 2 8 4" xfId="5722" xr:uid="{8551C757-6AA7-4BFF-8B64-CEE583963EEB}"/>
    <cellStyle name="Percent 3 2 8 5" xfId="5723" xr:uid="{B65ADD13-A6B3-4CA2-A730-A8355FC87D23}"/>
    <cellStyle name="Percent 3 2 8 6" xfId="5717" xr:uid="{B391F969-13EC-4688-8921-102C5A0FD1D7}"/>
    <cellStyle name="Percent 3 2 9" xfId="2869" xr:uid="{EE27E94C-409B-41E0-B3DE-AF64E6B98AF6}"/>
    <cellStyle name="Percent 3 2 9 2" xfId="5725" xr:uid="{DF5610F7-7DB6-4A98-A021-4ED3711A9928}"/>
    <cellStyle name="Percent 3 2 9 2 2" xfId="5726" xr:uid="{5ADD0E02-DF20-4875-86AA-2980D9F120A7}"/>
    <cellStyle name="Percent 3 2 9 3" xfId="5727" xr:uid="{4FAA7CAB-3EBE-42FF-B9EB-08FF0D8DFD81}"/>
    <cellStyle name="Percent 3 2 9 3 2" xfId="5728" xr:uid="{2C285232-1DC7-428B-A139-33893F34FCD2}"/>
    <cellStyle name="Percent 3 2 9 4" xfId="5729" xr:uid="{A6781078-12EA-4EB2-A66D-525E38E6AAAE}"/>
    <cellStyle name="Percent 3 2 9 5" xfId="5730" xr:uid="{851DC5DB-96F1-4A88-A402-F14B73AB015B}"/>
    <cellStyle name="Percent 3 2 9 6" xfId="5724" xr:uid="{B67C6233-5F88-49FA-A899-141E468B6FE6}"/>
    <cellStyle name="Percent 3 20" xfId="2870" xr:uid="{13708AD1-CD4E-4D5B-B4C8-F02F87FC93AF}"/>
    <cellStyle name="Percent 3 20 2" xfId="5732" xr:uid="{C24627B8-4975-433B-9DB1-314861A52893}"/>
    <cellStyle name="Percent 3 20 2 2" xfId="5733" xr:uid="{C45F0EBD-C779-4CC4-8916-236A0D516703}"/>
    <cellStyle name="Percent 3 20 3" xfId="5734" xr:uid="{7BF6C948-A8DC-46B1-B8FB-7CD373F8734F}"/>
    <cellStyle name="Percent 3 20 3 2" xfId="5735" xr:uid="{04EC0855-442C-4A8F-A38F-41305579E322}"/>
    <cellStyle name="Percent 3 20 4" xfId="5736" xr:uid="{567FC6E0-E1DC-489C-82AD-BC3ABC1B86BA}"/>
    <cellStyle name="Percent 3 20 5" xfId="5737" xr:uid="{1C7A8AA3-8DEF-481B-A73A-51C577811455}"/>
    <cellStyle name="Percent 3 20 6" xfId="5731" xr:uid="{5037E4CD-0BEB-4B75-9204-713759D89E27}"/>
    <cellStyle name="Percent 3 21" xfId="2871" xr:uid="{61A96ADC-71CC-41C1-8FDB-69C3A417DBE7}"/>
    <cellStyle name="Percent 3 21 2" xfId="5739" xr:uid="{32B033D0-E8DD-4477-949C-740E5B4F3559}"/>
    <cellStyle name="Percent 3 21 2 2" xfId="5740" xr:uid="{B303344F-618C-43CB-9DFC-CA18DEDC0301}"/>
    <cellStyle name="Percent 3 21 3" xfId="5741" xr:uid="{C4EAFB64-C47B-4929-9720-56ADF0F37AC8}"/>
    <cellStyle name="Percent 3 21 3 2" xfId="5742" xr:uid="{DF5D643D-D39B-489E-909C-8206903DD209}"/>
    <cellStyle name="Percent 3 21 4" xfId="5743" xr:uid="{A7B7D574-24EF-49DF-9FEA-1158E79E59A5}"/>
    <cellStyle name="Percent 3 21 5" xfId="5744" xr:uid="{F8AF8F31-9E8C-46B3-BFFB-4BCEFD4D7E37}"/>
    <cellStyle name="Percent 3 21 6" xfId="5738" xr:uid="{932346C6-DC7F-4B48-8862-38157AE1F067}"/>
    <cellStyle name="Percent 3 22" xfId="2872" xr:uid="{DF28F133-3E89-4C2D-A804-778948842750}"/>
    <cellStyle name="Percent 3 22 2" xfId="5746" xr:uid="{F26D606A-FEE4-4347-B88A-8867AE625AB6}"/>
    <cellStyle name="Percent 3 22 2 2" xfId="5747" xr:uid="{17D01528-F680-4C9E-93DA-0E63C9732039}"/>
    <cellStyle name="Percent 3 22 3" xfId="5748" xr:uid="{69D7C2FA-2905-4C25-ACFE-6DA08D43EA5E}"/>
    <cellStyle name="Percent 3 22 3 2" xfId="5749" xr:uid="{3C19DE5B-9324-4B6B-A5A2-364068173BC2}"/>
    <cellStyle name="Percent 3 22 4" xfId="5750" xr:uid="{9746F886-0EDD-4943-9DF2-F05701EA9510}"/>
    <cellStyle name="Percent 3 22 5" xfId="5751" xr:uid="{A2BA60C3-1B1E-4B9E-977A-D2D99915464F}"/>
    <cellStyle name="Percent 3 22 6" xfId="5745" xr:uid="{4458FA20-CC76-414E-BC6C-5C67111B7533}"/>
    <cellStyle name="Percent 3 23" xfId="2873" xr:uid="{C2869895-A39B-4300-9D28-FE81AFA7F163}"/>
    <cellStyle name="Percent 3 23 2" xfId="5753" xr:uid="{FBCD5492-08C5-4793-81F9-9E99D8DBBC90}"/>
    <cellStyle name="Percent 3 23 2 2" xfId="5754" xr:uid="{9EBE4407-1A69-4384-AF89-E222CA70A034}"/>
    <cellStyle name="Percent 3 23 3" xfId="5755" xr:uid="{5CD69EC1-108C-449A-9D6F-0EC290EBF2C8}"/>
    <cellStyle name="Percent 3 23 3 2" xfId="5756" xr:uid="{06640308-502A-439B-8E4C-DA9F05CCD96E}"/>
    <cellStyle name="Percent 3 23 4" xfId="5757" xr:uid="{6B884FFF-93FA-4BBB-B0B9-CFFDD7E31397}"/>
    <cellStyle name="Percent 3 23 5" xfId="5758" xr:uid="{D45B60B6-942E-4A1E-90AB-D43FC1E293C5}"/>
    <cellStyle name="Percent 3 23 6" xfId="5752" xr:uid="{0840AD8C-214B-4117-A04E-E865DEF06D19}"/>
    <cellStyle name="Percent 3 24" xfId="2874" xr:uid="{D781C159-ED50-4E09-B264-6563EB8210D1}"/>
    <cellStyle name="Percent 3 24 2" xfId="5760" xr:uid="{F6D3D23D-08AF-4D1C-977B-CE97EAF4CA3B}"/>
    <cellStyle name="Percent 3 24 2 2" xfId="5761" xr:uid="{DF5C6DD1-5740-40A3-B757-3C098566859C}"/>
    <cellStyle name="Percent 3 24 3" xfId="5762" xr:uid="{26DC3C19-88B1-4385-932A-721101925E8E}"/>
    <cellStyle name="Percent 3 24 3 2" xfId="5763" xr:uid="{89BCBA1C-D99A-42CD-8289-8824454C3547}"/>
    <cellStyle name="Percent 3 24 4" xfId="5764" xr:uid="{77405854-551D-4781-868D-866459E519B9}"/>
    <cellStyle name="Percent 3 24 5" xfId="5765" xr:uid="{DEC8B082-FF81-4422-B430-50D7F10369FC}"/>
    <cellStyle name="Percent 3 24 6" xfId="5759" xr:uid="{4730EDA6-574D-4DE2-8A9F-5B582690BF78}"/>
    <cellStyle name="Percent 3 25" xfId="2875" xr:uid="{A541CDC3-8103-4A14-AE20-1BF70C11DA29}"/>
    <cellStyle name="Percent 3 25 2" xfId="5767" xr:uid="{663210D3-9487-46A4-BB91-7941543509EE}"/>
    <cellStyle name="Percent 3 25 2 2" xfId="5768" xr:uid="{C12133C9-0A80-43AA-88D4-D07AE50EF8AB}"/>
    <cellStyle name="Percent 3 25 3" xfId="5769" xr:uid="{822A7337-D5AB-4232-AD3F-F3F9918A0882}"/>
    <cellStyle name="Percent 3 25 3 2" xfId="5770" xr:uid="{3635C32E-27A0-4443-93BA-3C9AD0669809}"/>
    <cellStyle name="Percent 3 25 4" xfId="5771" xr:uid="{0E5FE660-116D-458C-8BB4-040CB7B2DD06}"/>
    <cellStyle name="Percent 3 25 5" xfId="5772" xr:uid="{C236D098-4F10-4299-A2B3-5602F9D52724}"/>
    <cellStyle name="Percent 3 25 6" xfId="5766" xr:uid="{B652D2A2-3229-4F95-B162-85448609D9F0}"/>
    <cellStyle name="Percent 3 26" xfId="2876" xr:uid="{C201DDCB-1BAF-4A3F-9A77-169D1DDDBF9A}"/>
    <cellStyle name="Percent 3 26 2" xfId="5774" xr:uid="{859FCB4B-893C-4B9F-8F4B-3181203C758B}"/>
    <cellStyle name="Percent 3 26 2 2" xfId="5775" xr:uid="{3EAC7FA9-1779-43DA-A4C3-58C8271171C6}"/>
    <cellStyle name="Percent 3 26 3" xfId="5776" xr:uid="{530FC767-D797-4000-9F1D-8116650D89B8}"/>
    <cellStyle name="Percent 3 26 3 2" xfId="5777" xr:uid="{0D212B9F-26BE-4C38-AC2D-925A6252F9F7}"/>
    <cellStyle name="Percent 3 26 4" xfId="5778" xr:uid="{B39BFB12-3A24-4823-8515-5355E713A18A}"/>
    <cellStyle name="Percent 3 26 5" xfId="5779" xr:uid="{DD2ECDCA-2CEE-4A0B-A413-5CC042B8606A}"/>
    <cellStyle name="Percent 3 26 6" xfId="5773" xr:uid="{EB77C27B-02E6-4977-8226-023401FDB3FE}"/>
    <cellStyle name="Percent 3 27" xfId="2877" xr:uid="{8A44EFFA-F9B3-4CB2-8312-366D1DE83F1B}"/>
    <cellStyle name="Percent 3 27 2" xfId="5781" xr:uid="{AF499DE0-1F8B-49DE-8D81-A88EE1C29E1D}"/>
    <cellStyle name="Percent 3 27 2 2" xfId="5782" xr:uid="{A997A87A-0082-4A2A-B5B7-33D66983551C}"/>
    <cellStyle name="Percent 3 27 3" xfId="5783" xr:uid="{7DF62581-36C7-44E4-92C5-F7F4AFA4726B}"/>
    <cellStyle name="Percent 3 27 3 2" xfId="5784" xr:uid="{87F97E1C-D4EA-42A3-ADC3-9B35518EE4B9}"/>
    <cellStyle name="Percent 3 27 4" xfId="5785" xr:uid="{8E2FBE4C-2625-498D-AA2E-75B024D314D4}"/>
    <cellStyle name="Percent 3 27 5" xfId="5786" xr:uid="{7F710435-3F0D-4465-8D09-9F6BFC3F9E32}"/>
    <cellStyle name="Percent 3 27 6" xfId="5780" xr:uid="{CC8A6E62-CE76-4DB2-B99C-D2B9C0C72C90}"/>
    <cellStyle name="Percent 3 28" xfId="2878" xr:uid="{C776CF0E-7A3F-4D69-BF64-67189C37AA5E}"/>
    <cellStyle name="Percent 3 28 2" xfId="5788" xr:uid="{790FE8D2-2B02-493A-BAC7-0857996A9EC6}"/>
    <cellStyle name="Percent 3 28 2 2" xfId="5789" xr:uid="{7777C939-4BBC-4C6C-B2F8-4F7AA2E1A02B}"/>
    <cellStyle name="Percent 3 28 3" xfId="5790" xr:uid="{51440820-5605-4811-A659-6BA73D2C50C7}"/>
    <cellStyle name="Percent 3 28 3 2" xfId="5791" xr:uid="{EFAAC7C0-99CB-4977-832F-B66306F0CF53}"/>
    <cellStyle name="Percent 3 28 4" xfId="5792" xr:uid="{80561377-479F-445B-A4FC-371E92EC7091}"/>
    <cellStyle name="Percent 3 28 5" xfId="5793" xr:uid="{E7673E17-0768-4F27-93B3-D5CEB16605DB}"/>
    <cellStyle name="Percent 3 28 6" xfId="5787" xr:uid="{871545C8-1F86-47FA-8C91-71DB9635D96E}"/>
    <cellStyle name="Percent 3 29" xfId="2879" xr:uid="{C2E9CE53-3974-4650-89A8-40A42E4D1063}"/>
    <cellStyle name="Percent 3 29 2" xfId="5794" xr:uid="{4B9A9685-B1E4-4F59-A687-7509420208D2}"/>
    <cellStyle name="Percent 3 3" xfId="280" xr:uid="{98C3E52F-0853-4991-AB0E-33CFCAF94107}"/>
    <cellStyle name="Percent 3 3 10" xfId="2880" xr:uid="{F2CCE985-961D-494E-B9FD-94FEE8E3A2A1}"/>
    <cellStyle name="Percent 3 3 10 2" xfId="5797" xr:uid="{07A3C1F3-E6A8-411B-A7AC-49BD3162F226}"/>
    <cellStyle name="Percent 3 3 10 2 2" xfId="5798" xr:uid="{81C9D746-0321-427E-93BA-55FF784A3231}"/>
    <cellStyle name="Percent 3 3 10 3" xfId="5799" xr:uid="{198CC345-88ED-4418-B5C4-E91508887FB4}"/>
    <cellStyle name="Percent 3 3 10 3 2" xfId="5800" xr:uid="{7AC60A82-6410-43E6-AC38-38E268A3FC81}"/>
    <cellStyle name="Percent 3 3 10 4" xfId="5801" xr:uid="{01DB7A83-731F-4805-ADBB-F0AD0F88EA77}"/>
    <cellStyle name="Percent 3 3 10 5" xfId="5802" xr:uid="{9DAA3DCE-1C22-495E-8601-41CAD475B856}"/>
    <cellStyle name="Percent 3 3 10 6" xfId="5796" xr:uid="{AD62526D-5872-450C-A5EE-2237721C21B3}"/>
    <cellStyle name="Percent 3 3 11" xfId="2881" xr:uid="{4D8F1B24-561B-4F06-BC75-5D1014850CC0}"/>
    <cellStyle name="Percent 3 3 11 2" xfId="5804" xr:uid="{D4FEE939-45FD-4F40-A4EC-8D45C736AA92}"/>
    <cellStyle name="Percent 3 3 11 2 2" xfId="5805" xr:uid="{ABA68224-E242-4989-9F53-192182B2B7E5}"/>
    <cellStyle name="Percent 3 3 11 3" xfId="5806" xr:uid="{969673C2-6238-4476-B197-1868AD4384E7}"/>
    <cellStyle name="Percent 3 3 11 3 2" xfId="5807" xr:uid="{B6287D8E-C881-4C8F-9B12-125601044EB9}"/>
    <cellStyle name="Percent 3 3 11 4" xfId="5808" xr:uid="{CF876851-848E-4DCD-9D87-AD61283A1072}"/>
    <cellStyle name="Percent 3 3 11 5" xfId="5809" xr:uid="{7FDB0F3E-24AA-4FDD-9D1C-37BC0D32CC5E}"/>
    <cellStyle name="Percent 3 3 11 6" xfId="5803" xr:uid="{FCFADF5A-E548-420D-8CF3-0041A44B2705}"/>
    <cellStyle name="Percent 3 3 12" xfId="2882" xr:uid="{3F0B8794-3EC7-4203-BC2F-DFEDC95D4DA5}"/>
    <cellStyle name="Percent 3 3 12 2" xfId="5811" xr:uid="{45064474-F6AA-436B-9845-ECF1B1B041FE}"/>
    <cellStyle name="Percent 3 3 12 2 2" xfId="5812" xr:uid="{50C65360-9416-4E9B-BCE4-26434433EC8F}"/>
    <cellStyle name="Percent 3 3 12 3" xfId="5813" xr:uid="{565DB1A1-A623-4594-BBCC-343413C0D86E}"/>
    <cellStyle name="Percent 3 3 12 3 2" xfId="5814" xr:uid="{07C63E27-4462-4816-9F8D-F6A139E60712}"/>
    <cellStyle name="Percent 3 3 12 4" xfId="5815" xr:uid="{CFBE0DEC-2136-4C55-BBEF-0F235E7A3248}"/>
    <cellStyle name="Percent 3 3 12 5" xfId="5816" xr:uid="{C66F0AA7-401E-4947-854F-028FF26820B4}"/>
    <cellStyle name="Percent 3 3 12 6" xfId="5810" xr:uid="{44F24C67-949E-4708-B8A5-ABE839263615}"/>
    <cellStyle name="Percent 3 3 13" xfId="2883" xr:uid="{2A1B424B-B3A1-4C43-94D7-D3B3E7FC52FE}"/>
    <cellStyle name="Percent 3 3 13 2" xfId="5818" xr:uid="{071436F3-CACE-4068-BB03-3D9A0A0DA1A7}"/>
    <cellStyle name="Percent 3 3 13 2 2" xfId="5819" xr:uid="{4EBDF3F6-EC2B-4CCC-80A4-DC9CA2B4C7B3}"/>
    <cellStyle name="Percent 3 3 13 3" xfId="5820" xr:uid="{A9179AF0-FF82-413F-B429-F613AC612D97}"/>
    <cellStyle name="Percent 3 3 13 3 2" xfId="5821" xr:uid="{3E0B83F3-009D-4853-BBF8-466ACDEFC322}"/>
    <cellStyle name="Percent 3 3 13 4" xfId="5822" xr:uid="{C179ABAC-51C9-4EE5-A4DB-A2DF5CAE748D}"/>
    <cellStyle name="Percent 3 3 13 5" xfId="5823" xr:uid="{5A970EDD-FD94-44CD-BC5E-CBE3250E0137}"/>
    <cellStyle name="Percent 3 3 13 6" xfId="5817" xr:uid="{2F553391-3435-416D-BA33-581A4EA5A9B8}"/>
    <cellStyle name="Percent 3 3 14" xfId="2884" xr:uid="{029B1C93-7734-46BA-8625-2890557186C7}"/>
    <cellStyle name="Percent 3 3 14 2" xfId="5825" xr:uid="{90E23F6B-8524-4AB6-8BED-A3FA2237078B}"/>
    <cellStyle name="Percent 3 3 14 2 2" xfId="5826" xr:uid="{FBCDAE69-AAA7-4FBA-B837-D9F9BB55A18B}"/>
    <cellStyle name="Percent 3 3 14 3" xfId="5827" xr:uid="{7E7343F6-D051-4060-A286-02FD072242A2}"/>
    <cellStyle name="Percent 3 3 14 3 2" xfId="5828" xr:uid="{41FCB4D9-AB0B-4134-85BF-4E8BBF649886}"/>
    <cellStyle name="Percent 3 3 14 4" xfId="5829" xr:uid="{4BBB2EF6-57D7-4ACE-9B20-56A60588E657}"/>
    <cellStyle name="Percent 3 3 14 5" xfId="5830" xr:uid="{9376E346-7AC0-4264-853F-AE2491F2B793}"/>
    <cellStyle name="Percent 3 3 14 6" xfId="5824" xr:uid="{ABD430B7-AE23-4591-8885-39D97B02FE22}"/>
    <cellStyle name="Percent 3 3 15" xfId="2885" xr:uid="{958A5923-989E-43AD-9116-21A90E5DA765}"/>
    <cellStyle name="Percent 3 3 15 2" xfId="5832" xr:uid="{A1C6D4A2-CA4E-4F18-9A8A-578C80B2F869}"/>
    <cellStyle name="Percent 3 3 15 2 2" xfId="5833" xr:uid="{B6259511-B231-4DB3-9895-CE75410F85EC}"/>
    <cellStyle name="Percent 3 3 15 3" xfId="5834" xr:uid="{5F929D36-66FE-4193-9EDF-14B599CCA0DB}"/>
    <cellStyle name="Percent 3 3 15 3 2" xfId="5835" xr:uid="{9F76735A-9680-42CC-A27D-9D1C4DEBCAC8}"/>
    <cellStyle name="Percent 3 3 15 4" xfId="5836" xr:uid="{7E73FDFB-2B8F-4F03-AC47-16D3352EEBD7}"/>
    <cellStyle name="Percent 3 3 15 5" xfId="5837" xr:uid="{536CD8B6-B3BC-42B9-9C9F-19C799F3D4BF}"/>
    <cellStyle name="Percent 3 3 15 6" xfId="5831" xr:uid="{E71DD23C-60D6-4040-A60C-E38501BDC333}"/>
    <cellStyle name="Percent 3 3 16" xfId="5838" xr:uid="{CB8A98B4-1F9A-4EBA-AE42-7E7DB42F597F}"/>
    <cellStyle name="Percent 3 3 16 2" xfId="5839" xr:uid="{17F86801-D51C-4ED9-97FD-5C5A0B53A681}"/>
    <cellStyle name="Percent 3 3 17" xfId="5840" xr:uid="{E3F760D1-0C01-49E9-AA3B-D8E74574DB65}"/>
    <cellStyle name="Percent 3 3 17 2" xfId="5841" xr:uid="{8FE3D047-813F-4330-8F04-50CB5610BC03}"/>
    <cellStyle name="Percent 3 3 18" xfId="5842" xr:uid="{2C926A0B-6FB7-446A-AB6A-30E57005E73F}"/>
    <cellStyle name="Percent 3 3 19" xfId="5843" xr:uid="{445DFA1F-1409-4C7C-AB90-3B3F3E63EF2C}"/>
    <cellStyle name="Percent 3 3 2" xfId="281" xr:uid="{08724064-E5AB-4891-B348-43AE7ED19D85}"/>
    <cellStyle name="Percent 3 3 2 2" xfId="5845" xr:uid="{7D8A5621-7A0E-4E72-9088-2A43CA980167}"/>
    <cellStyle name="Percent 3 3 2 2 2" xfId="5846" xr:uid="{C8BE27BD-22DC-4352-92F0-4883DF1B996C}"/>
    <cellStyle name="Percent 3 3 2 3" xfId="5847" xr:uid="{7776450F-DFA3-4B84-9405-E22E4BCDA890}"/>
    <cellStyle name="Percent 3 3 2 3 2" xfId="5848" xr:uid="{056E9599-8FEA-45CF-B492-D124266BDCCC}"/>
    <cellStyle name="Percent 3 3 2 4" xfId="5849" xr:uid="{000E4A3E-280E-4A52-8382-1A99D01586BD}"/>
    <cellStyle name="Percent 3 3 2 5" xfId="5850" xr:uid="{B31CDE04-3874-4043-B74A-DD9871E87A81}"/>
    <cellStyle name="Percent 3 3 2 6" xfId="5844" xr:uid="{72B31039-B330-486B-BD24-B9F2299A596C}"/>
    <cellStyle name="Percent 3 3 20" xfId="5795" xr:uid="{B26A951C-E9B0-4539-BCB5-2C3CC6BF8C1B}"/>
    <cellStyle name="Percent 3 3 3" xfId="282" xr:uid="{2B85F95C-2856-460B-B181-D30B0C298B35}"/>
    <cellStyle name="Percent 3 3 3 2" xfId="283" xr:uid="{46FF4C80-E3AB-47C3-90C9-970A5B876B0E}"/>
    <cellStyle name="Percent 3 3 3 2 2" xfId="5853" xr:uid="{35CFBDF4-B0C6-4312-875C-25423221BAC9}"/>
    <cellStyle name="Percent 3 3 3 2 3" xfId="5854" xr:uid="{70D3337C-8BCA-45D2-A0F3-B151C2713128}"/>
    <cellStyle name="Percent 3 3 3 2 4" xfId="5852" xr:uid="{B3B3CF52-9FCB-4BED-B603-F7DBB9BBBC9E}"/>
    <cellStyle name="Percent 3 3 3 3" xfId="284" xr:uid="{E37F875A-F418-4C42-892D-BE0538FD339C}"/>
    <cellStyle name="Percent 3 3 3 3 2" xfId="285" xr:uid="{82277EAA-74AE-48CE-A533-E3F39381E251}"/>
    <cellStyle name="Percent 3 3 3 3 2 2" xfId="5856" xr:uid="{60DF9DC6-079A-4EFC-9640-DB5F5A6B30C9}"/>
    <cellStyle name="Percent 3 3 3 3 3" xfId="286" xr:uid="{6A0F0DFC-8C36-4941-8BD8-9BCD0B4EE2CD}"/>
    <cellStyle name="Percent 3 3 3 3 3 2" xfId="5857" xr:uid="{F901E0B7-E4C6-483B-8819-4DF02273B5F6}"/>
    <cellStyle name="Percent 3 3 3 3 4" xfId="391" xr:uid="{17A7E33A-8BF5-482B-9DC0-CB29AA8F257E}"/>
    <cellStyle name="Percent 3 3 3 3 4 2" xfId="2886" xr:uid="{9E175755-177B-4FB2-A414-84E84C7AC668}"/>
    <cellStyle name="Percent 3 3 3 3 4 3" xfId="5858" xr:uid="{EC010F89-1976-41E1-985D-1B35C2F3768E}"/>
    <cellStyle name="Percent 3 3 3 3 5" xfId="5859" xr:uid="{26FD639F-D1C7-44CD-B756-84E8C302EEEC}"/>
    <cellStyle name="Percent 3 3 3 3 6" xfId="5860" xr:uid="{FA118162-9732-46AE-B417-7BCE80FF8BB0}"/>
    <cellStyle name="Percent 3 3 3 3 7" xfId="5855" xr:uid="{04B54CCF-7D19-4908-A761-7F06120B2F57}"/>
    <cellStyle name="Percent 3 3 3 4" xfId="5861" xr:uid="{D55ABC51-C781-48E1-9C8A-A67EE74472DD}"/>
    <cellStyle name="Percent 3 3 3 5" xfId="5862" xr:uid="{6036E31A-DD43-429B-BDE4-6A2BE00DAA73}"/>
    <cellStyle name="Percent 3 3 3 6" xfId="5851" xr:uid="{B686CC60-14DC-4FC9-9B61-25DCA386B7D3}"/>
    <cellStyle name="Percent 3 3 4" xfId="287" xr:uid="{135587C7-2CEC-415C-B069-DF285002D8FC}"/>
    <cellStyle name="Percent 3 3 4 2" xfId="2887" xr:uid="{6AD95C72-D5D9-40EF-A10F-EE63D3380F9C}"/>
    <cellStyle name="Percent 3 3 4 2 2" xfId="5865" xr:uid="{AE63B76E-027C-45D1-A84E-9DC2573DA15F}"/>
    <cellStyle name="Percent 3 3 4 2 3" xfId="5866" xr:uid="{9BC72801-06DC-4438-A185-3935C7BD0089}"/>
    <cellStyle name="Percent 3 3 4 2 4" xfId="5864" xr:uid="{F110D77D-7607-47C0-A108-9F8F406A38CF}"/>
    <cellStyle name="Percent 3 3 4 3" xfId="5867" xr:uid="{EBD3B8D7-AC3C-44D4-84F5-577BE3C1644D}"/>
    <cellStyle name="Percent 3 3 4 3 2" xfId="5868" xr:uid="{2A23B3D5-FFD4-4D63-8D52-21B52E125227}"/>
    <cellStyle name="Percent 3 3 4 4" xfId="5869" xr:uid="{C193517C-2734-4EEB-82FE-711983D9A5FE}"/>
    <cellStyle name="Percent 3 3 4 5" xfId="5870" xr:uid="{55DC4583-CA8A-43F4-A21A-1C7C1C867949}"/>
    <cellStyle name="Percent 3 3 4 6" xfId="5863" xr:uid="{369E0BC4-0C4A-4BE7-8C0A-8F53597880B2}"/>
    <cellStyle name="Percent 3 3 5" xfId="288" xr:uid="{2C6E1129-7151-4F8C-9830-5457931D9B2F}"/>
    <cellStyle name="Percent 3 3 5 2" xfId="5872" xr:uid="{70A3179E-CD2C-475E-94FE-E809B90359E0}"/>
    <cellStyle name="Percent 3 3 5 2 2" xfId="5873" xr:uid="{61DD4D1E-0D71-4ACC-BF63-D3ADFF6287DA}"/>
    <cellStyle name="Percent 3 3 5 2 2 2" xfId="5874" xr:uid="{F2BE000B-AB7C-40DF-BB18-8F68320B215C}"/>
    <cellStyle name="Percent 3 3 5 2 3" xfId="5875" xr:uid="{7BDA2C70-20D1-4F0C-A444-5F63DA11607F}"/>
    <cellStyle name="Percent 3 3 5 2 3 2" xfId="5876" xr:uid="{9258C277-8572-49D1-997F-C91F1E79BDA0}"/>
    <cellStyle name="Percent 3 3 5 2 4" xfId="5877" xr:uid="{0320BBAD-9531-4AB0-A24F-F1CF8251DB3E}"/>
    <cellStyle name="Percent 3 3 5 3" xfId="5878" xr:uid="{10F6FB66-B9CF-412F-8878-228A4D5C02B4}"/>
    <cellStyle name="Percent 3 3 5 3 2" xfId="5879" xr:uid="{877BB43D-8268-4E3E-956A-9C8D15C81AD7}"/>
    <cellStyle name="Percent 3 3 5 3 2 2" xfId="5880" xr:uid="{924EAE10-E1B1-4E66-8404-1681CF2D7DDA}"/>
    <cellStyle name="Percent 3 3 5 3 3" xfId="5881" xr:uid="{32AED06E-9556-4627-AC30-C4F003FD1E0F}"/>
    <cellStyle name="Percent 3 3 5 3 3 2" xfId="5882" xr:uid="{730DC388-ABD2-4767-BF3B-782E608A60A2}"/>
    <cellStyle name="Percent 3 3 5 3 4" xfId="5883" xr:uid="{427683CD-6222-43F7-AA94-0145AE8D6681}"/>
    <cellStyle name="Percent 3 3 5 4" xfId="5884" xr:uid="{78983F99-8353-4E54-BA6C-17F0A66B1547}"/>
    <cellStyle name="Percent 3 3 5 4 2" xfId="5885" xr:uid="{71294E20-308A-4454-9B68-FA877F811BF1}"/>
    <cellStyle name="Percent 3 3 5 5" xfId="5886" xr:uid="{59B9B1A6-4216-4882-9FBC-B17708989D55}"/>
    <cellStyle name="Percent 3 3 5 5 2" xfId="5887" xr:uid="{2BD2B9A3-8EAE-42F3-8F82-E7B53AB808CD}"/>
    <cellStyle name="Percent 3 3 5 6" xfId="5888" xr:uid="{04836B5A-9556-43DF-BF98-C143820CC7D9}"/>
    <cellStyle name="Percent 3 3 5 7" xfId="5889" xr:uid="{DDA9F4FD-CF7F-40F1-AD77-68A5D2775B52}"/>
    <cellStyle name="Percent 3 3 5 8" xfId="5871" xr:uid="{4881F25E-185A-4A0F-BB1B-E52EF44CABE0}"/>
    <cellStyle name="Percent 3 3 6" xfId="390" xr:uid="{A09D3EBA-CD3F-4ACB-8D9A-91071628259E}"/>
    <cellStyle name="Percent 3 3 6 2" xfId="2888" xr:uid="{AB36055E-B78C-4974-BDC7-E333E054F995}"/>
    <cellStyle name="Percent 3 3 6 2 2" xfId="5892" xr:uid="{F466A62E-0CBE-4373-918B-E519C1A292F1}"/>
    <cellStyle name="Percent 3 3 6 2 2 2" xfId="5893" xr:uid="{B6DEA413-20F9-4C2C-9A5A-4C7EC78EAED1}"/>
    <cellStyle name="Percent 3 3 6 2 3" xfId="5894" xr:uid="{155C5B56-CEC1-48F3-BE8C-A116CB6920EC}"/>
    <cellStyle name="Percent 3 3 6 2 3 2" xfId="5895" xr:uid="{F5505D52-EB32-4D85-BA9A-8909C7C137BA}"/>
    <cellStyle name="Percent 3 3 6 2 4" xfId="5896" xr:uid="{1B7E3A5C-CB15-46B1-B31D-51ADAFCCE252}"/>
    <cellStyle name="Percent 3 3 6 2 5" xfId="5891" xr:uid="{CD7A16F8-3FD3-4397-AD86-F2811CDB1FA0}"/>
    <cellStyle name="Percent 3 3 6 3" xfId="5897" xr:uid="{72CF7D22-A0CA-4A53-AAF9-9908676C2786}"/>
    <cellStyle name="Percent 3 3 6 3 2" xfId="5898" xr:uid="{4EDD62DC-432F-4318-94E5-ABCA2D769954}"/>
    <cellStyle name="Percent 3 3 6 3 2 2" xfId="5899" xr:uid="{9BB4627E-69AA-4D2B-8E36-119D70EF67EC}"/>
    <cellStyle name="Percent 3 3 6 3 3" xfId="5900" xr:uid="{DC9D29BD-3FCD-4C08-8366-866CD0F5D3A6}"/>
    <cellStyle name="Percent 3 3 6 3 3 2" xfId="5901" xr:uid="{EED38E45-4B6C-4A41-B9E7-22D8137BA991}"/>
    <cellStyle name="Percent 3 3 6 3 4" xfId="5902" xr:uid="{EC8F057B-5D27-4C92-B2AF-E05D2E18F0FB}"/>
    <cellStyle name="Percent 3 3 6 4" xfId="5903" xr:uid="{46093CD7-4CB1-46A3-A7A3-9BF0CB66A392}"/>
    <cellStyle name="Percent 3 3 6 4 2" xfId="5904" xr:uid="{1279BE66-CAC0-4ED8-84D2-F8D30DF5FA6A}"/>
    <cellStyle name="Percent 3 3 6 5" xfId="5905" xr:uid="{BBAF8E6F-7D82-489A-9751-756743CB7638}"/>
    <cellStyle name="Percent 3 3 6 5 2" xfId="5906" xr:uid="{23C42618-8342-4CBF-A782-51076EDEC26D}"/>
    <cellStyle name="Percent 3 3 6 6" xfId="5907" xr:uid="{2437ABC6-F84B-48BC-8AD1-EF0352A93C94}"/>
    <cellStyle name="Percent 3 3 6 7" xfId="5908" xr:uid="{50D2170E-B585-43CB-89F3-1421F7559C44}"/>
    <cellStyle name="Percent 3 3 6 8" xfId="5890" xr:uid="{0F9D9698-CA5A-4BCC-A33F-2B6DEDDDDD9A}"/>
    <cellStyle name="Percent 3 3 7" xfId="2889" xr:uid="{B8B1D959-D972-47AD-8868-18C061AD4DD1}"/>
    <cellStyle name="Percent 3 3 7 2" xfId="5910" xr:uid="{3132DF2F-599A-4A45-BEA6-31234D96F1FE}"/>
    <cellStyle name="Percent 3 3 7 2 2" xfId="5911" xr:uid="{61FAAD75-D7B3-465F-B5FD-0FB8019C0532}"/>
    <cellStyle name="Percent 3 3 7 2 2 2" xfId="5912" xr:uid="{D113E094-F04E-4439-B5CB-3D05AAD0CFDF}"/>
    <cellStyle name="Percent 3 3 7 2 3" xfId="5913" xr:uid="{D7E17FB9-012C-4DC0-807E-B402D58F659F}"/>
    <cellStyle name="Percent 3 3 7 2 3 2" xfId="5914" xr:uid="{488FA284-7662-48FA-9FCE-B1653078C3FE}"/>
    <cellStyle name="Percent 3 3 7 2 4" xfId="5915" xr:uid="{AB3226E3-B95B-4429-91FA-9C4FD59B9715}"/>
    <cellStyle name="Percent 3 3 7 3" xfId="5916" xr:uid="{D97E949F-E28F-4C8B-88FC-2FF6D1F8F3F6}"/>
    <cellStyle name="Percent 3 3 7 3 2" xfId="5917" xr:uid="{70144712-A4B1-4FF3-BB37-1C2234EF8536}"/>
    <cellStyle name="Percent 3 3 7 3 2 2" xfId="5918" xr:uid="{7C1AB549-EC36-49D2-A717-A82F67F95895}"/>
    <cellStyle name="Percent 3 3 7 3 3" xfId="5919" xr:uid="{CEF00DAD-C3C0-4FE3-8A34-D15BBDBF15B4}"/>
    <cellStyle name="Percent 3 3 7 3 3 2" xfId="5920" xr:uid="{0E75B094-0311-43CD-B2F8-17F699BB6800}"/>
    <cellStyle name="Percent 3 3 7 3 4" xfId="5921" xr:uid="{9FF381B5-EC55-4CEC-BBF3-F2ABC2B8C26A}"/>
    <cellStyle name="Percent 3 3 7 4" xfId="5922" xr:uid="{921110A7-5EF0-45C2-9A1C-68A6891F71E6}"/>
    <cellStyle name="Percent 3 3 7 4 2" xfId="5923" xr:uid="{AC521D15-7D12-4C3F-9E04-20A189F51E8A}"/>
    <cellStyle name="Percent 3 3 7 5" xfId="5924" xr:uid="{E34145FD-A677-4E0D-9AD5-46651D6277AF}"/>
    <cellStyle name="Percent 3 3 7 5 2" xfId="5925" xr:uid="{A53C80F2-085D-4A44-96D8-8739D694DA0C}"/>
    <cellStyle name="Percent 3 3 7 6" xfId="5926" xr:uid="{560331C4-8898-4AD1-822C-C242F6E4CA50}"/>
    <cellStyle name="Percent 3 3 7 7" xfId="5927" xr:uid="{08DA6E86-363B-4870-8234-63E63D7C9690}"/>
    <cellStyle name="Percent 3 3 7 8" xfId="5909" xr:uid="{7726CEDE-079E-43DE-97B0-2512A48720DE}"/>
    <cellStyle name="Percent 3 3 8" xfId="2890" xr:uid="{2B78E6CE-4233-4093-8C2F-D41E17014956}"/>
    <cellStyle name="Percent 3 3 8 2" xfId="5929" xr:uid="{86F2973C-8C05-4F01-B1B1-1BC79DF2BB5D}"/>
    <cellStyle name="Percent 3 3 8 2 2" xfId="5930" xr:uid="{8FF6DBA5-B850-4323-80D7-80C06431D7DF}"/>
    <cellStyle name="Percent 3 3 8 2 2 2" xfId="5931" xr:uid="{F5C9A9A2-5A28-4EFF-A810-697E69FABBD9}"/>
    <cellStyle name="Percent 3 3 8 2 3" xfId="5932" xr:uid="{AF28C643-2761-4669-9770-181B8B4DB6BF}"/>
    <cellStyle name="Percent 3 3 8 2 3 2" xfId="5933" xr:uid="{F2ACC4C1-99F9-4BD7-8A7F-24ABF8C2DD20}"/>
    <cellStyle name="Percent 3 3 8 2 4" xfId="5934" xr:uid="{2DFF0B65-9BA9-49F9-AE42-9689EAEAD8BA}"/>
    <cellStyle name="Percent 3 3 8 3" xfId="5935" xr:uid="{010BF949-A657-47A0-B304-39930AC22A00}"/>
    <cellStyle name="Percent 3 3 8 3 2" xfId="5936" xr:uid="{E41E8322-0998-4E62-9BD4-28585FC55083}"/>
    <cellStyle name="Percent 3 3 8 3 2 2" xfId="5937" xr:uid="{47AE28A0-C991-40A8-AC1E-EC2B5F97DBB6}"/>
    <cellStyle name="Percent 3 3 8 3 3" xfId="5938" xr:uid="{C7D79EAE-E0D0-405E-AD2D-785F8A4C9109}"/>
    <cellStyle name="Percent 3 3 8 3 3 2" xfId="5939" xr:uid="{BF2F19FB-54AD-476D-953D-41137F954E8C}"/>
    <cellStyle name="Percent 3 3 8 3 4" xfId="5940" xr:uid="{FF435CCA-A4F2-4A84-BB59-B2B17D90AE1C}"/>
    <cellStyle name="Percent 3 3 8 4" xfId="5941" xr:uid="{7D872706-24A4-4746-971D-040356D50438}"/>
    <cellStyle name="Percent 3 3 8 4 2" xfId="5942" xr:uid="{6D682CD6-E1BB-4D91-868D-798131E544F8}"/>
    <cellStyle name="Percent 3 3 8 5" xfId="5943" xr:uid="{39F6B40B-4245-4809-BED0-38B0D8EF843D}"/>
    <cellStyle name="Percent 3 3 8 5 2" xfId="5944" xr:uid="{89EC3BDF-7B16-4ADC-A8E9-7F9C3CFAF016}"/>
    <cellStyle name="Percent 3 3 8 6" xfId="5945" xr:uid="{F02DFB7D-D0A5-4EC3-89E6-BC1793DD334D}"/>
    <cellStyle name="Percent 3 3 8 7" xfId="5946" xr:uid="{36B934A1-838E-4678-B2CE-0CBB3704721D}"/>
    <cellStyle name="Percent 3 3 8 8" xfId="5928" xr:uid="{9B9D1831-95BF-4B86-B2BA-6FE002311105}"/>
    <cellStyle name="Percent 3 3 9" xfId="2891" xr:uid="{045AAA9B-58E5-4601-B5B5-DC3E11BF6D27}"/>
    <cellStyle name="Percent 3 3 9 2" xfId="5948" xr:uid="{C2CD231E-4165-4146-82A7-CFC37DB104B2}"/>
    <cellStyle name="Percent 3 3 9 2 2" xfId="5949" xr:uid="{FCF7C9C0-43E2-4894-ABDB-D5D9CEFC6A6A}"/>
    <cellStyle name="Percent 3 3 9 2 2 2" xfId="5950" xr:uid="{75B3C015-9B0D-4169-AD1C-C2CD0677660B}"/>
    <cellStyle name="Percent 3 3 9 2 3" xfId="5951" xr:uid="{CF74C32A-33B6-4BF1-8FB5-7CBE8B96BF8B}"/>
    <cellStyle name="Percent 3 3 9 2 3 2" xfId="5952" xr:uid="{3A85888D-1EC0-47D1-A115-C8D5F99A2A24}"/>
    <cellStyle name="Percent 3 3 9 2 4" xfId="5953" xr:uid="{090C3251-B200-4C1A-9063-70FFB162B69E}"/>
    <cellStyle name="Percent 3 3 9 3" xfId="5954" xr:uid="{B4115126-E4CB-4CA9-93B9-6F8619E02ADC}"/>
    <cellStyle name="Percent 3 3 9 3 2" xfId="5955" xr:uid="{AF9C33B5-D093-4F13-9D5A-E6247C26F572}"/>
    <cellStyle name="Percent 3 3 9 3 2 2" xfId="5956" xr:uid="{6407C59D-0F51-4972-8242-C62DAB3C47AF}"/>
    <cellStyle name="Percent 3 3 9 3 3" xfId="5957" xr:uid="{CAFD5EE8-BA6B-4EED-AD8C-6EF3A7A2AE63}"/>
    <cellStyle name="Percent 3 3 9 3 3 2" xfId="5958" xr:uid="{23ACF2A0-72CE-40FE-845A-C8FD814110E2}"/>
    <cellStyle name="Percent 3 3 9 3 4" xfId="5959" xr:uid="{58EC63EF-0AC0-4AAA-B876-FE1C23FD3161}"/>
    <cellStyle name="Percent 3 3 9 4" xfId="5960" xr:uid="{4D3EE6D5-9E6F-4636-AAA1-7E9DB7ACDEDF}"/>
    <cellStyle name="Percent 3 3 9 4 2" xfId="5961" xr:uid="{EA5B56CA-81BD-4F9C-ACC4-A33D8010D618}"/>
    <cellStyle name="Percent 3 3 9 5" xfId="5962" xr:uid="{4C464E5A-9615-4A76-A80F-602A305CBFDA}"/>
    <cellStyle name="Percent 3 3 9 5 2" xfId="5963" xr:uid="{A7DFB8EA-6296-4C10-A241-7248C2F7DD86}"/>
    <cellStyle name="Percent 3 3 9 6" xfId="5964" xr:uid="{DE85D6E8-5013-44B4-903D-04C4099C36F4}"/>
    <cellStyle name="Percent 3 3 9 7" xfId="5965" xr:uid="{BB82A153-05CD-46A7-AA62-C8B1162409DB}"/>
    <cellStyle name="Percent 3 3 9 8" xfId="5947" xr:uid="{E3CC06B1-5F27-4752-9610-5809280F4821}"/>
    <cellStyle name="Percent 3 30" xfId="2829" xr:uid="{D0B83118-3366-4BA3-90D9-96B106FE4BD1}"/>
    <cellStyle name="Percent 3 31" xfId="5546" xr:uid="{37CA6E58-E986-4D40-A223-A354A3181D37}"/>
    <cellStyle name="Percent 3 4" xfId="289" xr:uid="{F0F5164D-A814-44AE-A49D-315FCEF83C92}"/>
    <cellStyle name="Percent 3 4 10" xfId="2892" xr:uid="{27CDC79D-9AF2-437C-9153-F8A9E289CF04}"/>
    <cellStyle name="Percent 3 4 10 2" xfId="5968" xr:uid="{C850FD29-DDFB-42CC-B1DE-65C6B00AE833}"/>
    <cellStyle name="Percent 3 4 10 2 2" xfId="5969" xr:uid="{AE8FD260-1A01-453C-A840-DD13DC1D4A3C}"/>
    <cellStyle name="Percent 3 4 10 2 2 2" xfId="5970" xr:uid="{932AE46E-F94E-45D9-A359-6DF605A851B0}"/>
    <cellStyle name="Percent 3 4 10 2 3" xfId="5971" xr:uid="{AC450CF9-9AAE-484D-8607-61FC91AB5339}"/>
    <cellStyle name="Percent 3 4 10 2 3 2" xfId="5972" xr:uid="{FFFA812D-8D70-4615-8108-79CE2ED55D4E}"/>
    <cellStyle name="Percent 3 4 10 2 4" xfId="5973" xr:uid="{C19E1FF7-A2BF-4C3E-AAD7-10FB620694A1}"/>
    <cellStyle name="Percent 3 4 10 2 5" xfId="5974" xr:uid="{D2FBB94B-E806-46C8-876D-73883CE5DA5B}"/>
    <cellStyle name="Percent 3 4 10 3" xfId="5975" xr:uid="{1425B35F-0C73-4C51-9342-40C608091FA6}"/>
    <cellStyle name="Percent 3 4 10 3 2" xfId="5976" xr:uid="{052ED9D2-E183-44AC-AFBC-9A6759C2067B}"/>
    <cellStyle name="Percent 3 4 10 3 2 2" xfId="5977" xr:uid="{A90A866A-9E21-422D-A0EE-C05662D4A1B9}"/>
    <cellStyle name="Percent 3 4 10 3 3" xfId="5978" xr:uid="{18DFF518-EA49-48A9-AD56-B8E718A31D58}"/>
    <cellStyle name="Percent 3 4 10 3 3 2" xfId="5979" xr:uid="{4FA297FD-4F59-4FAC-A30C-040324BC2F6F}"/>
    <cellStyle name="Percent 3 4 10 3 4" xfId="5980" xr:uid="{A3FFCC52-655F-40DB-9271-73B2528498DB}"/>
    <cellStyle name="Percent 3 4 10 4" xfId="5981" xr:uid="{BDDFF25D-F0CB-49FC-B4FE-6A0B2BD972DA}"/>
    <cellStyle name="Percent 3 4 10 4 2" xfId="5982" xr:uid="{E105140D-0EC1-4B8A-8935-D2872BEA2E1E}"/>
    <cellStyle name="Percent 3 4 10 5" xfId="5983" xr:uid="{9727535B-6701-475D-A041-0A12F8B024DC}"/>
    <cellStyle name="Percent 3 4 10 5 2" xfId="5984" xr:uid="{B6167330-80D1-4713-85C1-468A418E888C}"/>
    <cellStyle name="Percent 3 4 10 6" xfId="5985" xr:uid="{0CA17781-430F-4C56-BCDB-FC89E10C36CF}"/>
    <cellStyle name="Percent 3 4 10 7" xfId="5986" xr:uid="{7BD7FB7F-F863-4AD6-BE60-0BB51C73A8B2}"/>
    <cellStyle name="Percent 3 4 10 8" xfId="5967" xr:uid="{5F7CB949-9975-4C7B-ACD2-22A9629E597C}"/>
    <cellStyle name="Percent 3 4 11" xfId="2893" xr:uid="{F7D14565-FCC9-48AE-AC30-B6F4EA9C1A00}"/>
    <cellStyle name="Percent 3 4 11 2" xfId="5988" xr:uid="{785F11B1-64A5-41DD-860A-CFA835C3010C}"/>
    <cellStyle name="Percent 3 4 11 2 2" xfId="5989" xr:uid="{625EF9EC-0827-45CC-B965-A3C7AB8CAF28}"/>
    <cellStyle name="Percent 3 4 11 2 2 2" xfId="5990" xr:uid="{D1B55527-4303-4319-9E5B-CC8649CDEB8C}"/>
    <cellStyle name="Percent 3 4 11 2 3" xfId="5991" xr:uid="{E947CF51-7320-46DD-A20C-A0621EEE34CD}"/>
    <cellStyle name="Percent 3 4 11 2 3 2" xfId="5992" xr:uid="{DF6B57A4-86B0-4164-8929-F27456B45E42}"/>
    <cellStyle name="Percent 3 4 11 2 4" xfId="5993" xr:uid="{75E7E1EC-1090-4231-BFCE-D19C8C9824D6}"/>
    <cellStyle name="Percent 3 4 11 2 5" xfId="5994" xr:uid="{ED7AE7D3-CFEB-4541-B1DA-36891A334E00}"/>
    <cellStyle name="Percent 3 4 11 3" xfId="5995" xr:uid="{01F52DEB-6971-4BE5-BCF0-DD10672A8B80}"/>
    <cellStyle name="Percent 3 4 11 3 2" xfId="5996" xr:uid="{FD851020-CF2B-4483-AF7B-C3E451389950}"/>
    <cellStyle name="Percent 3 4 11 3 2 2" xfId="5997" xr:uid="{522C8198-997A-4034-BBEA-8908D1EEEAAD}"/>
    <cellStyle name="Percent 3 4 11 3 3" xfId="5998" xr:uid="{3D860E1C-305C-460A-AFFA-CC4EAEE8AAB8}"/>
    <cellStyle name="Percent 3 4 11 3 3 2" xfId="5999" xr:uid="{EA3EEEAA-61E5-44BF-8257-0C1EA6155906}"/>
    <cellStyle name="Percent 3 4 11 3 4" xfId="6000" xr:uid="{72EFDB9C-AEA5-43A4-AC6F-C4CAC7BFA560}"/>
    <cellStyle name="Percent 3 4 11 4" xfId="6001" xr:uid="{B923A32E-77E4-425E-94E4-73D6A14D95FD}"/>
    <cellStyle name="Percent 3 4 11 4 2" xfId="6002" xr:uid="{9475D977-408B-46CD-8DA0-133BB912767B}"/>
    <cellStyle name="Percent 3 4 11 5" xfId="6003" xr:uid="{2F99E814-CF91-4D43-95D0-15A4B9606872}"/>
    <cellStyle name="Percent 3 4 11 5 2" xfId="6004" xr:uid="{2223FE68-58F3-4022-B356-74D893069B3D}"/>
    <cellStyle name="Percent 3 4 11 6" xfId="6005" xr:uid="{053129E6-5B4A-41F5-936C-4D164C681A92}"/>
    <cellStyle name="Percent 3 4 11 7" xfId="6006" xr:uid="{1A5D0FC3-888C-4396-BB9F-E8A4121306FF}"/>
    <cellStyle name="Percent 3 4 11 8" xfId="5987" xr:uid="{A10A9504-7E71-4D99-A11A-12D1620CDAAF}"/>
    <cellStyle name="Percent 3 4 12" xfId="2894" xr:uid="{FED3079C-BCB5-420A-8805-F8DD7E5952C2}"/>
    <cellStyle name="Percent 3 4 12 2" xfId="6008" xr:uid="{9E12213C-CD74-4354-BCE7-9A5139BA3410}"/>
    <cellStyle name="Percent 3 4 12 2 2" xfId="6009" xr:uid="{D249773B-D621-41DB-A37F-46C7ACE4A911}"/>
    <cellStyle name="Percent 3 4 12 2 2 2" xfId="6010" xr:uid="{541E311A-6E3E-45C7-84FF-186103387644}"/>
    <cellStyle name="Percent 3 4 12 2 3" xfId="6011" xr:uid="{57905224-E006-494A-BBFD-CD07C7981DBB}"/>
    <cellStyle name="Percent 3 4 12 2 3 2" xfId="6012" xr:uid="{1BE1CC16-897F-4C07-8D15-512B02126626}"/>
    <cellStyle name="Percent 3 4 12 2 4" xfId="6013" xr:uid="{DA940714-2169-4D91-91C8-EC0ABADAD024}"/>
    <cellStyle name="Percent 3 4 12 2 5" xfId="6014" xr:uid="{5035EF85-24CF-4DE8-B9EF-DAEEEFF51F99}"/>
    <cellStyle name="Percent 3 4 12 3" xfId="6015" xr:uid="{6D17C07B-8AB7-4A74-95F5-20635527683F}"/>
    <cellStyle name="Percent 3 4 12 3 2" xfId="6016" xr:uid="{EEC3A53D-F2C1-4333-B90F-C711917FA20B}"/>
    <cellStyle name="Percent 3 4 12 3 2 2" xfId="6017" xr:uid="{8C8F3927-CE10-45A7-B097-AE4E55AF6209}"/>
    <cellStyle name="Percent 3 4 12 3 3" xfId="6018" xr:uid="{19651AEA-B9B6-4B9D-9CB3-24017F88AA5B}"/>
    <cellStyle name="Percent 3 4 12 3 3 2" xfId="6019" xr:uid="{E46006AC-C2AF-419B-ACA4-C607048DAC4B}"/>
    <cellStyle name="Percent 3 4 12 3 4" xfId="6020" xr:uid="{2AD97488-B0C6-492D-96D4-2A8C7DBAD9C8}"/>
    <cellStyle name="Percent 3 4 12 4" xfId="6021" xr:uid="{39E2C344-BDBA-4224-B898-8E4074CB0006}"/>
    <cellStyle name="Percent 3 4 12 4 2" xfId="6022" xr:uid="{05813805-8095-4467-9507-10CCFE4896CB}"/>
    <cellStyle name="Percent 3 4 12 5" xfId="6023" xr:uid="{F830C093-D23F-4130-AAF8-EF3E50FF7701}"/>
    <cellStyle name="Percent 3 4 12 5 2" xfId="6024" xr:uid="{E26CA13B-BEFB-4A53-85DB-AD661EBA39EF}"/>
    <cellStyle name="Percent 3 4 12 6" xfId="6025" xr:uid="{8F7DD6CA-F6C0-4CA4-ADF4-F1EA8EA6DAAB}"/>
    <cellStyle name="Percent 3 4 12 7" xfId="6026" xr:uid="{C611F69F-A4E2-449F-9C81-4DC988EA5280}"/>
    <cellStyle name="Percent 3 4 12 8" xfId="6007" xr:uid="{F7590EEA-C4B3-4836-88EA-2DA935483DD5}"/>
    <cellStyle name="Percent 3 4 13" xfId="2895" xr:uid="{689FB125-7048-42DF-9734-6C57778A3F4D}"/>
    <cellStyle name="Percent 3 4 13 2" xfId="6028" xr:uid="{F14EB29C-96B9-4CCA-8844-B0DB31B559A4}"/>
    <cellStyle name="Percent 3 4 13 2 2" xfId="6029" xr:uid="{CD874AFD-EF3C-4ECC-A9DF-E41BE2DC83D8}"/>
    <cellStyle name="Percent 3 4 13 2 2 2" xfId="6030" xr:uid="{489E9626-F573-4023-B1EE-A45DA193DAEC}"/>
    <cellStyle name="Percent 3 4 13 2 3" xfId="6031" xr:uid="{2A8E578F-5C42-4B21-B883-360C3C24B082}"/>
    <cellStyle name="Percent 3 4 13 2 3 2" xfId="6032" xr:uid="{D9EA91B8-5F1D-4B67-B874-A4883AAA536E}"/>
    <cellStyle name="Percent 3 4 13 2 4" xfId="6033" xr:uid="{46E6233A-F182-45F9-B391-BB2BA3A3B443}"/>
    <cellStyle name="Percent 3 4 13 2 5" xfId="6034" xr:uid="{57D01B4F-482D-4E3C-B85B-01DC2C8F37A5}"/>
    <cellStyle name="Percent 3 4 13 3" xfId="6035" xr:uid="{6ADFD379-600D-43D5-B9ED-1D3E4CBADAD7}"/>
    <cellStyle name="Percent 3 4 13 3 2" xfId="6036" xr:uid="{F507C18C-E8F5-40B4-886F-6566F710F066}"/>
    <cellStyle name="Percent 3 4 13 3 2 2" xfId="6037" xr:uid="{A217245C-D186-4A9E-BC14-C3F806C0DFA5}"/>
    <cellStyle name="Percent 3 4 13 3 3" xfId="6038" xr:uid="{3C271FD9-5910-4666-A296-D8EC37738F94}"/>
    <cellStyle name="Percent 3 4 13 3 3 2" xfId="6039" xr:uid="{5AF9896F-2E38-4F6C-B48E-D364938EFC6D}"/>
    <cellStyle name="Percent 3 4 13 3 4" xfId="6040" xr:uid="{C37D6F43-EF71-4AB2-9211-220FA00AE80D}"/>
    <cellStyle name="Percent 3 4 13 4" xfId="6041" xr:uid="{787CAAA9-E842-4069-A209-D68D27D61D3B}"/>
    <cellStyle name="Percent 3 4 13 4 2" xfId="6042" xr:uid="{8D835ECE-8B65-4C6E-AA9C-3DD8B38DAE26}"/>
    <cellStyle name="Percent 3 4 13 5" xfId="6043" xr:uid="{67C41275-3BC9-45E2-A870-354200B3DBF1}"/>
    <cellStyle name="Percent 3 4 13 5 2" xfId="6044" xr:uid="{A130F107-4D8F-40D8-A8A6-AC64E32BD45C}"/>
    <cellStyle name="Percent 3 4 13 6" xfId="6045" xr:uid="{0808F60F-F938-4FC1-A3B5-FD083AB65078}"/>
    <cellStyle name="Percent 3 4 13 7" xfId="6046" xr:uid="{73E3EB15-2965-412C-B683-C48345535255}"/>
    <cellStyle name="Percent 3 4 13 8" xfId="6027" xr:uid="{ED9525FF-8986-41E2-A761-0B0BF8847A7F}"/>
    <cellStyle name="Percent 3 4 14" xfId="2896" xr:uid="{9E91116B-0265-4307-B93C-5140CC527DA0}"/>
    <cellStyle name="Percent 3 4 14 2" xfId="6048" xr:uid="{19A597D3-1035-4A0C-A7BE-A4EA9BEB1CB6}"/>
    <cellStyle name="Percent 3 4 14 2 2" xfId="6049" xr:uid="{363D8C41-DCAF-4811-B461-3376E3A3D630}"/>
    <cellStyle name="Percent 3 4 14 2 2 2" xfId="6050" xr:uid="{0EC730EA-BBA2-4D3E-8885-B6F9BD2E6D2E}"/>
    <cellStyle name="Percent 3 4 14 2 3" xfId="6051" xr:uid="{C484232B-1EB4-4B68-9760-8EC7B825955F}"/>
    <cellStyle name="Percent 3 4 14 2 3 2" xfId="6052" xr:uid="{470A6726-96C1-4D1D-BE07-7344B91CE382}"/>
    <cellStyle name="Percent 3 4 14 2 4" xfId="6053" xr:uid="{C65EFD59-45D9-41CA-8A94-ECB41E9C4ED2}"/>
    <cellStyle name="Percent 3 4 14 2 5" xfId="6054" xr:uid="{71E49B94-9803-451F-9EC8-99BF164FD333}"/>
    <cellStyle name="Percent 3 4 14 3" xfId="6055" xr:uid="{62952F12-A1F9-439B-901C-B5F0BA92E7C8}"/>
    <cellStyle name="Percent 3 4 14 3 2" xfId="6056" xr:uid="{6FC9C1C1-DB0E-4348-AFDB-AA5149A1D675}"/>
    <cellStyle name="Percent 3 4 14 3 2 2" xfId="6057" xr:uid="{F27F9073-B561-4A3F-913B-EADDA73E9149}"/>
    <cellStyle name="Percent 3 4 14 3 3" xfId="6058" xr:uid="{345CFBE4-B51F-408C-8C83-893E9C825EA0}"/>
    <cellStyle name="Percent 3 4 14 3 3 2" xfId="6059" xr:uid="{6A158B5C-E335-4C10-BD7E-C915A2CB4A65}"/>
    <cellStyle name="Percent 3 4 14 3 4" xfId="6060" xr:uid="{77672A8F-0A8A-42CD-9C05-0B687F74B8B3}"/>
    <cellStyle name="Percent 3 4 14 4" xfId="6061" xr:uid="{154D0AF7-C713-4447-84E1-56364C14F0B0}"/>
    <cellStyle name="Percent 3 4 14 4 2" xfId="6062" xr:uid="{8ED46FF6-10D5-4945-8A39-15FFC5F8BFDD}"/>
    <cellStyle name="Percent 3 4 14 5" xfId="6063" xr:uid="{6FCCADB6-6664-4981-BE71-8F5EBED085C9}"/>
    <cellStyle name="Percent 3 4 14 5 2" xfId="6064" xr:uid="{A5B42049-24FE-485C-A23A-87F7335036CC}"/>
    <cellStyle name="Percent 3 4 14 6" xfId="6065" xr:uid="{20F7F19D-C924-4540-92E1-B216B086F5CD}"/>
    <cellStyle name="Percent 3 4 14 7" xfId="6066" xr:uid="{4111C3AE-A9CE-4916-88B6-D53CF7E1ACC9}"/>
    <cellStyle name="Percent 3 4 14 8" xfId="6047" xr:uid="{ADA397BE-098E-4A05-AD99-C23528E7E8BD}"/>
    <cellStyle name="Percent 3 4 15" xfId="2897" xr:uid="{C2833676-3B9E-4FD4-ADB2-59873EEE6AE1}"/>
    <cellStyle name="Percent 3 4 15 2" xfId="6068" xr:uid="{B129914B-9DA6-4B26-BBD6-BDFEFC16F952}"/>
    <cellStyle name="Percent 3 4 15 2 2" xfId="6069" xr:uid="{A955BE29-A2D8-41E0-A0CE-7700A2130E6D}"/>
    <cellStyle name="Percent 3 4 15 2 2 2" xfId="6070" xr:uid="{F57A444B-C8A2-4931-8984-7FB0645D89A6}"/>
    <cellStyle name="Percent 3 4 15 2 3" xfId="6071" xr:uid="{7EEDB07F-F46A-47CA-809C-759E5B8675B7}"/>
    <cellStyle name="Percent 3 4 15 2 3 2" xfId="6072" xr:uid="{7D36DB2D-29C8-4916-AD03-7A96B8C93A76}"/>
    <cellStyle name="Percent 3 4 15 2 4" xfId="6073" xr:uid="{DFC9BE30-4A3E-4B56-9B4E-97987DF09A17}"/>
    <cellStyle name="Percent 3 4 15 2 5" xfId="6074" xr:uid="{2D5A0EF3-6EB8-41F6-9AF9-03FC9E1F34B2}"/>
    <cellStyle name="Percent 3 4 15 3" xfId="6075" xr:uid="{E9D729F2-617D-4284-9B62-237E68D4238A}"/>
    <cellStyle name="Percent 3 4 15 3 2" xfId="6076" xr:uid="{749AAAC7-805C-431D-8634-C01831AB3175}"/>
    <cellStyle name="Percent 3 4 15 3 2 2" xfId="6077" xr:uid="{62AF8CF2-9293-45B1-A812-F93F6984536D}"/>
    <cellStyle name="Percent 3 4 15 3 3" xfId="6078" xr:uid="{3386DB31-EF33-4096-8108-32991E25ACD1}"/>
    <cellStyle name="Percent 3 4 15 3 3 2" xfId="6079" xr:uid="{CC6B3301-4954-46A5-B722-769559243DCF}"/>
    <cellStyle name="Percent 3 4 15 3 4" xfId="6080" xr:uid="{5D98B071-E71E-4F13-997A-879BD2075682}"/>
    <cellStyle name="Percent 3 4 15 4" xfId="6081" xr:uid="{AA589608-5B3E-4A58-B230-C631BA3AFD78}"/>
    <cellStyle name="Percent 3 4 15 4 2" xfId="6082" xr:uid="{11250C74-E242-4F05-9BF4-EFDBD151761D}"/>
    <cellStyle name="Percent 3 4 15 5" xfId="6083" xr:uid="{12C4F9F3-0429-4205-A3DA-31C755AF20DB}"/>
    <cellStyle name="Percent 3 4 15 5 2" xfId="6084" xr:uid="{BF4EC34F-B725-4881-BEF2-6BEAF65E216E}"/>
    <cellStyle name="Percent 3 4 15 6" xfId="6085" xr:uid="{84CBCB27-F3DB-46E8-8DAD-027E51137F57}"/>
    <cellStyle name="Percent 3 4 15 7" xfId="6086" xr:uid="{A19EE806-C680-45CD-B6CF-577EC1BE2FA5}"/>
    <cellStyle name="Percent 3 4 15 8" xfId="6067" xr:uid="{578ADB48-DC77-4320-A6C1-F1AB78635045}"/>
    <cellStyle name="Percent 3 4 16" xfId="6087" xr:uid="{A3D96A34-C961-4CBD-B9E2-0A40C482B16A}"/>
    <cellStyle name="Percent 3 4 16 2" xfId="6088" xr:uid="{A9897E41-8465-4C36-B2A9-3AF6F405F7EF}"/>
    <cellStyle name="Percent 3 4 16 2 2" xfId="6089" xr:uid="{FF074774-1F4D-42EC-83D9-88CA3B84784B}"/>
    <cellStyle name="Percent 3 4 16 3" xfId="6090" xr:uid="{0F723DDB-21C8-4841-B9A7-50C8142FAD59}"/>
    <cellStyle name="Percent 3 4 16 3 2" xfId="6091" xr:uid="{C2BAF25D-0C4B-4FB4-ADED-01B564197D03}"/>
    <cellStyle name="Percent 3 4 16 4" xfId="6092" xr:uid="{8516DDE1-DC03-4F4D-B68A-87F0D095A073}"/>
    <cellStyle name="Percent 3 4 17" xfId="6093" xr:uid="{E9767C32-53AF-4E3F-967B-65B62A5BC4F4}"/>
    <cellStyle name="Percent 3 4 17 2" xfId="6094" xr:uid="{5217786F-2942-4563-8B15-18F9C1AA69B5}"/>
    <cellStyle name="Percent 3 4 17 2 2" xfId="6095" xr:uid="{48E4CA4B-02A5-444A-90FE-7AEB8F417306}"/>
    <cellStyle name="Percent 3 4 17 3" xfId="6096" xr:uid="{CB337EAF-44AB-4AEB-8EB5-6D0F100C3118}"/>
    <cellStyle name="Percent 3 4 17 3 2" xfId="6097" xr:uid="{9136BB3B-0CB3-441C-9F99-D4E909812B6F}"/>
    <cellStyle name="Percent 3 4 17 4" xfId="6098" xr:uid="{ABB2199F-D82E-4472-BB88-653F4F4BB639}"/>
    <cellStyle name="Percent 3 4 18" xfId="6099" xr:uid="{16BD83F0-6B55-4EC5-BEB0-30D0B33248F2}"/>
    <cellStyle name="Percent 3 4 18 2" xfId="6100" xr:uid="{8F846B1A-2D6C-434A-9600-3940BB62BA1F}"/>
    <cellStyle name="Percent 3 4 19" xfId="6101" xr:uid="{24AADE3B-A80E-444A-B6F4-F104BD1E1866}"/>
    <cellStyle name="Percent 3 4 19 2" xfId="6102" xr:uid="{FF31A002-72A4-4796-83F3-BAC21DE218C2}"/>
    <cellStyle name="Percent 3 4 2" xfId="290" xr:uid="{CFD5C4DC-8A1A-458E-872C-C9A6D074658B}"/>
    <cellStyle name="Percent 3 4 2 2" xfId="6104" xr:uid="{B3E6D44F-EEB5-4094-952D-B035A761546D}"/>
    <cellStyle name="Percent 3 4 2 2 2" xfId="6105" xr:uid="{70DF48A9-E40F-4E7C-8F8D-0BBA4D6615BF}"/>
    <cellStyle name="Percent 3 4 2 2 2 2" xfId="6106" xr:uid="{2181B09C-1D45-4E36-A86B-22C85556A9C1}"/>
    <cellStyle name="Percent 3 4 2 2 3" xfId="6107" xr:uid="{B2878654-0D15-407C-B16F-60F8E4D04E10}"/>
    <cellStyle name="Percent 3 4 2 2 3 2" xfId="6108" xr:uid="{649FA88C-7E95-4004-AC13-598118CC48B6}"/>
    <cellStyle name="Percent 3 4 2 2 4" xfId="6109" xr:uid="{1E6571BA-96C8-4FDC-A990-AEC223992BA7}"/>
    <cellStyle name="Percent 3 4 2 2 5" xfId="6110" xr:uid="{FF526856-CAAA-405C-9FAB-1A6583F326B0}"/>
    <cellStyle name="Percent 3 4 2 3" xfId="6111" xr:uid="{6B128238-553D-4361-B791-27C7984B51DE}"/>
    <cellStyle name="Percent 3 4 2 3 2" xfId="6112" xr:uid="{31D4D230-F4F6-4A31-B4FB-99042F2A6268}"/>
    <cellStyle name="Percent 3 4 2 3 2 2" xfId="6113" xr:uid="{AE4255CE-4CF2-4A98-98F2-A46508249295}"/>
    <cellStyle name="Percent 3 4 2 3 3" xfId="6114" xr:uid="{C3D310FA-A763-4000-ACEA-B3EA1E5DDAE3}"/>
    <cellStyle name="Percent 3 4 2 3 3 2" xfId="6115" xr:uid="{812955F8-7273-4349-B90A-EBD1470F9101}"/>
    <cellStyle name="Percent 3 4 2 3 4" xfId="6116" xr:uid="{D6FC293F-5D55-4F5C-84B2-A828C4E5E28E}"/>
    <cellStyle name="Percent 3 4 2 4" xfId="6117" xr:uid="{10D6DEFE-287E-469A-8255-C741AEA3F464}"/>
    <cellStyle name="Percent 3 4 2 4 2" xfId="6118" xr:uid="{A0715812-C648-46C0-BF66-65225E1DF52B}"/>
    <cellStyle name="Percent 3 4 2 4 2 2" xfId="6119" xr:uid="{DA8D59E8-976D-446F-8770-178BA242AB98}"/>
    <cellStyle name="Percent 3 4 2 4 3" xfId="6120" xr:uid="{FCF3E8F7-710C-401E-9FD6-4F5248E04BF5}"/>
    <cellStyle name="Percent 3 4 2 4 3 2" xfId="6121" xr:uid="{A5DE6C65-3B5C-4396-8914-680C329B5C19}"/>
    <cellStyle name="Percent 3 4 2 4 4" xfId="6122" xr:uid="{E67786DC-9F59-4DCC-AF73-381D59CE4525}"/>
    <cellStyle name="Percent 3 4 2 5" xfId="6123" xr:uid="{2D3E3392-60AA-4335-9690-3E036C0227D9}"/>
    <cellStyle name="Percent 3 4 2 5 2" xfId="6124" xr:uid="{552523D1-87B2-4539-BF7D-EBFF5D9A57F4}"/>
    <cellStyle name="Percent 3 4 2 6" xfId="6125" xr:uid="{F080CFE2-7CBB-4938-A978-77EB35B6DC5A}"/>
    <cellStyle name="Percent 3 4 2 6 2" xfId="6126" xr:uid="{D6DF1EB0-7F0E-4785-94DB-0CD839FD56AE}"/>
    <cellStyle name="Percent 3 4 2 7" xfId="6127" xr:uid="{394EE945-0327-4F45-991B-8E5AF17CFABD}"/>
    <cellStyle name="Percent 3 4 2 8" xfId="6128" xr:uid="{81CCDDBC-7CFF-41FB-8711-080594CCABC0}"/>
    <cellStyle name="Percent 3 4 2 9" xfId="6103" xr:uid="{77B571D2-CBCE-4AD1-A93E-AC943443FDE8}"/>
    <cellStyle name="Percent 3 4 20" xfId="6129" xr:uid="{3EBA645A-3E09-428F-A0B2-596BB3909452}"/>
    <cellStyle name="Percent 3 4 21" xfId="6130" xr:uid="{4AE74E4F-EBF9-47A3-9A8E-921FA81C8C17}"/>
    <cellStyle name="Percent 3 4 22" xfId="5966" xr:uid="{BD907741-9226-441B-8F1A-668D4CC42C03}"/>
    <cellStyle name="Percent 3 4 3" xfId="291" xr:uid="{47A0E39D-DD5D-446C-986C-01C4DF2ED5CB}"/>
    <cellStyle name="Percent 3 4 3 2" xfId="6132" xr:uid="{66601B01-055E-4201-9F0F-8708237614DC}"/>
    <cellStyle name="Percent 3 4 3 2 2" xfId="6133" xr:uid="{EAB5F7C6-EEAA-4E45-B584-5E544A672A2C}"/>
    <cellStyle name="Percent 3 4 3 2 2 2" xfId="6134" xr:uid="{94042260-5139-4F41-A19A-C1E1BCE26529}"/>
    <cellStyle name="Percent 3 4 3 2 3" xfId="6135" xr:uid="{DF9B78E1-6A08-46A9-83C4-68B0F2309658}"/>
    <cellStyle name="Percent 3 4 3 2 3 2" xfId="6136" xr:uid="{77269E90-564B-414E-A9D4-767A1A571B91}"/>
    <cellStyle name="Percent 3 4 3 2 4" xfId="6137" xr:uid="{55AF94B3-2885-4610-9220-EF44B7B80157}"/>
    <cellStyle name="Percent 3 4 3 2 5" xfId="6138" xr:uid="{A22D744A-0FF6-442A-87A8-C1BD9979428A}"/>
    <cellStyle name="Percent 3 4 3 3" xfId="6139" xr:uid="{F1B03875-0B86-4782-AB42-52BA653830EE}"/>
    <cellStyle name="Percent 3 4 3 3 2" xfId="6140" xr:uid="{D9695E34-1C2B-4B8C-859B-0C26BD6A2B55}"/>
    <cellStyle name="Percent 3 4 3 3 2 2" xfId="6141" xr:uid="{06CC1790-C3B1-4FCA-AB2F-30BC6523E9FD}"/>
    <cellStyle name="Percent 3 4 3 3 3" xfId="6142" xr:uid="{2D17227A-1980-4B96-8E7C-926C1DE27C0A}"/>
    <cellStyle name="Percent 3 4 3 3 3 2" xfId="6143" xr:uid="{92ECDF6A-FDD9-4C8E-B3F5-167D316A4EA1}"/>
    <cellStyle name="Percent 3 4 3 3 4" xfId="6144" xr:uid="{6DB536B6-FBF3-45A3-9A04-491317C33AC6}"/>
    <cellStyle name="Percent 3 4 3 4" xfId="6145" xr:uid="{A2A6E60F-584F-414C-9569-6340CA8D7DC6}"/>
    <cellStyle name="Percent 3 4 3 4 2" xfId="6146" xr:uid="{A103ED8E-E0F9-493E-A070-E9136608172D}"/>
    <cellStyle name="Percent 3 4 3 4 2 2" xfId="6147" xr:uid="{EA2FECE1-39F4-480D-8F77-FB72D7690630}"/>
    <cellStyle name="Percent 3 4 3 4 3" xfId="6148" xr:uid="{D0197662-8783-4820-8C6B-125478124B2D}"/>
    <cellStyle name="Percent 3 4 3 4 3 2" xfId="6149" xr:uid="{138CA05F-2ED1-48FC-8AF0-BEF6983CDBA5}"/>
    <cellStyle name="Percent 3 4 3 4 4" xfId="6150" xr:uid="{03E9A1FD-11E6-466F-A1CB-82E01244A0BA}"/>
    <cellStyle name="Percent 3 4 3 5" xfId="6151" xr:uid="{142B2C02-6581-4052-AFEA-81A99D03BCB0}"/>
    <cellStyle name="Percent 3 4 3 5 2" xfId="6152" xr:uid="{6C76A4F9-523F-438D-A191-299621E9CD0D}"/>
    <cellStyle name="Percent 3 4 3 6" xfId="6153" xr:uid="{90AAC0EE-4607-4596-83D4-95EB2EC22B74}"/>
    <cellStyle name="Percent 3 4 3 6 2" xfId="6154" xr:uid="{FFCF1544-54F1-484F-9F16-BF2F65F780EB}"/>
    <cellStyle name="Percent 3 4 3 7" xfId="6155" xr:uid="{FC27B78B-7866-4B31-9B5F-45064AF3160A}"/>
    <cellStyle name="Percent 3 4 3 8" xfId="6156" xr:uid="{E66495B9-8175-4308-BB16-5F327056BEB0}"/>
    <cellStyle name="Percent 3 4 3 9" xfId="6131" xr:uid="{9FD00AD6-DF1A-4CC1-AE8F-49855A69A101}"/>
    <cellStyle name="Percent 3 4 4" xfId="392" xr:uid="{4AF76827-5345-4908-AD80-6D1D1C14921F}"/>
    <cellStyle name="Percent 3 4 4 2" xfId="2898" xr:uid="{DC741C9A-DA97-451C-A41E-81394BFF0F77}"/>
    <cellStyle name="Percent 3 4 4 2 2" xfId="6159" xr:uid="{1EFB6335-844E-456D-BCD2-F7A61BF1E68D}"/>
    <cellStyle name="Percent 3 4 4 2 2 2" xfId="6160" xr:uid="{62BC9F53-ECB6-4525-9F78-2D6F5CC56190}"/>
    <cellStyle name="Percent 3 4 4 2 3" xfId="6161" xr:uid="{C5AF602E-E73C-47DB-BCDA-4554CC261D3F}"/>
    <cellStyle name="Percent 3 4 4 2 3 2" xfId="6162" xr:uid="{8A320B58-82F9-45FA-AB3F-2C6F10AC914A}"/>
    <cellStyle name="Percent 3 4 4 2 4" xfId="6163" xr:uid="{A37CD573-EFEC-4F59-ADB9-5DE7C841D753}"/>
    <cellStyle name="Percent 3 4 4 2 5" xfId="6164" xr:uid="{9929FB91-9B5E-423F-8D68-B91FA76F387B}"/>
    <cellStyle name="Percent 3 4 4 2 6" xfId="6158" xr:uid="{8DEAD65E-00C8-4D8E-8742-2AC29BA1125D}"/>
    <cellStyle name="Percent 3 4 4 3" xfId="6165" xr:uid="{EE434541-5838-4706-A2DC-CDFFC1898647}"/>
    <cellStyle name="Percent 3 4 4 3 2" xfId="6166" xr:uid="{C3A4615D-8FB4-476C-A2AD-C4E196D0474A}"/>
    <cellStyle name="Percent 3 4 4 3 2 2" xfId="6167" xr:uid="{3BD7272D-FE1E-49C0-BB27-6DCC7E444123}"/>
    <cellStyle name="Percent 3 4 4 3 3" xfId="6168" xr:uid="{88A4D11F-662A-47D8-9B7C-118B3FF9D1D9}"/>
    <cellStyle name="Percent 3 4 4 3 3 2" xfId="6169" xr:uid="{9A043AAF-CDE3-4EA0-86F0-F243AD2A4B68}"/>
    <cellStyle name="Percent 3 4 4 3 4" xfId="6170" xr:uid="{76007D37-2132-453F-98A7-EF2D235CCFE1}"/>
    <cellStyle name="Percent 3 4 4 4" xfId="6171" xr:uid="{3B7AB24F-5C51-4FEF-9F0C-CEDE88E63257}"/>
    <cellStyle name="Percent 3 4 4 4 2" xfId="6172" xr:uid="{BC73A639-9D5C-40E0-99CE-FAF07C63F65E}"/>
    <cellStyle name="Percent 3 4 4 4 2 2" xfId="6173" xr:uid="{E6A8C550-784F-4F8A-9BB6-C2632A6656F4}"/>
    <cellStyle name="Percent 3 4 4 4 3" xfId="6174" xr:uid="{59EE6581-7AAF-44A3-BE3C-15D94FDA8FB9}"/>
    <cellStyle name="Percent 3 4 4 4 3 2" xfId="6175" xr:uid="{7A88410D-9F8B-4442-A127-E88130ABA4AA}"/>
    <cellStyle name="Percent 3 4 4 4 4" xfId="6176" xr:uid="{E1BE8CEA-A533-4773-B442-B99E00F0C1BF}"/>
    <cellStyle name="Percent 3 4 4 5" xfId="6177" xr:uid="{7D33EA45-1072-4C97-8D0D-4370BD1DABF8}"/>
    <cellStyle name="Percent 3 4 4 5 2" xfId="6178" xr:uid="{34945C58-1EE0-4845-9E93-FE88E8825E80}"/>
    <cellStyle name="Percent 3 4 4 6" xfId="6179" xr:uid="{A8531233-8922-47A8-AD2C-88C83598757D}"/>
    <cellStyle name="Percent 3 4 4 6 2" xfId="6180" xr:uid="{ACD775B5-4075-4BC2-9253-1376B3973DC5}"/>
    <cellStyle name="Percent 3 4 4 7" xfId="6181" xr:uid="{3F7345CB-4B2E-4BFD-9F4A-00E934F6B753}"/>
    <cellStyle name="Percent 3 4 4 8" xfId="6182" xr:uid="{963C425B-5D2A-41E5-825E-6BB97770A1F7}"/>
    <cellStyle name="Percent 3 4 4 9" xfId="6157" xr:uid="{3DFD1D3E-7AF3-4B10-B25B-47739CD6135D}"/>
    <cellStyle name="Percent 3 4 5" xfId="2899" xr:uid="{3F70B04C-8F14-4744-9C93-6119546E7924}"/>
    <cellStyle name="Percent 3 4 5 2" xfId="6184" xr:uid="{6D7BC8ED-C413-4A08-93E7-DF601ACECADF}"/>
    <cellStyle name="Percent 3 4 5 2 2" xfId="6185" xr:uid="{5C9770B4-431B-4596-884E-94E9DA1D3D77}"/>
    <cellStyle name="Percent 3 4 5 2 2 2" xfId="6186" xr:uid="{63DE40C1-7B7B-4A8E-A646-F2A5F8FEBB0D}"/>
    <cellStyle name="Percent 3 4 5 2 3" xfId="6187" xr:uid="{EE42151F-3569-482D-9CFA-BCC7DA6EF4EB}"/>
    <cellStyle name="Percent 3 4 5 2 3 2" xfId="6188" xr:uid="{1616E713-11C7-4892-8443-BCDAD5713EF0}"/>
    <cellStyle name="Percent 3 4 5 2 4" xfId="6189" xr:uid="{E9D77B86-862F-4203-9283-0F399F0B1221}"/>
    <cellStyle name="Percent 3 4 5 2 5" xfId="6190" xr:uid="{30BB396E-A442-4888-9F4A-C424A7BA21D7}"/>
    <cellStyle name="Percent 3 4 5 3" xfId="6191" xr:uid="{F0F6F543-506C-4B64-B902-AB183FF7BB9D}"/>
    <cellStyle name="Percent 3 4 5 3 2" xfId="6192" xr:uid="{DD93EF91-91E3-450D-BCBF-387250F97179}"/>
    <cellStyle name="Percent 3 4 5 3 2 2" xfId="6193" xr:uid="{8EF36B28-6A3F-41DE-AAA2-1ADD20FAAE33}"/>
    <cellStyle name="Percent 3 4 5 3 3" xfId="6194" xr:uid="{E77E18E5-5C05-47B7-83FB-D802F613EA76}"/>
    <cellStyle name="Percent 3 4 5 3 3 2" xfId="6195" xr:uid="{8E2A82C6-1AEB-469A-8EFE-B8B4503F260C}"/>
    <cellStyle name="Percent 3 4 5 3 4" xfId="6196" xr:uid="{7630A082-5441-4501-B012-0B49EC14A51A}"/>
    <cellStyle name="Percent 3 4 5 4" xfId="6197" xr:uid="{940B87D0-9E4C-4EA2-8781-F6F152021FEE}"/>
    <cellStyle name="Percent 3 4 5 4 2" xfId="6198" xr:uid="{0BA744ED-3D4F-4BFB-AE85-AD21B24BF74D}"/>
    <cellStyle name="Percent 3 4 5 4 2 2" xfId="6199" xr:uid="{B995332F-50F4-42C6-AFC5-9181570BB84B}"/>
    <cellStyle name="Percent 3 4 5 4 3" xfId="6200" xr:uid="{B4D16CE7-D99E-4431-9DA0-70762853D0B2}"/>
    <cellStyle name="Percent 3 4 5 4 3 2" xfId="6201" xr:uid="{C1E584CA-17D4-4A9E-9CBF-8C2F447E3222}"/>
    <cellStyle name="Percent 3 4 5 4 4" xfId="6202" xr:uid="{48C74213-2FF0-4260-A8E8-31BAC5ABB62F}"/>
    <cellStyle name="Percent 3 4 5 5" xfId="6203" xr:uid="{A3E7B283-4B02-42BF-AE76-7BDE763BCF8D}"/>
    <cellStyle name="Percent 3 4 5 5 2" xfId="6204" xr:uid="{F6979BDB-5695-418D-AE3A-5572EA8CF0B5}"/>
    <cellStyle name="Percent 3 4 5 6" xfId="6205" xr:uid="{AD357247-03FC-48D2-A7C6-2B8AACB456F7}"/>
    <cellStyle name="Percent 3 4 5 6 2" xfId="6206" xr:uid="{879CC1B5-45A3-4183-98DE-4BC207B51BA0}"/>
    <cellStyle name="Percent 3 4 5 7" xfId="6207" xr:uid="{751F12A2-43C7-45C6-8AD0-5269E4E739B0}"/>
    <cellStyle name="Percent 3 4 5 8" xfId="6208" xr:uid="{3B5A602C-1AB3-4D4C-8785-6E32B6668709}"/>
    <cellStyle name="Percent 3 4 5 9" xfId="6183" xr:uid="{93E74251-2053-472B-A29B-77DA63847178}"/>
    <cellStyle name="Percent 3 4 6" xfId="2900" xr:uid="{7A26FBF0-0BCF-495C-AB9E-C504429C96DE}"/>
    <cellStyle name="Percent 3 4 6 2" xfId="6210" xr:uid="{0429DFD1-51E4-49F1-A402-6B3C863D8B03}"/>
    <cellStyle name="Percent 3 4 6 2 2" xfId="6211" xr:uid="{5877D414-6525-416D-9142-FF75B093A82E}"/>
    <cellStyle name="Percent 3 4 6 2 2 2" xfId="6212" xr:uid="{D6B59A2C-B4FB-444B-92BC-1B9E372D12A0}"/>
    <cellStyle name="Percent 3 4 6 2 3" xfId="6213" xr:uid="{2C443599-28DD-4749-9920-9E7F4A792D26}"/>
    <cellStyle name="Percent 3 4 6 2 3 2" xfId="6214" xr:uid="{43F0BB26-9146-438F-8CE6-018C30DAA1B7}"/>
    <cellStyle name="Percent 3 4 6 2 4" xfId="6215" xr:uid="{DE114929-ABC7-4B03-B747-FB8F58307761}"/>
    <cellStyle name="Percent 3 4 6 2 5" xfId="6216" xr:uid="{7FE8B462-0701-4146-9FEE-C71690C02643}"/>
    <cellStyle name="Percent 3 4 6 3" xfId="6217" xr:uid="{C143ACB7-9FE7-4929-9E2E-D7B1D3BFD922}"/>
    <cellStyle name="Percent 3 4 6 3 2" xfId="6218" xr:uid="{DE82BD0D-EFD2-4B73-B0DC-EFF5BA765594}"/>
    <cellStyle name="Percent 3 4 6 3 2 2" xfId="6219" xr:uid="{043190ED-0436-4C70-865F-C8B95B5B6212}"/>
    <cellStyle name="Percent 3 4 6 3 3" xfId="6220" xr:uid="{54B258D5-1909-4E99-BDC8-D4CDA8C9EE95}"/>
    <cellStyle name="Percent 3 4 6 3 3 2" xfId="6221" xr:uid="{65136063-925A-44EF-85C1-980ABEDA0243}"/>
    <cellStyle name="Percent 3 4 6 3 4" xfId="6222" xr:uid="{3583F333-0869-4415-9967-17EDA5E691A3}"/>
    <cellStyle name="Percent 3 4 6 4" xfId="6223" xr:uid="{1227238B-D3D1-4A10-910B-F8085D5F9D56}"/>
    <cellStyle name="Percent 3 4 6 4 2" xfId="6224" xr:uid="{0C40ACA0-35C9-4771-99A0-C3763F812E61}"/>
    <cellStyle name="Percent 3 4 6 4 2 2" xfId="6225" xr:uid="{246511C9-5D26-47CA-B42C-4A0B6E56FF07}"/>
    <cellStyle name="Percent 3 4 6 4 3" xfId="6226" xr:uid="{8621CE29-2E4C-4ECD-8BFB-3287832FA3D3}"/>
    <cellStyle name="Percent 3 4 6 4 3 2" xfId="6227" xr:uid="{208E3401-58C5-47B4-8E6D-07BCE14C66A7}"/>
    <cellStyle name="Percent 3 4 6 4 4" xfId="6228" xr:uid="{50997199-2487-4F3F-87A5-FDF07CB45DDA}"/>
    <cellStyle name="Percent 3 4 6 5" xfId="6229" xr:uid="{D6A1926C-7B70-441E-9BBA-2D63A64F5EA6}"/>
    <cellStyle name="Percent 3 4 6 5 2" xfId="6230" xr:uid="{D16C7107-95B1-423B-91DB-CCC898F0B83D}"/>
    <cellStyle name="Percent 3 4 6 6" xfId="6231" xr:uid="{EBEAB6DA-D5AB-4E89-BF30-AC0E75EE869D}"/>
    <cellStyle name="Percent 3 4 6 6 2" xfId="6232" xr:uid="{1DA671B4-FF0C-4961-9416-62FA86B9A1FB}"/>
    <cellStyle name="Percent 3 4 6 7" xfId="6233" xr:uid="{947A30A1-E51F-4B44-97F8-458C0FFBB9D3}"/>
    <cellStyle name="Percent 3 4 6 8" xfId="6234" xr:uid="{CDA48429-0056-47EE-9BCB-5DA9DF6D067E}"/>
    <cellStyle name="Percent 3 4 6 9" xfId="6209" xr:uid="{4D5EBF25-4329-40F1-ABB1-B67847F52E18}"/>
    <cellStyle name="Percent 3 4 7" xfId="2901" xr:uid="{E504C5F0-91B7-455A-ACEE-BA74FB3A4CF0}"/>
    <cellStyle name="Percent 3 4 7 2" xfId="6236" xr:uid="{F3264189-5F10-4292-AE5F-861C46ADE1E0}"/>
    <cellStyle name="Percent 3 4 7 2 2" xfId="6237" xr:uid="{1B61923A-E003-4395-8226-61FC2F0C9F5C}"/>
    <cellStyle name="Percent 3 4 7 2 2 2" xfId="6238" xr:uid="{25854A20-4FAF-4E18-8043-3F44FE22AFB0}"/>
    <cellStyle name="Percent 3 4 7 2 3" xfId="6239" xr:uid="{7707FEFF-8DEC-43CF-99E6-4B358FD7C97B}"/>
    <cellStyle name="Percent 3 4 7 2 3 2" xfId="6240" xr:uid="{590E7AC8-00B5-461C-A662-85C030B0794A}"/>
    <cellStyle name="Percent 3 4 7 2 4" xfId="6241" xr:uid="{814FE333-F25E-4114-B3BB-2BB98AA06B65}"/>
    <cellStyle name="Percent 3 4 7 2 5" xfId="6242" xr:uid="{6C32D153-CA43-4151-B61A-303CD1EAC2CB}"/>
    <cellStyle name="Percent 3 4 7 3" xfId="6243" xr:uid="{EEA50701-DAAC-447C-8F06-D61B31A90465}"/>
    <cellStyle name="Percent 3 4 7 3 2" xfId="6244" xr:uid="{3C8F3CF8-0E92-46AA-B4A3-002AA7591235}"/>
    <cellStyle name="Percent 3 4 7 3 2 2" xfId="6245" xr:uid="{D6ED51D2-F104-4769-B298-304F1DE64465}"/>
    <cellStyle name="Percent 3 4 7 3 3" xfId="6246" xr:uid="{BDFBE830-C027-4C9B-B0F2-67989F490828}"/>
    <cellStyle name="Percent 3 4 7 3 3 2" xfId="6247" xr:uid="{C5B9E563-9304-4855-AC8F-FEDC3D8DEBC1}"/>
    <cellStyle name="Percent 3 4 7 3 4" xfId="6248" xr:uid="{80E4BAB9-6119-400D-B417-746380462112}"/>
    <cellStyle name="Percent 3 4 7 4" xfId="6249" xr:uid="{13264AE4-0B9D-4429-9C1F-BE834A404D02}"/>
    <cellStyle name="Percent 3 4 7 4 2" xfId="6250" xr:uid="{737575B9-8473-4610-A6AA-0E6A774107FA}"/>
    <cellStyle name="Percent 3 4 7 4 2 2" xfId="6251" xr:uid="{1A43C7D6-B5F6-4ED1-B5D1-BDE0AC7C6505}"/>
    <cellStyle name="Percent 3 4 7 4 3" xfId="6252" xr:uid="{9B9E5214-61C6-4FA7-8AEE-B649ACEA895D}"/>
    <cellStyle name="Percent 3 4 7 4 3 2" xfId="6253" xr:uid="{67C4FB62-4DCC-4DBC-831A-BA009C92AC9E}"/>
    <cellStyle name="Percent 3 4 7 4 4" xfId="6254" xr:uid="{5D5D78F1-F1E4-462C-A5CE-5CE63DE9BE4E}"/>
    <cellStyle name="Percent 3 4 7 5" xfId="6255" xr:uid="{7581F6E9-3F0D-48D4-B422-C66EB60A42FA}"/>
    <cellStyle name="Percent 3 4 7 5 2" xfId="6256" xr:uid="{E73BE1A1-B3C1-4F27-8F6D-A31820356B80}"/>
    <cellStyle name="Percent 3 4 7 6" xfId="6257" xr:uid="{B09FF068-989D-4D47-BA75-B5C58D43D585}"/>
    <cellStyle name="Percent 3 4 7 6 2" xfId="6258" xr:uid="{AB62BDD8-77BF-4514-B8D3-2902B2F12BFF}"/>
    <cellStyle name="Percent 3 4 7 7" xfId="6259" xr:uid="{A8FACB46-5E86-420F-BABB-3660041A174F}"/>
    <cellStyle name="Percent 3 4 7 8" xfId="6260" xr:uid="{84F268E0-CEC5-4C2F-96E2-ED5C5BAE5D4B}"/>
    <cellStyle name="Percent 3 4 7 9" xfId="6235" xr:uid="{BD915EBE-82A0-44B5-BA65-9E6FE9EE6DE2}"/>
    <cellStyle name="Percent 3 4 8" xfId="2902" xr:uid="{496ECE7D-F826-4E75-9F93-F045500A8467}"/>
    <cellStyle name="Percent 3 4 8 10" xfId="6262" xr:uid="{5561B18B-0250-460B-ADCD-9BAA5EF48745}"/>
    <cellStyle name="Percent 3 4 8 11" xfId="6263" xr:uid="{554B3A82-3D78-4579-A571-1D5448BC3D17}"/>
    <cellStyle name="Percent 3 4 8 12" xfId="6261" xr:uid="{FE7E72F8-4CA3-49AE-A08B-6661EB7C0057}"/>
    <cellStyle name="Percent 3 4 8 2" xfId="6264" xr:uid="{846EBD77-4429-4A5A-AA9F-0E368B60F146}"/>
    <cellStyle name="Percent 3 4 8 2 2" xfId="6265" xr:uid="{7C26BC36-630A-4C8B-AB38-B2B639E95C77}"/>
    <cellStyle name="Percent 3 4 8 2 2 2" xfId="6266" xr:uid="{C372FC85-54F6-4B86-A36A-A149BD448FF6}"/>
    <cellStyle name="Percent 3 4 8 2 3" xfId="6267" xr:uid="{F6A909CD-F473-42D3-9E4A-CB1B11A2AAE2}"/>
    <cellStyle name="Percent 3 4 8 2 3 2" xfId="6268" xr:uid="{F42989A6-DA0D-4A62-A2FB-3A1F545CD39C}"/>
    <cellStyle name="Percent 3 4 8 2 4" xfId="6269" xr:uid="{CD1C854A-44C7-4FE9-B89C-FB363F4A1E0D}"/>
    <cellStyle name="Percent 3 4 8 2 5" xfId="6270" xr:uid="{74470054-9B5F-4AB7-B556-4C125DA26E2B}"/>
    <cellStyle name="Percent 3 4 8 3" xfId="6271" xr:uid="{65EFEC2F-39F0-4FA3-97A9-FE259AF7CB78}"/>
    <cellStyle name="Percent 3 4 8 3 2" xfId="6272" xr:uid="{B4F763AA-3CB4-468F-9785-B1B7835353FD}"/>
    <cellStyle name="Percent 3 4 8 3 2 2" xfId="6273" xr:uid="{0900E9D3-DC29-4528-AE25-8918D4ECE55D}"/>
    <cellStyle name="Percent 3 4 8 3 3" xfId="6274" xr:uid="{57CBE432-3271-4CEE-A521-AB8B4CCA77D4}"/>
    <cellStyle name="Percent 3 4 8 3 3 2" xfId="6275" xr:uid="{704582D4-40BE-4BDE-B89D-4EBD84769125}"/>
    <cellStyle name="Percent 3 4 8 3 4" xfId="6276" xr:uid="{A0015644-A9B1-4969-80FA-648BB6C74275}"/>
    <cellStyle name="Percent 3 4 8 4" xfId="6277" xr:uid="{D11AC63C-3862-42E8-8F73-ED82842780BE}"/>
    <cellStyle name="Percent 3 4 8 4 2" xfId="6278" xr:uid="{D8E060E1-2023-4B91-A80F-D1F16C9CBB35}"/>
    <cellStyle name="Percent 3 4 8 4 2 2" xfId="6279" xr:uid="{9038A180-54BA-4F98-8B64-2F2346A06D1D}"/>
    <cellStyle name="Percent 3 4 8 4 3" xfId="6280" xr:uid="{6EFCE848-3959-4582-B458-2A4CF092BA34}"/>
    <cellStyle name="Percent 3 4 8 4 3 2" xfId="6281" xr:uid="{7A26B8D2-DA14-4034-AB09-22662D1C0907}"/>
    <cellStyle name="Percent 3 4 8 4 4" xfId="6282" xr:uid="{9395BFFD-33E8-40F7-8097-490DA10DDD35}"/>
    <cellStyle name="Percent 3 4 8 5" xfId="6283" xr:uid="{43122151-8379-4589-A697-ACCFC27B5A09}"/>
    <cellStyle name="Percent 3 4 8 5 2" xfId="6284" xr:uid="{DF850588-62FC-43A3-9BDE-D3263A987E93}"/>
    <cellStyle name="Percent 3 4 8 5 2 2" xfId="6285" xr:uid="{3071E30A-202C-446D-8E04-DBF532AC6576}"/>
    <cellStyle name="Percent 3 4 8 5 3" xfId="6286" xr:uid="{782C0DD7-2E3D-472B-B7E3-6E1AA621A4F3}"/>
    <cellStyle name="Percent 3 4 8 5 3 2" xfId="6287" xr:uid="{BFA45D67-7D0B-4775-9EBA-9FFBA438BCB1}"/>
    <cellStyle name="Percent 3 4 8 5 4" xfId="6288" xr:uid="{04CC16EB-8B7C-411D-8736-EA542987F16D}"/>
    <cellStyle name="Percent 3 4 8 5 4 2" xfId="6289" xr:uid="{9C073794-9DA0-4DB1-B39D-A5FA9CB9C74E}"/>
    <cellStyle name="Percent 3 4 8 5 5" xfId="6290" xr:uid="{5B0BB415-556F-42C0-8FBC-82BA40D82B4C}"/>
    <cellStyle name="Percent 3 4 8 6" xfId="6291" xr:uid="{4A54A6B3-DF92-4380-90E4-C99BC29AE0B2}"/>
    <cellStyle name="Percent 3 4 8 6 2" xfId="6292" xr:uid="{F9911DB4-448D-4347-9E75-EB60366596A9}"/>
    <cellStyle name="Percent 3 4 8 6 2 2" xfId="6293" xr:uid="{A776B543-4331-4A4D-82D6-D9EF8EC81BFA}"/>
    <cellStyle name="Percent 3 4 8 6 3" xfId="6294" xr:uid="{7A853F62-7597-4CCD-9BDB-E9876E06879C}"/>
    <cellStyle name="Percent 3 4 8 6 3 2" xfId="6295" xr:uid="{5686AEF1-EDB0-43FC-BE01-25245C00885E}"/>
    <cellStyle name="Percent 3 4 8 6 4" xfId="6296" xr:uid="{56A8279B-E4B4-4F7A-A5DA-4E908834D52A}"/>
    <cellStyle name="Percent 3 4 8 7" xfId="6297" xr:uid="{A6758AB6-E79D-4123-9035-205A1201590F}"/>
    <cellStyle name="Percent 3 4 8 7 2" xfId="6298" xr:uid="{A2D52E79-853C-458D-B9DB-400272DF6DA3}"/>
    <cellStyle name="Percent 3 4 8 8" xfId="6299" xr:uid="{9695BBF4-99D9-4C0D-A2E8-284AE3BD4E51}"/>
    <cellStyle name="Percent 3 4 8 8 2" xfId="6300" xr:uid="{5C4F53A6-0328-4358-A654-152A7E7DBA0C}"/>
    <cellStyle name="Percent 3 4 8 9" xfId="6301" xr:uid="{1EFE312A-CE5D-4859-8774-77FB7996C97D}"/>
    <cellStyle name="Percent 3 4 8 9 2" xfId="6302" xr:uid="{A6884F3F-B18F-48AE-8F74-B99E8B47C08E}"/>
    <cellStyle name="Percent 3 4 9" xfId="2903" xr:uid="{0DFBA509-8358-4086-A3EC-DCA1C0A6FA60}"/>
    <cellStyle name="Percent 3 4 9 10" xfId="6304" xr:uid="{FF1B69EE-6335-44A7-B73A-C3CAA5CAEF42}"/>
    <cellStyle name="Percent 3 4 9 11" xfId="6305" xr:uid="{90CE2C9E-09BA-40BE-9DBA-DE850C8F4547}"/>
    <cellStyle name="Percent 3 4 9 12" xfId="6303" xr:uid="{766B1D49-158F-4183-B9C1-A85CA24093A7}"/>
    <cellStyle name="Percent 3 4 9 2" xfId="6306" xr:uid="{DEECF22F-C3E7-423A-859B-266353221258}"/>
    <cellStyle name="Percent 3 4 9 2 2" xfId="6307" xr:uid="{7233A5BB-2A6E-497E-8FD4-943BEFB9EDE0}"/>
    <cellStyle name="Percent 3 4 9 2 2 2" xfId="6308" xr:uid="{488F636B-69DF-4464-AB74-6A76411AE037}"/>
    <cellStyle name="Percent 3 4 9 2 3" xfId="6309" xr:uid="{B7FEC428-7B13-4903-BCA3-28A95048FBFC}"/>
    <cellStyle name="Percent 3 4 9 2 3 2" xfId="6310" xr:uid="{297F1708-CEFF-4B58-91EA-FB7B49772D02}"/>
    <cellStyle name="Percent 3 4 9 2 4" xfId="6311" xr:uid="{143BAF8B-4E9D-4E7E-A538-AA6F4A00E81E}"/>
    <cellStyle name="Percent 3 4 9 2 5" xfId="6312" xr:uid="{902E1D0A-4E22-4B34-9653-D6F66B016A9C}"/>
    <cellStyle name="Percent 3 4 9 3" xfId="6313" xr:uid="{4A799656-7176-41AC-84EB-16FC76C81406}"/>
    <cellStyle name="Percent 3 4 9 3 2" xfId="6314" xr:uid="{2FC21219-4C50-4608-B43A-CE36CBFAD6C6}"/>
    <cellStyle name="Percent 3 4 9 3 2 2" xfId="6315" xr:uid="{DC6F76A3-7193-4DBB-B2D5-70AFACC54C4D}"/>
    <cellStyle name="Percent 3 4 9 3 3" xfId="6316" xr:uid="{CADA5D83-3B97-4A13-BD02-2336BB4705C4}"/>
    <cellStyle name="Percent 3 4 9 3 3 2" xfId="6317" xr:uid="{343A801F-19F0-4C1A-9560-056FEDFAF4AF}"/>
    <cellStyle name="Percent 3 4 9 3 4" xfId="6318" xr:uid="{58779789-5454-4BE1-B3A5-9949F9D6CB2E}"/>
    <cellStyle name="Percent 3 4 9 4" xfId="6319" xr:uid="{01007469-C606-4321-ACBE-87AD59EAA594}"/>
    <cellStyle name="Percent 3 4 9 4 2" xfId="6320" xr:uid="{B3E9FD47-FEA8-4EED-851F-2B7F917C5C84}"/>
    <cellStyle name="Percent 3 4 9 4 2 2" xfId="6321" xr:uid="{C5102BB8-30E6-45F1-8EAE-25289E0B2624}"/>
    <cellStyle name="Percent 3 4 9 4 3" xfId="6322" xr:uid="{41591CA3-D9DB-45A3-AF0D-4B4C5871ED47}"/>
    <cellStyle name="Percent 3 4 9 4 3 2" xfId="6323" xr:uid="{A0BB12E7-2958-4479-8BFF-7F3844C321CD}"/>
    <cellStyle name="Percent 3 4 9 4 4" xfId="6324" xr:uid="{90180456-62DD-43B9-AE14-A16F6A7CC486}"/>
    <cellStyle name="Percent 3 4 9 5" xfId="6325" xr:uid="{0DE1A7C9-C18A-4740-A6C4-EA6D06A5623E}"/>
    <cellStyle name="Percent 3 4 9 5 2" xfId="6326" xr:uid="{93B98153-B4DB-4991-B454-4745EEE82BCC}"/>
    <cellStyle name="Percent 3 4 9 5 2 2" xfId="6327" xr:uid="{D4B9D282-57F1-4E7D-911B-9442CD307F5F}"/>
    <cellStyle name="Percent 3 4 9 5 3" xfId="6328" xr:uid="{38FC61CC-78BE-403A-BE55-B6869B80B776}"/>
    <cellStyle name="Percent 3 4 9 5 3 2" xfId="6329" xr:uid="{E866BF97-F9C4-43A2-A768-0B77437FA4F9}"/>
    <cellStyle name="Percent 3 4 9 5 4" xfId="6330" xr:uid="{B8F2DFCD-9DBE-45C2-9B6C-BCBBA282F3FA}"/>
    <cellStyle name="Percent 3 4 9 5 4 2" xfId="6331" xr:uid="{5C5A46B6-56D1-498E-88FE-881B3EAB2845}"/>
    <cellStyle name="Percent 3 4 9 5 5" xfId="6332" xr:uid="{46038CBA-F00D-48DA-BEEA-331212DAA0A3}"/>
    <cellStyle name="Percent 3 4 9 6" xfId="6333" xr:uid="{AB1086DD-C622-46F8-8F14-9CC91DDE0CAB}"/>
    <cellStyle name="Percent 3 4 9 6 2" xfId="6334" xr:uid="{191B4389-35B9-47F8-83F2-63782ADBA25C}"/>
    <cellStyle name="Percent 3 4 9 6 2 2" xfId="6335" xr:uid="{E6689D32-7C0B-4202-AB66-33ECE02D2054}"/>
    <cellStyle name="Percent 3 4 9 6 3" xfId="6336" xr:uid="{FD861003-51A2-49B7-A9F5-7073EA80E173}"/>
    <cellStyle name="Percent 3 4 9 6 3 2" xfId="6337" xr:uid="{DDB54BA0-0E1F-4A60-B449-F25FE7963971}"/>
    <cellStyle name="Percent 3 4 9 6 4" xfId="6338" xr:uid="{6779B188-DDE8-4CCE-BCBB-E64E162592F7}"/>
    <cellStyle name="Percent 3 4 9 7" xfId="6339" xr:uid="{AFA43EE5-5F8C-4949-A2B1-3AC08F334502}"/>
    <cellStyle name="Percent 3 4 9 7 2" xfId="6340" xr:uid="{CC45BCAA-677C-406D-9D81-E12F0158BCC0}"/>
    <cellStyle name="Percent 3 4 9 8" xfId="6341" xr:uid="{0EA853B1-F551-48A6-8C01-06CB908BBA02}"/>
    <cellStyle name="Percent 3 4 9 8 2" xfId="6342" xr:uid="{165B1CB2-AE6A-4878-8847-8C7120090A13}"/>
    <cellStyle name="Percent 3 4 9 9" xfId="6343" xr:uid="{9394944B-365D-467F-8F2F-CDA6AD9F13D7}"/>
    <cellStyle name="Percent 3 4 9 9 2" xfId="6344" xr:uid="{2806B978-5C4E-4336-B828-FEB8076BA80D}"/>
    <cellStyle name="Percent 3 5" xfId="292" xr:uid="{F611D557-1C38-4843-BF82-663EA539851B}"/>
    <cellStyle name="Percent 3 5 10" xfId="2904" xr:uid="{3B4CB2A2-F69A-4B9D-96A4-04B73BA2CA98}"/>
    <cellStyle name="Percent 3 5 10 10" xfId="6347" xr:uid="{B4AEF0D6-723B-4E0A-9C97-6D1C2756ED2E}"/>
    <cellStyle name="Percent 3 5 10 11" xfId="6348" xr:uid="{3CF8260D-4F4D-489C-81B8-32BF2B769A0D}"/>
    <cellStyle name="Percent 3 5 10 12" xfId="6346" xr:uid="{31AF66A4-809B-4F1C-B88A-8FC923DF5529}"/>
    <cellStyle name="Percent 3 5 10 2" xfId="6349" xr:uid="{B59A3984-13D8-4664-A244-5D7E98E77A23}"/>
    <cellStyle name="Percent 3 5 10 2 2" xfId="6350" xr:uid="{C24A2AD4-020A-490B-93B7-17C0F3CB5C5E}"/>
    <cellStyle name="Percent 3 5 10 2 2 2" xfId="6351" xr:uid="{A16C15E0-334F-4DA4-BD98-F9844E70E5A6}"/>
    <cellStyle name="Percent 3 5 10 2 3" xfId="6352" xr:uid="{02E12652-A79B-43DB-8A07-7EA5F9486D76}"/>
    <cellStyle name="Percent 3 5 10 2 3 2" xfId="6353" xr:uid="{3E1DCB0C-8F13-4EC2-991C-EB94FF02E4AA}"/>
    <cellStyle name="Percent 3 5 10 2 4" xfId="6354" xr:uid="{BB726466-9226-4587-BBD6-78873EF984B3}"/>
    <cellStyle name="Percent 3 5 10 2 5" xfId="6355" xr:uid="{88AC5AE2-1AC0-4EAA-A43E-2AFCAFB6154A}"/>
    <cellStyle name="Percent 3 5 10 3" xfId="6356" xr:uid="{06F7283B-E1D1-4305-8949-3F66312EC1DE}"/>
    <cellStyle name="Percent 3 5 10 3 2" xfId="6357" xr:uid="{73958CFB-6C23-443C-88F4-CBFCFB86691F}"/>
    <cellStyle name="Percent 3 5 10 3 2 2" xfId="6358" xr:uid="{A713DA98-972B-4F42-8FB2-C5A11E91C466}"/>
    <cellStyle name="Percent 3 5 10 3 3" xfId="6359" xr:uid="{157A13A7-9DEA-43A8-ABE0-94C629EC9367}"/>
    <cellStyle name="Percent 3 5 10 3 3 2" xfId="6360" xr:uid="{72148777-4FFB-4E9F-B998-8090DA519B4E}"/>
    <cellStyle name="Percent 3 5 10 3 4" xfId="6361" xr:uid="{2813353F-043E-43AA-8E6C-517C2DA434DC}"/>
    <cellStyle name="Percent 3 5 10 4" xfId="6362" xr:uid="{64EDF770-B473-4788-B87F-9AD7B4FE2EF1}"/>
    <cellStyle name="Percent 3 5 10 4 2" xfId="6363" xr:uid="{1E06F0AF-3EBE-4505-ADF9-93A354060E1A}"/>
    <cellStyle name="Percent 3 5 10 4 2 2" xfId="6364" xr:uid="{228B10C7-9134-4F5A-B955-6B7D7CF7801F}"/>
    <cellStyle name="Percent 3 5 10 4 3" xfId="6365" xr:uid="{40B3A65B-BD27-42FF-9BC6-BAF80A633E08}"/>
    <cellStyle name="Percent 3 5 10 4 3 2" xfId="6366" xr:uid="{D8AE54FA-1F59-4641-8874-F134CA75739E}"/>
    <cellStyle name="Percent 3 5 10 4 4" xfId="6367" xr:uid="{1A6A5E26-EE88-4655-BF96-59E18B5C5844}"/>
    <cellStyle name="Percent 3 5 10 5" xfId="6368" xr:uid="{6874F35E-B6C6-4443-A157-90D19ED9051E}"/>
    <cellStyle name="Percent 3 5 10 5 2" xfId="6369" xr:uid="{0458DD2E-1557-4732-900B-518A14DC0810}"/>
    <cellStyle name="Percent 3 5 10 5 2 2" xfId="6370" xr:uid="{7FE4D6A6-D213-4A11-8E1E-99CECDC26CF7}"/>
    <cellStyle name="Percent 3 5 10 5 3" xfId="6371" xr:uid="{E13CA9FC-4076-443B-9F24-0924CA78B899}"/>
    <cellStyle name="Percent 3 5 10 5 3 2" xfId="6372" xr:uid="{D4B8E0BF-5F8D-4D8C-B8D9-95F56114181D}"/>
    <cellStyle name="Percent 3 5 10 5 4" xfId="6373" xr:uid="{BE3D9145-B998-43DD-9026-FE403C697E7D}"/>
    <cellStyle name="Percent 3 5 10 5 4 2" xfId="6374" xr:uid="{089AFDAA-D2C5-4341-BFA0-96895C7F420A}"/>
    <cellStyle name="Percent 3 5 10 5 5" xfId="6375" xr:uid="{F5765C4A-07D6-485B-B96B-B456E3A0FCC3}"/>
    <cellStyle name="Percent 3 5 10 6" xfId="6376" xr:uid="{A0A7AC93-43E5-4A9D-90BC-E6549F63389C}"/>
    <cellStyle name="Percent 3 5 10 6 2" xfId="6377" xr:uid="{D2F22318-E3BB-48F4-8249-D62AEAF05FF1}"/>
    <cellStyle name="Percent 3 5 10 6 2 2" xfId="6378" xr:uid="{665E087B-C36A-4707-A628-2E5AF7853865}"/>
    <cellStyle name="Percent 3 5 10 6 3" xfId="6379" xr:uid="{C8F75ADC-2A75-4AFF-8D8B-2D8D26A4CC79}"/>
    <cellStyle name="Percent 3 5 10 6 3 2" xfId="6380" xr:uid="{E8DEF07F-A0F1-404F-A641-3B41C809F7B2}"/>
    <cellStyle name="Percent 3 5 10 6 4" xfId="6381" xr:uid="{74DD68CD-CBA0-45D0-B7D3-0453D4B03787}"/>
    <cellStyle name="Percent 3 5 10 7" xfId="6382" xr:uid="{4712DD98-A043-478B-837A-9B0077C07F3D}"/>
    <cellStyle name="Percent 3 5 10 7 2" xfId="6383" xr:uid="{E8B20300-AB4B-4B31-8383-6F162530B3E9}"/>
    <cellStyle name="Percent 3 5 10 8" xfId="6384" xr:uid="{2256E6A1-5C2A-472F-80C6-4A49C68A5808}"/>
    <cellStyle name="Percent 3 5 10 8 2" xfId="6385" xr:uid="{AE363707-4A9B-43AE-986F-AA2AAA4CFBDA}"/>
    <cellStyle name="Percent 3 5 10 9" xfId="6386" xr:uid="{02B935F3-91ED-4DB8-B2BE-857491B9E5BC}"/>
    <cellStyle name="Percent 3 5 10 9 2" xfId="6387" xr:uid="{DAF0CFD5-11DE-450A-8041-0EB9300689E1}"/>
    <cellStyle name="Percent 3 5 11" xfId="2905" xr:uid="{908D74D3-6582-433C-8905-65D13BCCFDB5}"/>
    <cellStyle name="Percent 3 5 11 10" xfId="6389" xr:uid="{33340681-BAE3-4BE8-834F-35A8C112DFED}"/>
    <cellStyle name="Percent 3 5 11 11" xfId="6390" xr:uid="{1C82F45E-D203-47D5-991C-8C0DA2B534FE}"/>
    <cellStyle name="Percent 3 5 11 12" xfId="6388" xr:uid="{3A021CFD-57D9-4B0D-B8D0-CC9DCB53332C}"/>
    <cellStyle name="Percent 3 5 11 2" xfId="6391" xr:uid="{4527201F-BBC0-458A-AE83-9066DAEEFDA3}"/>
    <cellStyle name="Percent 3 5 11 2 2" xfId="6392" xr:uid="{0C280FDB-EC5B-4C01-B7F5-D7897244DC87}"/>
    <cellStyle name="Percent 3 5 11 2 2 2" xfId="6393" xr:uid="{7E92A6F0-C481-4442-8D38-2E8E88F38BB0}"/>
    <cellStyle name="Percent 3 5 11 2 3" xfId="6394" xr:uid="{98E34A8F-28FD-4EFD-85DF-72552397FC4C}"/>
    <cellStyle name="Percent 3 5 11 2 3 2" xfId="6395" xr:uid="{4775C384-395C-4CB1-97D3-15F90FBF8935}"/>
    <cellStyle name="Percent 3 5 11 2 4" xfId="6396" xr:uid="{990B5C6D-DC89-4888-A1A2-50FCC7A4853B}"/>
    <cellStyle name="Percent 3 5 11 2 5" xfId="6397" xr:uid="{A26AA450-230A-420A-AE59-85C9EF17F902}"/>
    <cellStyle name="Percent 3 5 11 3" xfId="6398" xr:uid="{F17E4906-3DA3-481F-A814-F870382B7F61}"/>
    <cellStyle name="Percent 3 5 11 3 2" xfId="6399" xr:uid="{9E9B0741-C06F-4648-B94A-657732706760}"/>
    <cellStyle name="Percent 3 5 11 3 2 2" xfId="6400" xr:uid="{F0C55BB2-D7F5-4942-8CF6-8D9A20754F65}"/>
    <cellStyle name="Percent 3 5 11 3 3" xfId="6401" xr:uid="{944B151A-E713-4709-81FB-D3E731A5CF4B}"/>
    <cellStyle name="Percent 3 5 11 3 3 2" xfId="6402" xr:uid="{83CB2BD6-938D-44A7-AB8B-8F55FEC27AFD}"/>
    <cellStyle name="Percent 3 5 11 3 4" xfId="6403" xr:uid="{43253895-164D-4A0C-8049-76E2F91E610E}"/>
    <cellStyle name="Percent 3 5 11 4" xfId="6404" xr:uid="{8C86D39E-183A-4DCF-9163-2D87304CD4E4}"/>
    <cellStyle name="Percent 3 5 11 4 2" xfId="6405" xr:uid="{7BB8C3B2-15D6-44F4-BAF4-C7048FFBBA9F}"/>
    <cellStyle name="Percent 3 5 11 4 2 2" xfId="6406" xr:uid="{BB43A266-53D6-48AF-864F-01C88BE8E21C}"/>
    <cellStyle name="Percent 3 5 11 4 3" xfId="6407" xr:uid="{3E7DC8B0-0BE2-4AAA-8FF2-DEB42DE62DC8}"/>
    <cellStyle name="Percent 3 5 11 4 3 2" xfId="6408" xr:uid="{3CA16448-9600-4B1F-A4C8-CEFDB41B15A9}"/>
    <cellStyle name="Percent 3 5 11 4 4" xfId="6409" xr:uid="{D6A9B82A-A2B3-45AA-BB24-EFEA2E6914AA}"/>
    <cellStyle name="Percent 3 5 11 5" xfId="6410" xr:uid="{B1078EC0-C868-4327-AB62-F1E8326341D5}"/>
    <cellStyle name="Percent 3 5 11 5 2" xfId="6411" xr:uid="{98A457D5-E34B-4DC0-ABBC-DF3951485E3C}"/>
    <cellStyle name="Percent 3 5 11 5 2 2" xfId="6412" xr:uid="{A4E9B45A-0827-447D-9E94-42CB302B3DE1}"/>
    <cellStyle name="Percent 3 5 11 5 3" xfId="6413" xr:uid="{1844B8F8-DB74-41D2-AC49-444AF0F66F2B}"/>
    <cellStyle name="Percent 3 5 11 5 3 2" xfId="6414" xr:uid="{47A8545C-9E03-40A9-9D06-2F39E0AEDA2B}"/>
    <cellStyle name="Percent 3 5 11 5 4" xfId="6415" xr:uid="{8BE0C06E-27A3-4D0F-A25A-6F55F087A42B}"/>
    <cellStyle name="Percent 3 5 11 5 4 2" xfId="6416" xr:uid="{994B4C7E-B063-43B6-A33E-5B6DFCF0E6D5}"/>
    <cellStyle name="Percent 3 5 11 5 5" xfId="6417" xr:uid="{16C8B684-EF0F-48F5-9C75-C6FEB216E067}"/>
    <cellStyle name="Percent 3 5 11 6" xfId="6418" xr:uid="{544FAFD0-95E3-426B-BA0D-701DA984558A}"/>
    <cellStyle name="Percent 3 5 11 6 2" xfId="6419" xr:uid="{CE39BDDC-2A8A-464B-B772-FE61A4DFDBFC}"/>
    <cellStyle name="Percent 3 5 11 6 2 2" xfId="6420" xr:uid="{F30ADCC9-AAEF-4C58-947C-0BA70EE97852}"/>
    <cellStyle name="Percent 3 5 11 6 3" xfId="6421" xr:uid="{60700762-C9E9-4A9E-8120-75E01D6F39A9}"/>
    <cellStyle name="Percent 3 5 11 6 3 2" xfId="6422" xr:uid="{91CE4D93-97F2-461C-B2F6-344D2BF3966B}"/>
    <cellStyle name="Percent 3 5 11 6 4" xfId="6423" xr:uid="{81A9F42E-472F-488C-BDD6-8AADD456FAFD}"/>
    <cellStyle name="Percent 3 5 11 7" xfId="6424" xr:uid="{4D48EDCA-7AB0-47A3-94DB-7B21D69316E2}"/>
    <cellStyle name="Percent 3 5 11 7 2" xfId="6425" xr:uid="{431B3E2D-6129-4272-A6A7-092F3300A6DB}"/>
    <cellStyle name="Percent 3 5 11 8" xfId="6426" xr:uid="{9B200487-97CE-4F82-B380-5EEEF6C08AFE}"/>
    <cellStyle name="Percent 3 5 11 8 2" xfId="6427" xr:uid="{9EE2B538-C2E8-4847-BC19-217CE0C1E0F9}"/>
    <cellStyle name="Percent 3 5 11 9" xfId="6428" xr:uid="{43D19E35-1FC4-4644-994E-A8A6FEA7BFF9}"/>
    <cellStyle name="Percent 3 5 11 9 2" xfId="6429" xr:uid="{B4AE93AB-F8BC-439A-801C-8CBB824D315D}"/>
    <cellStyle name="Percent 3 5 12" xfId="2906" xr:uid="{9BB6602B-4ACE-443B-B6AC-93ADFC184A37}"/>
    <cellStyle name="Percent 3 5 12 10" xfId="6431" xr:uid="{FC462B35-46D5-40D7-8C63-106917734470}"/>
    <cellStyle name="Percent 3 5 12 11" xfId="6432" xr:uid="{1FA7A84A-A87A-49B7-AB12-5E516E45D5C3}"/>
    <cellStyle name="Percent 3 5 12 12" xfId="6430" xr:uid="{A75FDC78-E087-49D7-B25D-8639D4E93CEB}"/>
    <cellStyle name="Percent 3 5 12 2" xfId="6433" xr:uid="{F0F72661-E324-4EAF-8BDC-DBB11CEE3CF6}"/>
    <cellStyle name="Percent 3 5 12 2 2" xfId="6434" xr:uid="{3D5AC29E-1727-4FC2-818A-79C3621D27CC}"/>
    <cellStyle name="Percent 3 5 12 2 2 2" xfId="6435" xr:uid="{3EAF497C-8019-4192-9176-0F23D110C2B3}"/>
    <cellStyle name="Percent 3 5 12 2 3" xfId="6436" xr:uid="{9ABD485B-A99A-4868-A9C1-832DB76833AB}"/>
    <cellStyle name="Percent 3 5 12 2 3 2" xfId="6437" xr:uid="{D5B00507-73A7-4284-B0D0-B68D120A3C6C}"/>
    <cellStyle name="Percent 3 5 12 2 4" xfId="6438" xr:uid="{14456905-8646-4501-9399-253759E072BD}"/>
    <cellStyle name="Percent 3 5 12 2 5" xfId="6439" xr:uid="{B4FA3EED-DA17-40E2-8832-C34FC36C8A37}"/>
    <cellStyle name="Percent 3 5 12 3" xfId="6440" xr:uid="{C069510F-8AE9-4DD2-866B-28CE6DBB1CB4}"/>
    <cellStyle name="Percent 3 5 12 3 2" xfId="6441" xr:uid="{D7A59303-4799-44CB-93A0-9C7B7DED3C4B}"/>
    <cellStyle name="Percent 3 5 12 3 2 2" xfId="6442" xr:uid="{9890B8A5-CDFC-4897-9D86-2C169C34CB56}"/>
    <cellStyle name="Percent 3 5 12 3 3" xfId="6443" xr:uid="{BC229CE9-E3CD-4C24-A6E0-438F0F45E3D8}"/>
    <cellStyle name="Percent 3 5 12 3 3 2" xfId="6444" xr:uid="{B6E7FF6E-EC56-4571-BC0B-F51CD4400DE2}"/>
    <cellStyle name="Percent 3 5 12 3 4" xfId="6445" xr:uid="{25D98BCE-F13D-4680-BFB9-52B78F418B3C}"/>
    <cellStyle name="Percent 3 5 12 4" xfId="6446" xr:uid="{3776B3EA-C0A8-4F60-A552-3B6269CD06B8}"/>
    <cellStyle name="Percent 3 5 12 4 2" xfId="6447" xr:uid="{605D69A9-CDC8-488B-BFBF-0BEFA17C767A}"/>
    <cellStyle name="Percent 3 5 12 4 2 2" xfId="6448" xr:uid="{A3850E48-08FC-4B77-A6B3-302A6F862350}"/>
    <cellStyle name="Percent 3 5 12 4 3" xfId="6449" xr:uid="{800E2B8C-26A3-4546-B715-92A380E7E693}"/>
    <cellStyle name="Percent 3 5 12 4 3 2" xfId="6450" xr:uid="{5433EDA3-F7F6-4CFC-B5A6-0A2AAA9F2D69}"/>
    <cellStyle name="Percent 3 5 12 4 4" xfId="6451" xr:uid="{E55284D0-AAC0-4752-B77A-9AE073A29248}"/>
    <cellStyle name="Percent 3 5 12 5" xfId="6452" xr:uid="{9FC0CB33-EA92-4F63-877F-FB7DF9BFA95D}"/>
    <cellStyle name="Percent 3 5 12 5 2" xfId="6453" xr:uid="{22E0130A-2393-4817-858E-ED06CC054ED6}"/>
    <cellStyle name="Percent 3 5 12 5 2 2" xfId="6454" xr:uid="{AA99D756-8C21-415A-8347-6F29917F8152}"/>
    <cellStyle name="Percent 3 5 12 5 3" xfId="6455" xr:uid="{CCF2AB0D-FDF0-4383-A422-8ABFBCB94EFF}"/>
    <cellStyle name="Percent 3 5 12 5 3 2" xfId="6456" xr:uid="{52155DE6-DB28-482A-BECC-95918AA544FC}"/>
    <cellStyle name="Percent 3 5 12 5 4" xfId="6457" xr:uid="{EA3FAD52-32DB-4705-8511-9999963ABB3C}"/>
    <cellStyle name="Percent 3 5 12 5 4 2" xfId="6458" xr:uid="{A7A60AE9-F1D6-42BF-9BFD-A8D69E633EF1}"/>
    <cellStyle name="Percent 3 5 12 5 5" xfId="6459" xr:uid="{1AAAA3C3-F307-45EF-B0D5-B1EF8D7308A7}"/>
    <cellStyle name="Percent 3 5 12 6" xfId="6460" xr:uid="{B1B6D544-3299-464A-B579-6EA2F2AA6D1B}"/>
    <cellStyle name="Percent 3 5 12 6 2" xfId="6461" xr:uid="{E7F22F87-2801-41AA-A91B-EB5D30D24604}"/>
    <cellStyle name="Percent 3 5 12 6 2 2" xfId="6462" xr:uid="{7F82F2FC-2B57-4F77-9D12-37BAABFCC5C7}"/>
    <cellStyle name="Percent 3 5 12 6 3" xfId="6463" xr:uid="{3803A59B-B245-4D65-8D42-F3EA88AA8386}"/>
    <cellStyle name="Percent 3 5 12 6 3 2" xfId="6464" xr:uid="{0071DEAB-AA60-41C4-9E27-A5EA021F1911}"/>
    <cellStyle name="Percent 3 5 12 6 4" xfId="6465" xr:uid="{2B51090A-E114-4EE7-81A0-C693653AF358}"/>
    <cellStyle name="Percent 3 5 12 7" xfId="6466" xr:uid="{475C2057-6482-41ED-A510-88E7C109AD22}"/>
    <cellStyle name="Percent 3 5 12 7 2" xfId="6467" xr:uid="{2F9F7340-B8FD-4F38-9068-C9497E2B3260}"/>
    <cellStyle name="Percent 3 5 12 8" xfId="6468" xr:uid="{982A36E0-35B7-4E9D-B4F3-835C36F4BB09}"/>
    <cellStyle name="Percent 3 5 12 8 2" xfId="6469" xr:uid="{EA103494-D0ED-48AF-908B-A224E63792E1}"/>
    <cellStyle name="Percent 3 5 12 9" xfId="6470" xr:uid="{A56DA1EF-4C00-4040-924A-43DABE133B30}"/>
    <cellStyle name="Percent 3 5 12 9 2" xfId="6471" xr:uid="{4D33181E-58C9-42D1-A9B7-D93E8E6DAC7C}"/>
    <cellStyle name="Percent 3 5 13" xfId="2907" xr:uid="{1C398D25-A85F-4BE6-8D14-074389ACCB4C}"/>
    <cellStyle name="Percent 3 5 13 10" xfId="6473" xr:uid="{FFA68FF7-D85F-4841-8B12-A4820919F05E}"/>
    <cellStyle name="Percent 3 5 13 11" xfId="6474" xr:uid="{AB19A0C0-D648-46AB-B56C-DE64BEC25608}"/>
    <cellStyle name="Percent 3 5 13 12" xfId="6472" xr:uid="{FBAFAC56-8046-4D1C-8B53-E1AF2292AE9D}"/>
    <cellStyle name="Percent 3 5 13 2" xfId="6475" xr:uid="{B61B81FD-A2BC-4BC4-8C47-E16A766F41D1}"/>
    <cellStyle name="Percent 3 5 13 2 2" xfId="6476" xr:uid="{076807B5-1506-4499-A407-6E33B1D12409}"/>
    <cellStyle name="Percent 3 5 13 2 2 2" xfId="6477" xr:uid="{167FB5AF-E541-4D0C-97F0-0BCC28BC0C05}"/>
    <cellStyle name="Percent 3 5 13 2 3" xfId="6478" xr:uid="{4E0C322A-D253-457E-A214-49DA08EBB121}"/>
    <cellStyle name="Percent 3 5 13 2 3 2" xfId="6479" xr:uid="{202BD3B0-B342-48D6-B824-D113F57FDD06}"/>
    <cellStyle name="Percent 3 5 13 2 4" xfId="6480" xr:uid="{0A587C00-1E6E-43F3-BBC8-6A8338ED9457}"/>
    <cellStyle name="Percent 3 5 13 2 5" xfId="6481" xr:uid="{40E83367-BD8D-4DFF-B462-D06FC5DDBA4C}"/>
    <cellStyle name="Percent 3 5 13 3" xfId="6482" xr:uid="{B61F99A7-EA69-47E7-81B3-AA0BD97DBE5F}"/>
    <cellStyle name="Percent 3 5 13 3 2" xfId="6483" xr:uid="{DE5E529D-8A2B-4EC3-BE02-B5DA83923298}"/>
    <cellStyle name="Percent 3 5 13 3 2 2" xfId="6484" xr:uid="{93AFE3A7-DD5A-4B3D-873A-5DF24FD29430}"/>
    <cellStyle name="Percent 3 5 13 3 3" xfId="6485" xr:uid="{3D5241B2-A703-4BD4-B60B-A6AB270AAE21}"/>
    <cellStyle name="Percent 3 5 13 3 3 2" xfId="6486" xr:uid="{24174C2C-9A4E-45FA-A68D-A357148D2428}"/>
    <cellStyle name="Percent 3 5 13 3 4" xfId="6487" xr:uid="{268565A7-4AB2-4B8F-98CE-551947B64F91}"/>
    <cellStyle name="Percent 3 5 13 4" xfId="6488" xr:uid="{B0D60D58-C89A-4727-81CD-68822CAF8C78}"/>
    <cellStyle name="Percent 3 5 13 4 2" xfId="6489" xr:uid="{E0A9E90D-13BB-49B3-86E0-4F0E2E518CB1}"/>
    <cellStyle name="Percent 3 5 13 4 2 2" xfId="6490" xr:uid="{5C877B4B-7DAD-4A89-9689-39FE979E85CB}"/>
    <cellStyle name="Percent 3 5 13 4 3" xfId="6491" xr:uid="{940EB7BF-A7D9-4160-872F-74ADDD7E3AFB}"/>
    <cellStyle name="Percent 3 5 13 4 3 2" xfId="6492" xr:uid="{F5894C69-304E-4809-87E3-C468A1E4DCC4}"/>
    <cellStyle name="Percent 3 5 13 4 4" xfId="6493" xr:uid="{C47D3763-CCA4-491D-B18E-0B3B53C81113}"/>
    <cellStyle name="Percent 3 5 13 5" xfId="6494" xr:uid="{605988BA-FA76-47E6-99D7-E7A0FBD679E2}"/>
    <cellStyle name="Percent 3 5 13 5 2" xfId="6495" xr:uid="{E8E04522-81B0-44C9-98DF-E540B7933B38}"/>
    <cellStyle name="Percent 3 5 13 5 2 2" xfId="6496" xr:uid="{BDD25FD0-E7F0-4768-B454-53EDCEEEFAEF}"/>
    <cellStyle name="Percent 3 5 13 5 3" xfId="6497" xr:uid="{2B0C5B5B-4BFE-4794-AB4F-2E9D1C8309AB}"/>
    <cellStyle name="Percent 3 5 13 5 3 2" xfId="6498" xr:uid="{A8F7E13C-2940-4E6A-9178-8405785FBBEA}"/>
    <cellStyle name="Percent 3 5 13 5 4" xfId="6499" xr:uid="{9AC7DF2C-2E17-4DC7-849A-2E316802CBC5}"/>
    <cellStyle name="Percent 3 5 13 5 4 2" xfId="6500" xr:uid="{6A91B147-24C7-456F-BFAE-B7CEE66AA7D7}"/>
    <cellStyle name="Percent 3 5 13 5 5" xfId="6501" xr:uid="{6C5C33D4-DC8C-4DBE-A95D-E738B106B2FE}"/>
    <cellStyle name="Percent 3 5 13 6" xfId="6502" xr:uid="{F08BC8CA-A399-4D6E-A0BE-9FC985D0E1EB}"/>
    <cellStyle name="Percent 3 5 13 6 2" xfId="6503" xr:uid="{59376D1A-E7DF-4085-9497-94AA4C10B653}"/>
    <cellStyle name="Percent 3 5 13 6 2 2" xfId="6504" xr:uid="{8476CA1E-B419-49C6-B9B2-6171060582DA}"/>
    <cellStyle name="Percent 3 5 13 6 3" xfId="6505" xr:uid="{F0F029A5-D827-458D-99F5-87B15AE652F9}"/>
    <cellStyle name="Percent 3 5 13 6 3 2" xfId="6506" xr:uid="{47D20872-C068-469D-82D7-002A04B472FD}"/>
    <cellStyle name="Percent 3 5 13 6 4" xfId="6507" xr:uid="{F4DE64D7-D2EA-479E-B7A1-122C05919126}"/>
    <cellStyle name="Percent 3 5 13 7" xfId="6508" xr:uid="{25D13331-E53D-4D02-A9F0-AC4E50034DC9}"/>
    <cellStyle name="Percent 3 5 13 7 2" xfId="6509" xr:uid="{7CCE9ADA-37FC-4AB4-AE6E-678F6AA297CE}"/>
    <cellStyle name="Percent 3 5 13 8" xfId="6510" xr:uid="{9B238591-5B3A-4D13-A422-2FFB9A213F16}"/>
    <cellStyle name="Percent 3 5 13 8 2" xfId="6511" xr:uid="{A2D0E00F-5576-4EC8-9ED0-DF8FE4616909}"/>
    <cellStyle name="Percent 3 5 13 9" xfId="6512" xr:uid="{9C0EB880-E0FF-40E3-85F9-0B0816336F21}"/>
    <cellStyle name="Percent 3 5 13 9 2" xfId="6513" xr:uid="{E0F0ECEA-0EED-4EF5-90A7-C6DC31622573}"/>
    <cellStyle name="Percent 3 5 14" xfId="2908" xr:uid="{7EA92599-A496-4225-BE6D-159CD434F190}"/>
    <cellStyle name="Percent 3 5 14 10" xfId="6515" xr:uid="{B061994B-E9DA-4F1F-9D4E-AE7E4F6FCF66}"/>
    <cellStyle name="Percent 3 5 14 11" xfId="6516" xr:uid="{29B01E5F-7185-4822-BEB4-7B245D4B2EAC}"/>
    <cellStyle name="Percent 3 5 14 12" xfId="6514" xr:uid="{9A0FB3BA-48AE-43AD-BB66-BD3ADEB64D67}"/>
    <cellStyle name="Percent 3 5 14 2" xfId="6517" xr:uid="{A7C44C88-36F3-4268-B68B-8925791511CD}"/>
    <cellStyle name="Percent 3 5 14 2 2" xfId="6518" xr:uid="{F1033FEA-DC72-4A4A-8AE1-DB729091BD43}"/>
    <cellStyle name="Percent 3 5 14 2 2 2" xfId="6519" xr:uid="{4A0233DF-EC38-46C4-9A87-0771B6E27582}"/>
    <cellStyle name="Percent 3 5 14 2 3" xfId="6520" xr:uid="{0884DED1-E9CB-4233-A8FD-D2700E2E6A10}"/>
    <cellStyle name="Percent 3 5 14 2 3 2" xfId="6521" xr:uid="{9EF9F914-672F-4B7C-8168-AC2743729BA4}"/>
    <cellStyle name="Percent 3 5 14 2 4" xfId="6522" xr:uid="{FC6628B9-53CE-4C32-84FC-ADF523FCEFDD}"/>
    <cellStyle name="Percent 3 5 14 2 5" xfId="6523" xr:uid="{0108BC6D-3C1E-42F0-A3BF-1078E9137269}"/>
    <cellStyle name="Percent 3 5 14 3" xfId="6524" xr:uid="{5634041E-274F-413E-889B-6C660950DB9C}"/>
    <cellStyle name="Percent 3 5 14 3 2" xfId="6525" xr:uid="{0F91E508-54C1-4A5F-B87C-9497B8F0E13D}"/>
    <cellStyle name="Percent 3 5 14 3 2 2" xfId="6526" xr:uid="{077BB837-A69C-4446-97BF-022B7DC6EDD6}"/>
    <cellStyle name="Percent 3 5 14 3 3" xfId="6527" xr:uid="{7955D58F-72AA-49C5-9E19-C887C62D05F0}"/>
    <cellStyle name="Percent 3 5 14 3 3 2" xfId="6528" xr:uid="{238B51D5-E261-4FC8-8854-AE65251412CF}"/>
    <cellStyle name="Percent 3 5 14 3 4" xfId="6529" xr:uid="{3ED1A3F8-5437-43A6-B3D6-8C0FDA544C46}"/>
    <cellStyle name="Percent 3 5 14 4" xfId="6530" xr:uid="{01EC6899-CC93-433A-8252-28536168371D}"/>
    <cellStyle name="Percent 3 5 14 4 2" xfId="6531" xr:uid="{284686EA-9472-4ABC-8B4B-E98435D909FD}"/>
    <cellStyle name="Percent 3 5 14 4 2 2" xfId="6532" xr:uid="{A2B6CE6D-D327-49EF-8A9F-A526CF7DEA5F}"/>
    <cellStyle name="Percent 3 5 14 4 3" xfId="6533" xr:uid="{DE83F610-9BE7-44CF-BCA7-58C526800049}"/>
    <cellStyle name="Percent 3 5 14 4 3 2" xfId="6534" xr:uid="{39B1A5D1-8B7F-440A-8999-AD594443F3B3}"/>
    <cellStyle name="Percent 3 5 14 4 4" xfId="6535" xr:uid="{F5BFD7E9-A47D-45EC-976D-D6E0ADDA3C63}"/>
    <cellStyle name="Percent 3 5 14 5" xfId="6536" xr:uid="{32C1790D-AE0F-483F-B4DC-BB9F0579672B}"/>
    <cellStyle name="Percent 3 5 14 5 2" xfId="6537" xr:uid="{F3C7E781-7359-46BB-A76D-C7AB85AEAC49}"/>
    <cellStyle name="Percent 3 5 14 5 2 2" xfId="6538" xr:uid="{F0B9055F-B322-4B68-8A0E-7C9C5424DF7D}"/>
    <cellStyle name="Percent 3 5 14 5 3" xfId="6539" xr:uid="{939EDE55-3388-4698-9151-F5D4FF20C6D2}"/>
    <cellStyle name="Percent 3 5 14 5 3 2" xfId="6540" xr:uid="{2559DA2B-E386-4F4B-97FB-DF1CF5D721EA}"/>
    <cellStyle name="Percent 3 5 14 5 4" xfId="6541" xr:uid="{22AF3432-BFC7-4028-A925-617C511702B3}"/>
    <cellStyle name="Percent 3 5 14 5 4 2" xfId="6542" xr:uid="{2BF40653-111D-468A-8B84-50121175204F}"/>
    <cellStyle name="Percent 3 5 14 5 5" xfId="6543" xr:uid="{6EBB669C-942B-4661-9B6E-4487E6E58408}"/>
    <cellStyle name="Percent 3 5 14 6" xfId="6544" xr:uid="{A7333151-87CD-4AB0-97C6-65AD6936D47A}"/>
    <cellStyle name="Percent 3 5 14 6 2" xfId="6545" xr:uid="{C822E267-51B3-48BC-B305-496DB6F97807}"/>
    <cellStyle name="Percent 3 5 14 6 2 2" xfId="6546" xr:uid="{0236A0F2-8BF5-4B39-8946-1D8ABA0E659B}"/>
    <cellStyle name="Percent 3 5 14 6 3" xfId="6547" xr:uid="{62C2BA1B-4145-45D5-B354-885E06E54A0C}"/>
    <cellStyle name="Percent 3 5 14 6 3 2" xfId="6548" xr:uid="{279C4E92-3C0C-4FC5-A9E9-8628DAE44531}"/>
    <cellStyle name="Percent 3 5 14 6 4" xfId="6549" xr:uid="{D2151FE0-6259-4453-899D-7BE7E5630291}"/>
    <cellStyle name="Percent 3 5 14 7" xfId="6550" xr:uid="{6087D24B-B9B7-4FE4-BA0E-3BDB3590BF26}"/>
    <cellStyle name="Percent 3 5 14 7 2" xfId="6551" xr:uid="{8064C1C6-9F18-4B6D-886E-F2A1B7B99948}"/>
    <cellStyle name="Percent 3 5 14 8" xfId="6552" xr:uid="{AA9898C2-1D58-4121-ADF9-BA0850B464E1}"/>
    <cellStyle name="Percent 3 5 14 8 2" xfId="6553" xr:uid="{87CF9F90-D596-4C7D-85F0-BB37F8AEF7A9}"/>
    <cellStyle name="Percent 3 5 14 9" xfId="6554" xr:uid="{093D91A4-EBB4-41BC-B3F2-56911E97FF6B}"/>
    <cellStyle name="Percent 3 5 14 9 2" xfId="6555" xr:uid="{D3C7CB6F-7376-4321-8107-4177727FE60F}"/>
    <cellStyle name="Percent 3 5 15" xfId="2909" xr:uid="{DDF50618-20C7-4762-B95A-3EEDF39F5368}"/>
    <cellStyle name="Percent 3 5 15 10" xfId="6557" xr:uid="{C85086BB-6C23-4D07-AE1E-4D867A4A2E94}"/>
    <cellStyle name="Percent 3 5 15 11" xfId="6558" xr:uid="{CD1895B2-48F9-47D4-96F5-1B63D7C22301}"/>
    <cellStyle name="Percent 3 5 15 12" xfId="6556" xr:uid="{21EE451A-F3F5-40F5-8AF3-4FA51F3AC857}"/>
    <cellStyle name="Percent 3 5 15 2" xfId="6559" xr:uid="{F81524F4-C006-4977-9103-48C3DAF7390C}"/>
    <cellStyle name="Percent 3 5 15 2 2" xfId="6560" xr:uid="{50028A2A-ACFF-46CE-9566-986D362202EB}"/>
    <cellStyle name="Percent 3 5 15 2 2 2" xfId="6561" xr:uid="{C628DAD3-66FD-459D-A85B-369D0D3C7436}"/>
    <cellStyle name="Percent 3 5 15 2 3" xfId="6562" xr:uid="{8BC02357-F3C6-45D9-8EF6-0CE87E54CD39}"/>
    <cellStyle name="Percent 3 5 15 2 3 2" xfId="6563" xr:uid="{7D095966-3D83-454D-AC13-C172E47A8185}"/>
    <cellStyle name="Percent 3 5 15 2 4" xfId="6564" xr:uid="{509900D6-9B0B-4787-9969-E4E83F19B549}"/>
    <cellStyle name="Percent 3 5 15 2 5" xfId="6565" xr:uid="{0BEE5CD7-96CC-4430-9ADA-073765CF5BD3}"/>
    <cellStyle name="Percent 3 5 15 3" xfId="6566" xr:uid="{428FD66F-3508-49FC-8771-0C1858C6BD90}"/>
    <cellStyle name="Percent 3 5 15 3 2" xfId="6567" xr:uid="{E4872DF9-2638-4BFD-AFDB-B5B3EAB5D91F}"/>
    <cellStyle name="Percent 3 5 15 3 2 2" xfId="6568" xr:uid="{2C34A416-3710-4FF2-A1FA-5A304FCBB606}"/>
    <cellStyle name="Percent 3 5 15 3 3" xfId="6569" xr:uid="{C3CAAF2D-C74D-4D42-955D-FE66043C97CA}"/>
    <cellStyle name="Percent 3 5 15 3 3 2" xfId="6570" xr:uid="{FC006C8C-214C-4D6A-BB3D-230DCE00BABE}"/>
    <cellStyle name="Percent 3 5 15 3 4" xfId="6571" xr:uid="{8EC771D5-DA2A-4EA4-A0E3-FB49D01E1534}"/>
    <cellStyle name="Percent 3 5 15 4" xfId="6572" xr:uid="{8A71DD0F-DDCA-421A-A549-141798952DD6}"/>
    <cellStyle name="Percent 3 5 15 4 2" xfId="6573" xr:uid="{5A05D9ED-5947-4271-852A-BED1B52F96B2}"/>
    <cellStyle name="Percent 3 5 15 4 2 2" xfId="6574" xr:uid="{5B63C38A-3BBE-403E-813D-BF6028DE2210}"/>
    <cellStyle name="Percent 3 5 15 4 3" xfId="6575" xr:uid="{B075676E-35D1-4C69-93CB-FE644FC3D480}"/>
    <cellStyle name="Percent 3 5 15 4 3 2" xfId="6576" xr:uid="{B34C256B-CEE8-45E2-9754-21A4B7AE03CE}"/>
    <cellStyle name="Percent 3 5 15 4 4" xfId="6577" xr:uid="{377D311F-B425-4226-BCBE-14F62CA3BC8B}"/>
    <cellStyle name="Percent 3 5 15 5" xfId="6578" xr:uid="{D7643B07-2480-450A-BC5C-DE0DDFB1E6E5}"/>
    <cellStyle name="Percent 3 5 15 5 2" xfId="6579" xr:uid="{7FEF55F5-84D2-4E2C-8222-A4978C3A5E8D}"/>
    <cellStyle name="Percent 3 5 15 5 2 2" xfId="6580" xr:uid="{2626983F-5C67-451D-A1D8-4FDE26939B6E}"/>
    <cellStyle name="Percent 3 5 15 5 3" xfId="6581" xr:uid="{0F866222-FCBC-4634-9D5F-FC7367505DE3}"/>
    <cellStyle name="Percent 3 5 15 5 3 2" xfId="6582" xr:uid="{52F31B10-74B9-41EE-8952-1F8820AB6955}"/>
    <cellStyle name="Percent 3 5 15 5 4" xfId="6583" xr:uid="{B4374E0A-C0AE-4717-A4CD-0DD56E910D31}"/>
    <cellStyle name="Percent 3 5 15 5 4 2" xfId="6584" xr:uid="{A2F81C92-C69E-447B-B066-E3791A8410A1}"/>
    <cellStyle name="Percent 3 5 15 5 5" xfId="6585" xr:uid="{FBE6CCC6-1421-4C6F-ABE9-FEDAC198FB2B}"/>
    <cellStyle name="Percent 3 5 15 6" xfId="6586" xr:uid="{083CE16B-5711-4D01-99F4-2E6EC8694F54}"/>
    <cellStyle name="Percent 3 5 15 6 2" xfId="6587" xr:uid="{3C6A887F-2218-49A7-BFB9-0511D2540636}"/>
    <cellStyle name="Percent 3 5 15 6 2 2" xfId="6588" xr:uid="{24EFC1E6-302B-471A-A3D7-12E57F4C031F}"/>
    <cellStyle name="Percent 3 5 15 6 3" xfId="6589" xr:uid="{CE0AD064-0096-4BA3-AE73-2752CE577806}"/>
    <cellStyle name="Percent 3 5 15 6 3 2" xfId="6590" xr:uid="{DF12049C-1832-4CE4-BFF1-EF7D9C623B0B}"/>
    <cellStyle name="Percent 3 5 15 6 4" xfId="6591" xr:uid="{46C0152D-7575-4AC0-AAEC-4057A439EC22}"/>
    <cellStyle name="Percent 3 5 15 7" xfId="6592" xr:uid="{BC0619B8-D0BC-4ADB-A074-7DBB2FF514FC}"/>
    <cellStyle name="Percent 3 5 15 7 2" xfId="6593" xr:uid="{08514D6C-B56A-45E3-A195-71A7912962D3}"/>
    <cellStyle name="Percent 3 5 15 8" xfId="6594" xr:uid="{C28A485B-9F87-48C7-8E1F-BA3DAAA3B56D}"/>
    <cellStyle name="Percent 3 5 15 8 2" xfId="6595" xr:uid="{81A79100-32A9-49C7-A90B-18B73546C773}"/>
    <cellStyle name="Percent 3 5 15 9" xfId="6596" xr:uid="{906688AC-3FE5-4820-ABB9-8EFFC88101A5}"/>
    <cellStyle name="Percent 3 5 15 9 2" xfId="6597" xr:uid="{A9BA9BED-7666-42F7-A80B-DC02957E6485}"/>
    <cellStyle name="Percent 3 5 16" xfId="2910" xr:uid="{56EE2C55-185D-486B-BD81-9A9052EC9705}"/>
    <cellStyle name="Percent 3 5 16 2" xfId="6599" xr:uid="{8BBAAFC4-80D0-461C-80E0-7D344B1330CC}"/>
    <cellStyle name="Percent 3 5 16 2 2" xfId="6600" xr:uid="{EBC2845B-77CB-428F-BE85-ECCB19E2D807}"/>
    <cellStyle name="Percent 3 5 16 3" xfId="6601" xr:uid="{AF0CA5DC-BDBD-4A3E-B127-48632EF5B9B0}"/>
    <cellStyle name="Percent 3 5 16 3 2" xfId="6602" xr:uid="{85301B71-1C46-4CEB-A07F-C33FB305843F}"/>
    <cellStyle name="Percent 3 5 16 4" xfId="6603" xr:uid="{D59F1499-8D47-434F-991A-FD8E4663D3E6}"/>
    <cellStyle name="Percent 3 5 16 5" xfId="6604" xr:uid="{5F5C61C8-3553-41CD-9518-B4DAE56F97F7}"/>
    <cellStyle name="Percent 3 5 16 6" xfId="6598" xr:uid="{6E6FDAC2-430D-45E8-B140-619704E2403F}"/>
    <cellStyle name="Percent 3 5 17" xfId="6605" xr:uid="{DAB183AB-D6B7-4DCF-8030-AA4313116A42}"/>
    <cellStyle name="Percent 3 5 17 2" xfId="6606" xr:uid="{7802F369-3589-4077-A7DE-F7E6588A896A}"/>
    <cellStyle name="Percent 3 5 17 2 2" xfId="6607" xr:uid="{94FD1007-9365-4899-B164-45E343492BD8}"/>
    <cellStyle name="Percent 3 5 17 3" xfId="6608" xr:uid="{8BD1C61E-6D98-44C5-8473-E04A4C7A7556}"/>
    <cellStyle name="Percent 3 5 17 3 2" xfId="6609" xr:uid="{EBB6A690-211C-4B1B-B590-FE3EF59ED6E9}"/>
    <cellStyle name="Percent 3 5 17 4" xfId="6610" xr:uid="{A763238E-A27C-4638-9627-8E19BDAC6B73}"/>
    <cellStyle name="Percent 3 5 17 5" xfId="6611" xr:uid="{7655FA1C-95B9-4510-9B70-6C5A80A169CC}"/>
    <cellStyle name="Percent 3 5 18" xfId="6612" xr:uid="{46E796FE-4C2A-4DD7-A18A-1D451E3262F7}"/>
    <cellStyle name="Percent 3 5 18 2" xfId="6613" xr:uid="{6126B3A8-3940-4EBF-8C47-5D71F855F065}"/>
    <cellStyle name="Percent 3 5 18 2 2" xfId="6614" xr:uid="{F04B2353-EBB5-4D7F-BDD6-A346B1CB5C61}"/>
    <cellStyle name="Percent 3 5 18 3" xfId="6615" xr:uid="{CC4598D3-4785-4546-9D3F-3766588BE098}"/>
    <cellStyle name="Percent 3 5 18 3 2" xfId="6616" xr:uid="{46D33156-4A32-4C4F-A631-C44BC7935E4A}"/>
    <cellStyle name="Percent 3 5 18 4" xfId="6617" xr:uid="{60179F36-255C-4CE2-8A02-97BD919A8910}"/>
    <cellStyle name="Percent 3 5 19" xfId="6618" xr:uid="{8FE675FC-F45F-4A5F-B2B3-19DE0E2A9FAF}"/>
    <cellStyle name="Percent 3 5 19 2" xfId="6619" xr:uid="{852C7F50-983B-46AB-BA56-074C9C06241D}"/>
    <cellStyle name="Percent 3 5 19 2 2" xfId="6620" xr:uid="{42135E51-9637-40FD-99E0-5953AFD81803}"/>
    <cellStyle name="Percent 3 5 19 3" xfId="6621" xr:uid="{31580ED0-18B4-4878-97A8-27788D685F9F}"/>
    <cellStyle name="Percent 3 5 19 3 2" xfId="6622" xr:uid="{B5735B95-64D8-41C3-A9C5-E77DF3749E41}"/>
    <cellStyle name="Percent 3 5 19 4" xfId="6623" xr:uid="{046425E6-7DFF-40C9-B3FF-75F815D238AA}"/>
    <cellStyle name="Percent 3 5 19 4 2" xfId="6624" xr:uid="{213BB506-73D7-4F25-84BD-81A19862FAB3}"/>
    <cellStyle name="Percent 3 5 19 5" xfId="6625" xr:uid="{680C2A5D-215D-4CB0-8ADD-14586B8513E5}"/>
    <cellStyle name="Percent 3 5 2" xfId="2911" xr:uid="{F7E5500C-6E7C-4A6B-A980-78EE7045D687}"/>
    <cellStyle name="Percent 3 5 2 10" xfId="6627" xr:uid="{9AF3ADCF-2E5F-48F6-9699-B2D7076029C4}"/>
    <cellStyle name="Percent 3 5 2 11" xfId="6628" xr:uid="{A547AA7D-9818-434E-8E71-99BE1A556D8A}"/>
    <cellStyle name="Percent 3 5 2 12" xfId="6626" xr:uid="{D078ECCF-CCE7-42C3-95B8-32BF56D45A10}"/>
    <cellStyle name="Percent 3 5 2 2" xfId="6629" xr:uid="{74CC9C90-B53F-49EF-8E3B-71D8FBA054B8}"/>
    <cellStyle name="Percent 3 5 2 2 2" xfId="6630" xr:uid="{9B9C1EA1-4AE0-4C47-83D7-791F4648EF5C}"/>
    <cellStyle name="Percent 3 5 2 2 2 2" xfId="6631" xr:uid="{14CC0268-5BFD-43D9-B0BD-A733FD505CE5}"/>
    <cellStyle name="Percent 3 5 2 2 3" xfId="6632" xr:uid="{98EF4CB0-0CE2-418C-A8AF-B4B25552D1B5}"/>
    <cellStyle name="Percent 3 5 2 2 3 2" xfId="6633" xr:uid="{8F56F7D7-B445-4BB0-AEA3-E92B0471735C}"/>
    <cellStyle name="Percent 3 5 2 2 4" xfId="6634" xr:uid="{88AB12EF-D018-41C0-BB5B-16195C1CC87B}"/>
    <cellStyle name="Percent 3 5 2 2 5" xfId="6635" xr:uid="{555FA966-2717-427B-AC91-6DB63EF2E6C7}"/>
    <cellStyle name="Percent 3 5 2 3" xfId="6636" xr:uid="{1094B5EF-37DD-4093-9966-6F790C97BB68}"/>
    <cellStyle name="Percent 3 5 2 3 2" xfId="6637" xr:uid="{0555D29D-5104-4176-80BD-26CBB9C72319}"/>
    <cellStyle name="Percent 3 5 2 3 2 2" xfId="6638" xr:uid="{2D3DD0CE-DBCE-4011-BDC5-413FA9859160}"/>
    <cellStyle name="Percent 3 5 2 3 3" xfId="6639" xr:uid="{54B2EE80-75DA-4C7F-8B3E-1CD931279D1D}"/>
    <cellStyle name="Percent 3 5 2 3 3 2" xfId="6640" xr:uid="{8CB2FD6D-4CAF-4EA2-94BD-D6F8F340311D}"/>
    <cellStyle name="Percent 3 5 2 3 4" xfId="6641" xr:uid="{DDEEA68C-EB7F-4A0F-AF5B-BF7522EAF57C}"/>
    <cellStyle name="Percent 3 5 2 4" xfId="6642" xr:uid="{2CD23932-6D01-42E8-BA11-6224C4DAACE3}"/>
    <cellStyle name="Percent 3 5 2 4 2" xfId="6643" xr:uid="{6B8BA657-A03D-4247-81FC-D4627E6FC4F3}"/>
    <cellStyle name="Percent 3 5 2 4 2 2" xfId="6644" xr:uid="{910B9BBF-201B-4CD0-9597-F557D10C2DC3}"/>
    <cellStyle name="Percent 3 5 2 4 3" xfId="6645" xr:uid="{EC6EAFF6-489D-404B-8EDF-DBBB3D5C93DC}"/>
    <cellStyle name="Percent 3 5 2 4 3 2" xfId="6646" xr:uid="{59570FCA-424B-47B7-A42E-96EC0EAEFF72}"/>
    <cellStyle name="Percent 3 5 2 4 4" xfId="6647" xr:uid="{D7AB2695-B4B0-4BB3-BCFB-A35C3E40C29E}"/>
    <cellStyle name="Percent 3 5 2 5" xfId="6648" xr:uid="{98A1B3FA-7816-4DDD-93C4-AF5FFDA1F032}"/>
    <cellStyle name="Percent 3 5 2 5 2" xfId="6649" xr:uid="{D25465F7-910B-4AE8-A360-DAB3B21E6AA7}"/>
    <cellStyle name="Percent 3 5 2 5 2 2" xfId="6650" xr:uid="{5FA1A5CC-65AB-4F19-A591-D10E2251FA8F}"/>
    <cellStyle name="Percent 3 5 2 5 3" xfId="6651" xr:uid="{76B188C4-CEDB-40E1-8DA4-55363239D916}"/>
    <cellStyle name="Percent 3 5 2 5 3 2" xfId="6652" xr:uid="{2504253B-44A1-4C7E-8951-240CC514A8F6}"/>
    <cellStyle name="Percent 3 5 2 5 4" xfId="6653" xr:uid="{C779278A-4822-4CAA-9D4F-CC1710A28070}"/>
    <cellStyle name="Percent 3 5 2 5 4 2" xfId="6654" xr:uid="{8895BF6F-CD36-4183-8337-4E21FEDBA9B2}"/>
    <cellStyle name="Percent 3 5 2 5 5" xfId="6655" xr:uid="{40CE5712-D94F-4366-8BCD-E797A27586B6}"/>
    <cellStyle name="Percent 3 5 2 6" xfId="6656" xr:uid="{4C2D960D-FD1E-4B39-822E-8932C8FCBE20}"/>
    <cellStyle name="Percent 3 5 2 6 2" xfId="6657" xr:uid="{34F1AB02-C571-44DE-B8F4-F7E3AAE0E75B}"/>
    <cellStyle name="Percent 3 5 2 6 2 2" xfId="6658" xr:uid="{014D24BB-F701-40A2-A3B2-0C790B8B843B}"/>
    <cellStyle name="Percent 3 5 2 6 3" xfId="6659" xr:uid="{77497324-6F63-47D2-8FCB-74E8726D6E3C}"/>
    <cellStyle name="Percent 3 5 2 6 3 2" xfId="6660" xr:uid="{0BAD1D2F-DD88-44C9-A7A2-610E31D17CF0}"/>
    <cellStyle name="Percent 3 5 2 6 4" xfId="6661" xr:uid="{BDEE6BC8-E72F-4913-89D8-8FBFBD1043C5}"/>
    <cellStyle name="Percent 3 5 2 7" xfId="6662" xr:uid="{619E773C-0726-4087-982A-98BB898A03F8}"/>
    <cellStyle name="Percent 3 5 2 7 2" xfId="6663" xr:uid="{30F16C03-1EE9-4988-9992-82ECA4A44382}"/>
    <cellStyle name="Percent 3 5 2 8" xfId="6664" xr:uid="{F7A45492-FFA6-4B7A-AD12-62B224D4F38B}"/>
    <cellStyle name="Percent 3 5 2 8 2" xfId="6665" xr:uid="{4B5F0835-C7D8-4294-81D7-3B1C98AD6786}"/>
    <cellStyle name="Percent 3 5 2 9" xfId="6666" xr:uid="{4148B265-C2A1-4477-B261-6C0F0D870B1E}"/>
    <cellStyle name="Percent 3 5 2 9 2" xfId="6667" xr:uid="{7A473469-0DE1-40F2-A5C6-0D2233F6E529}"/>
    <cellStyle name="Percent 3 5 20" xfId="6668" xr:uid="{08AC037A-B068-40ED-A7F2-DAB2C24E452C}"/>
    <cellStyle name="Percent 3 5 20 2" xfId="6669" xr:uid="{AE6D1BB0-6EDD-4EA3-A024-F77F12DCC081}"/>
    <cellStyle name="Percent 3 5 20 2 2" xfId="6670" xr:uid="{59015E49-2854-4F9A-8921-2B3FA7EFF795}"/>
    <cellStyle name="Percent 3 5 20 3" xfId="6671" xr:uid="{D259F7CE-58BE-49DD-BFF3-37683121070F}"/>
    <cellStyle name="Percent 3 5 20 3 2" xfId="6672" xr:uid="{D626F896-EAFF-4EAC-A020-9B1500FAB33A}"/>
    <cellStyle name="Percent 3 5 20 4" xfId="6673" xr:uid="{327089CB-1968-4B13-ABD7-696EA02A38AE}"/>
    <cellStyle name="Percent 3 5 21" xfId="6674" xr:uid="{2822704A-1184-442D-96C5-18F75D813497}"/>
    <cellStyle name="Percent 3 5 21 2" xfId="6675" xr:uid="{49AD345C-D6C5-46A2-ACED-BADED1B09460}"/>
    <cellStyle name="Percent 3 5 22" xfId="6676" xr:uid="{CF540EBF-F98B-45EE-A407-03733430E3EB}"/>
    <cellStyle name="Percent 3 5 22 2" xfId="6677" xr:uid="{500E66FC-7C0B-44F3-BA04-383E22EC342E}"/>
    <cellStyle name="Percent 3 5 23" xfId="6678" xr:uid="{CE839AFA-6F8A-4F76-A175-2F0E2B278423}"/>
    <cellStyle name="Percent 3 5 23 2" xfId="6679" xr:uid="{46861478-1EED-4DFD-9F9D-D39C19BB9508}"/>
    <cellStyle name="Percent 3 5 24" xfId="6680" xr:uid="{A5C16B37-DA75-4EE1-B6F1-1E3DCA2ED8A6}"/>
    <cellStyle name="Percent 3 5 25" xfId="6681" xr:uid="{1CBC9012-E516-4D7A-8210-D7D38BAFCBBA}"/>
    <cellStyle name="Percent 3 5 26" xfId="6345" xr:uid="{1D709F55-A215-4898-A628-0A5203BC70E5}"/>
    <cellStyle name="Percent 3 5 3" xfId="2912" xr:uid="{F84747CC-2A42-4E32-AAC8-855421077A39}"/>
    <cellStyle name="Percent 3 5 3 10" xfId="6683" xr:uid="{183B2DE9-E0C4-4011-B3DB-9C882FF34F90}"/>
    <cellStyle name="Percent 3 5 3 11" xfId="6684" xr:uid="{08E096B4-58FE-4A8B-BDCE-884C5BA85321}"/>
    <cellStyle name="Percent 3 5 3 12" xfId="6682" xr:uid="{53498DD2-3637-4C74-962E-03AF4982407F}"/>
    <cellStyle name="Percent 3 5 3 2" xfId="6685" xr:uid="{8A6B404B-4175-4DA9-8B65-874CF4B310B2}"/>
    <cellStyle name="Percent 3 5 3 2 2" xfId="6686" xr:uid="{D5F7989A-1256-40EC-B569-5B3810AA53E2}"/>
    <cellStyle name="Percent 3 5 3 2 2 2" xfId="6687" xr:uid="{44CC0CFF-7D7F-44E1-A9E7-6B6702A9A4A2}"/>
    <cellStyle name="Percent 3 5 3 2 3" xfId="6688" xr:uid="{36355E34-3A7A-43F4-A068-2CC4CBCD9A58}"/>
    <cellStyle name="Percent 3 5 3 2 3 2" xfId="6689" xr:uid="{9CE621AD-D7FD-4890-ACBD-EED03E49124D}"/>
    <cellStyle name="Percent 3 5 3 2 4" xfId="6690" xr:uid="{25CF3B00-839E-4460-8D11-8809043A3E89}"/>
    <cellStyle name="Percent 3 5 3 2 5" xfId="6691" xr:uid="{A56CB044-39CD-47E1-8400-7F3793E47559}"/>
    <cellStyle name="Percent 3 5 3 3" xfId="6692" xr:uid="{D142B9BC-A075-4459-A072-C25D3746C013}"/>
    <cellStyle name="Percent 3 5 3 3 2" xfId="6693" xr:uid="{5FDEF4CA-40F5-496F-8AEC-86A4A8AB0ABA}"/>
    <cellStyle name="Percent 3 5 3 3 2 2" xfId="6694" xr:uid="{4F0D3F41-9152-4605-9CFB-6ED1EC4406E1}"/>
    <cellStyle name="Percent 3 5 3 3 3" xfId="6695" xr:uid="{3263C051-6306-49C2-8768-8F9B4A5E5A18}"/>
    <cellStyle name="Percent 3 5 3 3 3 2" xfId="6696" xr:uid="{BABDB9E1-733F-4197-9713-D5B6C1B665AB}"/>
    <cellStyle name="Percent 3 5 3 3 4" xfId="6697" xr:uid="{8A34AB00-F517-450F-93D6-BFD8ED85D994}"/>
    <cellStyle name="Percent 3 5 3 4" xfId="6698" xr:uid="{53C201AD-8B8F-4A1A-84EB-D5BFE8453180}"/>
    <cellStyle name="Percent 3 5 3 4 2" xfId="6699" xr:uid="{01950EA6-06C0-4388-B0BC-ACE13BE9244F}"/>
    <cellStyle name="Percent 3 5 3 4 2 2" xfId="6700" xr:uid="{0C071889-D231-43E0-BB70-A19B24715CC8}"/>
    <cellStyle name="Percent 3 5 3 4 3" xfId="6701" xr:uid="{B70C29E5-F3E3-419B-9E52-24C369DA4DD4}"/>
    <cellStyle name="Percent 3 5 3 4 3 2" xfId="6702" xr:uid="{89448DEB-1F0D-47E6-95D7-A466CA85D9AE}"/>
    <cellStyle name="Percent 3 5 3 4 4" xfId="6703" xr:uid="{792C2E36-9070-42FD-A439-2B8777D27ECE}"/>
    <cellStyle name="Percent 3 5 3 5" xfId="6704" xr:uid="{E9EF129B-9E9E-4356-B774-440C3943EA1F}"/>
    <cellStyle name="Percent 3 5 3 5 2" xfId="6705" xr:uid="{434C86F8-DC35-4C13-96D7-6DBF58FF65B3}"/>
    <cellStyle name="Percent 3 5 3 5 2 2" xfId="6706" xr:uid="{7338094A-5156-4885-95EF-38D5E55DA171}"/>
    <cellStyle name="Percent 3 5 3 5 3" xfId="6707" xr:uid="{CC39A7CA-307C-44A3-B717-71E2F1746911}"/>
    <cellStyle name="Percent 3 5 3 5 3 2" xfId="6708" xr:uid="{687D9EB7-182B-4813-87DC-DADEE0A70882}"/>
    <cellStyle name="Percent 3 5 3 5 4" xfId="6709" xr:uid="{184CE673-6586-4BB0-8C5F-D537EDEB98FD}"/>
    <cellStyle name="Percent 3 5 3 5 4 2" xfId="6710" xr:uid="{0948D68F-095F-43A8-A256-FFECF719722F}"/>
    <cellStyle name="Percent 3 5 3 5 5" xfId="6711" xr:uid="{6519B0ED-EE82-4FDC-BB21-6763E2D86DF4}"/>
    <cellStyle name="Percent 3 5 3 6" xfId="6712" xr:uid="{88A240D6-E0D3-4B04-8B10-169F2B879502}"/>
    <cellStyle name="Percent 3 5 3 6 2" xfId="6713" xr:uid="{ABEC5C9B-EAB8-4D37-848B-A9513235DAAB}"/>
    <cellStyle name="Percent 3 5 3 6 2 2" xfId="6714" xr:uid="{1672F7DC-130C-4EE1-941E-3A04C12181F3}"/>
    <cellStyle name="Percent 3 5 3 6 3" xfId="6715" xr:uid="{7A213EE2-6B50-4888-9988-DBA84549D861}"/>
    <cellStyle name="Percent 3 5 3 6 3 2" xfId="6716" xr:uid="{A3C997A3-664C-4BE9-8B05-21F2365F27AA}"/>
    <cellStyle name="Percent 3 5 3 6 4" xfId="6717" xr:uid="{E049749A-3BC6-4BC1-BEC8-2200A6818C71}"/>
    <cellStyle name="Percent 3 5 3 7" xfId="6718" xr:uid="{B124AED2-7930-42A4-9549-49138F77A8AA}"/>
    <cellStyle name="Percent 3 5 3 7 2" xfId="6719" xr:uid="{99B9859C-05C3-493B-88AC-FC4F46EDFD88}"/>
    <cellStyle name="Percent 3 5 3 8" xfId="6720" xr:uid="{05841744-9846-47D0-A17F-3E0D6DBEB1D6}"/>
    <cellStyle name="Percent 3 5 3 8 2" xfId="6721" xr:uid="{A02B2084-0A04-4830-B009-E2D3B041B06B}"/>
    <cellStyle name="Percent 3 5 3 9" xfId="6722" xr:uid="{4F62B6FF-34F6-43A7-A8BD-D97C1D11C0AF}"/>
    <cellStyle name="Percent 3 5 3 9 2" xfId="6723" xr:uid="{01DE29A0-E3F0-4506-BFC5-D6F3FC76C053}"/>
    <cellStyle name="Percent 3 5 4" xfId="2913" xr:uid="{B7381770-DC75-4939-A963-FFF1747823EE}"/>
    <cellStyle name="Percent 3 5 4 10" xfId="6725" xr:uid="{66D391E2-390A-42D0-B872-D789FF8E409F}"/>
    <cellStyle name="Percent 3 5 4 11" xfId="6726" xr:uid="{83639CDE-2EDB-411E-BDD5-86CD5A3B7F59}"/>
    <cellStyle name="Percent 3 5 4 12" xfId="6724" xr:uid="{6EDE5E25-58F4-4BED-9A3E-F8AFF66036EE}"/>
    <cellStyle name="Percent 3 5 4 2" xfId="6727" xr:uid="{F97719D5-A487-40A2-BBAF-B6C04579F727}"/>
    <cellStyle name="Percent 3 5 4 2 2" xfId="6728" xr:uid="{07319137-5CD1-402D-B637-6F629879A9E3}"/>
    <cellStyle name="Percent 3 5 4 2 2 2" xfId="6729" xr:uid="{E14035EE-67F5-4CDA-8979-2CAD25E18D63}"/>
    <cellStyle name="Percent 3 5 4 2 3" xfId="6730" xr:uid="{A2644B4D-528D-4152-AE8D-2DB0BC7D7E3B}"/>
    <cellStyle name="Percent 3 5 4 2 3 2" xfId="6731" xr:uid="{73C233F2-41A7-401F-85FF-550ACBDF7868}"/>
    <cellStyle name="Percent 3 5 4 2 4" xfId="6732" xr:uid="{0AC8A5C2-161C-4F07-9F44-9FE1BA11526D}"/>
    <cellStyle name="Percent 3 5 4 2 5" xfId="6733" xr:uid="{2F435BD5-5CCB-4FE9-9884-742C6E82EBEE}"/>
    <cellStyle name="Percent 3 5 4 3" xfId="6734" xr:uid="{2A766492-A2AF-4CCC-BE34-66E72A05E896}"/>
    <cellStyle name="Percent 3 5 4 3 2" xfId="6735" xr:uid="{F885D4EC-CA3F-4450-910A-16130E405D57}"/>
    <cellStyle name="Percent 3 5 4 3 2 2" xfId="6736" xr:uid="{78A03F06-D008-4947-A7D1-FFAD25249C70}"/>
    <cellStyle name="Percent 3 5 4 3 3" xfId="6737" xr:uid="{2832FF60-A33F-4C0F-96A6-F92F8930C24A}"/>
    <cellStyle name="Percent 3 5 4 3 3 2" xfId="6738" xr:uid="{79DF6E51-1643-4590-9D36-0324F1A098BD}"/>
    <cellStyle name="Percent 3 5 4 3 4" xfId="6739" xr:uid="{3CEE6D06-69FE-4E2D-8B6F-3493A58A8FE5}"/>
    <cellStyle name="Percent 3 5 4 4" xfId="6740" xr:uid="{7BF92F7E-38F6-4562-889C-26277BC5CD13}"/>
    <cellStyle name="Percent 3 5 4 4 2" xfId="6741" xr:uid="{AD75F73A-4199-4CF1-A675-DBEAB4B1CE8B}"/>
    <cellStyle name="Percent 3 5 4 4 2 2" xfId="6742" xr:uid="{F49F3E4D-0BD0-4C32-AE83-4672D0EDD2EA}"/>
    <cellStyle name="Percent 3 5 4 4 3" xfId="6743" xr:uid="{8F440869-B355-4CD9-BA02-75E1384992FB}"/>
    <cellStyle name="Percent 3 5 4 4 3 2" xfId="6744" xr:uid="{9CF457F0-2EB4-499A-9762-6676F721375A}"/>
    <cellStyle name="Percent 3 5 4 4 4" xfId="6745" xr:uid="{C9B6D279-E241-4A01-86B5-6D02C68BA682}"/>
    <cellStyle name="Percent 3 5 4 5" xfId="6746" xr:uid="{514EE10C-DD3C-4B27-A6EA-A90B40A86D30}"/>
    <cellStyle name="Percent 3 5 4 5 2" xfId="6747" xr:uid="{E08AD028-2A7D-4ECE-BEDB-4C23C56F1868}"/>
    <cellStyle name="Percent 3 5 4 5 2 2" xfId="6748" xr:uid="{168CE133-4125-44C0-A9EF-941A0F42F52C}"/>
    <cellStyle name="Percent 3 5 4 5 3" xfId="6749" xr:uid="{DA0CAB7E-CF5F-446D-987B-023FD1D58C5B}"/>
    <cellStyle name="Percent 3 5 4 5 3 2" xfId="6750" xr:uid="{590F69FF-32D7-4563-9352-850F844B9775}"/>
    <cellStyle name="Percent 3 5 4 5 4" xfId="6751" xr:uid="{A1DDE7D3-1EE1-4061-8338-663482B868EC}"/>
    <cellStyle name="Percent 3 5 4 5 4 2" xfId="6752" xr:uid="{070B49BE-BE1B-4C04-94A2-44476AAD7B87}"/>
    <cellStyle name="Percent 3 5 4 5 5" xfId="6753" xr:uid="{5058ECB5-3790-46FA-86DC-93CC82866936}"/>
    <cellStyle name="Percent 3 5 4 6" xfId="6754" xr:uid="{021DCF9D-32B6-43A6-BF4C-090BCA3A393D}"/>
    <cellStyle name="Percent 3 5 4 6 2" xfId="6755" xr:uid="{D973FF4D-3361-4B88-9E8A-B85EE3A2F41D}"/>
    <cellStyle name="Percent 3 5 4 6 2 2" xfId="6756" xr:uid="{B31CDBC4-4D79-4CAA-85A8-29B7AFE02EBC}"/>
    <cellStyle name="Percent 3 5 4 6 3" xfId="6757" xr:uid="{22FBDFCF-F3E4-4316-9617-3FD769DB7572}"/>
    <cellStyle name="Percent 3 5 4 6 3 2" xfId="6758" xr:uid="{0713D435-6B4E-45D4-AB58-3577AAC9F993}"/>
    <cellStyle name="Percent 3 5 4 6 4" xfId="6759" xr:uid="{E4F0E3A2-2C3A-469A-806A-D0969535CF99}"/>
    <cellStyle name="Percent 3 5 4 7" xfId="6760" xr:uid="{E4A1D0AB-F4BC-4CE1-9A5B-2E77989597C6}"/>
    <cellStyle name="Percent 3 5 4 7 2" xfId="6761" xr:uid="{79A37194-E11C-49A0-8215-A4E163F59194}"/>
    <cellStyle name="Percent 3 5 4 8" xfId="6762" xr:uid="{58B9312D-8951-4DF9-B3F7-ACCEE352277B}"/>
    <cellStyle name="Percent 3 5 4 8 2" xfId="6763" xr:uid="{AEF62FB9-F414-4D75-9E62-94CC547BD3FE}"/>
    <cellStyle name="Percent 3 5 4 9" xfId="6764" xr:uid="{29EA1842-17ED-4977-B04C-D2CAC0068723}"/>
    <cellStyle name="Percent 3 5 4 9 2" xfId="6765" xr:uid="{D6F99975-C75C-4C95-BF91-658CA439C153}"/>
    <cellStyle name="Percent 3 5 5" xfId="2914" xr:uid="{E892C8B0-D6B4-45BB-989F-1F552D40E499}"/>
    <cellStyle name="Percent 3 5 5 10" xfId="6767" xr:uid="{D45AF2DC-9C50-4C69-B231-1B64BDDB7182}"/>
    <cellStyle name="Percent 3 5 5 11" xfId="6768" xr:uid="{F7E41405-13DA-4576-97BD-CCEF4E6F78BF}"/>
    <cellStyle name="Percent 3 5 5 12" xfId="6766" xr:uid="{9E86C40B-0C9C-407D-9CFC-49483A4D8B70}"/>
    <cellStyle name="Percent 3 5 5 2" xfId="6769" xr:uid="{C0B4AB8C-DC63-4FA0-BCB3-2AAFE1A0EBF4}"/>
    <cellStyle name="Percent 3 5 5 2 2" xfId="6770" xr:uid="{331437E8-906C-47C5-87E7-CEAF1BB42F04}"/>
    <cellStyle name="Percent 3 5 5 2 2 2" xfId="6771" xr:uid="{E1F71BAA-EBAD-4ACB-B3BD-72A753D494E7}"/>
    <cellStyle name="Percent 3 5 5 2 3" xfId="6772" xr:uid="{CC89802D-B52F-49C6-AE20-F18EAAF75641}"/>
    <cellStyle name="Percent 3 5 5 2 3 2" xfId="6773" xr:uid="{D2A32F39-9EC8-4925-A259-CA37396FCF08}"/>
    <cellStyle name="Percent 3 5 5 2 4" xfId="6774" xr:uid="{44D9974A-878F-4CC1-84BD-6B8D68F203BA}"/>
    <cellStyle name="Percent 3 5 5 2 5" xfId="6775" xr:uid="{24CEFD79-DE2A-4EDF-AA98-04AE75C7973D}"/>
    <cellStyle name="Percent 3 5 5 3" xfId="6776" xr:uid="{3D31B51C-ED9F-4875-9029-AC9D97F9636E}"/>
    <cellStyle name="Percent 3 5 5 3 2" xfId="6777" xr:uid="{A2CAF151-EA6E-4F1F-A856-A6A6B1A479E4}"/>
    <cellStyle name="Percent 3 5 5 3 2 2" xfId="6778" xr:uid="{B4D6107E-CB98-479B-AE40-0737E7F3655C}"/>
    <cellStyle name="Percent 3 5 5 3 3" xfId="6779" xr:uid="{F7601DB4-DEE1-4945-A7A7-F986A0720BB9}"/>
    <cellStyle name="Percent 3 5 5 3 3 2" xfId="6780" xr:uid="{2346900A-A89C-4D26-8EB3-97E778307CB9}"/>
    <cellStyle name="Percent 3 5 5 3 4" xfId="6781" xr:uid="{DD317AD6-4CB6-4BEC-8AA4-2194054D257C}"/>
    <cellStyle name="Percent 3 5 5 4" xfId="6782" xr:uid="{540B609A-F012-4C41-A387-171132C9A747}"/>
    <cellStyle name="Percent 3 5 5 4 2" xfId="6783" xr:uid="{EC662885-7EA4-4935-B71C-36D724A2CD11}"/>
    <cellStyle name="Percent 3 5 5 4 2 2" xfId="6784" xr:uid="{111C322E-2305-4048-BA7F-64FBCEDCBFB2}"/>
    <cellStyle name="Percent 3 5 5 4 3" xfId="6785" xr:uid="{7FDF7253-D42E-42BC-B6B5-8C292A1833BB}"/>
    <cellStyle name="Percent 3 5 5 4 3 2" xfId="6786" xr:uid="{7C6A525C-9AC4-48EE-9AFC-6F99098CB537}"/>
    <cellStyle name="Percent 3 5 5 4 4" xfId="6787" xr:uid="{94F60396-3C72-47F2-9C20-917A99905252}"/>
    <cellStyle name="Percent 3 5 5 5" xfId="6788" xr:uid="{E0808390-0A11-483D-887E-C2354638B8C8}"/>
    <cellStyle name="Percent 3 5 5 5 2" xfId="6789" xr:uid="{62A1766E-6F82-4F4F-84FB-B60DD27B28DF}"/>
    <cellStyle name="Percent 3 5 5 5 2 2" xfId="6790" xr:uid="{70F2FB57-AC2B-4CC6-822E-3EFBE9E32E71}"/>
    <cellStyle name="Percent 3 5 5 5 3" xfId="6791" xr:uid="{734F6E91-CA03-4697-A2FE-4FA7EC63394A}"/>
    <cellStyle name="Percent 3 5 5 5 3 2" xfId="6792" xr:uid="{E108666E-ED3F-4651-9BB6-E9459F4CF8B5}"/>
    <cellStyle name="Percent 3 5 5 5 4" xfId="6793" xr:uid="{30FA4889-BB4C-4F5C-9C75-7F9928D89DE1}"/>
    <cellStyle name="Percent 3 5 5 5 4 2" xfId="6794" xr:uid="{4C11819E-4DD4-483D-A83D-03309E816FFF}"/>
    <cellStyle name="Percent 3 5 5 5 5" xfId="6795" xr:uid="{0FF4BBC0-F3FD-4D0C-A38A-470819310447}"/>
    <cellStyle name="Percent 3 5 5 6" xfId="6796" xr:uid="{1C96A4C3-2E2F-4748-B5F7-C5C0B703C0C5}"/>
    <cellStyle name="Percent 3 5 5 6 2" xfId="6797" xr:uid="{BBDF04B5-1150-4692-9186-10E809D6F474}"/>
    <cellStyle name="Percent 3 5 5 6 2 2" xfId="6798" xr:uid="{DB3E66B6-024A-4AA5-99FD-2B580B208BC6}"/>
    <cellStyle name="Percent 3 5 5 6 3" xfId="6799" xr:uid="{FC107FDC-6786-46A3-8775-310F58ADA398}"/>
    <cellStyle name="Percent 3 5 5 6 3 2" xfId="6800" xr:uid="{9A8B108A-A508-43CA-89AF-5B488DE05AEB}"/>
    <cellStyle name="Percent 3 5 5 6 4" xfId="6801" xr:uid="{2C1E05E8-99FF-4402-82E2-59148FE14F1F}"/>
    <cellStyle name="Percent 3 5 5 7" xfId="6802" xr:uid="{438D0CFE-33C1-4CEA-845C-3EE08EE5D2FC}"/>
    <cellStyle name="Percent 3 5 5 7 2" xfId="6803" xr:uid="{33B799A7-4B6E-4DF7-9D81-65E583824A24}"/>
    <cellStyle name="Percent 3 5 5 8" xfId="6804" xr:uid="{72624838-9CE2-4CD2-851C-B51333DF6CE1}"/>
    <cellStyle name="Percent 3 5 5 8 2" xfId="6805" xr:uid="{8EF6C31E-0466-493A-B766-18321DFCD9E0}"/>
    <cellStyle name="Percent 3 5 5 9" xfId="6806" xr:uid="{550505A5-9441-4580-83A0-B3568BA5621C}"/>
    <cellStyle name="Percent 3 5 5 9 2" xfId="6807" xr:uid="{A0B886B9-7C22-42D9-B60F-58B787478B32}"/>
    <cellStyle name="Percent 3 5 6" xfId="2915" xr:uid="{27E45CB6-40A7-45A9-8A49-DA8A72685356}"/>
    <cellStyle name="Percent 3 5 6 10" xfId="6809" xr:uid="{17062C77-391F-4147-A914-CD5115EAE473}"/>
    <cellStyle name="Percent 3 5 6 11" xfId="6810" xr:uid="{67A71E49-A0D6-401F-A0F6-851EDE69698D}"/>
    <cellStyle name="Percent 3 5 6 12" xfId="6808" xr:uid="{2F63CE3F-0A2E-4FF0-8972-B9CB7F34BA08}"/>
    <cellStyle name="Percent 3 5 6 2" xfId="6811" xr:uid="{A88560AB-AF5C-4D85-8997-E0A0C4304782}"/>
    <cellStyle name="Percent 3 5 6 2 2" xfId="6812" xr:uid="{5F948674-BC38-4FA8-9709-EBBB1A566166}"/>
    <cellStyle name="Percent 3 5 6 2 2 2" xfId="6813" xr:uid="{89072C7F-57CE-41D5-8318-FF53D3885F22}"/>
    <cellStyle name="Percent 3 5 6 2 3" xfId="6814" xr:uid="{A3568E2C-EB16-4324-8A23-DBFD13B2EDBB}"/>
    <cellStyle name="Percent 3 5 6 2 3 2" xfId="6815" xr:uid="{5CE78765-A54E-4227-B6CF-BAB774E242C6}"/>
    <cellStyle name="Percent 3 5 6 2 4" xfId="6816" xr:uid="{52ADBB51-BD55-46B2-B240-886BBB1EDF1D}"/>
    <cellStyle name="Percent 3 5 6 2 5" xfId="6817" xr:uid="{31D9B6A2-E2A2-45A9-8F4C-09DC4DDCA97E}"/>
    <cellStyle name="Percent 3 5 6 3" xfId="6818" xr:uid="{9B64A7F1-1585-417F-A91F-A2E8626392CE}"/>
    <cellStyle name="Percent 3 5 6 3 2" xfId="6819" xr:uid="{EE536AFB-4ABE-4D02-8DBE-FBE326538639}"/>
    <cellStyle name="Percent 3 5 6 3 2 2" xfId="6820" xr:uid="{E7A76C9E-4598-4EB3-B797-2123C66F7F05}"/>
    <cellStyle name="Percent 3 5 6 3 3" xfId="6821" xr:uid="{6717AFD3-815B-487E-93A7-E8D37A5225D3}"/>
    <cellStyle name="Percent 3 5 6 3 3 2" xfId="6822" xr:uid="{9A3E844E-08C0-4BF1-9223-164CE4B30569}"/>
    <cellStyle name="Percent 3 5 6 3 4" xfId="6823" xr:uid="{E80E6ED5-3D49-48F4-9E5D-B4981C2884AA}"/>
    <cellStyle name="Percent 3 5 6 4" xfId="6824" xr:uid="{F272FC4A-D6AE-4DD6-A10D-2D40895E5782}"/>
    <cellStyle name="Percent 3 5 6 4 2" xfId="6825" xr:uid="{36592D54-B14A-43CF-925E-1A6109908C35}"/>
    <cellStyle name="Percent 3 5 6 4 2 2" xfId="6826" xr:uid="{1074A406-4BA1-4F33-9A0C-8AF600334E90}"/>
    <cellStyle name="Percent 3 5 6 4 3" xfId="6827" xr:uid="{685D5A21-0D8C-45E1-8427-5578C4B2902B}"/>
    <cellStyle name="Percent 3 5 6 4 3 2" xfId="6828" xr:uid="{95DDA5F6-4071-4744-80EE-3D0700A7AC2F}"/>
    <cellStyle name="Percent 3 5 6 4 4" xfId="6829" xr:uid="{011BC6E5-57E2-4FDA-A964-10C714135A7A}"/>
    <cellStyle name="Percent 3 5 6 5" xfId="6830" xr:uid="{CB4FEC15-84E1-419D-829C-5E9EE29A8C26}"/>
    <cellStyle name="Percent 3 5 6 5 2" xfId="6831" xr:uid="{40C62679-737F-437A-BC8A-CC986431A043}"/>
    <cellStyle name="Percent 3 5 6 5 2 2" xfId="6832" xr:uid="{71799330-2ED3-4BCB-9DF7-471EAA34FA82}"/>
    <cellStyle name="Percent 3 5 6 5 3" xfId="6833" xr:uid="{4166657E-2FA7-45AF-A160-4BCBD6741EE5}"/>
    <cellStyle name="Percent 3 5 6 5 3 2" xfId="6834" xr:uid="{84080178-CE6B-41B9-BFB7-7A69C545BA5F}"/>
    <cellStyle name="Percent 3 5 6 5 4" xfId="6835" xr:uid="{C159E80C-2D3A-46C5-805A-9A03E0CD49F8}"/>
    <cellStyle name="Percent 3 5 6 5 4 2" xfId="6836" xr:uid="{6E6EF9DA-3931-4367-B7B6-3DD943A72544}"/>
    <cellStyle name="Percent 3 5 6 5 5" xfId="6837" xr:uid="{403F6F7B-6588-4118-8765-EE38ABF36630}"/>
    <cellStyle name="Percent 3 5 6 6" xfId="6838" xr:uid="{BC88674D-E293-4BEE-A5F7-E97633122C1A}"/>
    <cellStyle name="Percent 3 5 6 6 2" xfId="6839" xr:uid="{474CB0BC-AAE2-46E9-A6A8-E78CB3C92D8C}"/>
    <cellStyle name="Percent 3 5 6 6 2 2" xfId="6840" xr:uid="{31AFBF58-E586-4A1E-9CBD-3679E1987B60}"/>
    <cellStyle name="Percent 3 5 6 6 3" xfId="6841" xr:uid="{EEECCD07-0F0A-4DFC-8C35-08906C08EF90}"/>
    <cellStyle name="Percent 3 5 6 6 3 2" xfId="6842" xr:uid="{E7DF979C-CA23-4523-B642-4ABAD319487F}"/>
    <cellStyle name="Percent 3 5 6 6 4" xfId="6843" xr:uid="{8EB4A017-6454-4C60-82A1-E2F4B186DBA8}"/>
    <cellStyle name="Percent 3 5 6 7" xfId="6844" xr:uid="{5B76353F-2873-4FE1-A3EE-8675154C8770}"/>
    <cellStyle name="Percent 3 5 6 7 2" xfId="6845" xr:uid="{AEEBDC37-B347-4764-897F-E7545B3060EB}"/>
    <cellStyle name="Percent 3 5 6 8" xfId="6846" xr:uid="{D1CF493A-9DE7-46C1-B4F7-6BA2A7688CAD}"/>
    <cellStyle name="Percent 3 5 6 8 2" xfId="6847" xr:uid="{8DAC4B52-F20A-4E0D-A1F7-739EDC8BF91D}"/>
    <cellStyle name="Percent 3 5 6 9" xfId="6848" xr:uid="{6E3B7AB8-2470-4DB3-8489-B704B4811C81}"/>
    <cellStyle name="Percent 3 5 6 9 2" xfId="6849" xr:uid="{497004E9-3BAC-416A-A2EC-38D8D4D983CC}"/>
    <cellStyle name="Percent 3 5 7" xfId="2916" xr:uid="{2FE7E7D6-341D-4DBB-838C-D2CE72AD63F0}"/>
    <cellStyle name="Percent 3 5 7 10" xfId="6851" xr:uid="{74648614-101B-4CB0-830C-3815B50588CF}"/>
    <cellStyle name="Percent 3 5 7 11" xfId="6852" xr:uid="{774C10B6-0D60-4035-A3D9-61F64A453C35}"/>
    <cellStyle name="Percent 3 5 7 12" xfId="6850" xr:uid="{76BEEECF-B9AC-46F9-B8DB-D7484D887022}"/>
    <cellStyle name="Percent 3 5 7 2" xfId="6853" xr:uid="{7DFE3EF0-EB69-4C69-A592-43C9FDCEE220}"/>
    <cellStyle name="Percent 3 5 7 2 2" xfId="6854" xr:uid="{8418ADB2-303C-4814-98F6-0D6DFC4569D9}"/>
    <cellStyle name="Percent 3 5 7 2 2 2" xfId="6855" xr:uid="{AA89C7F9-77EF-4FEE-8FD7-B61134E924CA}"/>
    <cellStyle name="Percent 3 5 7 2 3" xfId="6856" xr:uid="{E318D589-3B09-4F44-8E07-52859EB4EDDD}"/>
    <cellStyle name="Percent 3 5 7 2 3 2" xfId="6857" xr:uid="{1884F31B-8AFD-49BB-B9AE-E77DCA1B321A}"/>
    <cellStyle name="Percent 3 5 7 2 4" xfId="6858" xr:uid="{F616845A-B3B9-43EF-A7EF-6F0220FE5486}"/>
    <cellStyle name="Percent 3 5 7 2 5" xfId="6859" xr:uid="{6B64EF26-83F3-44BD-929D-6DF8A97AE315}"/>
    <cellStyle name="Percent 3 5 7 3" xfId="6860" xr:uid="{001C1C8B-4591-44F0-84AA-312EFA7418FD}"/>
    <cellStyle name="Percent 3 5 7 3 2" xfId="6861" xr:uid="{1E416E53-B87C-4E0C-B840-7611967AD641}"/>
    <cellStyle name="Percent 3 5 7 3 2 2" xfId="6862" xr:uid="{0AE28E5C-7A70-4354-9E51-8D689F03F664}"/>
    <cellStyle name="Percent 3 5 7 3 3" xfId="6863" xr:uid="{12AD7937-CEF2-4BD4-B598-B0937CF7914C}"/>
    <cellStyle name="Percent 3 5 7 3 3 2" xfId="6864" xr:uid="{FF2BB2B0-D473-476E-915F-4789BF305025}"/>
    <cellStyle name="Percent 3 5 7 3 4" xfId="6865" xr:uid="{098E425C-A86F-4FE4-B563-29942BD109B6}"/>
    <cellStyle name="Percent 3 5 7 4" xfId="6866" xr:uid="{6C5E34C0-44B1-4C8C-8657-EA4DAEB802F9}"/>
    <cellStyle name="Percent 3 5 7 4 2" xfId="6867" xr:uid="{7B1584BC-3DDE-4CA4-81B8-624D4D1360DC}"/>
    <cellStyle name="Percent 3 5 7 4 2 2" xfId="6868" xr:uid="{6F1928E8-6698-4233-B5EC-7A021DF8A34B}"/>
    <cellStyle name="Percent 3 5 7 4 3" xfId="6869" xr:uid="{931DF0E8-65FB-4B91-AFEE-0E1B731B6A5B}"/>
    <cellStyle name="Percent 3 5 7 4 3 2" xfId="6870" xr:uid="{D9FD826A-31F5-4B9B-BC29-5F392513CD5B}"/>
    <cellStyle name="Percent 3 5 7 4 4" xfId="6871" xr:uid="{0C399E27-3D8F-4AD9-995B-5C0BCFE2356E}"/>
    <cellStyle name="Percent 3 5 7 5" xfId="6872" xr:uid="{1CA042C5-7468-4D5A-948E-6D1A7E6B14F5}"/>
    <cellStyle name="Percent 3 5 7 5 2" xfId="6873" xr:uid="{CFB944BE-F2AA-4180-B4C5-FA21C0DB31AA}"/>
    <cellStyle name="Percent 3 5 7 5 2 2" xfId="6874" xr:uid="{289BAB63-45D9-4DFE-9A97-6F495A2F38A8}"/>
    <cellStyle name="Percent 3 5 7 5 3" xfId="6875" xr:uid="{EECAFF1A-BEB1-40CA-8A64-E106E2E2A2A9}"/>
    <cellStyle name="Percent 3 5 7 5 3 2" xfId="6876" xr:uid="{304D5BE3-0191-47D4-9CDE-A8E8E4AD256F}"/>
    <cellStyle name="Percent 3 5 7 5 4" xfId="6877" xr:uid="{5CBEF2F1-F122-474B-A873-AEBC7B906508}"/>
    <cellStyle name="Percent 3 5 7 5 4 2" xfId="6878" xr:uid="{CA67ED4B-17FB-4A36-853F-6BD624F6C9A2}"/>
    <cellStyle name="Percent 3 5 7 5 5" xfId="6879" xr:uid="{A2BC9A41-9656-42C0-AEA9-26B4A8F6D7CD}"/>
    <cellStyle name="Percent 3 5 7 6" xfId="6880" xr:uid="{DF9564E7-DA0E-4731-8516-F750E9B522A3}"/>
    <cellStyle name="Percent 3 5 7 6 2" xfId="6881" xr:uid="{39C93788-2002-4D9D-9B5E-C9E1541B0382}"/>
    <cellStyle name="Percent 3 5 7 6 2 2" xfId="6882" xr:uid="{B9746CBA-F1CA-4CD4-8429-FFD4B7F2F20D}"/>
    <cellStyle name="Percent 3 5 7 6 3" xfId="6883" xr:uid="{4BFDF13E-A072-42DF-9999-54F4BA0864A6}"/>
    <cellStyle name="Percent 3 5 7 6 3 2" xfId="6884" xr:uid="{E3905ACD-16A1-4DE7-BA95-3334591D5F01}"/>
    <cellStyle name="Percent 3 5 7 6 4" xfId="6885" xr:uid="{CFBF27E6-188E-45DC-946E-33C16DA76AD9}"/>
    <cellStyle name="Percent 3 5 7 7" xfId="6886" xr:uid="{0769798C-15B0-4FC6-A132-458290D4C167}"/>
    <cellStyle name="Percent 3 5 7 7 2" xfId="6887" xr:uid="{072D886F-031D-4D3F-89F8-AE1FC4955648}"/>
    <cellStyle name="Percent 3 5 7 8" xfId="6888" xr:uid="{CA50852B-7D56-49E7-8764-FC78CB4AD4C9}"/>
    <cellStyle name="Percent 3 5 7 8 2" xfId="6889" xr:uid="{1646733A-C9C7-46A2-8E9C-F7A1EF5BD226}"/>
    <cellStyle name="Percent 3 5 7 9" xfId="6890" xr:uid="{B98FEACF-553B-4D85-AFB8-AE610134E5E1}"/>
    <cellStyle name="Percent 3 5 7 9 2" xfId="6891" xr:uid="{96A7D989-0DF0-4A2A-A3EF-BB7F5896B378}"/>
    <cellStyle name="Percent 3 5 8" xfId="2917" xr:uid="{48CF5201-D696-4B94-8E32-CDD83C5689D6}"/>
    <cellStyle name="Percent 3 5 8 10" xfId="6893" xr:uid="{7F44268A-D9E9-4F58-B19B-EBB0B515B3EC}"/>
    <cellStyle name="Percent 3 5 8 11" xfId="6894" xr:uid="{586C9357-1366-4368-8ABD-EBBD980B51DC}"/>
    <cellStyle name="Percent 3 5 8 12" xfId="6892" xr:uid="{29B051C1-52AB-4F10-8BCB-19F566249178}"/>
    <cellStyle name="Percent 3 5 8 2" xfId="6895" xr:uid="{B7C6335E-F120-484F-ADD1-29F2C4A59872}"/>
    <cellStyle name="Percent 3 5 8 2 2" xfId="6896" xr:uid="{61EE2C22-B0EF-411F-B01B-CC16B9C1BED2}"/>
    <cellStyle name="Percent 3 5 8 2 2 2" xfId="6897" xr:uid="{5D2D3933-664A-4B0F-B774-8186CF212D1F}"/>
    <cellStyle name="Percent 3 5 8 2 3" xfId="6898" xr:uid="{2D8E488B-D3B3-4FD8-B35E-AB32AC80D6E8}"/>
    <cellStyle name="Percent 3 5 8 2 3 2" xfId="6899" xr:uid="{0A4C1B87-EFAE-423A-8E33-31E8AD25C933}"/>
    <cellStyle name="Percent 3 5 8 2 4" xfId="6900" xr:uid="{87A16945-9985-4A0D-87E9-586FF169B259}"/>
    <cellStyle name="Percent 3 5 8 2 5" xfId="6901" xr:uid="{2135F88C-3308-4610-B827-93756DA2BBC5}"/>
    <cellStyle name="Percent 3 5 8 3" xfId="6902" xr:uid="{1764CE89-CC22-402E-8DDA-DDEC6096E6CE}"/>
    <cellStyle name="Percent 3 5 8 3 2" xfId="6903" xr:uid="{EAF5E693-8175-4327-873B-C3C648E1A1A9}"/>
    <cellStyle name="Percent 3 5 8 3 2 2" xfId="6904" xr:uid="{38266644-A036-4B7B-80BC-143659B5BAD1}"/>
    <cellStyle name="Percent 3 5 8 3 3" xfId="6905" xr:uid="{2329E3C4-9180-45F9-BF8A-AF706C8A35AD}"/>
    <cellStyle name="Percent 3 5 8 3 3 2" xfId="6906" xr:uid="{3228AF82-8904-491E-A482-B34F3D399151}"/>
    <cellStyle name="Percent 3 5 8 3 4" xfId="6907" xr:uid="{D40F2234-7C9F-4A17-86B5-1EA2F793A78A}"/>
    <cellStyle name="Percent 3 5 8 4" xfId="6908" xr:uid="{F83722B4-BEF1-42F7-B252-05ECEF3BB25F}"/>
    <cellStyle name="Percent 3 5 8 4 2" xfId="6909" xr:uid="{B636126A-EE25-4355-9BE5-29ADBB081EAF}"/>
    <cellStyle name="Percent 3 5 8 4 2 2" xfId="6910" xr:uid="{4F4AE85F-A885-4583-AA6F-BD87C9296361}"/>
    <cellStyle name="Percent 3 5 8 4 3" xfId="6911" xr:uid="{4E3313E3-6F3A-4465-9B28-69834FAC49EE}"/>
    <cellStyle name="Percent 3 5 8 4 3 2" xfId="6912" xr:uid="{3E5909F2-C9E2-4568-9431-45C3D096749F}"/>
    <cellStyle name="Percent 3 5 8 4 4" xfId="6913" xr:uid="{709A3E6E-C284-45C4-AA3A-0FB05FF8F1CA}"/>
    <cellStyle name="Percent 3 5 8 5" xfId="6914" xr:uid="{95566D06-9A51-4500-B67F-C60E3593A568}"/>
    <cellStyle name="Percent 3 5 8 5 2" xfId="6915" xr:uid="{527AE8BB-4D4D-4CB8-9E5E-A9FC3901E854}"/>
    <cellStyle name="Percent 3 5 8 5 2 2" xfId="6916" xr:uid="{AA2342B1-B9F1-412A-92B6-303F9821D385}"/>
    <cellStyle name="Percent 3 5 8 5 3" xfId="6917" xr:uid="{284A40E5-43D9-4368-AF1E-A04DEAF790FE}"/>
    <cellStyle name="Percent 3 5 8 5 3 2" xfId="6918" xr:uid="{1BE355B5-3675-44C9-8B31-0E03DFE88627}"/>
    <cellStyle name="Percent 3 5 8 5 4" xfId="6919" xr:uid="{D94A7FEF-D27A-409E-8752-8E5AE43930DA}"/>
    <cellStyle name="Percent 3 5 8 5 4 2" xfId="6920" xr:uid="{33B7F4A4-3B4B-4563-B23A-6CE7B67FD4CD}"/>
    <cellStyle name="Percent 3 5 8 5 5" xfId="6921" xr:uid="{45094F1C-6337-4E5F-B004-B2F1DE955ED3}"/>
    <cellStyle name="Percent 3 5 8 6" xfId="6922" xr:uid="{624C8312-1F8D-46E6-8835-C301B24D9407}"/>
    <cellStyle name="Percent 3 5 8 6 2" xfId="6923" xr:uid="{780AD98D-3AD9-406D-9E85-43B3357EA0EB}"/>
    <cellStyle name="Percent 3 5 8 6 2 2" xfId="6924" xr:uid="{CBC9116B-CFD7-4AF1-B8F3-06A6E2A271F8}"/>
    <cellStyle name="Percent 3 5 8 6 3" xfId="6925" xr:uid="{A21B848D-C3EA-4004-A136-025B621EF0A8}"/>
    <cellStyle name="Percent 3 5 8 6 3 2" xfId="6926" xr:uid="{A1D180FF-BBD0-47C3-9E88-026AB48ADAB1}"/>
    <cellStyle name="Percent 3 5 8 6 4" xfId="6927" xr:uid="{1AC3E7DC-B4F0-455E-A139-0C2B94E642B4}"/>
    <cellStyle name="Percent 3 5 8 7" xfId="6928" xr:uid="{DAB8EDF7-EF2F-4B9B-906E-53F50C7FF16D}"/>
    <cellStyle name="Percent 3 5 8 7 2" xfId="6929" xr:uid="{A9329038-D061-4076-93B2-890BD59FA28D}"/>
    <cellStyle name="Percent 3 5 8 8" xfId="6930" xr:uid="{8A1BBAD9-50C0-4307-BFCE-CB5BADA31008}"/>
    <cellStyle name="Percent 3 5 8 8 2" xfId="6931" xr:uid="{0DF2C3C5-036E-45DD-97A7-754FF4453508}"/>
    <cellStyle name="Percent 3 5 8 9" xfId="6932" xr:uid="{EC859FE4-DD37-4A6A-8542-4972CA5FEE5B}"/>
    <cellStyle name="Percent 3 5 8 9 2" xfId="6933" xr:uid="{3A640958-065D-45BF-ADD1-E77500757734}"/>
    <cellStyle name="Percent 3 5 9" xfId="2918" xr:uid="{45E48DFF-A33E-4254-9535-D6D2E381156E}"/>
    <cellStyle name="Percent 3 5 9 10" xfId="6935" xr:uid="{70B25644-612F-4C31-85E4-CB00923508A6}"/>
    <cellStyle name="Percent 3 5 9 11" xfId="6936" xr:uid="{D37AD103-C031-48AB-813B-2ECFB101052B}"/>
    <cellStyle name="Percent 3 5 9 12" xfId="6934" xr:uid="{D658F129-4ACA-4476-BE6A-C8C40A4E625C}"/>
    <cellStyle name="Percent 3 5 9 2" xfId="6937" xr:uid="{200AC912-060B-441A-BA33-86C3CE46DAB1}"/>
    <cellStyle name="Percent 3 5 9 2 2" xfId="6938" xr:uid="{3F7014D2-85B7-4A2E-9B8B-15EDA54ECB28}"/>
    <cellStyle name="Percent 3 5 9 2 2 2" xfId="6939" xr:uid="{4B7F1EEB-31A8-41E4-B517-9F7CABF95FC0}"/>
    <cellStyle name="Percent 3 5 9 2 3" xfId="6940" xr:uid="{C034C8FA-0E32-47F1-B1F7-374433C70AD8}"/>
    <cellStyle name="Percent 3 5 9 2 3 2" xfId="6941" xr:uid="{E60EAF53-5A43-4CCB-80E5-1FA382FD48D9}"/>
    <cellStyle name="Percent 3 5 9 2 4" xfId="6942" xr:uid="{25EE3F1F-A558-4585-A030-EFFBE09A0F5D}"/>
    <cellStyle name="Percent 3 5 9 2 5" xfId="6943" xr:uid="{90DFA6D7-DB10-4701-8E2C-6C1747F268D6}"/>
    <cellStyle name="Percent 3 5 9 3" xfId="6944" xr:uid="{FE7FDFD7-597A-4B00-B7D1-20EC3615C3E0}"/>
    <cellStyle name="Percent 3 5 9 3 2" xfId="6945" xr:uid="{2907D25D-E986-4DEF-84E3-442A0078073B}"/>
    <cellStyle name="Percent 3 5 9 3 2 2" xfId="6946" xr:uid="{2165D6B2-E2CA-4DC3-8BC9-4C4081CD027A}"/>
    <cellStyle name="Percent 3 5 9 3 3" xfId="6947" xr:uid="{B61227AC-7D32-4F76-941B-FB5BBC3B3C40}"/>
    <cellStyle name="Percent 3 5 9 3 3 2" xfId="6948" xr:uid="{5BD8018D-6970-497F-88B3-8FCE73B4DE62}"/>
    <cellStyle name="Percent 3 5 9 3 4" xfId="6949" xr:uid="{EBCA09AF-1EF3-4736-B2DF-CE24BFB4DF9F}"/>
    <cellStyle name="Percent 3 5 9 4" xfId="6950" xr:uid="{3D02C977-14F3-4DEA-86F2-9FFC18CBA76F}"/>
    <cellStyle name="Percent 3 5 9 4 2" xfId="6951" xr:uid="{41023DA6-F118-4012-84E7-E690D11862BF}"/>
    <cellStyle name="Percent 3 5 9 4 2 2" xfId="6952" xr:uid="{9E8776CB-D6F3-4E5F-A07E-2DED91A375E0}"/>
    <cellStyle name="Percent 3 5 9 4 3" xfId="6953" xr:uid="{E9CA735D-F2E3-4E0C-92FB-3BB8F5E4F14C}"/>
    <cellStyle name="Percent 3 5 9 4 3 2" xfId="6954" xr:uid="{2BE5BB93-A398-45DC-AE63-36FED2447085}"/>
    <cellStyle name="Percent 3 5 9 4 4" xfId="6955" xr:uid="{2BF73784-FCB6-4D50-AB15-DAE54D504DC0}"/>
    <cellStyle name="Percent 3 5 9 5" xfId="6956" xr:uid="{EA8CC689-B5E7-4A22-A9DE-0840B1C21F5D}"/>
    <cellStyle name="Percent 3 5 9 5 2" xfId="6957" xr:uid="{6662EE95-1F34-4943-BBFB-E182CBEECEFF}"/>
    <cellStyle name="Percent 3 5 9 5 2 2" xfId="6958" xr:uid="{B1D161ED-65D2-412E-8EC6-DAF43650F916}"/>
    <cellStyle name="Percent 3 5 9 5 3" xfId="6959" xr:uid="{8344AE56-5CB2-495F-9D47-686C3A1CE53B}"/>
    <cellStyle name="Percent 3 5 9 5 3 2" xfId="6960" xr:uid="{28941ADF-0721-467E-8E28-2BAF51BA6144}"/>
    <cellStyle name="Percent 3 5 9 5 4" xfId="6961" xr:uid="{0A0CE582-FFA4-4C00-AE6E-DA7BCDFDD228}"/>
    <cellStyle name="Percent 3 5 9 5 4 2" xfId="6962" xr:uid="{078AB8CB-E97D-45EE-9897-E7F598ECCA53}"/>
    <cellStyle name="Percent 3 5 9 5 5" xfId="6963" xr:uid="{79616625-CC93-4EA7-90AB-F92EBE79745A}"/>
    <cellStyle name="Percent 3 5 9 6" xfId="6964" xr:uid="{6260D767-1CC4-4C16-8E92-0D9A9D3FCD44}"/>
    <cellStyle name="Percent 3 5 9 6 2" xfId="6965" xr:uid="{2C075828-72F9-4727-98B0-BE101334C951}"/>
    <cellStyle name="Percent 3 5 9 6 2 2" xfId="6966" xr:uid="{2AF652FC-DE7D-4380-B880-9215B67C7B16}"/>
    <cellStyle name="Percent 3 5 9 6 3" xfId="6967" xr:uid="{6AA818A6-0DCB-41CA-B184-71F4748E001C}"/>
    <cellStyle name="Percent 3 5 9 6 3 2" xfId="6968" xr:uid="{F1BB71F6-0EEF-4D52-A86A-FABEFED3E28B}"/>
    <cellStyle name="Percent 3 5 9 6 4" xfId="6969" xr:uid="{0E4B25FB-4DF4-488E-9CE1-5EA54DBD0209}"/>
    <cellStyle name="Percent 3 5 9 7" xfId="6970" xr:uid="{B9E190A8-9BA8-4B36-97CC-898B997FF4E3}"/>
    <cellStyle name="Percent 3 5 9 7 2" xfId="6971" xr:uid="{2976FCFB-88C8-4DCE-9DC6-91B454203083}"/>
    <cellStyle name="Percent 3 5 9 8" xfId="6972" xr:uid="{9FD58B5C-E703-46C7-A073-68DE1A7EE9C5}"/>
    <cellStyle name="Percent 3 5 9 8 2" xfId="6973" xr:uid="{0F9797DB-E027-4D2B-AA97-F5F37D4CEE54}"/>
    <cellStyle name="Percent 3 5 9 9" xfId="6974" xr:uid="{83D53857-6D41-4428-BB0C-B3F3909AD07B}"/>
    <cellStyle name="Percent 3 5 9 9 2" xfId="6975" xr:uid="{B3D30CC7-2222-42CC-9366-A8E382888C35}"/>
    <cellStyle name="Percent 3 6" xfId="293" xr:uid="{1B545C2E-AAC5-4161-991F-CDE0E614151E}"/>
    <cellStyle name="Percent 3 6 10" xfId="2919" xr:uid="{0070CAB5-98A8-4F29-8043-E430E32B40AF}"/>
    <cellStyle name="Percent 3 6 10 10" xfId="6978" xr:uid="{CABDAF3C-D552-493B-9E67-D922673E7456}"/>
    <cellStyle name="Percent 3 6 10 11" xfId="6979" xr:uid="{EFC2EFC9-5EB3-4D70-BD4F-AA2C43673712}"/>
    <cellStyle name="Percent 3 6 10 12" xfId="6977" xr:uid="{716D39D4-7597-4113-80B4-8BC8806E0F82}"/>
    <cellStyle name="Percent 3 6 10 2" xfId="6980" xr:uid="{5C17C196-0E7E-4A6A-B183-C274D644D2D8}"/>
    <cellStyle name="Percent 3 6 10 2 2" xfId="6981" xr:uid="{EA1DDDBB-5F35-416E-86CA-3BA41756E641}"/>
    <cellStyle name="Percent 3 6 10 2 2 2" xfId="6982" xr:uid="{0E5785CB-8D3C-4FCD-BF4C-33E3BBBFE454}"/>
    <cellStyle name="Percent 3 6 10 2 3" xfId="6983" xr:uid="{10E34CD3-52B0-4ECE-A9ED-559202EB7FA0}"/>
    <cellStyle name="Percent 3 6 10 2 3 2" xfId="6984" xr:uid="{C7493114-3EAA-43CC-9884-E4EAE520FA53}"/>
    <cellStyle name="Percent 3 6 10 2 4" xfId="6985" xr:uid="{7DBECB7A-B0CA-4D0B-903D-35C948287DAB}"/>
    <cellStyle name="Percent 3 6 10 2 5" xfId="6986" xr:uid="{DA87C4E3-B4BE-4803-B6EB-9C68654372EE}"/>
    <cellStyle name="Percent 3 6 10 3" xfId="6987" xr:uid="{C364167A-5579-440A-8E15-01152D5F30A9}"/>
    <cellStyle name="Percent 3 6 10 3 2" xfId="6988" xr:uid="{113BE91E-249E-4783-8742-4E17BEAC8FED}"/>
    <cellStyle name="Percent 3 6 10 3 2 2" xfId="6989" xr:uid="{23A9DBB5-302E-43D4-BB64-A459538E311C}"/>
    <cellStyle name="Percent 3 6 10 3 3" xfId="6990" xr:uid="{3B1B7F58-EC4C-44E1-8C9B-6CCCB3934675}"/>
    <cellStyle name="Percent 3 6 10 3 3 2" xfId="6991" xr:uid="{AD167DF9-A031-4711-A3BB-984CD18B81D1}"/>
    <cellStyle name="Percent 3 6 10 3 4" xfId="6992" xr:uid="{0EA3619E-773C-4661-B0BF-AF5DC2AEA9E7}"/>
    <cellStyle name="Percent 3 6 10 4" xfId="6993" xr:uid="{FA2723B7-5C5C-4DD8-968E-E6E9BD1953B8}"/>
    <cellStyle name="Percent 3 6 10 4 2" xfId="6994" xr:uid="{06EEB0E1-AA5C-4880-908D-AAF72F7D3E64}"/>
    <cellStyle name="Percent 3 6 10 4 2 2" xfId="6995" xr:uid="{C71E6829-1077-4765-8092-024A7489311C}"/>
    <cellStyle name="Percent 3 6 10 4 3" xfId="6996" xr:uid="{DF93A7EE-5C49-4588-8940-366BB9B3A8AA}"/>
    <cellStyle name="Percent 3 6 10 4 3 2" xfId="6997" xr:uid="{4108F1E3-D9DD-4C0E-BA61-34625DDF3B51}"/>
    <cellStyle name="Percent 3 6 10 4 4" xfId="6998" xr:uid="{F2647F1C-FD5F-4298-B5A0-881AD8F546C8}"/>
    <cellStyle name="Percent 3 6 10 5" xfId="6999" xr:uid="{93821446-3F7A-476E-BD8D-E0515E573455}"/>
    <cellStyle name="Percent 3 6 10 5 2" xfId="7000" xr:uid="{A06585BF-E776-48F5-8E06-61724905FDA7}"/>
    <cellStyle name="Percent 3 6 10 5 2 2" xfId="7001" xr:uid="{1FBFD3CB-8C90-4E48-8041-EDC5B2AE8193}"/>
    <cellStyle name="Percent 3 6 10 5 3" xfId="7002" xr:uid="{EBCA140D-9F7E-4112-B8DB-03D3DCECE2EC}"/>
    <cellStyle name="Percent 3 6 10 5 3 2" xfId="7003" xr:uid="{F1E26203-99AC-42B6-9FAE-EC9FA0E5E270}"/>
    <cellStyle name="Percent 3 6 10 5 4" xfId="7004" xr:uid="{F9E53CB3-4546-483D-8FAB-780E0DC4EE31}"/>
    <cellStyle name="Percent 3 6 10 5 4 2" xfId="7005" xr:uid="{22666648-443C-4F45-A9B3-81CBF7EC08E2}"/>
    <cellStyle name="Percent 3 6 10 5 5" xfId="7006" xr:uid="{079FE580-DE90-4440-8ABE-32A1EB14C01C}"/>
    <cellStyle name="Percent 3 6 10 6" xfId="7007" xr:uid="{F1F5DB0A-C39D-42D0-B229-BD286D8C22F1}"/>
    <cellStyle name="Percent 3 6 10 6 2" xfId="7008" xr:uid="{C7980B71-7A83-437F-9153-118611F44761}"/>
    <cellStyle name="Percent 3 6 10 6 2 2" xfId="7009" xr:uid="{1E0A5F6D-1497-4FC1-B6A7-929871719FA2}"/>
    <cellStyle name="Percent 3 6 10 6 3" xfId="7010" xr:uid="{AE30CB8A-DE83-441B-982A-C007B1F9B106}"/>
    <cellStyle name="Percent 3 6 10 6 3 2" xfId="7011" xr:uid="{DDBC39D6-C202-4459-A666-BD0CA7F26884}"/>
    <cellStyle name="Percent 3 6 10 6 4" xfId="7012" xr:uid="{B93E42E4-D54A-453A-B59E-E01E9C6EC516}"/>
    <cellStyle name="Percent 3 6 10 7" xfId="7013" xr:uid="{CED5D2D1-EE87-48FD-8B02-B72B646FB789}"/>
    <cellStyle name="Percent 3 6 10 7 2" xfId="7014" xr:uid="{C90D3DDD-1AF6-4857-B578-0958789FC9A3}"/>
    <cellStyle name="Percent 3 6 10 8" xfId="7015" xr:uid="{6ADB21F0-190A-4990-BE3E-BFDC39F1DC26}"/>
    <cellStyle name="Percent 3 6 10 8 2" xfId="7016" xr:uid="{F86FF18E-76BE-447B-B887-E8F3CB50A645}"/>
    <cellStyle name="Percent 3 6 10 9" xfId="7017" xr:uid="{ECD917A4-C2B0-40C7-94F0-9A478D4F92EE}"/>
    <cellStyle name="Percent 3 6 10 9 2" xfId="7018" xr:uid="{97B1D428-8C9E-44FA-9F13-58A58103AE31}"/>
    <cellStyle name="Percent 3 6 11" xfId="2920" xr:uid="{C38CE22B-446F-45DE-80C3-8D4DA4A8C21E}"/>
    <cellStyle name="Percent 3 6 11 10" xfId="7020" xr:uid="{A6EC24F5-A409-4AE6-9A0F-CE3043393418}"/>
    <cellStyle name="Percent 3 6 11 11" xfId="7021" xr:uid="{ED00A728-1DF1-4283-8DAA-ABBE768A73DE}"/>
    <cellStyle name="Percent 3 6 11 12" xfId="7019" xr:uid="{BD5F6A44-CB5B-4261-B6BE-295CE7CF3D2C}"/>
    <cellStyle name="Percent 3 6 11 2" xfId="7022" xr:uid="{C2F240D5-53A5-4149-8FBC-3798A838D532}"/>
    <cellStyle name="Percent 3 6 11 2 2" xfId="7023" xr:uid="{69A94AFD-0E50-4803-8087-40C622AF04D0}"/>
    <cellStyle name="Percent 3 6 11 2 2 2" xfId="7024" xr:uid="{2C67A40F-EAA1-43F2-9D29-35A5B3218011}"/>
    <cellStyle name="Percent 3 6 11 2 3" xfId="7025" xr:uid="{C1FBC59B-2A10-4650-87EA-7F6259942EE1}"/>
    <cellStyle name="Percent 3 6 11 2 3 2" xfId="7026" xr:uid="{3D4A1D2B-B200-4137-AAD0-1C9E440DA4EF}"/>
    <cellStyle name="Percent 3 6 11 2 4" xfId="7027" xr:uid="{6994035D-2E82-4964-8EFA-D8FAB65A1F1E}"/>
    <cellStyle name="Percent 3 6 11 2 5" xfId="7028" xr:uid="{88AD6699-44C2-4DD9-9222-C29C73A95CBB}"/>
    <cellStyle name="Percent 3 6 11 3" xfId="7029" xr:uid="{122A5F12-15FE-46AC-8A67-003A82ED77CC}"/>
    <cellStyle name="Percent 3 6 11 3 2" xfId="7030" xr:uid="{968801AD-490B-4913-96AA-73DCEADF8F48}"/>
    <cellStyle name="Percent 3 6 11 3 2 2" xfId="7031" xr:uid="{B42F0A8E-3121-4B15-8D58-1F5DEC6545E5}"/>
    <cellStyle name="Percent 3 6 11 3 3" xfId="7032" xr:uid="{1ECCC6CB-B369-418D-8D26-2D8A6FB6AD5D}"/>
    <cellStyle name="Percent 3 6 11 3 3 2" xfId="7033" xr:uid="{90F7C11F-4915-43CD-9225-04764122CA1F}"/>
    <cellStyle name="Percent 3 6 11 3 4" xfId="7034" xr:uid="{DF19A43A-B134-437F-8212-2F5E4616C6D3}"/>
    <cellStyle name="Percent 3 6 11 4" xfId="7035" xr:uid="{ED778AA7-4735-457E-B454-628A9D9D559E}"/>
    <cellStyle name="Percent 3 6 11 4 2" xfId="7036" xr:uid="{24568F26-8E4E-4D47-BE54-58D00DC1A5AD}"/>
    <cellStyle name="Percent 3 6 11 4 2 2" xfId="7037" xr:uid="{5409E771-DED4-4EA4-8111-C834839D569C}"/>
    <cellStyle name="Percent 3 6 11 4 3" xfId="7038" xr:uid="{99CAB586-B52C-4A26-8C7B-FBCB59DF1D78}"/>
    <cellStyle name="Percent 3 6 11 4 3 2" xfId="7039" xr:uid="{B01AED27-7AAE-44B3-A74B-B622F13D9FBB}"/>
    <cellStyle name="Percent 3 6 11 4 4" xfId="7040" xr:uid="{52509772-C803-4608-8232-65C1E4B23AED}"/>
    <cellStyle name="Percent 3 6 11 5" xfId="7041" xr:uid="{4F3AB3A1-37D9-40EC-AA44-6F9B0F9AD63C}"/>
    <cellStyle name="Percent 3 6 11 5 2" xfId="7042" xr:uid="{D644AEB3-49BF-46AF-82B5-BC022581A84C}"/>
    <cellStyle name="Percent 3 6 11 5 2 2" xfId="7043" xr:uid="{3E2FA2D2-9C48-4123-9D3D-A4187A6AFD6C}"/>
    <cellStyle name="Percent 3 6 11 5 3" xfId="7044" xr:uid="{C2C4052D-E01A-49D1-B4D3-5EC6D1C9BB9E}"/>
    <cellStyle name="Percent 3 6 11 5 3 2" xfId="7045" xr:uid="{83188C34-C084-4185-907E-C7E5B6DF3279}"/>
    <cellStyle name="Percent 3 6 11 5 4" xfId="7046" xr:uid="{C3B94F28-99C5-4485-A7FB-6E68BC1A2D27}"/>
    <cellStyle name="Percent 3 6 11 5 4 2" xfId="7047" xr:uid="{E6213418-6ADE-452F-8747-9388BCDB63F3}"/>
    <cellStyle name="Percent 3 6 11 5 5" xfId="7048" xr:uid="{4F1D23EC-06F5-451E-97EA-762109C8EA51}"/>
    <cellStyle name="Percent 3 6 11 6" xfId="7049" xr:uid="{7F8440B3-07A5-45D0-95F7-9CDEAAA580AF}"/>
    <cellStyle name="Percent 3 6 11 6 2" xfId="7050" xr:uid="{1537347C-7701-450E-A7F1-EE9AD28A445A}"/>
    <cellStyle name="Percent 3 6 11 6 2 2" xfId="7051" xr:uid="{2C1C5F36-A7CA-44B9-8B2D-212E5548D1D3}"/>
    <cellStyle name="Percent 3 6 11 6 3" xfId="7052" xr:uid="{D219F40F-68F0-4332-9ED5-D405B4AD6712}"/>
    <cellStyle name="Percent 3 6 11 6 3 2" xfId="7053" xr:uid="{912BA9F6-D00B-4B84-AE60-16F2D1A12930}"/>
    <cellStyle name="Percent 3 6 11 6 4" xfId="7054" xr:uid="{E4C544C4-794D-43EA-AB1F-0821965FFF69}"/>
    <cellStyle name="Percent 3 6 11 7" xfId="7055" xr:uid="{3035DAC8-77F0-44D4-8B2E-F7BA0CBCDC0B}"/>
    <cellStyle name="Percent 3 6 11 7 2" xfId="7056" xr:uid="{09F499F4-CAB2-4DC6-9F02-F8D431F6BDA8}"/>
    <cellStyle name="Percent 3 6 11 8" xfId="7057" xr:uid="{EECB82F0-554B-4921-9712-DB31DFF6535D}"/>
    <cellStyle name="Percent 3 6 11 8 2" xfId="7058" xr:uid="{D81AEB73-AE9B-4727-A9D6-6CF465CAC0AA}"/>
    <cellStyle name="Percent 3 6 11 9" xfId="7059" xr:uid="{6601C34E-14D2-42AF-954C-A3970FDECB3D}"/>
    <cellStyle name="Percent 3 6 11 9 2" xfId="7060" xr:uid="{1F784AB9-F4AE-4F4C-B106-5319E83DCECE}"/>
    <cellStyle name="Percent 3 6 12" xfId="2921" xr:uid="{1EE67B5B-0680-4111-858B-7808808B20B7}"/>
    <cellStyle name="Percent 3 6 12 10" xfId="7062" xr:uid="{65DF0EF4-FE51-4A1B-BAAD-8D71B50388FE}"/>
    <cellStyle name="Percent 3 6 12 11" xfId="7063" xr:uid="{91CA3B9B-EA22-404D-906E-CF8CBB05D3FD}"/>
    <cellStyle name="Percent 3 6 12 12" xfId="7061" xr:uid="{AFB60EFB-37CD-4B9E-A61F-891A871473BB}"/>
    <cellStyle name="Percent 3 6 12 2" xfId="7064" xr:uid="{CA07DCA4-6CA5-4A05-A4F0-1B7242C23C89}"/>
    <cellStyle name="Percent 3 6 12 2 2" xfId="7065" xr:uid="{514D177B-53B0-41E1-8A49-AE43FE620056}"/>
    <cellStyle name="Percent 3 6 12 2 2 2" xfId="7066" xr:uid="{9CE501C0-C539-4CC4-87A0-B870C1ED46A3}"/>
    <cellStyle name="Percent 3 6 12 2 3" xfId="7067" xr:uid="{52892766-5454-49A5-BAD6-E6F7530DB713}"/>
    <cellStyle name="Percent 3 6 12 2 3 2" xfId="7068" xr:uid="{287D9F33-60B1-4CFC-9D51-8745E86287C9}"/>
    <cellStyle name="Percent 3 6 12 2 4" xfId="7069" xr:uid="{D5BB1DC6-ECE7-40E6-9789-881D459061EE}"/>
    <cellStyle name="Percent 3 6 12 2 5" xfId="7070" xr:uid="{539DEF3D-607B-475F-9A96-D7D3A669A5D1}"/>
    <cellStyle name="Percent 3 6 12 3" xfId="7071" xr:uid="{C1F699A3-0E9C-45BD-A6D9-E0B7F940D8E0}"/>
    <cellStyle name="Percent 3 6 12 3 2" xfId="7072" xr:uid="{E61A0BE5-51F9-47BF-94D6-5E1F6746A104}"/>
    <cellStyle name="Percent 3 6 12 3 2 2" xfId="7073" xr:uid="{883E50AF-6243-4735-9B34-6825410BBEA0}"/>
    <cellStyle name="Percent 3 6 12 3 3" xfId="7074" xr:uid="{D7690A23-5065-465A-BC5A-F83739007A5A}"/>
    <cellStyle name="Percent 3 6 12 3 3 2" xfId="7075" xr:uid="{9401FCD8-3D18-4C2D-8DAB-8C5956FA7255}"/>
    <cellStyle name="Percent 3 6 12 3 4" xfId="7076" xr:uid="{BB0DE2ED-AE3C-47E3-BF74-51F3C8362EDF}"/>
    <cellStyle name="Percent 3 6 12 4" xfId="7077" xr:uid="{3CA1E557-231B-40A5-A249-E844A479FA07}"/>
    <cellStyle name="Percent 3 6 12 4 2" xfId="7078" xr:uid="{7A585018-04D9-4967-A5EC-324A5D473A74}"/>
    <cellStyle name="Percent 3 6 12 4 2 2" xfId="7079" xr:uid="{CF2943CC-2AE7-4EC6-8E03-A0FB2311FF4E}"/>
    <cellStyle name="Percent 3 6 12 4 3" xfId="7080" xr:uid="{63F65839-904F-4179-8BFF-F296F8B2767E}"/>
    <cellStyle name="Percent 3 6 12 4 3 2" xfId="7081" xr:uid="{75E4C7DE-65A0-463B-BBD9-FFFD5A1412D3}"/>
    <cellStyle name="Percent 3 6 12 4 4" xfId="7082" xr:uid="{89076FFD-2225-4331-8EF9-1D1002D93E96}"/>
    <cellStyle name="Percent 3 6 12 5" xfId="7083" xr:uid="{5C229E87-CC0C-40D8-8B06-A9DE3D0AB489}"/>
    <cellStyle name="Percent 3 6 12 5 2" xfId="7084" xr:uid="{FB15C3C7-56CE-4B0A-8407-EAA4C0E0DE7A}"/>
    <cellStyle name="Percent 3 6 12 5 2 2" xfId="7085" xr:uid="{83494AA4-A974-4B9E-B45E-3E9846D799C6}"/>
    <cellStyle name="Percent 3 6 12 5 3" xfId="7086" xr:uid="{631DA4C9-F853-4E7D-ABFE-CFF029EDDA92}"/>
    <cellStyle name="Percent 3 6 12 5 3 2" xfId="7087" xr:uid="{51991C3F-2E8D-4C7A-97CB-B57250B5812A}"/>
    <cellStyle name="Percent 3 6 12 5 4" xfId="7088" xr:uid="{FBC328E6-413D-4E33-8081-9A033F71635F}"/>
    <cellStyle name="Percent 3 6 12 5 4 2" xfId="7089" xr:uid="{3346034D-4751-4B4C-8266-B2AB22771411}"/>
    <cellStyle name="Percent 3 6 12 5 5" xfId="7090" xr:uid="{5F443139-2956-4913-80B2-8C38C67A8790}"/>
    <cellStyle name="Percent 3 6 12 6" xfId="7091" xr:uid="{01D99D9D-2042-4580-A600-C4107A17B63F}"/>
    <cellStyle name="Percent 3 6 12 6 2" xfId="7092" xr:uid="{4DDA08FE-0C83-425D-BA76-D9FFD5CFFD47}"/>
    <cellStyle name="Percent 3 6 12 6 2 2" xfId="7093" xr:uid="{C8B03497-EA93-4DDA-A73F-1C2E1914B8F5}"/>
    <cellStyle name="Percent 3 6 12 6 3" xfId="7094" xr:uid="{FC6E79CE-1C7E-432D-80C3-EDA8163EF0AD}"/>
    <cellStyle name="Percent 3 6 12 6 3 2" xfId="7095" xr:uid="{4849B395-4451-4555-83E1-376B2EFFFA6D}"/>
    <cellStyle name="Percent 3 6 12 6 4" xfId="7096" xr:uid="{BA129118-6E2F-4B79-BF55-AB6BC2947670}"/>
    <cellStyle name="Percent 3 6 12 7" xfId="7097" xr:uid="{5A3C715F-AF46-4F50-91F3-EFFC56DC8F66}"/>
    <cellStyle name="Percent 3 6 12 7 2" xfId="7098" xr:uid="{30163B6E-D8B7-486E-ACEC-77875265EAC9}"/>
    <cellStyle name="Percent 3 6 12 8" xfId="7099" xr:uid="{9B4E66D4-43A6-4960-8188-A7A164ECE1FB}"/>
    <cellStyle name="Percent 3 6 12 8 2" xfId="7100" xr:uid="{62CFBB0B-1D0E-49EF-B245-AA7141A317DA}"/>
    <cellStyle name="Percent 3 6 12 9" xfId="7101" xr:uid="{2936D35F-E5AE-464E-9385-630AD2DF63EC}"/>
    <cellStyle name="Percent 3 6 12 9 2" xfId="7102" xr:uid="{0FBD496B-FA9E-44D5-9C64-8AFA2ED58CDA}"/>
    <cellStyle name="Percent 3 6 13" xfId="2922" xr:uid="{E95E88EC-5813-43B3-9BB7-B295C24CE6C3}"/>
    <cellStyle name="Percent 3 6 13 10" xfId="7104" xr:uid="{4D4537FA-F211-480B-B22A-F6D9806EEA5D}"/>
    <cellStyle name="Percent 3 6 13 11" xfId="7105" xr:uid="{A20FC98A-DFE3-4419-A579-2DCCC0679870}"/>
    <cellStyle name="Percent 3 6 13 12" xfId="7103" xr:uid="{2E354614-B844-4558-AE09-B28113018C44}"/>
    <cellStyle name="Percent 3 6 13 2" xfId="7106" xr:uid="{F6E7E13E-7721-4C4E-9574-EF4DA1EB1372}"/>
    <cellStyle name="Percent 3 6 13 2 2" xfId="7107" xr:uid="{056B6337-BEC3-4776-B867-B12C2E6FD288}"/>
    <cellStyle name="Percent 3 6 13 2 2 2" xfId="7108" xr:uid="{E530ECF2-A758-4002-9B46-99BF09E8F484}"/>
    <cellStyle name="Percent 3 6 13 2 3" xfId="7109" xr:uid="{62BA2868-156B-4EE9-A04F-15A746BE05B9}"/>
    <cellStyle name="Percent 3 6 13 2 3 2" xfId="7110" xr:uid="{F7FF6F84-8249-4767-9709-9DB46EACCB4F}"/>
    <cellStyle name="Percent 3 6 13 2 4" xfId="7111" xr:uid="{CCAFF656-8169-4972-B117-D1ACE26E8A90}"/>
    <cellStyle name="Percent 3 6 13 2 5" xfId="7112" xr:uid="{A1E66217-54E2-4AEA-8098-4974530AA247}"/>
    <cellStyle name="Percent 3 6 13 3" xfId="7113" xr:uid="{1D14030C-45A8-4541-9958-A1FA183D135F}"/>
    <cellStyle name="Percent 3 6 13 3 2" xfId="7114" xr:uid="{18527B7A-AD4C-43F1-8F0A-8991926EEE02}"/>
    <cellStyle name="Percent 3 6 13 3 2 2" xfId="7115" xr:uid="{A70595CA-EA55-4F5C-B56F-39BD1CA2719A}"/>
    <cellStyle name="Percent 3 6 13 3 3" xfId="7116" xr:uid="{2EE12998-8859-4079-B1C5-4A6D06C3BD72}"/>
    <cellStyle name="Percent 3 6 13 3 3 2" xfId="7117" xr:uid="{0E2F64E0-CA62-4329-88A8-C0EBA555B341}"/>
    <cellStyle name="Percent 3 6 13 3 4" xfId="7118" xr:uid="{63211C7D-8554-4D05-8745-B27D3FDB41F3}"/>
    <cellStyle name="Percent 3 6 13 4" xfId="7119" xr:uid="{1030008A-BDA4-4485-B421-F08CFF0C7519}"/>
    <cellStyle name="Percent 3 6 13 4 2" xfId="7120" xr:uid="{8F3D7AEC-FB65-4548-A30C-025C83A035CA}"/>
    <cellStyle name="Percent 3 6 13 4 2 2" xfId="7121" xr:uid="{D078555E-10AB-4D9C-8F07-15C2FB7A2DEE}"/>
    <cellStyle name="Percent 3 6 13 4 3" xfId="7122" xr:uid="{79132D28-D3F7-448F-A3E7-CD42A6080BB2}"/>
    <cellStyle name="Percent 3 6 13 4 3 2" xfId="7123" xr:uid="{C3AFF024-E774-4C22-B7EF-2BDE2C0FE5EF}"/>
    <cellStyle name="Percent 3 6 13 4 4" xfId="7124" xr:uid="{6378A993-944A-45CD-803C-C01B86E35293}"/>
    <cellStyle name="Percent 3 6 13 5" xfId="7125" xr:uid="{1F2EE30E-460B-4B78-AB2D-7E80CD1787C0}"/>
    <cellStyle name="Percent 3 6 13 5 2" xfId="7126" xr:uid="{1D7355EC-62EE-480C-87F1-AF48711F5839}"/>
    <cellStyle name="Percent 3 6 13 5 2 2" xfId="7127" xr:uid="{E95584B5-A8AA-464B-92E4-382976860998}"/>
    <cellStyle name="Percent 3 6 13 5 3" xfId="7128" xr:uid="{F4749086-C966-459F-A67F-F97251342F4D}"/>
    <cellStyle name="Percent 3 6 13 5 3 2" xfId="7129" xr:uid="{024E5774-1C23-443A-8D9F-FD2A23DC1F49}"/>
    <cellStyle name="Percent 3 6 13 5 4" xfId="7130" xr:uid="{3092DCCB-913C-495D-82F2-64ABAAD2085F}"/>
    <cellStyle name="Percent 3 6 13 5 4 2" xfId="7131" xr:uid="{57EE0829-A2C0-49AE-827F-D486171AE7E6}"/>
    <cellStyle name="Percent 3 6 13 5 5" xfId="7132" xr:uid="{A8AA5F6A-68D8-41D3-990D-8E8FCE1DCEC6}"/>
    <cellStyle name="Percent 3 6 13 6" xfId="7133" xr:uid="{FDC86AE4-3F84-4157-8E81-13D91CD5D07E}"/>
    <cellStyle name="Percent 3 6 13 6 2" xfId="7134" xr:uid="{6961A276-06B3-4A96-AE84-306E594777FF}"/>
    <cellStyle name="Percent 3 6 13 6 2 2" xfId="7135" xr:uid="{1971A1C8-32AD-47A9-98CB-C83C3A94BF61}"/>
    <cellStyle name="Percent 3 6 13 6 3" xfId="7136" xr:uid="{69B64677-D03D-4F9D-A9B7-97F384316061}"/>
    <cellStyle name="Percent 3 6 13 6 3 2" xfId="7137" xr:uid="{E5D42A53-250E-4D26-806C-A6D64B9E7392}"/>
    <cellStyle name="Percent 3 6 13 6 4" xfId="7138" xr:uid="{217D0BBB-AF2F-4F30-8D42-8F2182E71BBF}"/>
    <cellStyle name="Percent 3 6 13 7" xfId="7139" xr:uid="{BEC80F34-37AB-4143-9E57-E2B88C25CDB7}"/>
    <cellStyle name="Percent 3 6 13 7 2" xfId="7140" xr:uid="{B348FA93-B69E-4E98-883C-EE900F32B35B}"/>
    <cellStyle name="Percent 3 6 13 8" xfId="7141" xr:uid="{40881F52-76F2-4E4F-9111-B52FB78DE31C}"/>
    <cellStyle name="Percent 3 6 13 8 2" xfId="7142" xr:uid="{B4857739-E126-4893-84E6-E643744AC9D4}"/>
    <cellStyle name="Percent 3 6 13 9" xfId="7143" xr:uid="{FEB511BE-1135-4119-B56B-388FF7C83145}"/>
    <cellStyle name="Percent 3 6 13 9 2" xfId="7144" xr:uid="{99B3A4B2-028E-4A34-8914-DFE9A8997FE1}"/>
    <cellStyle name="Percent 3 6 14" xfId="2923" xr:uid="{FE9E73B5-1783-4731-B6FA-28AEFED8798F}"/>
    <cellStyle name="Percent 3 6 14 10" xfId="7146" xr:uid="{C06DEC1D-0194-4C00-8659-455A25820335}"/>
    <cellStyle name="Percent 3 6 14 11" xfId="7147" xr:uid="{914564C8-7542-4F09-8CA0-A350F9877171}"/>
    <cellStyle name="Percent 3 6 14 12" xfId="7145" xr:uid="{BD5815D6-13E2-4BEE-A1D3-E356F8D79E01}"/>
    <cellStyle name="Percent 3 6 14 2" xfId="7148" xr:uid="{CBF025B8-2E23-481C-856C-FD2504AD5BCE}"/>
    <cellStyle name="Percent 3 6 14 2 2" xfId="7149" xr:uid="{B02864CF-9F10-4F42-9DBF-8B0DDE8483FC}"/>
    <cellStyle name="Percent 3 6 14 2 2 2" xfId="7150" xr:uid="{66243254-FD14-4EF0-82EE-C3237DE7AE8F}"/>
    <cellStyle name="Percent 3 6 14 2 3" xfId="7151" xr:uid="{6AC1C62F-E6AA-427B-87FE-6C0DA151589C}"/>
    <cellStyle name="Percent 3 6 14 2 3 2" xfId="7152" xr:uid="{BF5BC1BA-D5CB-4D24-9A5C-353FE8692EB9}"/>
    <cellStyle name="Percent 3 6 14 2 4" xfId="7153" xr:uid="{CB668BE7-455C-4729-B779-0BFFE6954A1A}"/>
    <cellStyle name="Percent 3 6 14 2 5" xfId="7154" xr:uid="{902151BC-E41A-423E-82F5-C3603F690840}"/>
    <cellStyle name="Percent 3 6 14 3" xfId="7155" xr:uid="{DC1978AD-9E9F-41A5-8FCC-F8F6E1242D35}"/>
    <cellStyle name="Percent 3 6 14 3 2" xfId="7156" xr:uid="{0D471200-B913-4ECD-8B02-FF35DC86F30B}"/>
    <cellStyle name="Percent 3 6 14 3 2 2" xfId="7157" xr:uid="{74E026C6-D2A6-4680-A287-10D0D05A2E16}"/>
    <cellStyle name="Percent 3 6 14 3 3" xfId="7158" xr:uid="{7ABB1B20-F31F-4E00-85CD-985F7BF48AD9}"/>
    <cellStyle name="Percent 3 6 14 3 3 2" xfId="7159" xr:uid="{B965FAEC-51CE-4D10-8D70-34A2855E2D8C}"/>
    <cellStyle name="Percent 3 6 14 3 4" xfId="7160" xr:uid="{8B0C9734-0B10-428A-9490-5F6548A68878}"/>
    <cellStyle name="Percent 3 6 14 4" xfId="7161" xr:uid="{6F73E4EF-3240-46B2-B3BA-6524356F53D6}"/>
    <cellStyle name="Percent 3 6 14 4 2" xfId="7162" xr:uid="{91C68C1E-382D-4F15-810C-F34A4569AC56}"/>
    <cellStyle name="Percent 3 6 14 4 2 2" xfId="7163" xr:uid="{0685462F-B770-46BE-A815-EBE7EC5460DB}"/>
    <cellStyle name="Percent 3 6 14 4 3" xfId="7164" xr:uid="{16CCE11F-4FD0-42A6-BD4B-F3F50CDD812F}"/>
    <cellStyle name="Percent 3 6 14 4 3 2" xfId="7165" xr:uid="{F11E496D-BAC2-4F39-B22F-3D7A2DEC4C62}"/>
    <cellStyle name="Percent 3 6 14 4 4" xfId="7166" xr:uid="{3D7CB5A7-518A-4C6C-AD49-75679F402714}"/>
    <cellStyle name="Percent 3 6 14 5" xfId="7167" xr:uid="{4E849FD1-4B5B-4527-AD12-6981B15DFC95}"/>
    <cellStyle name="Percent 3 6 14 5 2" xfId="7168" xr:uid="{23790E29-B0B9-4ED8-952B-20514DF208E5}"/>
    <cellStyle name="Percent 3 6 14 5 2 2" xfId="7169" xr:uid="{491141FD-9DA1-497E-B0DD-A549798CC9E0}"/>
    <cellStyle name="Percent 3 6 14 5 3" xfId="7170" xr:uid="{75A6E276-51D6-4CFF-A17B-3F46F0FAA680}"/>
    <cellStyle name="Percent 3 6 14 5 3 2" xfId="7171" xr:uid="{AD47AF04-6CC8-4251-BECA-9D1D0245000E}"/>
    <cellStyle name="Percent 3 6 14 5 4" xfId="7172" xr:uid="{387AB814-BC67-4889-A234-21F2F931AEB1}"/>
    <cellStyle name="Percent 3 6 14 5 4 2" xfId="7173" xr:uid="{A95A043E-2702-45FF-9BCB-399AC590167E}"/>
    <cellStyle name="Percent 3 6 14 5 5" xfId="7174" xr:uid="{74A1DEC4-C92E-46AA-888E-2263B31A89D7}"/>
    <cellStyle name="Percent 3 6 14 6" xfId="7175" xr:uid="{D8EB1E09-E5E4-42B5-A102-D05DB2A2C7A5}"/>
    <cellStyle name="Percent 3 6 14 6 2" xfId="7176" xr:uid="{DB6D1C2E-71C2-4AD4-9E94-DB68F1BB8F16}"/>
    <cellStyle name="Percent 3 6 14 6 2 2" xfId="7177" xr:uid="{3D5A6927-EBBC-4733-BAB0-DC90618502B5}"/>
    <cellStyle name="Percent 3 6 14 6 3" xfId="7178" xr:uid="{422D2A18-5FD9-4282-B4F7-0D5E7617A57E}"/>
    <cellStyle name="Percent 3 6 14 6 3 2" xfId="7179" xr:uid="{21F09E59-7A32-4DDA-83E8-8494B4C6CB95}"/>
    <cellStyle name="Percent 3 6 14 6 4" xfId="7180" xr:uid="{9CAE7F3D-0F82-4D69-893C-BD9371F4E85B}"/>
    <cellStyle name="Percent 3 6 14 7" xfId="7181" xr:uid="{83164F5C-9EB4-42A6-92D4-4EB27FB77BBF}"/>
    <cellStyle name="Percent 3 6 14 7 2" xfId="7182" xr:uid="{7DB84DDF-9B24-4766-AF56-0101C760EC03}"/>
    <cellStyle name="Percent 3 6 14 8" xfId="7183" xr:uid="{D1DA3FD1-EA11-45B3-9316-60186045CB4B}"/>
    <cellStyle name="Percent 3 6 14 8 2" xfId="7184" xr:uid="{DB445B9E-B9A4-4150-B571-11FFC86CBFB5}"/>
    <cellStyle name="Percent 3 6 14 9" xfId="7185" xr:uid="{8ECE6EE2-E13E-433B-981E-A28C115621F4}"/>
    <cellStyle name="Percent 3 6 14 9 2" xfId="7186" xr:uid="{FCD77865-28F4-4B75-90AD-49FCF4BD22BA}"/>
    <cellStyle name="Percent 3 6 15" xfId="2924" xr:uid="{F88BCE3F-858D-4388-966F-2F3F0CEDBBD2}"/>
    <cellStyle name="Percent 3 6 15 10" xfId="7188" xr:uid="{C0A1275D-009A-45FB-BE3F-4D88D206FE54}"/>
    <cellStyle name="Percent 3 6 15 11" xfId="7189" xr:uid="{C60E1834-DE96-4C2B-A0B7-5AAD7CF48257}"/>
    <cellStyle name="Percent 3 6 15 12" xfId="7187" xr:uid="{098EC892-AC16-4833-BE20-95779ACAFC6F}"/>
    <cellStyle name="Percent 3 6 15 2" xfId="7190" xr:uid="{36F535C5-C380-4721-B9A9-4083F8D96E62}"/>
    <cellStyle name="Percent 3 6 15 2 2" xfId="7191" xr:uid="{25AB5FF0-F08D-4F84-80F3-351742898762}"/>
    <cellStyle name="Percent 3 6 15 2 2 2" xfId="7192" xr:uid="{F97AAD47-B563-4BB2-B1C6-0F44F6EB1A4B}"/>
    <cellStyle name="Percent 3 6 15 2 3" xfId="7193" xr:uid="{B115C194-8714-4076-A9D8-4BA4FAAA9FAE}"/>
    <cellStyle name="Percent 3 6 15 2 3 2" xfId="7194" xr:uid="{9BE16938-6579-4A1C-B0E0-A3E5A72F794F}"/>
    <cellStyle name="Percent 3 6 15 2 4" xfId="7195" xr:uid="{7F5985F0-37A8-4A15-9330-93F813D1F050}"/>
    <cellStyle name="Percent 3 6 15 2 5" xfId="7196" xr:uid="{588049C2-E84E-4AF7-8DCF-983C114747EE}"/>
    <cellStyle name="Percent 3 6 15 3" xfId="7197" xr:uid="{CC3B25DA-D40F-463C-8B38-0CD56284A14D}"/>
    <cellStyle name="Percent 3 6 15 3 2" xfId="7198" xr:uid="{86EB4D3D-932B-4AED-B1BA-D496AFD6B9DF}"/>
    <cellStyle name="Percent 3 6 15 3 2 2" xfId="7199" xr:uid="{06388558-2B81-449F-89CF-B9AA79EB2D1B}"/>
    <cellStyle name="Percent 3 6 15 3 3" xfId="7200" xr:uid="{9D47B267-88EB-4556-ACD7-718122043B99}"/>
    <cellStyle name="Percent 3 6 15 3 3 2" xfId="7201" xr:uid="{5FC49C3D-C943-4A2C-A1DA-B800CAD86E2F}"/>
    <cellStyle name="Percent 3 6 15 3 4" xfId="7202" xr:uid="{5EEB430F-3736-4448-9270-C801BCDE9BA8}"/>
    <cellStyle name="Percent 3 6 15 4" xfId="7203" xr:uid="{F81B58F5-5892-40E5-A6EC-3AAC30A8541C}"/>
    <cellStyle name="Percent 3 6 15 4 2" xfId="7204" xr:uid="{2F19C1E8-667A-41D8-91CD-C8776AB76E36}"/>
    <cellStyle name="Percent 3 6 15 4 2 2" xfId="7205" xr:uid="{DC13C214-4055-48A2-9928-AFF45F6FB194}"/>
    <cellStyle name="Percent 3 6 15 4 3" xfId="7206" xr:uid="{ECC66643-4A3A-4851-AA89-1584969801AB}"/>
    <cellStyle name="Percent 3 6 15 4 3 2" xfId="7207" xr:uid="{29E05DAE-0B99-4664-AA2E-D9B0893A2EA8}"/>
    <cellStyle name="Percent 3 6 15 4 4" xfId="7208" xr:uid="{4AD9D71C-2894-4B04-A6CE-8305D60A47F7}"/>
    <cellStyle name="Percent 3 6 15 5" xfId="7209" xr:uid="{841DCEA7-AAA0-4FC2-B321-F4E7A11D38C4}"/>
    <cellStyle name="Percent 3 6 15 5 2" xfId="7210" xr:uid="{A10A4868-7AB6-41FA-BD78-8F049E80C7B8}"/>
    <cellStyle name="Percent 3 6 15 5 2 2" xfId="7211" xr:uid="{40E7DF72-A7E0-4521-AA3C-7E7729287FEE}"/>
    <cellStyle name="Percent 3 6 15 5 3" xfId="7212" xr:uid="{560D83EC-8B41-4E5F-84CF-4E33204EBA06}"/>
    <cellStyle name="Percent 3 6 15 5 3 2" xfId="7213" xr:uid="{F610AA92-DC6B-40E5-B0FE-3A4580CD0933}"/>
    <cellStyle name="Percent 3 6 15 5 4" xfId="7214" xr:uid="{88008E16-2280-4EE7-B4DF-2D221FDE5FF8}"/>
    <cellStyle name="Percent 3 6 15 5 4 2" xfId="7215" xr:uid="{1C1E1CAC-F97E-41F0-BE0C-5B708CB789D9}"/>
    <cellStyle name="Percent 3 6 15 5 5" xfId="7216" xr:uid="{8F091268-038C-41DF-BD9F-E99CA34100F4}"/>
    <cellStyle name="Percent 3 6 15 6" xfId="7217" xr:uid="{6EA59A90-0D04-4399-AA66-45A7214A7248}"/>
    <cellStyle name="Percent 3 6 15 6 2" xfId="7218" xr:uid="{AF8C1F99-ABDE-486E-A40F-1DFE15F3ADB0}"/>
    <cellStyle name="Percent 3 6 15 6 2 2" xfId="7219" xr:uid="{3FFAD401-8A65-4CD2-815F-D8C3FE05B1BD}"/>
    <cellStyle name="Percent 3 6 15 6 3" xfId="7220" xr:uid="{78519D54-C5FA-44DB-A05B-571031A19057}"/>
    <cellStyle name="Percent 3 6 15 6 3 2" xfId="7221" xr:uid="{A94F1650-8139-4D84-AE2C-A8B4AC018710}"/>
    <cellStyle name="Percent 3 6 15 6 4" xfId="7222" xr:uid="{F9C2AAA2-C3E1-4587-94C7-539959D6353C}"/>
    <cellStyle name="Percent 3 6 15 7" xfId="7223" xr:uid="{D3BD9598-E99D-4260-90D4-5242DD139BA1}"/>
    <cellStyle name="Percent 3 6 15 7 2" xfId="7224" xr:uid="{C695AF27-4BD4-4F42-AA0F-BD8D3D008818}"/>
    <cellStyle name="Percent 3 6 15 8" xfId="7225" xr:uid="{EF0AC640-0F67-4E86-A751-ADB67F9C22B5}"/>
    <cellStyle name="Percent 3 6 15 8 2" xfId="7226" xr:uid="{5A5E2ABB-DE3F-4E87-9386-100A98241758}"/>
    <cellStyle name="Percent 3 6 15 9" xfId="7227" xr:uid="{8AFBBC42-BD96-443F-85AD-4FFDDF111550}"/>
    <cellStyle name="Percent 3 6 15 9 2" xfId="7228" xr:uid="{A34E1686-3A95-4404-A496-E93B8C56A06B}"/>
    <cellStyle name="Percent 3 6 16" xfId="7229" xr:uid="{18F0DF6D-D8B5-40FD-A1C7-F1D40742E962}"/>
    <cellStyle name="Percent 3 6 16 2" xfId="7230" xr:uid="{30A7DE79-E951-43EB-9EE3-46B3EC436EC1}"/>
    <cellStyle name="Percent 3 6 16 2 2" xfId="7231" xr:uid="{65143DDF-FEA3-4420-9A3E-B13BEAFBD804}"/>
    <cellStyle name="Percent 3 6 16 3" xfId="7232" xr:uid="{16421242-8799-48C1-B4B4-FD3117ED14BE}"/>
    <cellStyle name="Percent 3 6 16 3 2" xfId="7233" xr:uid="{5941165E-ADEF-442D-9479-C33CF03CC726}"/>
    <cellStyle name="Percent 3 6 16 4" xfId="7234" xr:uid="{A01E2A48-4FF0-491A-BF9D-BB99BCE767B3}"/>
    <cellStyle name="Percent 3 6 16 5" xfId="7235" xr:uid="{9C025DC4-662A-4939-83F0-09D68894ABC4}"/>
    <cellStyle name="Percent 3 6 17" xfId="7236" xr:uid="{40DB43AD-49E1-4704-8777-1887B409210A}"/>
    <cellStyle name="Percent 3 6 17 2" xfId="7237" xr:uid="{38E36BC2-BCE2-417D-8801-D33487201AC5}"/>
    <cellStyle name="Percent 3 6 17 2 2" xfId="7238" xr:uid="{71AEE84F-521A-4FE1-B313-171A3A1F6D28}"/>
    <cellStyle name="Percent 3 6 17 3" xfId="7239" xr:uid="{EEFBDFA3-4346-4F5E-BE1D-B69B84F1E904}"/>
    <cellStyle name="Percent 3 6 17 3 2" xfId="7240" xr:uid="{7126C6E3-5AC3-4141-832B-8E419EEB785E}"/>
    <cellStyle name="Percent 3 6 17 4" xfId="7241" xr:uid="{3E2E2745-B56A-4011-BB8A-F0D923EDFC8C}"/>
    <cellStyle name="Percent 3 6 18" xfId="7242" xr:uid="{7A7009E3-CFA7-4ED1-BBB3-273D7D698283}"/>
    <cellStyle name="Percent 3 6 18 2" xfId="7243" xr:uid="{05562592-23BF-497A-A038-3DD584ED039E}"/>
    <cellStyle name="Percent 3 6 18 2 2" xfId="7244" xr:uid="{77A3EE56-3FE2-4723-9D0A-AD526BEC0676}"/>
    <cellStyle name="Percent 3 6 18 3" xfId="7245" xr:uid="{A20FD16C-3066-4ABA-8C56-6BD5C5F02233}"/>
    <cellStyle name="Percent 3 6 18 3 2" xfId="7246" xr:uid="{A8E40B8A-A7C6-4889-8783-CA8C74BF749B}"/>
    <cellStyle name="Percent 3 6 18 4" xfId="7247" xr:uid="{91425CEB-C0FD-4B9F-8333-087CB217F64A}"/>
    <cellStyle name="Percent 3 6 19" xfId="7248" xr:uid="{739B3C55-47A9-426A-96FA-675BC32FAFF5}"/>
    <cellStyle name="Percent 3 6 19 2" xfId="7249" xr:uid="{23522F68-BFED-4A40-9D43-843B2E7FD2F0}"/>
    <cellStyle name="Percent 3 6 19 2 2" xfId="7250" xr:uid="{9BB937C8-9C05-43B3-BB40-174DEB3F4194}"/>
    <cellStyle name="Percent 3 6 19 3" xfId="7251" xr:uid="{0F37E13A-BD93-46F8-8FBC-7EB46CCCDEDA}"/>
    <cellStyle name="Percent 3 6 19 3 2" xfId="7252" xr:uid="{CECD5534-3908-4D43-8558-B555C9F1A48A}"/>
    <cellStyle name="Percent 3 6 19 4" xfId="7253" xr:uid="{022B19D3-4D67-4094-8BF1-ACC49D92FAC6}"/>
    <cellStyle name="Percent 3 6 19 4 2" xfId="7254" xr:uid="{DB8645F2-5E50-40E8-A27B-4567CF0729B0}"/>
    <cellStyle name="Percent 3 6 19 5" xfId="7255" xr:uid="{461311BF-F828-426F-B7BD-94DE2CABD0CA}"/>
    <cellStyle name="Percent 3 6 2" xfId="2925" xr:uid="{4101A0AC-9080-4962-8FDB-2811C0E0946D}"/>
    <cellStyle name="Percent 3 6 2 10" xfId="7257" xr:uid="{D221B5BC-3896-464F-8D40-B729E39C8DF5}"/>
    <cellStyle name="Percent 3 6 2 11" xfId="7258" xr:uid="{02C1BC85-F345-4C54-88C1-95312215D671}"/>
    <cellStyle name="Percent 3 6 2 12" xfId="7256" xr:uid="{C74D8F6B-8A86-4BA7-92EB-71FCA060305D}"/>
    <cellStyle name="Percent 3 6 2 2" xfId="7259" xr:uid="{CA865EB5-1615-4F01-98BB-C90DFE0E86D6}"/>
    <cellStyle name="Percent 3 6 2 2 2" xfId="7260" xr:uid="{92D9D7B6-ECB8-4E2B-BC55-066CC70B5478}"/>
    <cellStyle name="Percent 3 6 2 2 2 2" xfId="7261" xr:uid="{AEB12A23-5FF5-4A17-9FE1-F765299463B9}"/>
    <cellStyle name="Percent 3 6 2 2 3" xfId="7262" xr:uid="{BF106B6A-F5E1-4690-ACD0-7562B9BF5A58}"/>
    <cellStyle name="Percent 3 6 2 2 3 2" xfId="7263" xr:uid="{80F177BE-08C0-48E9-8C17-7EAB893700BF}"/>
    <cellStyle name="Percent 3 6 2 2 4" xfId="7264" xr:uid="{5BA63200-4E78-4774-84C3-5720840E9940}"/>
    <cellStyle name="Percent 3 6 2 2 5" xfId="7265" xr:uid="{95B4A66B-4176-4448-B6FB-61E01430F4CE}"/>
    <cellStyle name="Percent 3 6 2 3" xfId="7266" xr:uid="{0C0915B2-126F-474E-8C36-567C5ADF6322}"/>
    <cellStyle name="Percent 3 6 2 3 2" xfId="7267" xr:uid="{19543A86-E893-480B-BA04-D71DC80D1C8C}"/>
    <cellStyle name="Percent 3 6 2 3 2 2" xfId="7268" xr:uid="{8E7BCB24-A59A-408A-B9E8-BEB5E254E102}"/>
    <cellStyle name="Percent 3 6 2 3 3" xfId="7269" xr:uid="{C52E8039-00B6-4D96-895D-D0818D53FCBD}"/>
    <cellStyle name="Percent 3 6 2 3 3 2" xfId="7270" xr:uid="{C02CB0B5-43EF-461B-87B2-E689F1AAB60C}"/>
    <cellStyle name="Percent 3 6 2 3 4" xfId="7271" xr:uid="{F0DC277D-9B88-44EC-A09C-9E919D9E8462}"/>
    <cellStyle name="Percent 3 6 2 4" xfId="7272" xr:uid="{9225531C-48DB-49E5-8276-79ECDD19AA9A}"/>
    <cellStyle name="Percent 3 6 2 4 2" xfId="7273" xr:uid="{B662AC54-C6AB-46A8-A5A1-35A738793EDC}"/>
    <cellStyle name="Percent 3 6 2 4 2 2" xfId="7274" xr:uid="{BB622527-80BB-419E-B0CE-347D5856B8AD}"/>
    <cellStyle name="Percent 3 6 2 4 3" xfId="7275" xr:uid="{3040B14C-D0AB-463A-9492-4E6FFB547B96}"/>
    <cellStyle name="Percent 3 6 2 4 3 2" xfId="7276" xr:uid="{0226173B-DB08-4364-B34A-43A772221F64}"/>
    <cellStyle name="Percent 3 6 2 4 4" xfId="7277" xr:uid="{44B8E58C-D2F3-4120-A650-0315A93918F2}"/>
    <cellStyle name="Percent 3 6 2 5" xfId="7278" xr:uid="{DF63B87C-A6EC-40A9-A5D9-B6A5B054667D}"/>
    <cellStyle name="Percent 3 6 2 5 2" xfId="7279" xr:uid="{4981799F-265A-4617-BDF2-38CC90DA4837}"/>
    <cellStyle name="Percent 3 6 2 5 2 2" xfId="7280" xr:uid="{F98FF1FD-C045-4060-AAA6-08E19EC43A48}"/>
    <cellStyle name="Percent 3 6 2 5 3" xfId="7281" xr:uid="{A84077A1-F20A-42C5-BD91-55C59F9B68F9}"/>
    <cellStyle name="Percent 3 6 2 5 3 2" xfId="7282" xr:uid="{22F2A1C0-FB96-4E71-B305-00832E76050E}"/>
    <cellStyle name="Percent 3 6 2 5 4" xfId="7283" xr:uid="{E4F68B66-0B2A-46C3-A2EC-3AC21DECA38C}"/>
    <cellStyle name="Percent 3 6 2 5 4 2" xfId="7284" xr:uid="{5C941139-A8A8-4152-8098-BD8B8059E646}"/>
    <cellStyle name="Percent 3 6 2 5 5" xfId="7285" xr:uid="{A83AD15F-3046-4465-B0E6-D624BD7C6D91}"/>
    <cellStyle name="Percent 3 6 2 6" xfId="7286" xr:uid="{911B765E-19B5-4BE3-B246-8E6BEFAE49AE}"/>
    <cellStyle name="Percent 3 6 2 6 2" xfId="7287" xr:uid="{7FFF8272-B785-4A2F-A4B8-7C071FF94076}"/>
    <cellStyle name="Percent 3 6 2 6 2 2" xfId="7288" xr:uid="{58945679-6D3F-4126-9F2C-633E1E8D24DE}"/>
    <cellStyle name="Percent 3 6 2 6 3" xfId="7289" xr:uid="{DD46A330-CDDB-448E-8B44-3678A5974131}"/>
    <cellStyle name="Percent 3 6 2 6 3 2" xfId="7290" xr:uid="{ADE14117-A2A8-4224-B994-2FB0819FEED3}"/>
    <cellStyle name="Percent 3 6 2 6 4" xfId="7291" xr:uid="{D8C5A9A2-7F5C-4D1A-9264-4C9DBF2585FC}"/>
    <cellStyle name="Percent 3 6 2 7" xfId="7292" xr:uid="{36E2B5E0-84E7-4EA5-B126-814EAD2E0775}"/>
    <cellStyle name="Percent 3 6 2 7 2" xfId="7293" xr:uid="{C4EC6070-C495-4E4F-BD0E-FBD081C58F28}"/>
    <cellStyle name="Percent 3 6 2 8" xfId="7294" xr:uid="{3BE761B8-A8B1-4776-BC1F-C4C0D39E87BE}"/>
    <cellStyle name="Percent 3 6 2 8 2" xfId="7295" xr:uid="{863EDC10-A25E-4EF9-B1A8-A2E53350D79B}"/>
    <cellStyle name="Percent 3 6 2 9" xfId="7296" xr:uid="{7A74819C-ECFF-48D8-89E5-2F4ABC8CD03C}"/>
    <cellStyle name="Percent 3 6 2 9 2" xfId="7297" xr:uid="{19636114-1087-446D-8923-DC2DD9937513}"/>
    <cellStyle name="Percent 3 6 20" xfId="7298" xr:uid="{874D677B-D89A-4EE6-B387-9F0B76970069}"/>
    <cellStyle name="Percent 3 6 20 2" xfId="7299" xr:uid="{2E545992-2617-43A8-8EC9-E925377977B7}"/>
    <cellStyle name="Percent 3 6 20 2 2" xfId="7300" xr:uid="{DAA69937-2F0D-4352-B518-5594B39D6EAC}"/>
    <cellStyle name="Percent 3 6 20 3" xfId="7301" xr:uid="{0D88CB70-1FE7-4E36-BFAB-C59D634CD6C0}"/>
    <cellStyle name="Percent 3 6 20 3 2" xfId="7302" xr:uid="{D9CA6C2D-51CC-41F0-B891-47F2628A7A3D}"/>
    <cellStyle name="Percent 3 6 20 4" xfId="7303" xr:uid="{85E4AFEC-5D44-410D-9139-1B62192E4A0D}"/>
    <cellStyle name="Percent 3 6 21" xfId="7304" xr:uid="{2D5B0407-C803-48BA-A324-DBC100D776E3}"/>
    <cellStyle name="Percent 3 6 21 2" xfId="7305" xr:uid="{4AC0448E-258F-4CB3-B540-D43405B023E1}"/>
    <cellStyle name="Percent 3 6 22" xfId="7306" xr:uid="{843277D9-01C5-4486-9255-925D0B8937D7}"/>
    <cellStyle name="Percent 3 6 22 2" xfId="7307" xr:uid="{6AF4F438-0C3E-4EFB-87BF-5EFBDC524AF2}"/>
    <cellStyle name="Percent 3 6 23" xfId="7308" xr:uid="{3D1717BA-1A03-41A8-BC20-DDE92E483025}"/>
    <cellStyle name="Percent 3 6 23 2" xfId="7309" xr:uid="{442A4C06-8357-4FCC-BF88-56364027CCD9}"/>
    <cellStyle name="Percent 3 6 24" xfId="7310" xr:uid="{435EA2D9-1C6A-49EB-A6C9-3E4772D47A43}"/>
    <cellStyle name="Percent 3 6 25" xfId="7311" xr:uid="{A0D643BB-93BD-451E-ABE3-34F820A1C5ED}"/>
    <cellStyle name="Percent 3 6 26" xfId="6976" xr:uid="{71874C00-47EB-4F3F-9C94-D2898A77C3A8}"/>
    <cellStyle name="Percent 3 6 3" xfId="2926" xr:uid="{3355040E-823A-42D8-BC15-0E105B6DD201}"/>
    <cellStyle name="Percent 3 6 3 10" xfId="7313" xr:uid="{0574A530-FEF4-4E0F-8FA8-CC3C4E639900}"/>
    <cellStyle name="Percent 3 6 3 11" xfId="7314" xr:uid="{1DA595E3-B0C5-44B8-9263-CCD3EF71B71D}"/>
    <cellStyle name="Percent 3 6 3 12" xfId="7312" xr:uid="{777BCD1A-CADD-4557-B89A-6F882D850919}"/>
    <cellStyle name="Percent 3 6 3 2" xfId="7315" xr:uid="{CFD35388-1A71-4964-85FC-DC9EFB6D7457}"/>
    <cellStyle name="Percent 3 6 3 2 2" xfId="7316" xr:uid="{988F24D8-6788-40F4-B92B-69CA1CA7F9C2}"/>
    <cellStyle name="Percent 3 6 3 2 2 2" xfId="7317" xr:uid="{4DA0B8AD-BE93-45E4-B9EA-9E4673DFA501}"/>
    <cellStyle name="Percent 3 6 3 2 3" xfId="7318" xr:uid="{258C7551-4766-47F2-948A-5947997EA121}"/>
    <cellStyle name="Percent 3 6 3 2 3 2" xfId="7319" xr:uid="{8962B422-8E88-4A31-A39E-684B24C3F361}"/>
    <cellStyle name="Percent 3 6 3 2 4" xfId="7320" xr:uid="{3AA1338F-B2A6-40ED-B87F-133A49672CD3}"/>
    <cellStyle name="Percent 3 6 3 2 5" xfId="7321" xr:uid="{7FECD01B-61FB-4D0F-A416-C51BAF5884C7}"/>
    <cellStyle name="Percent 3 6 3 3" xfId="7322" xr:uid="{D3119262-6CBE-43CE-AF66-5346BE6FCD09}"/>
    <cellStyle name="Percent 3 6 3 3 2" xfId="7323" xr:uid="{846EB075-7B9F-4C06-A882-29277D7075AE}"/>
    <cellStyle name="Percent 3 6 3 3 2 2" xfId="7324" xr:uid="{8F8794E3-043A-4CCA-9D9E-7F524CD98924}"/>
    <cellStyle name="Percent 3 6 3 3 3" xfId="7325" xr:uid="{136F1030-CF91-4C54-A4A4-58857E877D9B}"/>
    <cellStyle name="Percent 3 6 3 3 3 2" xfId="7326" xr:uid="{0334424F-99F8-4F4D-AD67-E3B882751F46}"/>
    <cellStyle name="Percent 3 6 3 3 4" xfId="7327" xr:uid="{E509898E-F4DE-4A4A-ADC9-30AFFB99A680}"/>
    <cellStyle name="Percent 3 6 3 4" xfId="7328" xr:uid="{5415F05B-13E9-4E3E-9B51-F702EAB6E9FC}"/>
    <cellStyle name="Percent 3 6 3 4 2" xfId="7329" xr:uid="{01715531-22E9-40BA-857A-1989CF6297ED}"/>
    <cellStyle name="Percent 3 6 3 4 2 2" xfId="7330" xr:uid="{E1C42A35-B450-4046-8E9E-B9197FDCAA6B}"/>
    <cellStyle name="Percent 3 6 3 4 3" xfId="7331" xr:uid="{0B1B2D04-C431-4327-848D-425A42D3BCFA}"/>
    <cellStyle name="Percent 3 6 3 4 3 2" xfId="7332" xr:uid="{27CE4C68-48BE-4537-A405-7ABC5B3CAFA6}"/>
    <cellStyle name="Percent 3 6 3 4 4" xfId="7333" xr:uid="{78A0FC58-E88C-4FAA-9CEF-D2F1BECAFD8C}"/>
    <cellStyle name="Percent 3 6 3 5" xfId="7334" xr:uid="{5B212379-40AB-491A-88FE-248244E36593}"/>
    <cellStyle name="Percent 3 6 3 5 2" xfId="7335" xr:uid="{23E453DE-425E-4CE3-8711-6EEBA56EC56E}"/>
    <cellStyle name="Percent 3 6 3 5 2 2" xfId="7336" xr:uid="{7D077ACF-A2EA-463A-BF57-D8B7C83EC2A8}"/>
    <cellStyle name="Percent 3 6 3 5 3" xfId="7337" xr:uid="{554802A9-B440-4CBD-B9CB-51D40849CA62}"/>
    <cellStyle name="Percent 3 6 3 5 3 2" xfId="7338" xr:uid="{231E4771-7534-48DF-8DB0-EE93B343D027}"/>
    <cellStyle name="Percent 3 6 3 5 4" xfId="7339" xr:uid="{2FB54788-E94D-47BC-B543-45D9EB478491}"/>
    <cellStyle name="Percent 3 6 3 5 4 2" xfId="7340" xr:uid="{E4701AB0-A831-4885-8F89-CABFB45980C7}"/>
    <cellStyle name="Percent 3 6 3 5 5" xfId="7341" xr:uid="{4475C87E-1070-4B3A-AE45-F497FC653828}"/>
    <cellStyle name="Percent 3 6 3 6" xfId="7342" xr:uid="{939C1835-8398-4DEA-A988-EF0526BEEBC8}"/>
    <cellStyle name="Percent 3 6 3 6 2" xfId="7343" xr:uid="{830FCF91-8002-42DF-93EA-B8DF7658EF5B}"/>
    <cellStyle name="Percent 3 6 3 6 2 2" xfId="7344" xr:uid="{0EE97F37-08D8-496F-B2E3-19CD48374C3F}"/>
    <cellStyle name="Percent 3 6 3 6 3" xfId="7345" xr:uid="{DAA3C066-6486-401E-9E94-C5D5593FD97B}"/>
    <cellStyle name="Percent 3 6 3 6 3 2" xfId="7346" xr:uid="{5CF7523B-92BE-4AEB-81A3-4D9B395E14DD}"/>
    <cellStyle name="Percent 3 6 3 6 4" xfId="7347" xr:uid="{CC3FC8C9-58D0-4540-9F89-B73EF3DFDFDA}"/>
    <cellStyle name="Percent 3 6 3 7" xfId="7348" xr:uid="{B719A305-D525-465C-B15D-60F1F755C9B4}"/>
    <cellStyle name="Percent 3 6 3 7 2" xfId="7349" xr:uid="{7F910545-5AF8-4A5C-B84A-C379A8D850CB}"/>
    <cellStyle name="Percent 3 6 3 8" xfId="7350" xr:uid="{D362118B-92D5-4620-8D2C-BAF2803D7549}"/>
    <cellStyle name="Percent 3 6 3 8 2" xfId="7351" xr:uid="{9A08F1FC-1535-46ED-BF6C-8FB3E19AFD94}"/>
    <cellStyle name="Percent 3 6 3 9" xfId="7352" xr:uid="{EB123396-0F05-4D19-8E41-D9C200B2E5CA}"/>
    <cellStyle name="Percent 3 6 3 9 2" xfId="7353" xr:uid="{BDC77354-53F8-484A-8544-D6876E42FFCF}"/>
    <cellStyle name="Percent 3 6 4" xfId="2927" xr:uid="{7EC2956E-903A-4632-8D1F-4268067E7335}"/>
    <cellStyle name="Percent 3 6 4 10" xfId="7355" xr:uid="{2007B078-9CF8-4BB5-875F-4FD6A7CD683C}"/>
    <cellStyle name="Percent 3 6 4 11" xfId="7356" xr:uid="{699ADFF2-0B37-40A3-84B2-F2B6D5E6ECED}"/>
    <cellStyle name="Percent 3 6 4 12" xfId="7354" xr:uid="{DC18DDA5-9F17-4212-B38F-CC2AD509C567}"/>
    <cellStyle name="Percent 3 6 4 2" xfId="7357" xr:uid="{5975F071-EF17-4FAD-833E-61CCEE43B127}"/>
    <cellStyle name="Percent 3 6 4 2 2" xfId="7358" xr:uid="{769827FC-E0D4-4DD4-A722-BF54F95A2B63}"/>
    <cellStyle name="Percent 3 6 4 2 2 2" xfId="7359" xr:uid="{7738619C-4A1D-48A2-8965-0B7EF3154A82}"/>
    <cellStyle name="Percent 3 6 4 2 3" xfId="7360" xr:uid="{3811FAFA-CD5D-42E4-899E-F80F7D01B451}"/>
    <cellStyle name="Percent 3 6 4 2 3 2" xfId="7361" xr:uid="{F7A18169-8AC5-4655-B6FC-ABEE42E009E9}"/>
    <cellStyle name="Percent 3 6 4 2 4" xfId="7362" xr:uid="{68844F3E-DB41-404E-9461-ED74DCDBEB06}"/>
    <cellStyle name="Percent 3 6 4 2 5" xfId="7363" xr:uid="{E24E9E44-722B-458F-93AD-39A37F167314}"/>
    <cellStyle name="Percent 3 6 4 3" xfId="7364" xr:uid="{2F71367E-F605-4AE4-8087-D30D2309004B}"/>
    <cellStyle name="Percent 3 6 4 3 2" xfId="7365" xr:uid="{D809D224-5F4D-4AF3-93CC-D316D4F06181}"/>
    <cellStyle name="Percent 3 6 4 3 2 2" xfId="7366" xr:uid="{4968DC25-BBAD-42B9-8151-E655E4D0F500}"/>
    <cellStyle name="Percent 3 6 4 3 3" xfId="7367" xr:uid="{E909A98E-405F-4728-A35D-5D09D07A92AA}"/>
    <cellStyle name="Percent 3 6 4 3 3 2" xfId="7368" xr:uid="{8875637C-E9F7-4283-A05F-8B4C98764FBB}"/>
    <cellStyle name="Percent 3 6 4 3 4" xfId="7369" xr:uid="{F609004D-AC7E-4B18-B2EB-E783B74030D6}"/>
    <cellStyle name="Percent 3 6 4 4" xfId="7370" xr:uid="{13F85CB6-3D50-4667-B0CC-04CF32F43A29}"/>
    <cellStyle name="Percent 3 6 4 4 2" xfId="7371" xr:uid="{0AC50F75-4523-467E-93EB-13876CE68B1A}"/>
    <cellStyle name="Percent 3 6 4 4 2 2" xfId="7372" xr:uid="{CF6F9A85-783F-44F7-9748-FFBFB26EC854}"/>
    <cellStyle name="Percent 3 6 4 4 3" xfId="7373" xr:uid="{E295C708-81CD-4D9A-BBBC-D6C101701A2E}"/>
    <cellStyle name="Percent 3 6 4 4 3 2" xfId="7374" xr:uid="{C4EE615B-70A7-4A69-9260-2B20D0014A14}"/>
    <cellStyle name="Percent 3 6 4 4 4" xfId="7375" xr:uid="{D859988C-E328-4CE5-A7DD-8484D5ECF813}"/>
    <cellStyle name="Percent 3 6 4 5" xfId="7376" xr:uid="{91F93350-9EE9-4FBC-B4E9-06B3E4783A9B}"/>
    <cellStyle name="Percent 3 6 4 5 2" xfId="7377" xr:uid="{0E59836F-01E1-416C-B436-331DD8E02E80}"/>
    <cellStyle name="Percent 3 6 4 5 2 2" xfId="7378" xr:uid="{CDCEABE9-DCE4-48C4-B8A7-FE8907E86EE3}"/>
    <cellStyle name="Percent 3 6 4 5 3" xfId="7379" xr:uid="{4FA54BFD-32F3-463B-8D95-02E36C7013A5}"/>
    <cellStyle name="Percent 3 6 4 5 3 2" xfId="7380" xr:uid="{B0B9681A-A06D-4422-8D98-514EDF6F55DA}"/>
    <cellStyle name="Percent 3 6 4 5 4" xfId="7381" xr:uid="{20C306EF-33F3-4A38-92EE-FC988A177D05}"/>
    <cellStyle name="Percent 3 6 4 5 4 2" xfId="7382" xr:uid="{33F5E538-9BEC-43B5-AFAD-DD78EBF6816C}"/>
    <cellStyle name="Percent 3 6 4 5 5" xfId="7383" xr:uid="{F432295E-B96C-4A64-B73A-A703EF71F22E}"/>
    <cellStyle name="Percent 3 6 4 6" xfId="7384" xr:uid="{8E4F59DB-911A-4538-9293-E1A336242A7A}"/>
    <cellStyle name="Percent 3 6 4 6 2" xfId="7385" xr:uid="{7FB89A5B-8118-41D9-AFF9-8A4338A526E6}"/>
    <cellStyle name="Percent 3 6 4 6 2 2" xfId="7386" xr:uid="{0576CEAD-6CCB-4CB9-AD1F-2F639C306BF0}"/>
    <cellStyle name="Percent 3 6 4 6 3" xfId="7387" xr:uid="{7C4B5267-B3CA-47E6-8919-1605A9A01CD7}"/>
    <cellStyle name="Percent 3 6 4 6 3 2" xfId="7388" xr:uid="{7997E1C7-5212-4FE9-94E3-1B38140A8E92}"/>
    <cellStyle name="Percent 3 6 4 6 4" xfId="7389" xr:uid="{52D4DE6B-EF04-4E9B-A873-F0F97CCBD512}"/>
    <cellStyle name="Percent 3 6 4 7" xfId="7390" xr:uid="{BC89D7D2-B9BB-48A4-B2A6-59DE591F5B60}"/>
    <cellStyle name="Percent 3 6 4 7 2" xfId="7391" xr:uid="{E910B79B-339A-4067-A879-42C9E5C0E8F3}"/>
    <cellStyle name="Percent 3 6 4 8" xfId="7392" xr:uid="{62DD2B43-42D8-4751-8402-7179D532082C}"/>
    <cellStyle name="Percent 3 6 4 8 2" xfId="7393" xr:uid="{3C867F33-3BE6-421E-A94B-435EDBB815F0}"/>
    <cellStyle name="Percent 3 6 4 9" xfId="7394" xr:uid="{73F28195-6EB2-4A9D-9F71-169D00F6BDB4}"/>
    <cellStyle name="Percent 3 6 4 9 2" xfId="7395" xr:uid="{38C38DEC-6F5A-4AE1-A4E3-5B5B4099628F}"/>
    <cellStyle name="Percent 3 6 5" xfId="2928" xr:uid="{2AF80AB5-09C8-40B5-8E54-C6B53370D3D8}"/>
    <cellStyle name="Percent 3 6 5 10" xfId="7397" xr:uid="{E2B1150A-5F3B-48BE-942E-84BA5E1BD166}"/>
    <cellStyle name="Percent 3 6 5 11" xfId="7398" xr:uid="{EA766516-52FC-4A4B-8C8C-3E4574CDC118}"/>
    <cellStyle name="Percent 3 6 5 12" xfId="7396" xr:uid="{EABA1BF4-57DA-4D57-8027-266834840FA4}"/>
    <cellStyle name="Percent 3 6 5 2" xfId="7399" xr:uid="{B8CF8AC9-61C8-4FA0-A21C-9DC516011CE7}"/>
    <cellStyle name="Percent 3 6 5 2 2" xfId="7400" xr:uid="{77A853CF-69C8-4683-8F61-54685BA38BB1}"/>
    <cellStyle name="Percent 3 6 5 2 2 2" xfId="7401" xr:uid="{263EE221-E850-4806-A561-90F81D3FF6EE}"/>
    <cellStyle name="Percent 3 6 5 2 3" xfId="7402" xr:uid="{C9FCC7C5-7859-44F5-B38A-76333AD14A90}"/>
    <cellStyle name="Percent 3 6 5 2 3 2" xfId="7403" xr:uid="{760A9DD5-587F-40BD-B93B-1550EE3B2397}"/>
    <cellStyle name="Percent 3 6 5 2 4" xfId="7404" xr:uid="{A6ACCD0D-CA8F-45EE-B6EF-6848CB5E325F}"/>
    <cellStyle name="Percent 3 6 5 2 5" xfId="7405" xr:uid="{E5D99FC7-2165-4393-AFE4-328D21861950}"/>
    <cellStyle name="Percent 3 6 5 3" xfId="7406" xr:uid="{2F4C15A3-3B6E-49F7-B2E0-926E482B166E}"/>
    <cellStyle name="Percent 3 6 5 3 2" xfId="7407" xr:uid="{CD17445A-637F-489F-83B2-BCF2BCDDA712}"/>
    <cellStyle name="Percent 3 6 5 3 2 2" xfId="7408" xr:uid="{94AB2A2B-A2FB-4B2E-9D38-D435FD2878D5}"/>
    <cellStyle name="Percent 3 6 5 3 3" xfId="7409" xr:uid="{A15448CF-3007-4B6A-96E1-F0607DD85F31}"/>
    <cellStyle name="Percent 3 6 5 3 3 2" xfId="7410" xr:uid="{1DEFFE9B-7A1F-4CB2-AC0B-FA3AF80630A9}"/>
    <cellStyle name="Percent 3 6 5 3 4" xfId="7411" xr:uid="{247469B6-89AF-4406-BA84-B64ABD047EE2}"/>
    <cellStyle name="Percent 3 6 5 4" xfId="7412" xr:uid="{4B4AB50C-FACB-415B-AB8B-2C8C90A77527}"/>
    <cellStyle name="Percent 3 6 5 4 2" xfId="7413" xr:uid="{607E644D-AC68-4208-8D8E-2AF271EC8B7F}"/>
    <cellStyle name="Percent 3 6 5 4 2 2" xfId="7414" xr:uid="{2E993B44-AF45-44AB-A25F-F8D9CFFA5B3F}"/>
    <cellStyle name="Percent 3 6 5 4 3" xfId="7415" xr:uid="{668CB130-E9DB-49EE-827D-BAB267B0A33E}"/>
    <cellStyle name="Percent 3 6 5 4 3 2" xfId="7416" xr:uid="{BF305197-1683-4338-BF55-6896066C0390}"/>
    <cellStyle name="Percent 3 6 5 4 4" xfId="7417" xr:uid="{1C5F5977-4C68-48C7-82FE-A3C11CB66AF1}"/>
    <cellStyle name="Percent 3 6 5 5" xfId="7418" xr:uid="{1E07EDCA-55D4-4E9A-AF92-BF89123C7788}"/>
    <cellStyle name="Percent 3 6 5 5 2" xfId="7419" xr:uid="{8D867B29-3D3F-436E-8967-043D78365D64}"/>
    <cellStyle name="Percent 3 6 5 5 2 2" xfId="7420" xr:uid="{A46BD5CF-451F-493C-AA81-00F84CA0A783}"/>
    <cellStyle name="Percent 3 6 5 5 3" xfId="7421" xr:uid="{9AD2A6D1-C689-4F56-88E7-7AEF61D37727}"/>
    <cellStyle name="Percent 3 6 5 5 3 2" xfId="7422" xr:uid="{240BBA13-A559-4DEA-B5CD-431AFA2D4630}"/>
    <cellStyle name="Percent 3 6 5 5 4" xfId="7423" xr:uid="{C7347CB6-813C-4E0B-B715-76C617FD2759}"/>
    <cellStyle name="Percent 3 6 5 5 4 2" xfId="7424" xr:uid="{DF592632-69B3-444B-B4B3-1FEE8B1D5147}"/>
    <cellStyle name="Percent 3 6 5 5 5" xfId="7425" xr:uid="{60230A46-3210-410D-9C17-D1804C970974}"/>
    <cellStyle name="Percent 3 6 5 6" xfId="7426" xr:uid="{8E6A61C8-7839-4BAB-A004-DC7F6363DE11}"/>
    <cellStyle name="Percent 3 6 5 6 2" xfId="7427" xr:uid="{515E0DDE-3063-40FC-B7FC-63B212DAC225}"/>
    <cellStyle name="Percent 3 6 5 6 2 2" xfId="7428" xr:uid="{FF2F0982-56EA-4A6D-8D6A-7223C152EDDA}"/>
    <cellStyle name="Percent 3 6 5 6 3" xfId="7429" xr:uid="{E4CD8A0F-43A1-4174-BAC2-9798CE0B532C}"/>
    <cellStyle name="Percent 3 6 5 6 3 2" xfId="7430" xr:uid="{6EFC3ECC-F432-4487-9DDA-E3A3F13D124E}"/>
    <cellStyle name="Percent 3 6 5 6 4" xfId="7431" xr:uid="{26593658-1C19-4902-9B63-1231EE281528}"/>
    <cellStyle name="Percent 3 6 5 7" xfId="7432" xr:uid="{96F8C008-3415-49EA-8D21-E24901520380}"/>
    <cellStyle name="Percent 3 6 5 7 2" xfId="7433" xr:uid="{4C80C628-2E02-4E07-A89F-D3E87328B572}"/>
    <cellStyle name="Percent 3 6 5 8" xfId="7434" xr:uid="{3F5F5F64-B037-4A7B-8F1B-F4BBA9E917CD}"/>
    <cellStyle name="Percent 3 6 5 8 2" xfId="7435" xr:uid="{0458451A-8CE8-4E42-816A-D372A3D16056}"/>
    <cellStyle name="Percent 3 6 5 9" xfId="7436" xr:uid="{626CA283-E2FA-4B3E-A321-F8916B78FFE3}"/>
    <cellStyle name="Percent 3 6 5 9 2" xfId="7437" xr:uid="{0F5C9B4F-0072-4E52-A9D5-0ED44D2B25B5}"/>
    <cellStyle name="Percent 3 6 6" xfId="2929" xr:uid="{E18FC7CC-6054-49A1-B02F-FCDBAABB1425}"/>
    <cellStyle name="Percent 3 6 6 10" xfId="7439" xr:uid="{D9F5E426-8E8D-4570-B01D-C86FACC80B23}"/>
    <cellStyle name="Percent 3 6 6 11" xfId="7440" xr:uid="{5BF6BEB7-6536-4D17-898A-8434B694B2CB}"/>
    <cellStyle name="Percent 3 6 6 12" xfId="7438" xr:uid="{D8D2306A-E6C3-4C79-820A-62933AE56506}"/>
    <cellStyle name="Percent 3 6 6 2" xfId="7441" xr:uid="{BAC2FCD0-0345-4E36-BC47-ACD367C65D43}"/>
    <cellStyle name="Percent 3 6 6 2 2" xfId="7442" xr:uid="{48F2357F-7307-4E36-9F2E-0467EF3EF10A}"/>
    <cellStyle name="Percent 3 6 6 2 2 2" xfId="7443" xr:uid="{CA146C8E-9819-46FB-B67D-96EABA5BE722}"/>
    <cellStyle name="Percent 3 6 6 2 3" xfId="7444" xr:uid="{E34CB4B1-B2DD-45C3-85E8-B74528C06EBB}"/>
    <cellStyle name="Percent 3 6 6 2 3 2" xfId="7445" xr:uid="{B0D76FC4-8CD3-4C88-9A3D-0BD2BA325B94}"/>
    <cellStyle name="Percent 3 6 6 2 4" xfId="7446" xr:uid="{13ABE2F5-7C0D-4DD1-BCC3-F7A5633FE215}"/>
    <cellStyle name="Percent 3 6 6 2 5" xfId="7447" xr:uid="{F5D2A3C6-EE2F-488E-9DC1-AFAD2F3F4046}"/>
    <cellStyle name="Percent 3 6 6 3" xfId="7448" xr:uid="{66DA2BA6-41DF-4DE2-9DC7-D9B217BC19E5}"/>
    <cellStyle name="Percent 3 6 6 3 2" xfId="7449" xr:uid="{495FC6EC-D5F2-4494-9F3E-AEB37781D155}"/>
    <cellStyle name="Percent 3 6 6 3 2 2" xfId="7450" xr:uid="{178A7DE8-29ED-45EF-975B-094369886BCE}"/>
    <cellStyle name="Percent 3 6 6 3 3" xfId="7451" xr:uid="{99997224-81B8-4D7B-AEC3-EA51DE974D0E}"/>
    <cellStyle name="Percent 3 6 6 3 3 2" xfId="7452" xr:uid="{311B0EC0-1A18-4B6C-A1A1-592ADC7422C8}"/>
    <cellStyle name="Percent 3 6 6 3 4" xfId="7453" xr:uid="{A5DB6D71-EBBF-48B7-A27E-831FFC98AEC6}"/>
    <cellStyle name="Percent 3 6 6 4" xfId="7454" xr:uid="{8AA7DA73-DD33-41AC-A11A-03E2C323EC32}"/>
    <cellStyle name="Percent 3 6 6 4 2" xfId="7455" xr:uid="{7340BA44-73EA-4151-B527-C709F8A11DA2}"/>
    <cellStyle name="Percent 3 6 6 4 2 2" xfId="7456" xr:uid="{0CD0CD21-C522-4958-BECE-34C04DF08209}"/>
    <cellStyle name="Percent 3 6 6 4 3" xfId="7457" xr:uid="{B903BDA9-36DF-481A-8C8C-6FD2A38B25D8}"/>
    <cellStyle name="Percent 3 6 6 4 3 2" xfId="7458" xr:uid="{DA4D665E-5A84-416C-A444-2575346EE465}"/>
    <cellStyle name="Percent 3 6 6 4 4" xfId="7459" xr:uid="{00C99E11-B57D-4B91-9A0D-DEA962725DB3}"/>
    <cellStyle name="Percent 3 6 6 5" xfId="7460" xr:uid="{C79D58D4-2BE0-43A1-B2C5-6655ACD50001}"/>
    <cellStyle name="Percent 3 6 6 5 2" xfId="7461" xr:uid="{8DC6FEA4-B27C-49D5-AAB8-BAEA75E1C73C}"/>
    <cellStyle name="Percent 3 6 6 5 2 2" xfId="7462" xr:uid="{23BD8B29-CAEE-4BDB-A426-EAF1DA875B18}"/>
    <cellStyle name="Percent 3 6 6 5 3" xfId="7463" xr:uid="{FF67702D-4F9D-4F8E-8028-A1BE7E6D0CC6}"/>
    <cellStyle name="Percent 3 6 6 5 3 2" xfId="7464" xr:uid="{13793B0A-2C43-44B7-B152-4729249CAC64}"/>
    <cellStyle name="Percent 3 6 6 5 4" xfId="7465" xr:uid="{307B2A48-6807-42FC-94E6-FCFEA29DD6F6}"/>
    <cellStyle name="Percent 3 6 6 5 4 2" xfId="7466" xr:uid="{7EF7D61D-9BDE-4EEC-A6D5-19F0850332C6}"/>
    <cellStyle name="Percent 3 6 6 5 5" xfId="7467" xr:uid="{944A6551-14E8-42C8-9A2D-1ACB2275EFC9}"/>
    <cellStyle name="Percent 3 6 6 6" xfId="7468" xr:uid="{36FA621D-68FB-4EB5-BE0F-31FE695166AE}"/>
    <cellStyle name="Percent 3 6 6 6 2" xfId="7469" xr:uid="{78C3C230-70CF-4307-8855-D883FE58E043}"/>
    <cellStyle name="Percent 3 6 6 6 2 2" xfId="7470" xr:uid="{4FDF8345-8138-42CB-9A12-ACDC8B941531}"/>
    <cellStyle name="Percent 3 6 6 6 3" xfId="7471" xr:uid="{F8416981-C2A9-4C5B-BF5C-6D080E5CB9AA}"/>
    <cellStyle name="Percent 3 6 6 6 3 2" xfId="7472" xr:uid="{B390B635-6E1F-4797-930D-0A592B1D5031}"/>
    <cellStyle name="Percent 3 6 6 6 4" xfId="7473" xr:uid="{9A3D94B3-C618-47A8-9E8B-3E16ED123E81}"/>
    <cellStyle name="Percent 3 6 6 7" xfId="7474" xr:uid="{8E54F389-FBCE-4321-8606-9C14BEF64CCB}"/>
    <cellStyle name="Percent 3 6 6 7 2" xfId="7475" xr:uid="{F04FDACF-FD7A-478C-9139-E41B82F2C1C5}"/>
    <cellStyle name="Percent 3 6 6 8" xfId="7476" xr:uid="{3ED2EEAF-9852-4831-8389-438548467F74}"/>
    <cellStyle name="Percent 3 6 6 8 2" xfId="7477" xr:uid="{CFA9ADD5-B37B-473D-9460-1040DAD8D1A1}"/>
    <cellStyle name="Percent 3 6 6 9" xfId="7478" xr:uid="{E60389A1-034E-4484-8ED1-84DD5BBE1D53}"/>
    <cellStyle name="Percent 3 6 6 9 2" xfId="7479" xr:uid="{E0DFCB3C-8C2C-43F3-B2A4-523F2001262E}"/>
    <cellStyle name="Percent 3 6 7" xfId="2930" xr:uid="{5FEC11CC-C9DC-43F1-A2B1-CACC6C595A74}"/>
    <cellStyle name="Percent 3 6 7 10" xfId="7481" xr:uid="{0046F427-081B-4271-B44C-90D4C82377D3}"/>
    <cellStyle name="Percent 3 6 7 11" xfId="7482" xr:uid="{8233A28D-CDF4-49DD-AF8A-CCFA24E19E2F}"/>
    <cellStyle name="Percent 3 6 7 12" xfId="7480" xr:uid="{A9F06F15-EF10-46FA-BABC-051892365AB3}"/>
    <cellStyle name="Percent 3 6 7 2" xfId="7483" xr:uid="{35563FED-59E5-4824-8A55-4632CA62A9B6}"/>
    <cellStyle name="Percent 3 6 7 2 2" xfId="7484" xr:uid="{8EFA893B-724C-4893-A0EF-CF1BEF5862F8}"/>
    <cellStyle name="Percent 3 6 7 2 2 2" xfId="7485" xr:uid="{C8D2B23B-5C93-4421-9E64-59BE17EE54AA}"/>
    <cellStyle name="Percent 3 6 7 2 3" xfId="7486" xr:uid="{170C214D-6DD0-4802-B657-6E6B98669396}"/>
    <cellStyle name="Percent 3 6 7 2 3 2" xfId="7487" xr:uid="{D64BC627-F559-427A-BE15-2D9BC10BD8F5}"/>
    <cellStyle name="Percent 3 6 7 2 4" xfId="7488" xr:uid="{9D1C19AA-48F4-4A85-B39E-484C189FC55A}"/>
    <cellStyle name="Percent 3 6 7 2 5" xfId="7489" xr:uid="{5BE2EC94-D7AB-42C4-B1D9-0AA9E010F20F}"/>
    <cellStyle name="Percent 3 6 7 3" xfId="7490" xr:uid="{1C47CF13-191E-4DFC-8CF3-B25E0E6EE265}"/>
    <cellStyle name="Percent 3 6 7 3 2" xfId="7491" xr:uid="{DA60854D-D31D-488A-B9BE-41E70F2AF826}"/>
    <cellStyle name="Percent 3 6 7 3 2 2" xfId="7492" xr:uid="{7B5FEEE5-0CCF-4B2D-96E3-D778CC59BD70}"/>
    <cellStyle name="Percent 3 6 7 3 3" xfId="7493" xr:uid="{D7C37955-1DE4-4303-9FCA-79E14A8B8FFF}"/>
    <cellStyle name="Percent 3 6 7 3 3 2" xfId="7494" xr:uid="{152ADE8D-67D8-413F-94CF-30EA96A8EE15}"/>
    <cellStyle name="Percent 3 6 7 3 4" xfId="7495" xr:uid="{F5090DB2-E476-4106-8994-774F4BA74795}"/>
    <cellStyle name="Percent 3 6 7 4" xfId="7496" xr:uid="{14FCDB13-303C-4801-947E-13E4FCF8303C}"/>
    <cellStyle name="Percent 3 6 7 4 2" xfId="7497" xr:uid="{148DD5DD-155C-4FE3-B086-1F2AEDF40DF4}"/>
    <cellStyle name="Percent 3 6 7 4 2 2" xfId="7498" xr:uid="{33017572-90ED-4993-BEA4-0127369604B8}"/>
    <cellStyle name="Percent 3 6 7 4 3" xfId="7499" xr:uid="{8F2C5FB6-3CA7-45C0-B210-839CD1982D89}"/>
    <cellStyle name="Percent 3 6 7 4 3 2" xfId="7500" xr:uid="{7F4125A3-2F96-4930-B493-43CD5C04A475}"/>
    <cellStyle name="Percent 3 6 7 4 4" xfId="7501" xr:uid="{9F90CEC6-E95E-4090-97B3-8CC2E0C5FC68}"/>
    <cellStyle name="Percent 3 6 7 5" xfId="7502" xr:uid="{599997E6-E127-461D-8D34-70E9E43EC3DB}"/>
    <cellStyle name="Percent 3 6 7 5 2" xfId="7503" xr:uid="{C8042FAB-F3A7-4122-AA49-C217858CEDE6}"/>
    <cellStyle name="Percent 3 6 7 5 2 2" xfId="7504" xr:uid="{D2F52386-1306-4F7D-8A6E-CA01CF635E04}"/>
    <cellStyle name="Percent 3 6 7 5 3" xfId="7505" xr:uid="{880CBFD0-D18D-4077-9770-DF760A2FE1AC}"/>
    <cellStyle name="Percent 3 6 7 5 3 2" xfId="7506" xr:uid="{E8F95F04-87C5-4C8B-B023-D9646349B4F1}"/>
    <cellStyle name="Percent 3 6 7 5 4" xfId="7507" xr:uid="{54F900CA-FC6D-43E3-BE2E-5BB9011F4C2C}"/>
    <cellStyle name="Percent 3 6 7 5 4 2" xfId="7508" xr:uid="{0B51D9BF-4D86-4E05-8DAE-7CB629CFCB3F}"/>
    <cellStyle name="Percent 3 6 7 5 5" xfId="7509" xr:uid="{611C5C5F-BD31-4376-86E5-8F78227115EC}"/>
    <cellStyle name="Percent 3 6 7 6" xfId="7510" xr:uid="{70A7C5BD-DFF3-49CE-A565-3356129B0E6C}"/>
    <cellStyle name="Percent 3 6 7 6 2" xfId="7511" xr:uid="{E5278A18-5B72-4223-BA3A-388FE77908CF}"/>
    <cellStyle name="Percent 3 6 7 6 2 2" xfId="7512" xr:uid="{E69A5793-415B-4328-A99C-29C6DA5C59D9}"/>
    <cellStyle name="Percent 3 6 7 6 3" xfId="7513" xr:uid="{1FA2A365-B1BF-49AA-934F-73246F6E3553}"/>
    <cellStyle name="Percent 3 6 7 6 3 2" xfId="7514" xr:uid="{9341A805-F1D9-4894-996E-C54E29EF607C}"/>
    <cellStyle name="Percent 3 6 7 6 4" xfId="7515" xr:uid="{D744D0B0-D072-4779-ACC7-1811A050CF84}"/>
    <cellStyle name="Percent 3 6 7 7" xfId="7516" xr:uid="{26FA68D3-5322-46B8-999B-829C8753ECAC}"/>
    <cellStyle name="Percent 3 6 7 7 2" xfId="7517" xr:uid="{162C0C92-7DEF-4B95-B949-DD6B0CA20A58}"/>
    <cellStyle name="Percent 3 6 7 8" xfId="7518" xr:uid="{DEE64FFB-6858-4B51-A7CA-A6CBCAA96EAF}"/>
    <cellStyle name="Percent 3 6 7 8 2" xfId="7519" xr:uid="{927FB93C-EF97-4C21-B439-165436FCC29D}"/>
    <cellStyle name="Percent 3 6 7 9" xfId="7520" xr:uid="{B8D83C68-80BD-4DCC-877C-63608ABB39AA}"/>
    <cellStyle name="Percent 3 6 7 9 2" xfId="7521" xr:uid="{601F9A53-BAC0-49DA-B874-CA9F61DEBD77}"/>
    <cellStyle name="Percent 3 6 8" xfId="2931" xr:uid="{9618B833-DBA0-4296-BB91-111E38CE23D4}"/>
    <cellStyle name="Percent 3 6 8 10" xfId="7523" xr:uid="{147576FD-5ADE-4F88-BAEE-929C005135BE}"/>
    <cellStyle name="Percent 3 6 8 11" xfId="7524" xr:uid="{A6BAC1C6-B338-47BF-A96A-5A915E9AEB34}"/>
    <cellStyle name="Percent 3 6 8 12" xfId="7522" xr:uid="{CEE86C8B-E894-4594-A350-6293301F6600}"/>
    <cellStyle name="Percent 3 6 8 2" xfId="7525" xr:uid="{2E28E324-F549-4F99-9132-F697A3E7AF05}"/>
    <cellStyle name="Percent 3 6 8 2 2" xfId="7526" xr:uid="{19298C65-A176-42B3-86E1-82C2E2F455B3}"/>
    <cellStyle name="Percent 3 6 8 2 2 2" xfId="7527" xr:uid="{7DFC26CB-DFEC-47F7-9BA5-2B68D6AF72BD}"/>
    <cellStyle name="Percent 3 6 8 2 3" xfId="7528" xr:uid="{C85C914D-758A-4B66-93F0-E274D5EDFA66}"/>
    <cellStyle name="Percent 3 6 8 2 3 2" xfId="7529" xr:uid="{B75664AC-909D-4D4F-A5FC-3CD8791240AB}"/>
    <cellStyle name="Percent 3 6 8 2 4" xfId="7530" xr:uid="{5920556F-9144-41C9-A81E-D8E3B4AC72DE}"/>
    <cellStyle name="Percent 3 6 8 2 5" xfId="7531" xr:uid="{94DB003E-A9BD-4384-9C0D-9E8712FE2A35}"/>
    <cellStyle name="Percent 3 6 8 3" xfId="7532" xr:uid="{A1084A43-C21A-40CF-BD72-3CDF9B67BE61}"/>
    <cellStyle name="Percent 3 6 8 3 2" xfId="7533" xr:uid="{3C5A4E80-A97F-4314-B2D0-E1BFB75B9DD9}"/>
    <cellStyle name="Percent 3 6 8 3 2 2" xfId="7534" xr:uid="{86786ADE-B4E2-47AB-AAE2-A21DA2068ABD}"/>
    <cellStyle name="Percent 3 6 8 3 3" xfId="7535" xr:uid="{19628AE8-925A-4250-81B8-528D48B2EF41}"/>
    <cellStyle name="Percent 3 6 8 3 3 2" xfId="7536" xr:uid="{1C690D47-EB0D-4FD9-9012-6A7FF9CD7D76}"/>
    <cellStyle name="Percent 3 6 8 3 4" xfId="7537" xr:uid="{154C0E5B-3106-4A84-96DB-83C5C4906709}"/>
    <cellStyle name="Percent 3 6 8 4" xfId="7538" xr:uid="{A75C3D10-BA13-4289-8779-B1A6175C0826}"/>
    <cellStyle name="Percent 3 6 8 4 2" xfId="7539" xr:uid="{5B4074D7-C0D8-4F03-8B58-85E028F9201B}"/>
    <cellStyle name="Percent 3 6 8 4 2 2" xfId="7540" xr:uid="{06892581-D68B-4EE7-B5B7-239640474D8D}"/>
    <cellStyle name="Percent 3 6 8 4 3" xfId="7541" xr:uid="{24FBE02E-662D-4406-8BAC-E0152AE93250}"/>
    <cellStyle name="Percent 3 6 8 4 3 2" xfId="7542" xr:uid="{F0189036-8261-42F2-B3A8-BD31C867EE6E}"/>
    <cellStyle name="Percent 3 6 8 4 4" xfId="7543" xr:uid="{760D8380-8CA8-41FA-BB80-C1D48434C259}"/>
    <cellStyle name="Percent 3 6 8 5" xfId="7544" xr:uid="{3DC741B8-D013-4E05-B9DC-4484D9E5D44B}"/>
    <cellStyle name="Percent 3 6 8 5 2" xfId="7545" xr:uid="{1390623D-66EA-4EB4-8A9C-DD3BD1D57514}"/>
    <cellStyle name="Percent 3 6 8 5 2 2" xfId="7546" xr:uid="{C753403A-DDED-4002-961D-03E644FE0AC7}"/>
    <cellStyle name="Percent 3 6 8 5 3" xfId="7547" xr:uid="{91E81354-B285-4612-AA2E-35DF6881E382}"/>
    <cellStyle name="Percent 3 6 8 5 3 2" xfId="7548" xr:uid="{94A94891-86AE-4F1F-9C15-97A52A0B68DE}"/>
    <cellStyle name="Percent 3 6 8 5 4" xfId="7549" xr:uid="{0C93FF37-7D95-4199-9946-DA59A489FE29}"/>
    <cellStyle name="Percent 3 6 8 5 4 2" xfId="7550" xr:uid="{D5B9FDD5-A34D-4486-97E6-6D8AE9431D0D}"/>
    <cellStyle name="Percent 3 6 8 5 5" xfId="7551" xr:uid="{82A88E40-9156-4B90-A390-26E3BF1869A9}"/>
    <cellStyle name="Percent 3 6 8 6" xfId="7552" xr:uid="{74529EAB-EF43-4836-9E94-92AE8A0F905E}"/>
    <cellStyle name="Percent 3 6 8 6 2" xfId="7553" xr:uid="{0986DA31-437C-454D-99F2-046264AE1907}"/>
    <cellStyle name="Percent 3 6 8 6 2 2" xfId="7554" xr:uid="{47D2E269-15A9-4272-9309-32DB3411CAE9}"/>
    <cellStyle name="Percent 3 6 8 6 3" xfId="7555" xr:uid="{0BFAFA87-00D7-4942-A3B5-E7B575A4D3D7}"/>
    <cellStyle name="Percent 3 6 8 6 3 2" xfId="7556" xr:uid="{33C23335-C54C-4333-9371-A603AEE1AEC5}"/>
    <cellStyle name="Percent 3 6 8 6 4" xfId="7557" xr:uid="{7B6673BB-3036-4D6F-9C44-66A3F6B8E163}"/>
    <cellStyle name="Percent 3 6 8 7" xfId="7558" xr:uid="{4E23DED0-E56D-44D8-BB8E-93E98526CCE1}"/>
    <cellStyle name="Percent 3 6 8 7 2" xfId="7559" xr:uid="{50ECB373-1154-4927-BFD1-1ED8B14385F1}"/>
    <cellStyle name="Percent 3 6 8 8" xfId="7560" xr:uid="{1BB42C55-348B-4F9B-A452-97C6F31EBF1D}"/>
    <cellStyle name="Percent 3 6 8 8 2" xfId="7561" xr:uid="{757DBF86-15D4-40B3-B4C7-8FF2C7B785C6}"/>
    <cellStyle name="Percent 3 6 8 9" xfId="7562" xr:uid="{DD34C487-0A67-4D76-8565-EEAB5CCE4A31}"/>
    <cellStyle name="Percent 3 6 8 9 2" xfId="7563" xr:uid="{4C34CD35-DD28-4DE7-9AEF-D92DCB881E0B}"/>
    <cellStyle name="Percent 3 6 9" xfId="2932" xr:uid="{4CB40F66-E4CA-45E1-8F9D-FFC3D14CC409}"/>
    <cellStyle name="Percent 3 6 9 10" xfId="7565" xr:uid="{4855B3BA-A6E2-47C5-A222-1FD87D2226FE}"/>
    <cellStyle name="Percent 3 6 9 11" xfId="7566" xr:uid="{AA76EDA9-A4AE-4736-8915-D7045CAC226E}"/>
    <cellStyle name="Percent 3 6 9 12" xfId="7564" xr:uid="{A28467AF-F826-411A-83AA-AEDCEC068E17}"/>
    <cellStyle name="Percent 3 6 9 2" xfId="7567" xr:uid="{CAE155E8-3B87-43C8-8982-7B612A5DDBD9}"/>
    <cellStyle name="Percent 3 6 9 2 2" xfId="7568" xr:uid="{1FE69471-FA91-412D-BD06-4F320A05EF9B}"/>
    <cellStyle name="Percent 3 6 9 2 2 2" xfId="7569" xr:uid="{3CFFB63F-73B2-43C5-B046-B89CE3C7B549}"/>
    <cellStyle name="Percent 3 6 9 2 3" xfId="7570" xr:uid="{03704957-D2E1-43F4-98EB-F3754CE4001B}"/>
    <cellStyle name="Percent 3 6 9 2 3 2" xfId="7571" xr:uid="{ABEE4036-32B9-4595-A363-5A8F08ACE788}"/>
    <cellStyle name="Percent 3 6 9 2 4" xfId="7572" xr:uid="{F49E6F0A-1DE1-46F5-A0DD-2DA03200D861}"/>
    <cellStyle name="Percent 3 6 9 2 5" xfId="7573" xr:uid="{05B8D952-1505-4120-9219-D881AF029002}"/>
    <cellStyle name="Percent 3 6 9 3" xfId="7574" xr:uid="{5526AA03-2E41-48B2-8E53-7F255003FEFC}"/>
    <cellStyle name="Percent 3 6 9 3 2" xfId="7575" xr:uid="{80BDDB6E-39CD-4379-96A5-1E134FA75645}"/>
    <cellStyle name="Percent 3 6 9 3 2 2" xfId="7576" xr:uid="{B64E19B3-1C7C-4FC6-B1C3-0DDEF1561698}"/>
    <cellStyle name="Percent 3 6 9 3 3" xfId="7577" xr:uid="{CA074E58-9F51-4438-A70D-A766FD69F50F}"/>
    <cellStyle name="Percent 3 6 9 3 3 2" xfId="7578" xr:uid="{B8AA3280-9586-48C3-9E2C-3C34643B29AD}"/>
    <cellStyle name="Percent 3 6 9 3 4" xfId="7579" xr:uid="{F7AC4C38-E195-4F22-A14F-C11EF182AFA1}"/>
    <cellStyle name="Percent 3 6 9 4" xfId="7580" xr:uid="{ECE40DBC-F350-499A-8FB0-69F388D7BB33}"/>
    <cellStyle name="Percent 3 6 9 4 2" xfId="7581" xr:uid="{503DB82E-D01A-4B82-ABC0-E52FB682DE19}"/>
    <cellStyle name="Percent 3 6 9 4 2 2" xfId="7582" xr:uid="{68E668C1-B861-48CC-965D-778E9658588F}"/>
    <cellStyle name="Percent 3 6 9 4 3" xfId="7583" xr:uid="{CC5B4CF6-CEC4-4FBF-B8BB-EBF6EA8DCDF7}"/>
    <cellStyle name="Percent 3 6 9 4 3 2" xfId="7584" xr:uid="{A1E9958C-973A-4034-B0DF-B96260577625}"/>
    <cellStyle name="Percent 3 6 9 4 4" xfId="7585" xr:uid="{CFF2EF1A-0517-4AB8-9D64-A27C235A18A6}"/>
    <cellStyle name="Percent 3 6 9 5" xfId="7586" xr:uid="{1EB8C47E-6F79-4EB6-86C4-B1DE6AAD4A5A}"/>
    <cellStyle name="Percent 3 6 9 5 2" xfId="7587" xr:uid="{24E15F38-9638-47D5-9392-C1B88916E87B}"/>
    <cellStyle name="Percent 3 6 9 5 2 2" xfId="7588" xr:uid="{1CAF2CC7-6519-4545-A7C1-B4C216DBC9AB}"/>
    <cellStyle name="Percent 3 6 9 5 3" xfId="7589" xr:uid="{EC1FAA55-5C5A-4BDF-B573-7132A64F01C7}"/>
    <cellStyle name="Percent 3 6 9 5 3 2" xfId="7590" xr:uid="{15D1F444-488B-41AE-A153-37B272D17048}"/>
    <cellStyle name="Percent 3 6 9 5 4" xfId="7591" xr:uid="{96549590-1BF6-4721-B61D-5C378479F6D7}"/>
    <cellStyle name="Percent 3 6 9 5 4 2" xfId="7592" xr:uid="{87857AEE-2A15-4151-BF10-629C4EB7F296}"/>
    <cellStyle name="Percent 3 6 9 5 5" xfId="7593" xr:uid="{05F2FD03-5FFC-4244-92B5-2819AD8CADA8}"/>
    <cellStyle name="Percent 3 6 9 6" xfId="7594" xr:uid="{FB44D5E2-0DBF-4793-A588-9863F24693C9}"/>
    <cellStyle name="Percent 3 6 9 6 2" xfId="7595" xr:uid="{30149706-519B-4D2B-8EA6-D3D9C4141540}"/>
    <cellStyle name="Percent 3 6 9 6 2 2" xfId="7596" xr:uid="{DBED5DF8-1F5A-4511-AA67-0A4FFD18116B}"/>
    <cellStyle name="Percent 3 6 9 6 3" xfId="7597" xr:uid="{5AFDB2FC-4961-483C-87E6-43DE6356AAEC}"/>
    <cellStyle name="Percent 3 6 9 6 3 2" xfId="7598" xr:uid="{7247B90F-3320-4283-9D94-89731884E4C5}"/>
    <cellStyle name="Percent 3 6 9 6 4" xfId="7599" xr:uid="{56AED4A7-7458-4E72-BF34-73755A2732A0}"/>
    <cellStyle name="Percent 3 6 9 7" xfId="7600" xr:uid="{D97E2DD5-970F-41ED-B509-51FD84B999C8}"/>
    <cellStyle name="Percent 3 6 9 7 2" xfId="7601" xr:uid="{0DB4B5D6-57BA-4514-91EF-DBB5922969E2}"/>
    <cellStyle name="Percent 3 6 9 8" xfId="7602" xr:uid="{62714B81-4016-4ED5-BB25-909CAB0FC305}"/>
    <cellStyle name="Percent 3 6 9 8 2" xfId="7603" xr:uid="{DADBD00C-0282-4111-9914-98A91111FC22}"/>
    <cellStyle name="Percent 3 6 9 9" xfId="7604" xr:uid="{A9E17E3F-204D-42D1-B7FD-C597A23689CE}"/>
    <cellStyle name="Percent 3 6 9 9 2" xfId="7605" xr:uid="{BA306D08-A661-4193-A045-EA42E84FB1D4}"/>
    <cellStyle name="Percent 3 7" xfId="294" xr:uid="{E9F1CFBA-7739-4B6B-AD67-241E070A4915}"/>
    <cellStyle name="Percent 3 7 10" xfId="2933" xr:uid="{BAC14A81-DF0A-4178-BCF0-260630208B76}"/>
    <cellStyle name="Percent 3 7 10 10" xfId="7608" xr:uid="{8C5E6820-20C3-4A28-BD59-4140CA6AB1EB}"/>
    <cellStyle name="Percent 3 7 10 11" xfId="7609" xr:uid="{553852B1-91F4-4D01-B818-AFB6815D8243}"/>
    <cellStyle name="Percent 3 7 10 12" xfId="7607" xr:uid="{741892AC-1194-457D-B81E-1FB18BE2D066}"/>
    <cellStyle name="Percent 3 7 10 2" xfId="7610" xr:uid="{F6EEE1EA-1C7C-4893-B55A-47AF0FBF2D28}"/>
    <cellStyle name="Percent 3 7 10 2 2" xfId="7611" xr:uid="{830AA6A2-46F2-4A38-804C-2534E9E4487E}"/>
    <cellStyle name="Percent 3 7 10 2 2 2" xfId="7612" xr:uid="{F6FDC400-5955-48D0-B628-EDD8C43DFAC0}"/>
    <cellStyle name="Percent 3 7 10 2 3" xfId="7613" xr:uid="{7FE023C9-5037-4C3B-A30D-FC6FAA48C298}"/>
    <cellStyle name="Percent 3 7 10 2 3 2" xfId="7614" xr:uid="{942DCEB4-28DD-49C5-A199-A2E7506DEC7C}"/>
    <cellStyle name="Percent 3 7 10 2 4" xfId="7615" xr:uid="{8581A41E-189B-458B-9545-0A8FCD901A1D}"/>
    <cellStyle name="Percent 3 7 10 2 5" xfId="7616" xr:uid="{9E2BA179-8569-439B-AD7F-166952CD5C59}"/>
    <cellStyle name="Percent 3 7 10 3" xfId="7617" xr:uid="{F1006205-6CCD-422C-8686-E8A32A98922A}"/>
    <cellStyle name="Percent 3 7 10 3 2" xfId="7618" xr:uid="{F701F378-6003-4B7A-ABAA-3CDCC68884E0}"/>
    <cellStyle name="Percent 3 7 10 3 2 2" xfId="7619" xr:uid="{715AB55A-0A79-4E8B-B72B-35760DACA55C}"/>
    <cellStyle name="Percent 3 7 10 3 3" xfId="7620" xr:uid="{BB281ADA-137C-4083-8D96-FA9A821B0AF3}"/>
    <cellStyle name="Percent 3 7 10 3 3 2" xfId="7621" xr:uid="{0F1D89EE-20D0-4424-9ABA-DA2B99C765D8}"/>
    <cellStyle name="Percent 3 7 10 3 4" xfId="7622" xr:uid="{CD060859-E99C-4DE5-87F6-2C4DCEC7D848}"/>
    <cellStyle name="Percent 3 7 10 4" xfId="7623" xr:uid="{85EF74A9-BE54-49E6-BF98-54B374E89572}"/>
    <cellStyle name="Percent 3 7 10 4 2" xfId="7624" xr:uid="{7A83837E-A5C0-416A-B28E-533A507EC9DB}"/>
    <cellStyle name="Percent 3 7 10 4 2 2" xfId="7625" xr:uid="{F70DCAF7-826E-4F27-BDC6-992A5C0EBA37}"/>
    <cellStyle name="Percent 3 7 10 4 3" xfId="7626" xr:uid="{0CEF1841-5459-4359-8E27-E249E703A9F5}"/>
    <cellStyle name="Percent 3 7 10 4 3 2" xfId="7627" xr:uid="{041C8A08-E307-4FA9-916D-ABC3238FED01}"/>
    <cellStyle name="Percent 3 7 10 4 4" xfId="7628" xr:uid="{440EAD03-2EC0-494A-AB60-FF60088E23AB}"/>
    <cellStyle name="Percent 3 7 10 5" xfId="7629" xr:uid="{3348F9D7-DC95-4983-B00E-36CBFA7B99EB}"/>
    <cellStyle name="Percent 3 7 10 5 2" xfId="7630" xr:uid="{D5706B13-2EBC-4A42-98D2-B0D498C6733D}"/>
    <cellStyle name="Percent 3 7 10 5 2 2" xfId="7631" xr:uid="{708BE2E6-1124-4C18-877C-5B88D8E837D8}"/>
    <cellStyle name="Percent 3 7 10 5 3" xfId="7632" xr:uid="{A3997061-BCBA-40CC-BAA4-0E258956A17B}"/>
    <cellStyle name="Percent 3 7 10 5 3 2" xfId="7633" xr:uid="{779AC1F1-A1EB-46F2-BAD8-99344EFF5158}"/>
    <cellStyle name="Percent 3 7 10 5 4" xfId="7634" xr:uid="{73BEC244-352E-4CEB-9220-B792F0040887}"/>
    <cellStyle name="Percent 3 7 10 5 4 2" xfId="7635" xr:uid="{3B8DE97F-8207-45FD-B28B-A3FE10954165}"/>
    <cellStyle name="Percent 3 7 10 5 5" xfId="7636" xr:uid="{ED0F8E72-0A22-4758-829D-5782278DAA3A}"/>
    <cellStyle name="Percent 3 7 10 6" xfId="7637" xr:uid="{F9E4F244-01DA-4976-AF75-28E7F53B53F8}"/>
    <cellStyle name="Percent 3 7 10 6 2" xfId="7638" xr:uid="{F7E519B2-C04C-4DDC-90A8-AFA9148C96DD}"/>
    <cellStyle name="Percent 3 7 10 6 2 2" xfId="7639" xr:uid="{644ED793-F75C-40CA-BF63-68DDF72F5C1B}"/>
    <cellStyle name="Percent 3 7 10 6 3" xfId="7640" xr:uid="{205DDF1B-3CBB-443A-AF2C-643CDBCE8F22}"/>
    <cellStyle name="Percent 3 7 10 6 3 2" xfId="7641" xr:uid="{F03DACB5-C58F-45E0-93A8-638D83B76A24}"/>
    <cellStyle name="Percent 3 7 10 6 4" xfId="7642" xr:uid="{B2F380A6-AC4D-4A45-83F3-F92403E687A3}"/>
    <cellStyle name="Percent 3 7 10 7" xfId="7643" xr:uid="{300A655B-9611-4823-A0C2-8EE184FEDEB0}"/>
    <cellStyle name="Percent 3 7 10 7 2" xfId="7644" xr:uid="{332FC6FB-698D-4CD5-A714-A39ED7796CD9}"/>
    <cellStyle name="Percent 3 7 10 8" xfId="7645" xr:uid="{E4BED091-61F7-4DCE-ABE4-59DE46A149D4}"/>
    <cellStyle name="Percent 3 7 10 8 2" xfId="7646" xr:uid="{9DA99A70-E599-4767-8EE6-7637BC4876FB}"/>
    <cellStyle name="Percent 3 7 10 9" xfId="7647" xr:uid="{B6E6CE42-5E80-40EC-9AA1-1CDC77766965}"/>
    <cellStyle name="Percent 3 7 10 9 2" xfId="7648" xr:uid="{585CC239-FEAC-4F7B-8C5E-39D7B798A52F}"/>
    <cellStyle name="Percent 3 7 11" xfId="2934" xr:uid="{F812F709-989F-49E0-97C2-DABD68B9FA60}"/>
    <cellStyle name="Percent 3 7 11 10" xfId="7650" xr:uid="{7CCAE905-CC3D-4541-BF6B-5EE6D5C3CAF8}"/>
    <cellStyle name="Percent 3 7 11 11" xfId="7651" xr:uid="{AE9DE439-D565-4E20-8842-16EDE3A497E8}"/>
    <cellStyle name="Percent 3 7 11 12" xfId="7649" xr:uid="{445C8725-DFA4-41D7-A240-6D624C820DE4}"/>
    <cellStyle name="Percent 3 7 11 2" xfId="7652" xr:uid="{30E6A04B-86F5-4CE7-984A-54826E8090CB}"/>
    <cellStyle name="Percent 3 7 11 2 2" xfId="7653" xr:uid="{798DB133-569A-4E05-8E4A-8377E113CA64}"/>
    <cellStyle name="Percent 3 7 11 2 2 2" xfId="7654" xr:uid="{34E05F2F-199E-44B5-89E1-1021E4E3B51E}"/>
    <cellStyle name="Percent 3 7 11 2 3" xfId="7655" xr:uid="{D3DE66D7-CE63-44FA-AF51-504F231B13AE}"/>
    <cellStyle name="Percent 3 7 11 2 3 2" xfId="7656" xr:uid="{D0D7CFBA-792E-42B5-8758-A1BFF81E839E}"/>
    <cellStyle name="Percent 3 7 11 2 4" xfId="7657" xr:uid="{952C5BCB-0E95-45E8-AA0C-D638B21BC6FC}"/>
    <cellStyle name="Percent 3 7 11 2 5" xfId="7658" xr:uid="{6182BCF2-EA7C-49F4-B852-6D848D6870F7}"/>
    <cellStyle name="Percent 3 7 11 3" xfId="7659" xr:uid="{6391A55B-68B0-4359-80EF-E65DBFDAFD44}"/>
    <cellStyle name="Percent 3 7 11 3 2" xfId="7660" xr:uid="{A6955740-8787-4AB2-AEAD-658AD121BF7E}"/>
    <cellStyle name="Percent 3 7 11 3 2 2" xfId="7661" xr:uid="{C7FE5B56-B244-40BF-B618-61591812E427}"/>
    <cellStyle name="Percent 3 7 11 3 3" xfId="7662" xr:uid="{48E5D97D-69BB-4D34-8CA0-A054F3A8BE83}"/>
    <cellStyle name="Percent 3 7 11 3 3 2" xfId="7663" xr:uid="{0D513C9A-F622-4168-A065-B9676D82D325}"/>
    <cellStyle name="Percent 3 7 11 3 4" xfId="7664" xr:uid="{847050B1-31EA-4140-8E58-F4F4D029A467}"/>
    <cellStyle name="Percent 3 7 11 4" xfId="7665" xr:uid="{FFD7FCBF-53BF-4187-BD5E-B82D52C760DD}"/>
    <cellStyle name="Percent 3 7 11 4 2" xfId="7666" xr:uid="{209744D3-8CD0-422F-BD79-E35BAF7C1E74}"/>
    <cellStyle name="Percent 3 7 11 4 2 2" xfId="7667" xr:uid="{23EC42D3-2D7C-4438-AEA7-0D482E936172}"/>
    <cellStyle name="Percent 3 7 11 4 3" xfId="7668" xr:uid="{A901FE47-FAA0-4FFB-B667-573EB1725B54}"/>
    <cellStyle name="Percent 3 7 11 4 3 2" xfId="7669" xr:uid="{90F8B07C-7F70-4C20-98C8-B9C43C9060FD}"/>
    <cellStyle name="Percent 3 7 11 4 4" xfId="7670" xr:uid="{3459E969-BF25-4D5E-8AC2-B6AF2E725D11}"/>
    <cellStyle name="Percent 3 7 11 5" xfId="7671" xr:uid="{EBF1DBA5-B5F1-44CC-BE63-5B43127F8703}"/>
    <cellStyle name="Percent 3 7 11 5 2" xfId="7672" xr:uid="{CB5BA6BB-B563-484B-AEB9-BF4B036EDD46}"/>
    <cellStyle name="Percent 3 7 11 5 2 2" xfId="7673" xr:uid="{ECEFE398-82D0-4CCE-91F3-2900669E5EDB}"/>
    <cellStyle name="Percent 3 7 11 5 3" xfId="7674" xr:uid="{D344F865-4B2E-48EE-B6A6-A3816414C332}"/>
    <cellStyle name="Percent 3 7 11 5 3 2" xfId="7675" xr:uid="{F96F402B-B6F8-4C44-8AF0-0742A43DC5DC}"/>
    <cellStyle name="Percent 3 7 11 5 4" xfId="7676" xr:uid="{18C6A860-D95A-402E-927F-8C271F338CC4}"/>
    <cellStyle name="Percent 3 7 11 5 4 2" xfId="7677" xr:uid="{DB56A0E9-F7A6-4464-81B8-C03E575965B1}"/>
    <cellStyle name="Percent 3 7 11 5 5" xfId="7678" xr:uid="{2B24FE12-7F98-413B-9F2A-E3AE8E68BDDC}"/>
    <cellStyle name="Percent 3 7 11 6" xfId="7679" xr:uid="{6B67E445-4D5A-45C5-9F01-D926BEF51A57}"/>
    <cellStyle name="Percent 3 7 11 6 2" xfId="7680" xr:uid="{656EA7E4-6FB2-455E-848A-3431EC8F5C13}"/>
    <cellStyle name="Percent 3 7 11 6 2 2" xfId="7681" xr:uid="{D11176BC-E6E5-440D-B9E8-6525509740BC}"/>
    <cellStyle name="Percent 3 7 11 6 3" xfId="7682" xr:uid="{D2584D7F-898B-49A3-80B0-32F97730469A}"/>
    <cellStyle name="Percent 3 7 11 6 3 2" xfId="7683" xr:uid="{60F8731D-7539-44F7-B7BD-5BEC9977FAA6}"/>
    <cellStyle name="Percent 3 7 11 6 4" xfId="7684" xr:uid="{1E85DAF8-BF14-42B4-92DB-0014C4385FD9}"/>
    <cellStyle name="Percent 3 7 11 7" xfId="7685" xr:uid="{63311CB2-19D3-4867-AAD1-241256F527D4}"/>
    <cellStyle name="Percent 3 7 11 7 2" xfId="7686" xr:uid="{19CA8E55-DF43-4236-A639-1006D9763AB3}"/>
    <cellStyle name="Percent 3 7 11 8" xfId="7687" xr:uid="{B73D2F91-EDE3-4509-8D20-7357D978A846}"/>
    <cellStyle name="Percent 3 7 11 8 2" xfId="7688" xr:uid="{09118639-AAEA-4AB5-B5D5-389F9F3C31D0}"/>
    <cellStyle name="Percent 3 7 11 9" xfId="7689" xr:uid="{3B2AEA88-A011-4EBF-B382-44B7FDBA1ADC}"/>
    <cellStyle name="Percent 3 7 11 9 2" xfId="7690" xr:uid="{A544D29D-B73A-4C2A-B2F1-2942FC65BE04}"/>
    <cellStyle name="Percent 3 7 12" xfId="2935" xr:uid="{0E022F74-60D8-401A-AF0B-0F13386C9CB0}"/>
    <cellStyle name="Percent 3 7 12 10" xfId="7692" xr:uid="{51DEE428-E30F-4433-978F-20BC8569A823}"/>
    <cellStyle name="Percent 3 7 12 11" xfId="7693" xr:uid="{15DC1D82-3E78-44D5-B553-2F19D47813EE}"/>
    <cellStyle name="Percent 3 7 12 12" xfId="7691" xr:uid="{4B8A1ECC-1369-40BC-9A9F-202B80AAD7DB}"/>
    <cellStyle name="Percent 3 7 12 2" xfId="7694" xr:uid="{028078B4-0C77-4BD9-B882-CAEDBD727756}"/>
    <cellStyle name="Percent 3 7 12 2 2" xfId="7695" xr:uid="{6A3C4F38-93C7-431C-84E5-8D0BD7FFA770}"/>
    <cellStyle name="Percent 3 7 12 2 2 2" xfId="7696" xr:uid="{3946BAC9-D299-4784-A4D9-F159845C0AF4}"/>
    <cellStyle name="Percent 3 7 12 2 3" xfId="7697" xr:uid="{5EFAF160-63A3-450D-85D1-1ACFCFE93208}"/>
    <cellStyle name="Percent 3 7 12 2 3 2" xfId="7698" xr:uid="{F1FA677A-B6E4-4EB8-A84C-CA91A28ABBE8}"/>
    <cellStyle name="Percent 3 7 12 2 4" xfId="7699" xr:uid="{CF8F20A4-9B93-44D4-9BBB-92C92202FB11}"/>
    <cellStyle name="Percent 3 7 12 2 5" xfId="7700" xr:uid="{7BF0A744-CFDA-4D04-9398-0F97B0691A05}"/>
    <cellStyle name="Percent 3 7 12 3" xfId="7701" xr:uid="{9DAB0BB4-3352-41A4-ABB4-11674EB936E7}"/>
    <cellStyle name="Percent 3 7 12 3 2" xfId="7702" xr:uid="{792F1669-A861-449F-8B82-73FD6D7B466F}"/>
    <cellStyle name="Percent 3 7 12 3 2 2" xfId="7703" xr:uid="{5928E44A-4C6F-4127-A123-4A8469474BA9}"/>
    <cellStyle name="Percent 3 7 12 3 3" xfId="7704" xr:uid="{C76C4D7E-EA76-41AD-8988-57D271C6514F}"/>
    <cellStyle name="Percent 3 7 12 3 3 2" xfId="7705" xr:uid="{758AB744-BFA6-4447-B2C8-162DA26F6D83}"/>
    <cellStyle name="Percent 3 7 12 3 4" xfId="7706" xr:uid="{37AAD79E-BC0F-490E-BAEC-B0C82E3D4647}"/>
    <cellStyle name="Percent 3 7 12 4" xfId="7707" xr:uid="{D3F2FDCA-6F7B-4A3D-A856-0EEDA1876CE2}"/>
    <cellStyle name="Percent 3 7 12 4 2" xfId="7708" xr:uid="{6E189F63-C2CE-4B12-A084-17B407DAE394}"/>
    <cellStyle name="Percent 3 7 12 4 2 2" xfId="7709" xr:uid="{49E84401-9CA0-4218-890D-816CECF1C7A0}"/>
    <cellStyle name="Percent 3 7 12 4 3" xfId="7710" xr:uid="{534974C7-01AF-4D9A-8D3E-917DDFDF6173}"/>
    <cellStyle name="Percent 3 7 12 4 3 2" xfId="7711" xr:uid="{F2CEA906-656E-429F-930F-6D8F12C88E71}"/>
    <cellStyle name="Percent 3 7 12 4 4" xfId="7712" xr:uid="{E6D84E3A-662F-412A-A361-29630D8DFCD7}"/>
    <cellStyle name="Percent 3 7 12 5" xfId="7713" xr:uid="{26CAE413-CCF0-47D6-858B-205B80B081FD}"/>
    <cellStyle name="Percent 3 7 12 5 2" xfId="7714" xr:uid="{C26A4FCC-A2D7-49EA-95DB-F80421ACAAB1}"/>
    <cellStyle name="Percent 3 7 12 5 2 2" xfId="7715" xr:uid="{4208ACDB-BF91-4A41-ACCD-56FEF6B9978E}"/>
    <cellStyle name="Percent 3 7 12 5 3" xfId="7716" xr:uid="{5370709F-64BC-4CC7-A8E1-9826CA8F61DA}"/>
    <cellStyle name="Percent 3 7 12 5 3 2" xfId="7717" xr:uid="{829A1DC1-2ACB-452C-A633-2DE5EE120AB4}"/>
    <cellStyle name="Percent 3 7 12 5 4" xfId="7718" xr:uid="{AD2A3475-5FB0-46A6-BFA8-19E0EC31F482}"/>
    <cellStyle name="Percent 3 7 12 5 4 2" xfId="7719" xr:uid="{4A5F4AEE-024D-4887-A02C-49EFD6F8B47B}"/>
    <cellStyle name="Percent 3 7 12 5 5" xfId="7720" xr:uid="{10372A38-130F-4E91-BC8B-90C17B7C9E9C}"/>
    <cellStyle name="Percent 3 7 12 6" xfId="7721" xr:uid="{892053D5-C0C7-4E04-802A-2A6B4709DA64}"/>
    <cellStyle name="Percent 3 7 12 6 2" xfId="7722" xr:uid="{B3D9F7B3-106F-44A1-9C22-891B11CB9BA1}"/>
    <cellStyle name="Percent 3 7 12 6 2 2" xfId="7723" xr:uid="{61C1E62A-4286-4679-9C1B-9814AAA4EE90}"/>
    <cellStyle name="Percent 3 7 12 6 3" xfId="7724" xr:uid="{C4734CDE-201A-4A40-BAAB-100B08EFA2AC}"/>
    <cellStyle name="Percent 3 7 12 6 3 2" xfId="7725" xr:uid="{57F7FC6F-5774-42CE-865E-9C03F64C1B60}"/>
    <cellStyle name="Percent 3 7 12 6 4" xfId="7726" xr:uid="{DC7AEFD2-89F5-4BA7-BF86-74E61FE7337F}"/>
    <cellStyle name="Percent 3 7 12 7" xfId="7727" xr:uid="{7A79E1C6-71B8-46AB-8CFB-407B933E52E4}"/>
    <cellStyle name="Percent 3 7 12 7 2" xfId="7728" xr:uid="{43B20D6E-D9BE-4423-A1E0-4833BA56FA9C}"/>
    <cellStyle name="Percent 3 7 12 8" xfId="7729" xr:uid="{6A853BA6-E8E0-4D69-BA21-9CECD08C4995}"/>
    <cellStyle name="Percent 3 7 12 8 2" xfId="7730" xr:uid="{A64F9BB6-EDFF-456E-ABC2-A20F265D9CCD}"/>
    <cellStyle name="Percent 3 7 12 9" xfId="7731" xr:uid="{923DDAF8-6634-469F-9A8C-82A2C43935D6}"/>
    <cellStyle name="Percent 3 7 12 9 2" xfId="7732" xr:uid="{BE4E748A-71B2-405C-A966-BAB2C5E8458D}"/>
    <cellStyle name="Percent 3 7 13" xfId="2936" xr:uid="{AD6ECA9D-60BC-4931-B789-D142B39DD97B}"/>
    <cellStyle name="Percent 3 7 13 10" xfId="7734" xr:uid="{BA030436-35F4-4B58-A249-88AECB91B16A}"/>
    <cellStyle name="Percent 3 7 13 11" xfId="7735" xr:uid="{B7F39CD9-8208-4FB5-A98C-7E01898576A5}"/>
    <cellStyle name="Percent 3 7 13 12" xfId="7733" xr:uid="{16E4E852-B9BF-4133-A8F0-F5E1DD709B03}"/>
    <cellStyle name="Percent 3 7 13 2" xfId="7736" xr:uid="{7E8F21AF-B8A5-4C99-A70C-D6D82DBEE557}"/>
    <cellStyle name="Percent 3 7 13 2 2" xfId="7737" xr:uid="{64ECF330-B2CE-4262-897A-F831863145F8}"/>
    <cellStyle name="Percent 3 7 13 2 2 2" xfId="7738" xr:uid="{320DB4C1-85F7-441F-9CAA-FB664EC837F7}"/>
    <cellStyle name="Percent 3 7 13 2 3" xfId="7739" xr:uid="{292D05F3-EA27-4722-8A7C-319D9C35EE2A}"/>
    <cellStyle name="Percent 3 7 13 2 3 2" xfId="7740" xr:uid="{78F59A0D-E2C5-4E8E-8C51-6FBF43A454C3}"/>
    <cellStyle name="Percent 3 7 13 2 4" xfId="7741" xr:uid="{B4ADCE39-0796-457C-A303-5FF7E220AE93}"/>
    <cellStyle name="Percent 3 7 13 2 5" xfId="7742" xr:uid="{9FC75301-EA42-4B99-A88C-6D3AF112637F}"/>
    <cellStyle name="Percent 3 7 13 3" xfId="7743" xr:uid="{FDCF3671-B295-441A-B80D-B21986957CC8}"/>
    <cellStyle name="Percent 3 7 13 3 2" xfId="7744" xr:uid="{7CED42B6-2D3C-42FE-A0F3-181D9B63DE05}"/>
    <cellStyle name="Percent 3 7 13 3 2 2" xfId="7745" xr:uid="{AEBD6F1D-C32B-408E-A024-25EDEA6C8EF9}"/>
    <cellStyle name="Percent 3 7 13 3 3" xfId="7746" xr:uid="{13B42371-B5E1-49EA-A7DC-F02EADE69CE1}"/>
    <cellStyle name="Percent 3 7 13 3 3 2" xfId="7747" xr:uid="{CAE1079D-B351-448A-9873-7A0F8007AD88}"/>
    <cellStyle name="Percent 3 7 13 3 4" xfId="7748" xr:uid="{D6F006FE-DD1B-458B-A2C3-326EC1CF401C}"/>
    <cellStyle name="Percent 3 7 13 4" xfId="7749" xr:uid="{5558011C-6190-4B45-AA5A-E31B00D9FA41}"/>
    <cellStyle name="Percent 3 7 13 4 2" xfId="7750" xr:uid="{3409D09E-F731-4C35-9A18-4CB76D0F1340}"/>
    <cellStyle name="Percent 3 7 13 4 2 2" xfId="7751" xr:uid="{8B8873F2-71D5-4E7E-8544-95FA06694133}"/>
    <cellStyle name="Percent 3 7 13 4 3" xfId="7752" xr:uid="{93F99B20-8847-4822-8FC5-39037642481C}"/>
    <cellStyle name="Percent 3 7 13 4 3 2" xfId="7753" xr:uid="{4004D982-30A3-4DD4-A9C2-DF53D477594F}"/>
    <cellStyle name="Percent 3 7 13 4 4" xfId="7754" xr:uid="{D56936A9-0B9F-4196-A423-D5D0D0FBD0CC}"/>
    <cellStyle name="Percent 3 7 13 5" xfId="7755" xr:uid="{15679C19-5467-456C-80FA-B9A4E4BB1A3C}"/>
    <cellStyle name="Percent 3 7 13 5 2" xfId="7756" xr:uid="{27D59D36-6B4B-4E8A-9BD9-AAEB64B7B019}"/>
    <cellStyle name="Percent 3 7 13 5 2 2" xfId="7757" xr:uid="{E018F346-14A2-4DDD-A874-AAB45E77F649}"/>
    <cellStyle name="Percent 3 7 13 5 3" xfId="7758" xr:uid="{7B9D8A80-E4F5-4600-B23E-D0ADE5078274}"/>
    <cellStyle name="Percent 3 7 13 5 3 2" xfId="7759" xr:uid="{8A9A96E2-9B1A-42F0-919B-01487E616BD2}"/>
    <cellStyle name="Percent 3 7 13 5 4" xfId="7760" xr:uid="{472E70AA-910D-4899-8B6C-EC608439C785}"/>
    <cellStyle name="Percent 3 7 13 5 4 2" xfId="7761" xr:uid="{14C7831A-D6CE-4239-876A-FC15E7977C75}"/>
    <cellStyle name="Percent 3 7 13 5 5" xfId="7762" xr:uid="{96F8F3B0-47CB-411F-9E97-109626441C94}"/>
    <cellStyle name="Percent 3 7 13 6" xfId="7763" xr:uid="{2D889454-043A-49C2-B285-FAA3040F3C19}"/>
    <cellStyle name="Percent 3 7 13 6 2" xfId="7764" xr:uid="{C82375BF-ADC3-407D-8160-85F4277443AD}"/>
    <cellStyle name="Percent 3 7 13 6 2 2" xfId="7765" xr:uid="{8175279D-7427-4913-967F-4357DB909FF2}"/>
    <cellStyle name="Percent 3 7 13 6 3" xfId="7766" xr:uid="{E87658D6-0FE1-4664-A059-8F8E790A6535}"/>
    <cellStyle name="Percent 3 7 13 6 3 2" xfId="7767" xr:uid="{66856D69-8A6A-43BF-B513-DC870F078277}"/>
    <cellStyle name="Percent 3 7 13 6 4" xfId="7768" xr:uid="{AEABF56F-794C-4E01-8A66-40A27CC75136}"/>
    <cellStyle name="Percent 3 7 13 7" xfId="7769" xr:uid="{09D4731F-E844-4B14-AD9D-1C00F94ADCB9}"/>
    <cellStyle name="Percent 3 7 13 7 2" xfId="7770" xr:uid="{86023F92-12E1-43D0-8611-4A638DFC764C}"/>
    <cellStyle name="Percent 3 7 13 8" xfId="7771" xr:uid="{E4D8484E-61C8-4823-A1D7-EF566FC91A38}"/>
    <cellStyle name="Percent 3 7 13 8 2" xfId="7772" xr:uid="{93E70B44-46FD-4F22-9F8A-DF236DBEE01C}"/>
    <cellStyle name="Percent 3 7 13 9" xfId="7773" xr:uid="{4FADE164-001A-43FA-9A75-8FF5105DF002}"/>
    <cellStyle name="Percent 3 7 13 9 2" xfId="7774" xr:uid="{C0C76696-9520-4363-BC03-414F1D8BF855}"/>
    <cellStyle name="Percent 3 7 14" xfId="2937" xr:uid="{E70FBEF9-D9A8-47CC-BF12-E53844DB01F9}"/>
    <cellStyle name="Percent 3 7 14 10" xfId="7776" xr:uid="{92D443F4-FAF5-4151-AC2E-7E6D746399FD}"/>
    <cellStyle name="Percent 3 7 14 11" xfId="7777" xr:uid="{9719F700-1B11-46FE-8EF4-3DBCC8D2AD92}"/>
    <cellStyle name="Percent 3 7 14 12" xfId="7775" xr:uid="{7FF02BCF-0F0F-4D6C-831E-E64B1D8389DE}"/>
    <cellStyle name="Percent 3 7 14 2" xfId="7778" xr:uid="{C1628D19-5E8E-4AA1-972E-612222C2C2C2}"/>
    <cellStyle name="Percent 3 7 14 2 2" xfId="7779" xr:uid="{F9E83061-C8F6-41BB-94BA-9DFFC8BC13B0}"/>
    <cellStyle name="Percent 3 7 14 2 2 2" xfId="7780" xr:uid="{9543B819-6998-454A-ADBA-2A96BBD538B6}"/>
    <cellStyle name="Percent 3 7 14 2 3" xfId="7781" xr:uid="{CD9D4090-A0DB-4E42-984B-70B685076A98}"/>
    <cellStyle name="Percent 3 7 14 2 3 2" xfId="7782" xr:uid="{C782B92D-D26A-4C61-9F95-24DF4A2AF106}"/>
    <cellStyle name="Percent 3 7 14 2 4" xfId="7783" xr:uid="{F1827C06-68CA-4898-A511-944A8D5C37B1}"/>
    <cellStyle name="Percent 3 7 14 2 5" xfId="7784" xr:uid="{1C4757C6-FA82-4D01-B0C4-F5C8FDD7D792}"/>
    <cellStyle name="Percent 3 7 14 3" xfId="7785" xr:uid="{AB7386BB-96B1-464F-A61D-9C0D0C490956}"/>
    <cellStyle name="Percent 3 7 14 3 2" xfId="7786" xr:uid="{780D282A-50EF-4916-8E15-F47F8D9DA3E7}"/>
    <cellStyle name="Percent 3 7 14 3 2 2" xfId="7787" xr:uid="{8F273482-85FD-4DE3-A9E3-5E27A37E9605}"/>
    <cellStyle name="Percent 3 7 14 3 3" xfId="7788" xr:uid="{A978CA73-FE6C-4289-86FA-4F9F5B606EE8}"/>
    <cellStyle name="Percent 3 7 14 3 3 2" xfId="7789" xr:uid="{F78B7C56-B95D-412C-A0F9-2DA094948912}"/>
    <cellStyle name="Percent 3 7 14 3 4" xfId="7790" xr:uid="{BF1D9953-C8F8-4B8F-8293-3E902B628633}"/>
    <cellStyle name="Percent 3 7 14 4" xfId="7791" xr:uid="{1E41AB88-05BA-465D-9DEF-8E0D14EC2629}"/>
    <cellStyle name="Percent 3 7 14 4 2" xfId="7792" xr:uid="{9C4F4665-73A7-4AB2-842F-9AFCB8B4AD04}"/>
    <cellStyle name="Percent 3 7 14 4 2 2" xfId="7793" xr:uid="{30608D5E-5A18-41EA-A2E9-2A6B58F9E3E9}"/>
    <cellStyle name="Percent 3 7 14 4 3" xfId="7794" xr:uid="{9859C4CD-163D-4FA6-BE1B-51AECA782B94}"/>
    <cellStyle name="Percent 3 7 14 4 3 2" xfId="7795" xr:uid="{EE13BEAE-0124-4F73-AA65-9259A1078174}"/>
    <cellStyle name="Percent 3 7 14 4 4" xfId="7796" xr:uid="{FB68DE18-0713-4560-BDA3-03AAAD616990}"/>
    <cellStyle name="Percent 3 7 14 5" xfId="7797" xr:uid="{D2791ABE-3415-4CB3-AEE8-F6BD3F9DF72E}"/>
    <cellStyle name="Percent 3 7 14 5 2" xfId="7798" xr:uid="{619830C3-C7F1-4E65-83ED-386513E2781C}"/>
    <cellStyle name="Percent 3 7 14 5 2 2" xfId="7799" xr:uid="{92BD31A1-B1AA-4BE6-BF14-BECD5E324181}"/>
    <cellStyle name="Percent 3 7 14 5 3" xfId="7800" xr:uid="{4AD0F1A4-12D3-4752-8190-F2B1EDE86787}"/>
    <cellStyle name="Percent 3 7 14 5 3 2" xfId="7801" xr:uid="{614D6880-C8B6-44D8-AA3C-C1A2622542E9}"/>
    <cellStyle name="Percent 3 7 14 5 4" xfId="7802" xr:uid="{691F09F6-385A-4862-8FEA-2C518553E016}"/>
    <cellStyle name="Percent 3 7 14 5 4 2" xfId="7803" xr:uid="{8D86969A-CD2B-4BAD-955D-8EFCFA06ACF5}"/>
    <cellStyle name="Percent 3 7 14 5 5" xfId="7804" xr:uid="{B7074686-BEF2-4ABC-B507-B6A35F7E29B2}"/>
    <cellStyle name="Percent 3 7 14 6" xfId="7805" xr:uid="{04858184-5ED7-41AB-98EE-2BA2EB2896E5}"/>
    <cellStyle name="Percent 3 7 14 6 2" xfId="7806" xr:uid="{7874D54C-274D-422E-BB0B-6279E2A9F0D9}"/>
    <cellStyle name="Percent 3 7 14 6 2 2" xfId="7807" xr:uid="{07B2DCA5-B2C6-4E3C-8873-94C6B63E3EF9}"/>
    <cellStyle name="Percent 3 7 14 6 3" xfId="7808" xr:uid="{A05E0F41-0029-4155-9FBE-FBFCC600FDE8}"/>
    <cellStyle name="Percent 3 7 14 6 3 2" xfId="7809" xr:uid="{5EFAAE31-8BD6-4E2E-A15E-9953F2A187FD}"/>
    <cellStyle name="Percent 3 7 14 6 4" xfId="7810" xr:uid="{FA83FE2E-DF9F-440D-935D-B423779AC378}"/>
    <cellStyle name="Percent 3 7 14 7" xfId="7811" xr:uid="{E36E3B6D-E4E0-42E3-9555-A404365B72DE}"/>
    <cellStyle name="Percent 3 7 14 7 2" xfId="7812" xr:uid="{B74724D9-5772-4399-B446-BC04E86DD4BE}"/>
    <cellStyle name="Percent 3 7 14 8" xfId="7813" xr:uid="{1B5A12A5-5E0D-4C2D-B07C-4EFBA935509F}"/>
    <cellStyle name="Percent 3 7 14 8 2" xfId="7814" xr:uid="{48D085C1-1B02-4B51-B918-CE5974EAA46B}"/>
    <cellStyle name="Percent 3 7 14 9" xfId="7815" xr:uid="{B67EF818-09AE-41C8-9EB7-8D0BB873192F}"/>
    <cellStyle name="Percent 3 7 14 9 2" xfId="7816" xr:uid="{FA3838C8-5136-4BC4-A163-94401D0B550C}"/>
    <cellStyle name="Percent 3 7 15" xfId="2938" xr:uid="{1CFA1287-060E-4942-A992-2D5BF9ED18C5}"/>
    <cellStyle name="Percent 3 7 15 10" xfId="7818" xr:uid="{9B56C93C-12B7-4AC8-8F22-6258AC271FA0}"/>
    <cellStyle name="Percent 3 7 15 11" xfId="7819" xr:uid="{69EDAC11-AF04-464E-9B8E-72E2EAC9AB7F}"/>
    <cellStyle name="Percent 3 7 15 12" xfId="7817" xr:uid="{C1A9E98F-7134-4524-BA7F-72ABAE2925ED}"/>
    <cellStyle name="Percent 3 7 15 2" xfId="7820" xr:uid="{3B3D92BA-E601-4318-95ED-13D96B4D1CEB}"/>
    <cellStyle name="Percent 3 7 15 2 2" xfId="7821" xr:uid="{540117D3-722C-46BE-9F89-054E3660C28F}"/>
    <cellStyle name="Percent 3 7 15 2 2 2" xfId="7822" xr:uid="{0A21F43D-DFDC-4FF8-91EB-8490F0EDFD3E}"/>
    <cellStyle name="Percent 3 7 15 2 3" xfId="7823" xr:uid="{B4040526-0829-48DC-973A-A0A01FEA4620}"/>
    <cellStyle name="Percent 3 7 15 2 3 2" xfId="7824" xr:uid="{F34167A0-F376-47FB-A123-BBA4FF426D9F}"/>
    <cellStyle name="Percent 3 7 15 2 4" xfId="7825" xr:uid="{4741B459-A6A4-47B5-9200-89CC22FDB6CD}"/>
    <cellStyle name="Percent 3 7 15 2 5" xfId="7826" xr:uid="{40621B9A-E27C-4C80-9683-651971EBA694}"/>
    <cellStyle name="Percent 3 7 15 3" xfId="7827" xr:uid="{431BCBCC-4FE6-4609-9895-AEF08D88FC6B}"/>
    <cellStyle name="Percent 3 7 15 3 2" xfId="7828" xr:uid="{47CA7695-6E8A-4453-9459-D4901E1240E2}"/>
    <cellStyle name="Percent 3 7 15 3 2 2" xfId="7829" xr:uid="{95A525CB-C859-49AB-9007-B71ADF3137C1}"/>
    <cellStyle name="Percent 3 7 15 3 3" xfId="7830" xr:uid="{01C4A0A8-EC77-4A2F-B7CB-671E0A20A946}"/>
    <cellStyle name="Percent 3 7 15 3 3 2" xfId="7831" xr:uid="{8B47A04B-2FF1-4FB1-85D8-67088506DB1D}"/>
    <cellStyle name="Percent 3 7 15 3 4" xfId="7832" xr:uid="{14BFD9A6-4F94-4513-A7FA-E34218AFC193}"/>
    <cellStyle name="Percent 3 7 15 4" xfId="7833" xr:uid="{432EC11F-865E-4B6B-AD0C-C87946BCEF3D}"/>
    <cellStyle name="Percent 3 7 15 4 2" xfId="7834" xr:uid="{AA55420A-1EDF-400B-A98C-B65C51A5D581}"/>
    <cellStyle name="Percent 3 7 15 4 2 2" xfId="7835" xr:uid="{6A1242DA-3AAE-4D32-B271-048C7402FB48}"/>
    <cellStyle name="Percent 3 7 15 4 3" xfId="7836" xr:uid="{5CA98A8C-4FAD-4C82-B85B-C6E36563331B}"/>
    <cellStyle name="Percent 3 7 15 4 3 2" xfId="7837" xr:uid="{3228B93A-D4A0-46FC-AEC4-6AE5DA359E11}"/>
    <cellStyle name="Percent 3 7 15 4 4" xfId="7838" xr:uid="{330C0E60-A98D-4EA5-B2F7-32E424A2FAC1}"/>
    <cellStyle name="Percent 3 7 15 5" xfId="7839" xr:uid="{E51B4582-DEC9-450F-B56C-5DA2A27E2906}"/>
    <cellStyle name="Percent 3 7 15 5 2" xfId="7840" xr:uid="{593EF471-836E-4593-B010-219FB9DEE1EB}"/>
    <cellStyle name="Percent 3 7 15 5 2 2" xfId="7841" xr:uid="{38B66A0A-9219-4F77-9AE7-C933023A80A8}"/>
    <cellStyle name="Percent 3 7 15 5 3" xfId="7842" xr:uid="{0E55365C-8CAD-493D-93C3-097F7FF211AA}"/>
    <cellStyle name="Percent 3 7 15 5 3 2" xfId="7843" xr:uid="{E0020271-C9DD-46F6-8DD2-C3EF16865239}"/>
    <cellStyle name="Percent 3 7 15 5 4" xfId="7844" xr:uid="{5DCE9211-3F24-4498-9864-3E96067B6428}"/>
    <cellStyle name="Percent 3 7 15 5 4 2" xfId="7845" xr:uid="{989DFFB3-CF93-415D-B463-91390908C27F}"/>
    <cellStyle name="Percent 3 7 15 5 5" xfId="7846" xr:uid="{1F4A29ED-47DA-434D-B3E5-0F064A0BA15D}"/>
    <cellStyle name="Percent 3 7 15 6" xfId="7847" xr:uid="{EE0DAE55-7ABC-4243-BB2A-FAACE88F1891}"/>
    <cellStyle name="Percent 3 7 15 6 2" xfId="7848" xr:uid="{AACDAFD4-B85E-4183-B6BE-33B69D9390D3}"/>
    <cellStyle name="Percent 3 7 15 6 2 2" xfId="7849" xr:uid="{2C1ED9F2-76A8-4A18-B58B-EA8F671CFF47}"/>
    <cellStyle name="Percent 3 7 15 6 3" xfId="7850" xr:uid="{9FBE71A0-4788-4C05-B755-BD14225F6C6A}"/>
    <cellStyle name="Percent 3 7 15 6 3 2" xfId="7851" xr:uid="{3F0F129D-9208-42A1-A14C-B14C66782F5B}"/>
    <cellStyle name="Percent 3 7 15 6 4" xfId="7852" xr:uid="{9B02A60C-FE50-4732-AF71-E5617E3FA8AC}"/>
    <cellStyle name="Percent 3 7 15 7" xfId="7853" xr:uid="{29616A57-F2F6-4E61-A4C0-9654B70C375F}"/>
    <cellStyle name="Percent 3 7 15 7 2" xfId="7854" xr:uid="{999D8B4F-C77B-4C93-B01A-E2144778FE6B}"/>
    <cellStyle name="Percent 3 7 15 8" xfId="7855" xr:uid="{5E2D553F-6A6D-4C71-B231-1DBC2A65C5FD}"/>
    <cellStyle name="Percent 3 7 15 8 2" xfId="7856" xr:uid="{6C563CEA-3534-487A-A75A-07BFD8B611B2}"/>
    <cellStyle name="Percent 3 7 15 9" xfId="7857" xr:uid="{7AC8DDD6-6449-4271-B37D-8094B89EE563}"/>
    <cellStyle name="Percent 3 7 15 9 2" xfId="7858" xr:uid="{75466969-5A7A-467A-AC3C-5B2F62A52247}"/>
    <cellStyle name="Percent 3 7 16" xfId="7859" xr:uid="{3EFD66E5-7778-4DDB-AEC9-A5267B31059F}"/>
    <cellStyle name="Percent 3 7 16 2" xfId="7860" xr:uid="{C008856B-4F60-4EBD-B0F3-FFC14D42B88F}"/>
    <cellStyle name="Percent 3 7 16 2 2" xfId="7861" xr:uid="{40B6DF74-222E-4B80-9444-D83ECFE77C46}"/>
    <cellStyle name="Percent 3 7 16 3" xfId="7862" xr:uid="{28B84BF8-F7C0-4A27-BA09-B40ED3E6AA2A}"/>
    <cellStyle name="Percent 3 7 16 3 2" xfId="7863" xr:uid="{27E93D83-6454-41BE-9505-3A4CF8794723}"/>
    <cellStyle name="Percent 3 7 16 4" xfId="7864" xr:uid="{89798EDA-2203-45BC-B773-E6B8774F3C4D}"/>
    <cellStyle name="Percent 3 7 16 5" xfId="7865" xr:uid="{C3ECD4E5-5B94-49F2-A449-C7DF0D617502}"/>
    <cellStyle name="Percent 3 7 17" xfId="7866" xr:uid="{C099F27A-B0FD-4250-B665-34453B454D38}"/>
    <cellStyle name="Percent 3 7 17 2" xfId="7867" xr:uid="{96B0F02A-B835-4547-AF3B-A6ABA4B9833B}"/>
    <cellStyle name="Percent 3 7 17 2 2" xfId="7868" xr:uid="{782868E9-C16D-460C-9108-BB13618580ED}"/>
    <cellStyle name="Percent 3 7 17 3" xfId="7869" xr:uid="{E2635C11-4D7D-49FE-AEFC-9BD5CB8239E5}"/>
    <cellStyle name="Percent 3 7 17 3 2" xfId="7870" xr:uid="{E1236A30-ECF9-4E75-9FD0-7234B0A71523}"/>
    <cellStyle name="Percent 3 7 17 4" xfId="7871" xr:uid="{70AC97D8-7D3B-498E-88B4-242D71766A56}"/>
    <cellStyle name="Percent 3 7 18" xfId="7872" xr:uid="{61902AA1-1E5E-44C1-A797-08827DC3DFD9}"/>
    <cellStyle name="Percent 3 7 18 2" xfId="7873" xr:uid="{A9F14A34-847B-4F29-9C51-D40DBB9BF78C}"/>
    <cellStyle name="Percent 3 7 18 2 2" xfId="7874" xr:uid="{F5C545BC-351F-46A2-AB3D-72BC16D87931}"/>
    <cellStyle name="Percent 3 7 18 3" xfId="7875" xr:uid="{BB9FDB24-A974-41C8-83CB-004869CABE14}"/>
    <cellStyle name="Percent 3 7 18 3 2" xfId="7876" xr:uid="{51F98AE6-B6B8-4338-A3B0-719525F5C35A}"/>
    <cellStyle name="Percent 3 7 18 4" xfId="7877" xr:uid="{9D6564D0-DE51-4A44-9769-03CF0B279DB8}"/>
    <cellStyle name="Percent 3 7 19" xfId="7878" xr:uid="{B8FBAAAA-4189-4E10-8850-EF75D514E7E3}"/>
    <cellStyle name="Percent 3 7 19 2" xfId="7879" xr:uid="{3F3F05C3-22B8-4289-9A53-8FAB94669D04}"/>
    <cellStyle name="Percent 3 7 19 2 2" xfId="7880" xr:uid="{06588DA0-8E01-451A-8F8F-75830460DABD}"/>
    <cellStyle name="Percent 3 7 19 3" xfId="7881" xr:uid="{50143AF2-1FAE-46A9-A642-EE432F436162}"/>
    <cellStyle name="Percent 3 7 19 3 2" xfId="7882" xr:uid="{89A9E340-DB47-4E12-8DF8-45D3CB262181}"/>
    <cellStyle name="Percent 3 7 19 4" xfId="7883" xr:uid="{8D4F2A24-A658-4337-9A7D-BF475FD77AAF}"/>
    <cellStyle name="Percent 3 7 19 4 2" xfId="7884" xr:uid="{7619760A-FC07-430F-87D9-B8BEA96B41CE}"/>
    <cellStyle name="Percent 3 7 19 5" xfId="7885" xr:uid="{D50E113F-5465-464C-BA97-B637734F7762}"/>
    <cellStyle name="Percent 3 7 2" xfId="2939" xr:uid="{F1894D91-9108-4602-B97F-25FCADC8C7D1}"/>
    <cellStyle name="Percent 3 7 2 10" xfId="7887" xr:uid="{FC967219-6550-43C4-A8D3-5CF94258AA7F}"/>
    <cellStyle name="Percent 3 7 2 11" xfId="7888" xr:uid="{4A707BD1-2811-4954-A039-56EACC230D2E}"/>
    <cellStyle name="Percent 3 7 2 12" xfId="7886" xr:uid="{BA253310-944D-45EF-9C48-8E1BF56D9D74}"/>
    <cellStyle name="Percent 3 7 2 2" xfId="7889" xr:uid="{8FCC3C59-3544-4D6B-8530-017661433EF6}"/>
    <cellStyle name="Percent 3 7 2 2 2" xfId="7890" xr:uid="{AC39A183-B3AC-4F96-B0A9-9F69E7A40B06}"/>
    <cellStyle name="Percent 3 7 2 2 2 2" xfId="7891" xr:uid="{26FD8D07-B80D-4892-B4F2-05ED45FD603C}"/>
    <cellStyle name="Percent 3 7 2 2 3" xfId="7892" xr:uid="{14B6F2CF-FBD1-43BE-B050-18AD3CA504E3}"/>
    <cellStyle name="Percent 3 7 2 2 3 2" xfId="7893" xr:uid="{B1100EBC-4A5F-4B84-8002-AFAB5EF4B162}"/>
    <cellStyle name="Percent 3 7 2 2 4" xfId="7894" xr:uid="{C7798721-3388-4219-BACB-B82D1DBC742A}"/>
    <cellStyle name="Percent 3 7 2 2 5" xfId="7895" xr:uid="{95AB36D4-89A9-4FB7-A222-42C285A23DE3}"/>
    <cellStyle name="Percent 3 7 2 3" xfId="7896" xr:uid="{FBC7593D-1269-4383-A8C4-0AA06FD5D980}"/>
    <cellStyle name="Percent 3 7 2 3 2" xfId="7897" xr:uid="{4FA4A545-034E-4EE7-8724-804C635FC0B6}"/>
    <cellStyle name="Percent 3 7 2 3 2 2" xfId="7898" xr:uid="{0A055857-FA71-4C8C-9873-10EF1A261ADB}"/>
    <cellStyle name="Percent 3 7 2 3 3" xfId="7899" xr:uid="{CEAFF0AF-EC13-4514-A6EC-4DE8390CA2DF}"/>
    <cellStyle name="Percent 3 7 2 3 3 2" xfId="7900" xr:uid="{1F8938F6-6B25-47B5-A569-DC86D002E96A}"/>
    <cellStyle name="Percent 3 7 2 3 4" xfId="7901" xr:uid="{2AF4A8B6-560B-417F-AEA9-569A901AA584}"/>
    <cellStyle name="Percent 3 7 2 4" xfId="7902" xr:uid="{94D9AA02-6A3A-490A-9FD8-69332CC2739B}"/>
    <cellStyle name="Percent 3 7 2 4 2" xfId="7903" xr:uid="{8F8E3847-4B40-41AD-806E-E3D845C61BC9}"/>
    <cellStyle name="Percent 3 7 2 4 2 2" xfId="7904" xr:uid="{097C76D8-64DC-4B1D-846D-6A17C4E421C4}"/>
    <cellStyle name="Percent 3 7 2 4 3" xfId="7905" xr:uid="{D0ED19BC-9BC7-4934-9997-969FA5B7F7AD}"/>
    <cellStyle name="Percent 3 7 2 4 3 2" xfId="7906" xr:uid="{34CFCE36-18CF-4CC1-ADDC-6BDF4F4E753B}"/>
    <cellStyle name="Percent 3 7 2 4 4" xfId="7907" xr:uid="{70028487-C8FF-43DA-8539-8EF769ACEDFC}"/>
    <cellStyle name="Percent 3 7 2 5" xfId="7908" xr:uid="{19BBEBB2-74B0-4C02-A300-3769CC05D8C1}"/>
    <cellStyle name="Percent 3 7 2 5 2" xfId="7909" xr:uid="{EAF5AB43-58D1-44C4-85F9-98082B7685C8}"/>
    <cellStyle name="Percent 3 7 2 5 2 2" xfId="7910" xr:uid="{530DE484-7DDA-4CE5-9446-03CEED306C3F}"/>
    <cellStyle name="Percent 3 7 2 5 3" xfId="7911" xr:uid="{1D5E69CB-A7E0-4F03-8BEB-B32DE8FE8356}"/>
    <cellStyle name="Percent 3 7 2 5 3 2" xfId="7912" xr:uid="{83DEFD2D-43CD-44C7-9422-E676DFC22007}"/>
    <cellStyle name="Percent 3 7 2 5 4" xfId="7913" xr:uid="{09BFBFE4-5C0C-44FE-945A-0903EBEF7706}"/>
    <cellStyle name="Percent 3 7 2 5 4 2" xfId="7914" xr:uid="{706FD556-9DD9-40FD-BFA2-34AA289319E3}"/>
    <cellStyle name="Percent 3 7 2 5 5" xfId="7915" xr:uid="{B7DE480B-4658-455A-B00C-752707AB9822}"/>
    <cellStyle name="Percent 3 7 2 6" xfId="7916" xr:uid="{6AB891A0-3C07-40EF-9075-D2145F5DCAF7}"/>
    <cellStyle name="Percent 3 7 2 6 2" xfId="7917" xr:uid="{69FFB8B7-B8AF-44CE-983A-6EAA6533AB1A}"/>
    <cellStyle name="Percent 3 7 2 6 2 2" xfId="7918" xr:uid="{EE2BFA01-5492-46E5-B9D6-071C138E9BDE}"/>
    <cellStyle name="Percent 3 7 2 6 3" xfId="7919" xr:uid="{68130DBD-EB29-4D39-B339-FE02D8569A02}"/>
    <cellStyle name="Percent 3 7 2 6 3 2" xfId="7920" xr:uid="{392D3700-B098-49CC-9432-C89A05C324CD}"/>
    <cellStyle name="Percent 3 7 2 6 4" xfId="7921" xr:uid="{8DF49E80-0FBF-4900-9DE6-63A40AB6BDE1}"/>
    <cellStyle name="Percent 3 7 2 7" xfId="7922" xr:uid="{6E141E7C-86AC-4D8A-BE92-78C05F349E76}"/>
    <cellStyle name="Percent 3 7 2 7 2" xfId="7923" xr:uid="{82109A57-17E9-44B7-80A0-08403ED6B8CB}"/>
    <cellStyle name="Percent 3 7 2 8" xfId="7924" xr:uid="{E532A777-0001-44C7-97F5-17D19BCE98C3}"/>
    <cellStyle name="Percent 3 7 2 8 2" xfId="7925" xr:uid="{B419AE21-7E07-4870-A07B-F5574D410F5C}"/>
    <cellStyle name="Percent 3 7 2 9" xfId="7926" xr:uid="{848E94AD-CF05-4A9B-A71B-CF0353AACE0D}"/>
    <cellStyle name="Percent 3 7 2 9 2" xfId="7927" xr:uid="{58EC9E9F-21F5-4FC8-8664-76337562EDF4}"/>
    <cellStyle name="Percent 3 7 20" xfId="7928" xr:uid="{0320E894-8579-43B6-B6AC-DF51157CCDFC}"/>
    <cellStyle name="Percent 3 7 20 2" xfId="7929" xr:uid="{5BE7D08A-47F6-4D7D-B8D4-2A08218B5C21}"/>
    <cellStyle name="Percent 3 7 20 2 2" xfId="7930" xr:uid="{0452C4EC-92A7-4DB7-B394-6F93F6108153}"/>
    <cellStyle name="Percent 3 7 20 3" xfId="7931" xr:uid="{68B34939-7BD3-4F31-88BE-05BFA9C0FDC5}"/>
    <cellStyle name="Percent 3 7 20 3 2" xfId="7932" xr:uid="{7D1B5B39-7A2D-4112-A0E9-437B056D6F12}"/>
    <cellStyle name="Percent 3 7 20 4" xfId="7933" xr:uid="{78B60935-C616-4D8F-9B6E-46F4CF268E40}"/>
    <cellStyle name="Percent 3 7 21" xfId="7934" xr:uid="{AE4280AE-86C3-4DBB-91D3-2E6141EC51D7}"/>
    <cellStyle name="Percent 3 7 21 2" xfId="7935" xr:uid="{150DCECF-289C-4D8F-AA5C-FA1633C65F4B}"/>
    <cellStyle name="Percent 3 7 22" xfId="7936" xr:uid="{3E4B59C2-F2F0-4810-AAE0-56E04C0CD05D}"/>
    <cellStyle name="Percent 3 7 22 2" xfId="7937" xr:uid="{4D50AF39-166E-4787-9516-2F85EE6617F6}"/>
    <cellStyle name="Percent 3 7 23" xfId="7938" xr:uid="{AA41BCB0-F3C4-48D4-8078-DD11DC83E650}"/>
    <cellStyle name="Percent 3 7 23 2" xfId="7939" xr:uid="{F3385B8B-A3C7-4082-A277-FE3EA0907A74}"/>
    <cellStyle name="Percent 3 7 24" xfId="7940" xr:uid="{8C051C37-E4DE-4AD2-835B-4BBC31913DD5}"/>
    <cellStyle name="Percent 3 7 25" xfId="7941" xr:uid="{669CCAF4-8DA2-4BF1-A5F5-90C046067B9B}"/>
    <cellStyle name="Percent 3 7 26" xfId="7606" xr:uid="{9BA51AE6-1666-433C-B24C-B28FFEAE28D7}"/>
    <cellStyle name="Percent 3 7 3" xfId="2940" xr:uid="{1679056C-71AE-4F67-808D-4204936AE1D9}"/>
    <cellStyle name="Percent 3 7 3 10" xfId="7943" xr:uid="{DE25F80C-40B3-48F5-BA4F-9F2940039095}"/>
    <cellStyle name="Percent 3 7 3 11" xfId="7944" xr:uid="{AE925309-C12F-4285-9949-7777183AE6A7}"/>
    <cellStyle name="Percent 3 7 3 12" xfId="7942" xr:uid="{6E86670C-F81A-4821-8CAF-EE00FCD28FBF}"/>
    <cellStyle name="Percent 3 7 3 2" xfId="7945" xr:uid="{981F05C1-DAE6-48C5-9FC3-48646F0DAF8F}"/>
    <cellStyle name="Percent 3 7 3 2 2" xfId="7946" xr:uid="{F7F4A1FD-B535-4B82-9555-1843AB6051B9}"/>
    <cellStyle name="Percent 3 7 3 2 2 2" xfId="7947" xr:uid="{7B3816CC-ECB9-49B9-9060-F221F333BC93}"/>
    <cellStyle name="Percent 3 7 3 2 3" xfId="7948" xr:uid="{523619A8-F213-4BC2-8454-F98B99AC16EE}"/>
    <cellStyle name="Percent 3 7 3 2 3 2" xfId="7949" xr:uid="{65637014-C6B7-4B61-8851-A7C3397A1461}"/>
    <cellStyle name="Percent 3 7 3 2 4" xfId="7950" xr:uid="{74282DB2-C857-4C0A-862E-7E88B4B06E9F}"/>
    <cellStyle name="Percent 3 7 3 2 5" xfId="7951" xr:uid="{04FE63D4-67D3-409B-87BA-74322B744E8D}"/>
    <cellStyle name="Percent 3 7 3 3" xfId="7952" xr:uid="{CB78CB51-9664-4BE6-86F7-B87B2DBE3615}"/>
    <cellStyle name="Percent 3 7 3 3 2" xfId="7953" xr:uid="{21FD8923-D302-4A16-823B-2605D587C78F}"/>
    <cellStyle name="Percent 3 7 3 3 2 2" xfId="7954" xr:uid="{48095038-4F81-4047-BDDB-54DF8516B0B1}"/>
    <cellStyle name="Percent 3 7 3 3 3" xfId="7955" xr:uid="{B849D749-E741-415D-B81C-5EB6310967B2}"/>
    <cellStyle name="Percent 3 7 3 3 3 2" xfId="7956" xr:uid="{3780E968-34CA-4B9D-A569-FB93855BF2E7}"/>
    <cellStyle name="Percent 3 7 3 3 4" xfId="7957" xr:uid="{C4A6EABB-F65D-485F-821D-3B7B8ACEB18B}"/>
    <cellStyle name="Percent 3 7 3 4" xfId="7958" xr:uid="{DFDED1C9-7F0F-49CC-A5A7-F2675374CD6E}"/>
    <cellStyle name="Percent 3 7 3 4 2" xfId="7959" xr:uid="{B4F1A5C2-03C8-4483-A618-E20146BA9134}"/>
    <cellStyle name="Percent 3 7 3 4 2 2" xfId="7960" xr:uid="{9C5E3F1C-06B2-486A-A442-38687DD91D22}"/>
    <cellStyle name="Percent 3 7 3 4 3" xfId="7961" xr:uid="{70D5CD35-CAF9-4FBC-82EC-14AD010F0295}"/>
    <cellStyle name="Percent 3 7 3 4 3 2" xfId="7962" xr:uid="{065DA279-1B0D-43D3-9709-A22452171881}"/>
    <cellStyle name="Percent 3 7 3 4 4" xfId="7963" xr:uid="{4AC52DAE-447E-448C-834A-79FA97F98774}"/>
    <cellStyle name="Percent 3 7 3 5" xfId="7964" xr:uid="{D822CABF-C730-4D06-A10A-0A6E844DF084}"/>
    <cellStyle name="Percent 3 7 3 5 2" xfId="7965" xr:uid="{6C6A9044-730D-42F6-B8B3-A4CA60A1E28B}"/>
    <cellStyle name="Percent 3 7 3 5 2 2" xfId="7966" xr:uid="{05B68C33-F4F1-4893-B1E5-9F3AE7CE922C}"/>
    <cellStyle name="Percent 3 7 3 5 3" xfId="7967" xr:uid="{B0FE0F33-537A-4C6F-A38B-AA5D0B7A290F}"/>
    <cellStyle name="Percent 3 7 3 5 3 2" xfId="7968" xr:uid="{254F7EEC-26C4-4CF3-969E-DB86720989C7}"/>
    <cellStyle name="Percent 3 7 3 5 4" xfId="7969" xr:uid="{6AC8F18D-DA90-4077-B8E7-97BFD5E4CE5A}"/>
    <cellStyle name="Percent 3 7 3 5 4 2" xfId="7970" xr:uid="{6EF614F6-3A4E-45F5-9B04-166D320F2558}"/>
    <cellStyle name="Percent 3 7 3 5 5" xfId="7971" xr:uid="{6CA41BA5-D896-4E81-A74C-7F2F0090AADB}"/>
    <cellStyle name="Percent 3 7 3 6" xfId="7972" xr:uid="{24A5E4D0-3A53-4413-A0E1-4F900E69A46D}"/>
    <cellStyle name="Percent 3 7 3 6 2" xfId="7973" xr:uid="{AAD4411C-B358-4BBD-9A3F-77BE0308FC37}"/>
    <cellStyle name="Percent 3 7 3 6 2 2" xfId="7974" xr:uid="{A6D6F166-85D5-434E-B1E7-B0B2273341D8}"/>
    <cellStyle name="Percent 3 7 3 6 3" xfId="7975" xr:uid="{21595738-BAC9-4F30-BF49-ABF8CD7DA9D4}"/>
    <cellStyle name="Percent 3 7 3 6 3 2" xfId="7976" xr:uid="{60EF4317-0098-4E1C-A0B7-274258BAA048}"/>
    <cellStyle name="Percent 3 7 3 6 4" xfId="7977" xr:uid="{8BB53178-6BFC-48EB-9C4C-7451F52E7478}"/>
    <cellStyle name="Percent 3 7 3 7" xfId="7978" xr:uid="{64BF895F-C262-4507-868C-4B56E4185F57}"/>
    <cellStyle name="Percent 3 7 3 7 2" xfId="7979" xr:uid="{FD0C844D-9372-467C-8489-58AE1AB76C03}"/>
    <cellStyle name="Percent 3 7 3 8" xfId="7980" xr:uid="{288910FF-0C43-4651-97AF-33DA0F7FD917}"/>
    <cellStyle name="Percent 3 7 3 8 2" xfId="7981" xr:uid="{C840FD4B-BFCA-4C26-84F1-BF7A88DC6D6D}"/>
    <cellStyle name="Percent 3 7 3 9" xfId="7982" xr:uid="{225DF7A6-C94C-48D2-9A7F-6D274B36BD37}"/>
    <cellStyle name="Percent 3 7 3 9 2" xfId="7983" xr:uid="{EF775630-212F-4AC8-9CF8-9D90F10BA0DE}"/>
    <cellStyle name="Percent 3 7 4" xfId="2941" xr:uid="{35AE2F87-1143-43E6-B148-AC117A2D479E}"/>
    <cellStyle name="Percent 3 7 4 10" xfId="7985" xr:uid="{D2FC328F-B728-4170-84E9-966A222062E2}"/>
    <cellStyle name="Percent 3 7 4 11" xfId="7986" xr:uid="{CC46948E-2021-4C57-B9F5-600E9C47F185}"/>
    <cellStyle name="Percent 3 7 4 12" xfId="7984" xr:uid="{E3E71ACC-1578-4A0B-A7D9-183FBF2D30E0}"/>
    <cellStyle name="Percent 3 7 4 2" xfId="7987" xr:uid="{2118ADC5-7F3A-4DEB-B0C4-1D06ACC6C72A}"/>
    <cellStyle name="Percent 3 7 4 2 2" xfId="7988" xr:uid="{7357209F-C8A8-4771-B3E8-781946BF8BE3}"/>
    <cellStyle name="Percent 3 7 4 2 2 2" xfId="7989" xr:uid="{9D87A7DB-94EB-458B-B004-905BE271ED72}"/>
    <cellStyle name="Percent 3 7 4 2 3" xfId="7990" xr:uid="{58ABF7C5-B387-4675-89AD-D546438F617E}"/>
    <cellStyle name="Percent 3 7 4 2 3 2" xfId="7991" xr:uid="{F8D5AA64-08BB-4851-9AE1-D0A7F18E3653}"/>
    <cellStyle name="Percent 3 7 4 2 4" xfId="7992" xr:uid="{011EAEC1-1BAF-48BD-9BB2-C33BA7FDE532}"/>
    <cellStyle name="Percent 3 7 4 2 5" xfId="7993" xr:uid="{8965C65D-B2F1-47D7-9634-C320E3E4EE4E}"/>
    <cellStyle name="Percent 3 7 4 3" xfId="7994" xr:uid="{A79F414F-7249-43B1-BC50-383BF13708BB}"/>
    <cellStyle name="Percent 3 7 4 3 2" xfId="7995" xr:uid="{9A34E979-2C57-4909-AAAF-2E39F052FD29}"/>
    <cellStyle name="Percent 3 7 4 3 2 2" xfId="7996" xr:uid="{1A5E035B-50E0-41CE-A2B4-D7FC9FEDF750}"/>
    <cellStyle name="Percent 3 7 4 3 3" xfId="7997" xr:uid="{03EBBD11-B2DC-4023-843D-6FD708E40022}"/>
    <cellStyle name="Percent 3 7 4 3 3 2" xfId="7998" xr:uid="{C34FAF56-127F-4294-951D-3593DD825782}"/>
    <cellStyle name="Percent 3 7 4 3 4" xfId="7999" xr:uid="{202764AA-011D-412A-8B28-5A43291317AF}"/>
    <cellStyle name="Percent 3 7 4 4" xfId="8000" xr:uid="{34862EA6-C887-40D0-B5E5-050C898BE94D}"/>
    <cellStyle name="Percent 3 7 4 4 2" xfId="8001" xr:uid="{F11E019B-9654-4FD5-84D9-2AB5B0E530C6}"/>
    <cellStyle name="Percent 3 7 4 4 2 2" xfId="8002" xr:uid="{599AEDD3-EB33-4B3E-8C97-EACAE25D60C3}"/>
    <cellStyle name="Percent 3 7 4 4 3" xfId="8003" xr:uid="{B5C2AA5F-C2D5-4E8B-B954-6DC282A9A5ED}"/>
    <cellStyle name="Percent 3 7 4 4 3 2" xfId="8004" xr:uid="{C9C4F5BB-14D9-43E8-85BB-9064AC4AE580}"/>
    <cellStyle name="Percent 3 7 4 4 4" xfId="8005" xr:uid="{1307F6F6-0DBE-4560-8F7B-0019C7EFF28A}"/>
    <cellStyle name="Percent 3 7 4 5" xfId="8006" xr:uid="{519F2584-7BAF-46B4-A12F-DB163A2CA6F5}"/>
    <cellStyle name="Percent 3 7 4 5 2" xfId="8007" xr:uid="{C314D8A6-0400-4CB9-A789-925B9869D294}"/>
    <cellStyle name="Percent 3 7 4 5 2 2" xfId="8008" xr:uid="{92C09BCD-95A2-4F0C-AD09-F661599AA77D}"/>
    <cellStyle name="Percent 3 7 4 5 3" xfId="8009" xr:uid="{04EADE29-2B40-43BB-A1DC-F681B9067397}"/>
    <cellStyle name="Percent 3 7 4 5 3 2" xfId="8010" xr:uid="{D6DFCDC1-6803-4091-A03B-9BF46ED3F882}"/>
    <cellStyle name="Percent 3 7 4 5 4" xfId="8011" xr:uid="{3D618CEA-14EC-4EAE-B182-998D0992CEC9}"/>
    <cellStyle name="Percent 3 7 4 5 4 2" xfId="8012" xr:uid="{D8AE4D56-F6AF-4B23-94EB-44B5567C6B6E}"/>
    <cellStyle name="Percent 3 7 4 5 5" xfId="8013" xr:uid="{ED745445-8A77-4580-B7AF-1E8113BA3633}"/>
    <cellStyle name="Percent 3 7 4 6" xfId="8014" xr:uid="{918EE56B-9EB0-4B4C-9725-2864C0A07A7C}"/>
    <cellStyle name="Percent 3 7 4 6 2" xfId="8015" xr:uid="{3C3EEF01-890D-4987-AF1F-6506594801DD}"/>
    <cellStyle name="Percent 3 7 4 6 2 2" xfId="8016" xr:uid="{6B2DC115-FF55-41C0-97E6-9C51F3C48967}"/>
    <cellStyle name="Percent 3 7 4 6 3" xfId="8017" xr:uid="{69FE0A83-45E4-4CC0-A73D-45D848A78DE2}"/>
    <cellStyle name="Percent 3 7 4 6 3 2" xfId="8018" xr:uid="{F0DE4E89-3AAC-4738-B0DC-95417507A68C}"/>
    <cellStyle name="Percent 3 7 4 6 4" xfId="8019" xr:uid="{826073D6-AC88-4361-B7AD-B3E2DCC6C0BC}"/>
    <cellStyle name="Percent 3 7 4 7" xfId="8020" xr:uid="{D54F3272-4E0E-42FB-B048-66539DA99020}"/>
    <cellStyle name="Percent 3 7 4 7 2" xfId="8021" xr:uid="{CD3AF1A5-70B6-49C2-9219-1E445988D1FB}"/>
    <cellStyle name="Percent 3 7 4 8" xfId="8022" xr:uid="{734A42CD-8D40-4675-AB8D-FD8B01673EE5}"/>
    <cellStyle name="Percent 3 7 4 8 2" xfId="8023" xr:uid="{4EB87A94-428A-4386-9148-6BAC2A2F9B4A}"/>
    <cellStyle name="Percent 3 7 4 9" xfId="8024" xr:uid="{26521C65-653C-40EF-9F70-DD2EB70B7834}"/>
    <cellStyle name="Percent 3 7 4 9 2" xfId="8025" xr:uid="{B78CF450-2D6F-4865-B4E9-D136E96D455D}"/>
    <cellStyle name="Percent 3 7 5" xfId="2942" xr:uid="{14475797-005C-4532-8F8E-B0420F70E5F3}"/>
    <cellStyle name="Percent 3 7 5 10" xfId="8027" xr:uid="{734F7955-1A1B-416D-9E01-768269609FB9}"/>
    <cellStyle name="Percent 3 7 5 11" xfId="8028" xr:uid="{F8B3B5D8-F8C1-45F0-89D5-86EFF3176A67}"/>
    <cellStyle name="Percent 3 7 5 12" xfId="8026" xr:uid="{DE2F1035-48F6-43BC-9F00-BA77E5EFAFA7}"/>
    <cellStyle name="Percent 3 7 5 2" xfId="8029" xr:uid="{5716BAC6-E734-4B66-9947-A4F8FEC7E6C1}"/>
    <cellStyle name="Percent 3 7 5 2 2" xfId="8030" xr:uid="{B6EAA533-6B5D-4AD9-A9E4-A13A31D881D6}"/>
    <cellStyle name="Percent 3 7 5 2 2 2" xfId="8031" xr:uid="{2F086F05-9527-4C78-94BF-4056B23394CF}"/>
    <cellStyle name="Percent 3 7 5 2 3" xfId="8032" xr:uid="{2E80DE49-87A8-4A52-AF98-199E7994C70D}"/>
    <cellStyle name="Percent 3 7 5 2 3 2" xfId="8033" xr:uid="{D06D6B70-A5EB-4B28-A83D-8EFB1E95E9D6}"/>
    <cellStyle name="Percent 3 7 5 2 4" xfId="8034" xr:uid="{15343B60-A774-42C0-9BB7-3D9FC7E256A9}"/>
    <cellStyle name="Percent 3 7 5 2 5" xfId="8035" xr:uid="{ED1DDAB7-F655-4FE5-BC09-CCF6F02D204F}"/>
    <cellStyle name="Percent 3 7 5 3" xfId="8036" xr:uid="{0AEF1081-A69C-438B-872F-C3523B76E719}"/>
    <cellStyle name="Percent 3 7 5 3 2" xfId="8037" xr:uid="{00F3769B-03A7-45D8-8314-5FC7E0964853}"/>
    <cellStyle name="Percent 3 7 5 3 2 2" xfId="8038" xr:uid="{35AF326D-5913-40DA-B0F7-2625247AD278}"/>
    <cellStyle name="Percent 3 7 5 3 3" xfId="8039" xr:uid="{F30EA058-C7B7-4E97-9E8F-A071627DD420}"/>
    <cellStyle name="Percent 3 7 5 3 3 2" xfId="8040" xr:uid="{8AD78A8E-B282-41B4-A0B4-99E3641482B3}"/>
    <cellStyle name="Percent 3 7 5 3 4" xfId="8041" xr:uid="{77046929-AB63-4E14-B153-DEEFE8FBD108}"/>
    <cellStyle name="Percent 3 7 5 4" xfId="8042" xr:uid="{8DB0B159-4827-4839-BCE3-D6A0B1919793}"/>
    <cellStyle name="Percent 3 7 5 4 2" xfId="8043" xr:uid="{667CB3A0-8959-4D23-93A0-CB4FA29F6FBD}"/>
    <cellStyle name="Percent 3 7 5 4 2 2" xfId="8044" xr:uid="{1FC66B77-687A-436C-9AA4-31E930FE8A43}"/>
    <cellStyle name="Percent 3 7 5 4 3" xfId="8045" xr:uid="{649C21FA-9A58-4CE5-AF0F-F42BCC22713E}"/>
    <cellStyle name="Percent 3 7 5 4 3 2" xfId="8046" xr:uid="{37333438-D15C-4C80-A84C-3A22A6319FF0}"/>
    <cellStyle name="Percent 3 7 5 4 4" xfId="8047" xr:uid="{DED59B13-0F0B-419E-B525-FEB24CB666CF}"/>
    <cellStyle name="Percent 3 7 5 5" xfId="8048" xr:uid="{F197249B-69E3-4C4C-AD15-168BE568D035}"/>
    <cellStyle name="Percent 3 7 5 5 2" xfId="8049" xr:uid="{B0A17A7F-BC3F-40DA-9ADC-9BFCE7ACB8E7}"/>
    <cellStyle name="Percent 3 7 5 5 2 2" xfId="8050" xr:uid="{B06CAE41-CBED-4F30-AAC1-2695EA5BEAFD}"/>
    <cellStyle name="Percent 3 7 5 5 3" xfId="8051" xr:uid="{69DF2957-39BD-4FAE-816F-1C4B3AEC3A01}"/>
    <cellStyle name="Percent 3 7 5 5 3 2" xfId="8052" xr:uid="{BF4144BF-1151-45FC-A22A-E008C82BC42D}"/>
    <cellStyle name="Percent 3 7 5 5 4" xfId="8053" xr:uid="{360056E5-039F-495C-9469-E5B0AA1470E5}"/>
    <cellStyle name="Percent 3 7 5 5 4 2" xfId="8054" xr:uid="{916F98BE-4CD8-4FF7-A39E-871803CE4716}"/>
    <cellStyle name="Percent 3 7 5 5 5" xfId="8055" xr:uid="{4E8C2FF5-019D-421E-9515-2D79697AC931}"/>
    <cellStyle name="Percent 3 7 5 6" xfId="8056" xr:uid="{C8007522-CC1D-46FA-ADED-81786CEF1CC5}"/>
    <cellStyle name="Percent 3 7 5 6 2" xfId="8057" xr:uid="{FB4002C8-02AB-4F8A-8A79-D45F3E0BF214}"/>
    <cellStyle name="Percent 3 7 5 6 2 2" xfId="8058" xr:uid="{947614CE-E39F-4FFC-A73F-017ADDFAEE36}"/>
    <cellStyle name="Percent 3 7 5 6 3" xfId="8059" xr:uid="{02A41243-B576-4CEB-87FB-E13CC07A9D96}"/>
    <cellStyle name="Percent 3 7 5 6 3 2" xfId="8060" xr:uid="{40D32B44-841E-45C5-B531-83326144FA41}"/>
    <cellStyle name="Percent 3 7 5 6 4" xfId="8061" xr:uid="{2596C4E2-32DE-47DB-BF56-5EBB95984BDF}"/>
    <cellStyle name="Percent 3 7 5 7" xfId="8062" xr:uid="{D1463ED6-2929-4426-86C4-5D726BDB1D88}"/>
    <cellStyle name="Percent 3 7 5 7 2" xfId="8063" xr:uid="{488F3051-2BDA-48A3-B4A2-D0B125C52ED5}"/>
    <cellStyle name="Percent 3 7 5 8" xfId="8064" xr:uid="{FFD20BF8-936E-4B47-ACE9-BDCCE5F751DA}"/>
    <cellStyle name="Percent 3 7 5 8 2" xfId="8065" xr:uid="{C122E349-4BBB-430B-80A7-0E2801BB126E}"/>
    <cellStyle name="Percent 3 7 5 9" xfId="8066" xr:uid="{594F3AA7-1F1E-41E8-9C8A-FB058B78B628}"/>
    <cellStyle name="Percent 3 7 5 9 2" xfId="8067" xr:uid="{3603022A-72FC-437A-B570-0DEB413D3D3F}"/>
    <cellStyle name="Percent 3 7 6" xfId="2943" xr:uid="{C0D1DF25-7117-42BE-B428-44F6972EC224}"/>
    <cellStyle name="Percent 3 7 6 10" xfId="8069" xr:uid="{14384782-5FFC-4E99-AFAA-60D60DA704D4}"/>
    <cellStyle name="Percent 3 7 6 11" xfId="8070" xr:uid="{88388F1C-CF23-4E7A-A17F-67DAC5F96562}"/>
    <cellStyle name="Percent 3 7 6 12" xfId="8068" xr:uid="{B5AD32B4-8E1F-4C5B-95F3-2B70F4EC9E6A}"/>
    <cellStyle name="Percent 3 7 6 2" xfId="8071" xr:uid="{55F1D2A1-A6C7-465C-A7DB-3FA6355CB426}"/>
    <cellStyle name="Percent 3 7 6 2 2" xfId="8072" xr:uid="{89C96801-178E-46ED-86C9-24D0024F493C}"/>
    <cellStyle name="Percent 3 7 6 2 2 2" xfId="8073" xr:uid="{AED41599-6AE2-4C8A-A1C1-6F400460CFCD}"/>
    <cellStyle name="Percent 3 7 6 2 3" xfId="8074" xr:uid="{7EEB87D0-9EA5-42CD-B9C8-59FCCB007B62}"/>
    <cellStyle name="Percent 3 7 6 2 3 2" xfId="8075" xr:uid="{2CF3F180-94C9-4DFD-AB1D-C28433AC5A19}"/>
    <cellStyle name="Percent 3 7 6 2 4" xfId="8076" xr:uid="{FD305254-F955-4CA8-9EEC-B7B997BD745B}"/>
    <cellStyle name="Percent 3 7 6 2 5" xfId="8077" xr:uid="{4936EC3B-DB19-49AB-AEA4-38D54A3D48CA}"/>
    <cellStyle name="Percent 3 7 6 3" xfId="8078" xr:uid="{3A577B0D-A3E8-48A0-9254-49F0AB8BB8FE}"/>
    <cellStyle name="Percent 3 7 6 3 2" xfId="8079" xr:uid="{89D10701-ABC4-4AAF-8752-D663EB7E4B55}"/>
    <cellStyle name="Percent 3 7 6 3 2 2" xfId="8080" xr:uid="{992B752C-37E1-4E24-B581-C90F8E979D64}"/>
    <cellStyle name="Percent 3 7 6 3 3" xfId="8081" xr:uid="{94DB4CFD-E511-41AA-ABEA-01DFBF33F8FF}"/>
    <cellStyle name="Percent 3 7 6 3 3 2" xfId="8082" xr:uid="{F2BC350E-3BB4-47B3-8FD2-89A299FB5190}"/>
    <cellStyle name="Percent 3 7 6 3 4" xfId="8083" xr:uid="{6A02D985-7E1D-4D3A-8FF5-417CC69EE1D1}"/>
    <cellStyle name="Percent 3 7 6 4" xfId="8084" xr:uid="{A660816E-8CB5-4051-9B97-D7705559DAE2}"/>
    <cellStyle name="Percent 3 7 6 4 2" xfId="8085" xr:uid="{A1179461-6586-4DC1-BDE7-A51466D8F7C3}"/>
    <cellStyle name="Percent 3 7 6 4 2 2" xfId="8086" xr:uid="{B6730EE3-6678-4B29-9C53-FA4D0C5DC33C}"/>
    <cellStyle name="Percent 3 7 6 4 3" xfId="8087" xr:uid="{3564771B-4749-4A9E-A0BD-E711A4109824}"/>
    <cellStyle name="Percent 3 7 6 4 3 2" xfId="8088" xr:uid="{86C7EB1E-17ED-441C-B296-5865B077491F}"/>
    <cellStyle name="Percent 3 7 6 4 4" xfId="8089" xr:uid="{EB8ADB9E-6095-44E2-9CA8-B6D2D8439A48}"/>
    <cellStyle name="Percent 3 7 6 5" xfId="8090" xr:uid="{DC0015F5-9264-445C-86C5-245EBC11A225}"/>
    <cellStyle name="Percent 3 7 6 5 2" xfId="8091" xr:uid="{8680D175-21DD-4421-9FF1-AE5C7512CFB6}"/>
    <cellStyle name="Percent 3 7 6 5 2 2" xfId="8092" xr:uid="{0445B6DF-C285-47E0-9D87-D29A6F4966CD}"/>
    <cellStyle name="Percent 3 7 6 5 3" xfId="8093" xr:uid="{0BAF45B8-517C-49DA-A370-22DDE39B45FF}"/>
    <cellStyle name="Percent 3 7 6 5 3 2" xfId="8094" xr:uid="{818C3B8F-BA02-4719-9BAD-F356F520BD25}"/>
    <cellStyle name="Percent 3 7 6 5 4" xfId="8095" xr:uid="{D934D41A-8604-4370-B6A4-CCDDB59BE795}"/>
    <cellStyle name="Percent 3 7 6 5 4 2" xfId="8096" xr:uid="{9D5E40C0-F222-4458-B2A5-25C5478500F5}"/>
    <cellStyle name="Percent 3 7 6 5 5" xfId="8097" xr:uid="{E00D6D2F-0AC5-47F5-9D9E-8D1E3D9EBB21}"/>
    <cellStyle name="Percent 3 7 6 6" xfId="8098" xr:uid="{047A79E7-D6EE-4F3F-B3D7-A7D25F0AF1E5}"/>
    <cellStyle name="Percent 3 7 6 6 2" xfId="8099" xr:uid="{7B173FAD-2A2D-4595-B6F8-782D452C7F5F}"/>
    <cellStyle name="Percent 3 7 6 6 2 2" xfId="8100" xr:uid="{4F4F02CB-35C6-4D2A-9CFD-24F4C0C857B1}"/>
    <cellStyle name="Percent 3 7 6 6 3" xfId="8101" xr:uid="{EF8448BB-34CC-420E-B9E8-51A578C8B0F5}"/>
    <cellStyle name="Percent 3 7 6 6 3 2" xfId="8102" xr:uid="{7F26A73E-406F-48AA-B841-88487E844B3D}"/>
    <cellStyle name="Percent 3 7 6 6 4" xfId="8103" xr:uid="{1EE3CF76-63CB-4B9D-A602-070DA629C365}"/>
    <cellStyle name="Percent 3 7 6 7" xfId="8104" xr:uid="{20133C1E-7892-444B-BA56-2A26E574CCCD}"/>
    <cellStyle name="Percent 3 7 6 7 2" xfId="8105" xr:uid="{3D2A3C6F-08C8-4992-A57C-23172C6E1F8C}"/>
    <cellStyle name="Percent 3 7 6 8" xfId="8106" xr:uid="{00F2BD85-6C4E-4F1F-9F69-44FF1E5B4524}"/>
    <cellStyle name="Percent 3 7 6 8 2" xfId="8107" xr:uid="{965376A7-5BA0-4196-AB5B-ED8C8244A921}"/>
    <cellStyle name="Percent 3 7 6 9" xfId="8108" xr:uid="{6D1B097A-9E2F-4EEB-8511-E9FEA9D2A534}"/>
    <cellStyle name="Percent 3 7 6 9 2" xfId="8109" xr:uid="{7117268C-DD8E-4AFD-B137-5BDD4C886335}"/>
    <cellStyle name="Percent 3 7 7" xfId="2944" xr:uid="{65DD435F-3A99-4235-B684-421584FD18F3}"/>
    <cellStyle name="Percent 3 7 7 10" xfId="8111" xr:uid="{EC3B6DEC-2DD7-4599-BB1C-E93438A26A1D}"/>
    <cellStyle name="Percent 3 7 7 11" xfId="8112" xr:uid="{ADDF7C13-941C-4D00-9A54-2C9B9859115C}"/>
    <cellStyle name="Percent 3 7 7 12" xfId="8110" xr:uid="{3826D6D1-3EE8-4F94-A8BE-FD9448B3889C}"/>
    <cellStyle name="Percent 3 7 7 2" xfId="8113" xr:uid="{3D4D7019-DC5C-4BE5-AA1E-B37EC0D83C64}"/>
    <cellStyle name="Percent 3 7 7 2 2" xfId="8114" xr:uid="{11331676-BD14-47AF-B8EE-8491EBF201E3}"/>
    <cellStyle name="Percent 3 7 7 2 2 2" xfId="8115" xr:uid="{E97A7D8D-B076-4199-A2CD-A0E12F348780}"/>
    <cellStyle name="Percent 3 7 7 2 3" xfId="8116" xr:uid="{047F61A1-F6B6-474E-98E2-27F8BD12D8BF}"/>
    <cellStyle name="Percent 3 7 7 2 3 2" xfId="8117" xr:uid="{420F763D-89FC-4600-991D-B9989CBE2B0A}"/>
    <cellStyle name="Percent 3 7 7 2 4" xfId="8118" xr:uid="{9B402EFA-89F2-4425-A6C5-683CC1EBDFDC}"/>
    <cellStyle name="Percent 3 7 7 2 5" xfId="8119" xr:uid="{D04FB3FE-1368-4190-9A5A-7C1481832449}"/>
    <cellStyle name="Percent 3 7 7 3" xfId="8120" xr:uid="{E55E70EE-5EB1-44F9-B0FA-25A635D57B49}"/>
    <cellStyle name="Percent 3 7 7 3 2" xfId="8121" xr:uid="{997711C6-4049-4642-AB1A-2E96B6C11112}"/>
    <cellStyle name="Percent 3 7 7 3 2 2" xfId="8122" xr:uid="{6CDFEC25-7743-4549-9C06-2F8016501DEA}"/>
    <cellStyle name="Percent 3 7 7 3 3" xfId="8123" xr:uid="{87DD793A-A677-4F5F-B32D-98F548D3117E}"/>
    <cellStyle name="Percent 3 7 7 3 3 2" xfId="8124" xr:uid="{5D54D182-B807-4767-868A-4B2565D07955}"/>
    <cellStyle name="Percent 3 7 7 3 4" xfId="8125" xr:uid="{94F92258-B968-4364-BFA6-8DE80781C682}"/>
    <cellStyle name="Percent 3 7 7 4" xfId="8126" xr:uid="{E4F4D3B0-80B5-447B-8774-4DAA54118095}"/>
    <cellStyle name="Percent 3 7 7 4 2" xfId="8127" xr:uid="{45F1C5CF-4405-4ED8-9376-4F725A5D6EDB}"/>
    <cellStyle name="Percent 3 7 7 4 2 2" xfId="8128" xr:uid="{2FCFAA49-FE93-4A02-A047-617993799BB2}"/>
    <cellStyle name="Percent 3 7 7 4 3" xfId="8129" xr:uid="{B65C658F-1375-4236-A5A0-A5B9DD5682B1}"/>
    <cellStyle name="Percent 3 7 7 4 3 2" xfId="8130" xr:uid="{75613AA5-A3F5-4F9F-918B-58DF7CF41447}"/>
    <cellStyle name="Percent 3 7 7 4 4" xfId="8131" xr:uid="{9091C430-3C07-4AD1-801C-223B4D7A6CB4}"/>
    <cellStyle name="Percent 3 7 7 5" xfId="8132" xr:uid="{C554A4A1-F4E5-465C-A0F6-E6F7E82B3689}"/>
    <cellStyle name="Percent 3 7 7 5 2" xfId="8133" xr:uid="{F81BF468-00B4-4488-BA39-84E299CE985E}"/>
    <cellStyle name="Percent 3 7 7 5 2 2" xfId="8134" xr:uid="{79DA8F61-8CA0-4CDE-BBEF-9F6480FF15E4}"/>
    <cellStyle name="Percent 3 7 7 5 3" xfId="8135" xr:uid="{E737C73A-5ED8-4623-8410-D3B582412E60}"/>
    <cellStyle name="Percent 3 7 7 5 3 2" xfId="8136" xr:uid="{C60B2A2D-D84E-4527-BF09-4EDF78D48955}"/>
    <cellStyle name="Percent 3 7 7 5 4" xfId="8137" xr:uid="{5AD5DB09-DB1B-478D-B427-69E0FA507161}"/>
    <cellStyle name="Percent 3 7 7 5 4 2" xfId="8138" xr:uid="{63BBBE71-F55E-4F9F-B406-990043ADFB54}"/>
    <cellStyle name="Percent 3 7 7 5 5" xfId="8139" xr:uid="{CE2827A7-BA74-428D-B4B7-1FD3644095E1}"/>
    <cellStyle name="Percent 3 7 7 6" xfId="8140" xr:uid="{60C84992-3E74-4970-9E1C-AC436B992F92}"/>
    <cellStyle name="Percent 3 7 7 6 2" xfId="8141" xr:uid="{EEF6D1D0-C944-497A-B481-3C16595D3EBD}"/>
    <cellStyle name="Percent 3 7 7 6 2 2" xfId="8142" xr:uid="{7999D350-6810-443B-86BB-55E56AC11964}"/>
    <cellStyle name="Percent 3 7 7 6 3" xfId="8143" xr:uid="{8B66DA2A-313B-4CDF-A102-6B7CD753A3E0}"/>
    <cellStyle name="Percent 3 7 7 6 3 2" xfId="8144" xr:uid="{66E05F01-DFD2-4696-8979-FAE5DA447C74}"/>
    <cellStyle name="Percent 3 7 7 6 4" xfId="8145" xr:uid="{E6617D9E-B722-45E9-B522-BBF559C4841A}"/>
    <cellStyle name="Percent 3 7 7 7" xfId="8146" xr:uid="{6461CD73-9817-409F-81B4-6F2F98119A92}"/>
    <cellStyle name="Percent 3 7 7 7 2" xfId="8147" xr:uid="{0166CB9D-D4BB-4E01-9A74-E4C0C15205FE}"/>
    <cellStyle name="Percent 3 7 7 8" xfId="8148" xr:uid="{CA931943-1E5A-4D5C-B976-84F2385B87D9}"/>
    <cellStyle name="Percent 3 7 7 8 2" xfId="8149" xr:uid="{0446B1FA-8AEC-4CF5-84C3-F65CAEA9274F}"/>
    <cellStyle name="Percent 3 7 7 9" xfId="8150" xr:uid="{2E57C1F0-13A5-490B-8C94-988740D4E02C}"/>
    <cellStyle name="Percent 3 7 7 9 2" xfId="8151" xr:uid="{B33DAF74-E0E7-484C-8F47-1E26FDD98841}"/>
    <cellStyle name="Percent 3 7 8" xfId="2945" xr:uid="{0560BEEB-7EB9-4585-9839-16CB81C3A339}"/>
    <cellStyle name="Percent 3 7 8 10" xfId="8153" xr:uid="{30960E71-ACAE-4D19-B02C-9B8E20CA6BFB}"/>
    <cellStyle name="Percent 3 7 8 11" xfId="8154" xr:uid="{38E1C834-ECC7-4A4A-8E09-C3A2607E3109}"/>
    <cellStyle name="Percent 3 7 8 12" xfId="8152" xr:uid="{0E68702D-7802-4749-9C9D-EA7407BB0989}"/>
    <cellStyle name="Percent 3 7 8 2" xfId="8155" xr:uid="{46560257-B41A-4EA6-B580-2DB88A79DD1D}"/>
    <cellStyle name="Percent 3 7 8 2 2" xfId="8156" xr:uid="{C1F1216A-1111-4C9F-AC72-6763B1FFC7BE}"/>
    <cellStyle name="Percent 3 7 8 2 2 2" xfId="8157" xr:uid="{F170E482-3DD8-4322-9B16-CC81A77096B9}"/>
    <cellStyle name="Percent 3 7 8 2 3" xfId="8158" xr:uid="{8F089577-B50D-4049-9289-FB8DD68A4043}"/>
    <cellStyle name="Percent 3 7 8 2 3 2" xfId="8159" xr:uid="{A29EBD94-E4F7-482E-8853-36C0AAD3D5B3}"/>
    <cellStyle name="Percent 3 7 8 2 4" xfId="8160" xr:uid="{2377334E-1EFF-49F7-A8F0-4090DA03F585}"/>
    <cellStyle name="Percent 3 7 8 2 5" xfId="8161" xr:uid="{D2161D62-663C-41ED-9D9E-41CEC9F584A1}"/>
    <cellStyle name="Percent 3 7 8 3" xfId="8162" xr:uid="{FA99089B-68E9-4073-852D-F6CE63902B71}"/>
    <cellStyle name="Percent 3 7 8 3 2" xfId="8163" xr:uid="{11111670-4C3B-4E12-8DE4-50DF611357C4}"/>
    <cellStyle name="Percent 3 7 8 3 2 2" xfId="8164" xr:uid="{426C0FE3-8B75-4D05-B40C-3CAD2696A4A2}"/>
    <cellStyle name="Percent 3 7 8 3 3" xfId="8165" xr:uid="{4B54F226-B345-4065-A605-72055505DFE8}"/>
    <cellStyle name="Percent 3 7 8 3 3 2" xfId="8166" xr:uid="{1A40CB66-2AED-4CB7-92DC-12258C8E4DD6}"/>
    <cellStyle name="Percent 3 7 8 3 4" xfId="8167" xr:uid="{4B1AF867-CE91-4908-B9B3-DBA1E94BC1B4}"/>
    <cellStyle name="Percent 3 7 8 4" xfId="8168" xr:uid="{A83399D8-9802-4420-9957-0F90CB4DE248}"/>
    <cellStyle name="Percent 3 7 8 4 2" xfId="8169" xr:uid="{B373200C-2996-476D-83CE-43B967BC73D7}"/>
    <cellStyle name="Percent 3 7 8 4 2 2" xfId="8170" xr:uid="{90DC26CA-C6BA-4A15-B0FD-0A75C1D9F393}"/>
    <cellStyle name="Percent 3 7 8 4 3" xfId="8171" xr:uid="{57ACD7E7-A342-4CF3-B1A2-BC8616EDC891}"/>
    <cellStyle name="Percent 3 7 8 4 3 2" xfId="8172" xr:uid="{1EAE4335-E10A-40F3-A496-3BCD9D31F785}"/>
    <cellStyle name="Percent 3 7 8 4 4" xfId="8173" xr:uid="{FC817625-21B6-4BF3-9E0E-AC20910F2D41}"/>
    <cellStyle name="Percent 3 7 8 5" xfId="8174" xr:uid="{04BDA25B-2F94-4ECB-A44C-3B4440FF7DCA}"/>
    <cellStyle name="Percent 3 7 8 5 2" xfId="8175" xr:uid="{1AFAA78E-D075-44C0-A381-042250A9E4BA}"/>
    <cellStyle name="Percent 3 7 8 5 2 2" xfId="8176" xr:uid="{67F100BE-5E92-466F-BE27-B272E1BEECB8}"/>
    <cellStyle name="Percent 3 7 8 5 3" xfId="8177" xr:uid="{74EBB569-6BE6-47DF-BFF6-A9C7EF46A244}"/>
    <cellStyle name="Percent 3 7 8 5 3 2" xfId="8178" xr:uid="{31D8C7C4-DA05-4A87-AC45-BAA28AB63517}"/>
    <cellStyle name="Percent 3 7 8 5 4" xfId="8179" xr:uid="{50A0CFA5-7FEF-40B3-9CB7-7CFA4859F0DC}"/>
    <cellStyle name="Percent 3 7 8 5 4 2" xfId="8180" xr:uid="{B370FF0E-A037-4BAD-9FF3-675DC92678D3}"/>
    <cellStyle name="Percent 3 7 8 5 5" xfId="8181" xr:uid="{64309DFF-1864-4593-9C76-9485BCB8F994}"/>
    <cellStyle name="Percent 3 7 8 6" xfId="8182" xr:uid="{31DAB542-AE62-45D2-9781-624B4DD0A85B}"/>
    <cellStyle name="Percent 3 7 8 6 2" xfId="8183" xr:uid="{AEFAA461-73D9-4BDE-A00F-4F1FDEDC4D11}"/>
    <cellStyle name="Percent 3 7 8 6 2 2" xfId="8184" xr:uid="{D375BD3F-5D5C-4EC8-B93E-AB6700F41F4F}"/>
    <cellStyle name="Percent 3 7 8 6 3" xfId="8185" xr:uid="{1C64EEEB-24AE-4655-8291-DA961F05E1F0}"/>
    <cellStyle name="Percent 3 7 8 6 3 2" xfId="8186" xr:uid="{A729239E-0C31-47BB-B2E2-60E753CCEC77}"/>
    <cellStyle name="Percent 3 7 8 6 4" xfId="8187" xr:uid="{ACDC62ED-1EB2-4649-9355-D5064A9F317A}"/>
    <cellStyle name="Percent 3 7 8 7" xfId="8188" xr:uid="{9BBFA1D5-71A0-4DCA-9786-59BB36F46E13}"/>
    <cellStyle name="Percent 3 7 8 7 2" xfId="8189" xr:uid="{EEA17F58-2A57-4FB7-BF49-4021681B6984}"/>
    <cellStyle name="Percent 3 7 8 8" xfId="8190" xr:uid="{565E8687-3536-44E1-BADE-D8A1BA229035}"/>
    <cellStyle name="Percent 3 7 8 8 2" xfId="8191" xr:uid="{48FB42C6-42D3-4832-B322-EB6C12885559}"/>
    <cellStyle name="Percent 3 7 8 9" xfId="8192" xr:uid="{D45556FE-C3B2-4A13-8069-C260549273F7}"/>
    <cellStyle name="Percent 3 7 8 9 2" xfId="8193" xr:uid="{51F92FCE-FD34-4ADD-BA27-AB60ACC629A6}"/>
    <cellStyle name="Percent 3 7 9" xfId="2946" xr:uid="{FC916E9F-410D-446F-B3AA-70D87219B83F}"/>
    <cellStyle name="Percent 3 7 9 10" xfId="8195" xr:uid="{EDC4CC8B-598A-4DA8-AEED-A12392F4179F}"/>
    <cellStyle name="Percent 3 7 9 11" xfId="8196" xr:uid="{42601985-1D6B-495C-A5B8-A879F417B882}"/>
    <cellStyle name="Percent 3 7 9 12" xfId="8194" xr:uid="{07C9810E-F9D4-4FDE-830F-1DB875A70099}"/>
    <cellStyle name="Percent 3 7 9 2" xfId="8197" xr:uid="{D1DE7645-02DB-414B-8309-3ADC5ACDB2C5}"/>
    <cellStyle name="Percent 3 7 9 2 2" xfId="8198" xr:uid="{1A1E2890-2115-42A4-B0E8-D8BB1AEF251D}"/>
    <cellStyle name="Percent 3 7 9 2 2 2" xfId="8199" xr:uid="{08FB19B4-4264-4432-AAEF-97388A93435A}"/>
    <cellStyle name="Percent 3 7 9 2 3" xfId="8200" xr:uid="{738D8934-FF8F-4D7A-BEFF-74D65626F064}"/>
    <cellStyle name="Percent 3 7 9 2 3 2" xfId="8201" xr:uid="{B80B53BF-BD8A-46AE-A191-60C0E6B4A8B3}"/>
    <cellStyle name="Percent 3 7 9 2 4" xfId="8202" xr:uid="{BC4D9320-9DF6-43A1-B4D8-5C4D7B226912}"/>
    <cellStyle name="Percent 3 7 9 2 5" xfId="8203" xr:uid="{7BCA5D52-B6B4-42F4-8170-2DEDD1EEFC22}"/>
    <cellStyle name="Percent 3 7 9 3" xfId="8204" xr:uid="{005BF62B-BF21-445B-92EE-6CF4AFDE0641}"/>
    <cellStyle name="Percent 3 7 9 3 2" xfId="8205" xr:uid="{731D65DE-BB89-4219-B1F4-4DB80602BDFD}"/>
    <cellStyle name="Percent 3 7 9 3 2 2" xfId="8206" xr:uid="{DC7A092F-DA27-4A41-9977-C7FBAA0218A8}"/>
    <cellStyle name="Percent 3 7 9 3 3" xfId="8207" xr:uid="{EB51DA88-3E1C-43BE-A475-BA8DEFB880FA}"/>
    <cellStyle name="Percent 3 7 9 3 3 2" xfId="8208" xr:uid="{15D4DF80-0EB4-45FF-80D3-E85962DA9164}"/>
    <cellStyle name="Percent 3 7 9 3 4" xfId="8209" xr:uid="{4200C52F-8B10-4A01-B8B5-EF40B5697A9C}"/>
    <cellStyle name="Percent 3 7 9 4" xfId="8210" xr:uid="{962A6776-DB20-44B1-9C57-9275FF39FFB5}"/>
    <cellStyle name="Percent 3 7 9 4 2" xfId="8211" xr:uid="{E7DD0B47-43E6-46DF-B47F-230DE84B7981}"/>
    <cellStyle name="Percent 3 7 9 4 2 2" xfId="8212" xr:uid="{16B34CA0-4AFF-41ED-BA73-DEFDBD24A00E}"/>
    <cellStyle name="Percent 3 7 9 4 3" xfId="8213" xr:uid="{F6AFAB81-E24A-476B-9145-E8C19DB40626}"/>
    <cellStyle name="Percent 3 7 9 4 3 2" xfId="8214" xr:uid="{329D7C31-0D2E-41FA-AFBB-B257885463A8}"/>
    <cellStyle name="Percent 3 7 9 4 4" xfId="8215" xr:uid="{9B28FE8D-0D9A-4A4C-8E2E-D389511FF5BD}"/>
    <cellStyle name="Percent 3 7 9 5" xfId="8216" xr:uid="{AE19281B-BF79-4F8A-8CAF-88EA9A8A7B58}"/>
    <cellStyle name="Percent 3 7 9 5 2" xfId="8217" xr:uid="{FA3DCEB4-00DF-4835-92FC-C9AA7F6885F0}"/>
    <cellStyle name="Percent 3 7 9 5 2 2" xfId="8218" xr:uid="{68DBE416-EBB0-440D-A433-8BACCB05654F}"/>
    <cellStyle name="Percent 3 7 9 5 3" xfId="8219" xr:uid="{489A15D8-3FE3-4233-8E57-35B8D2EEB7D0}"/>
    <cellStyle name="Percent 3 7 9 5 3 2" xfId="8220" xr:uid="{6876C680-88E2-44F8-A3D3-B5DE20E01049}"/>
    <cellStyle name="Percent 3 7 9 5 4" xfId="8221" xr:uid="{EC1A384F-60DB-46FB-B7E5-F16EADD167EC}"/>
    <cellStyle name="Percent 3 7 9 5 4 2" xfId="8222" xr:uid="{AA911AA2-CA4D-42F9-B38A-D3AB1C97506E}"/>
    <cellStyle name="Percent 3 7 9 5 5" xfId="8223" xr:uid="{FEF49B3E-FF78-4D95-814A-7001D7E9EEDC}"/>
    <cellStyle name="Percent 3 7 9 6" xfId="8224" xr:uid="{5A660237-A231-4448-800C-EF6101620299}"/>
    <cellStyle name="Percent 3 7 9 6 2" xfId="8225" xr:uid="{0679584E-B355-4402-98D5-65D35AF80C85}"/>
    <cellStyle name="Percent 3 7 9 6 2 2" xfId="8226" xr:uid="{24CF81F4-77B9-4AB2-AAAA-5AFF87367691}"/>
    <cellStyle name="Percent 3 7 9 6 3" xfId="8227" xr:uid="{ED1355B5-356A-4F29-A784-50F07AD7EEA3}"/>
    <cellStyle name="Percent 3 7 9 6 3 2" xfId="8228" xr:uid="{41D533A0-1C66-4EA3-A863-79C8D6E78A2A}"/>
    <cellStyle name="Percent 3 7 9 6 4" xfId="8229" xr:uid="{64C6719F-07FD-4CF4-BFFB-6F1B3483C4C7}"/>
    <cellStyle name="Percent 3 7 9 7" xfId="8230" xr:uid="{F455FC7C-05D3-4949-B759-0A93B7B89254}"/>
    <cellStyle name="Percent 3 7 9 7 2" xfId="8231" xr:uid="{77EAB0D7-3AC4-4939-8978-915C7CD71D0A}"/>
    <cellStyle name="Percent 3 7 9 8" xfId="8232" xr:uid="{23609215-9875-4DAE-B96B-BAB6D831FBF2}"/>
    <cellStyle name="Percent 3 7 9 8 2" xfId="8233" xr:uid="{1DA42086-4A7F-43F7-B48C-451FA25453CE}"/>
    <cellStyle name="Percent 3 7 9 9" xfId="8234" xr:uid="{746259B6-5298-4467-8D22-FC96314E9853}"/>
    <cellStyle name="Percent 3 7 9 9 2" xfId="8235" xr:uid="{0B7547FB-C161-4B43-853F-3160FE241B42}"/>
    <cellStyle name="Percent 3 8" xfId="2947" xr:uid="{A1EE6481-7EFF-4ED5-A195-814E24F566C0}"/>
    <cellStyle name="Percent 3 8 10" xfId="2948" xr:uid="{8EDD034D-32D8-4589-8DDD-187C6AD59F00}"/>
    <cellStyle name="Percent 3 8 10 10" xfId="8238" xr:uid="{74E307C0-EE07-46B8-B1FB-CCA82B459C2A}"/>
    <cellStyle name="Percent 3 8 10 11" xfId="8239" xr:uid="{DE6F6248-AF78-409C-BBDB-8D0D9E4E906B}"/>
    <cellStyle name="Percent 3 8 10 12" xfId="8237" xr:uid="{DDB986F6-9173-4E1D-9651-A1B735E8F34B}"/>
    <cellStyle name="Percent 3 8 10 2" xfId="8240" xr:uid="{E328AAE7-3634-4A60-B787-BB3DA165EC3E}"/>
    <cellStyle name="Percent 3 8 10 2 2" xfId="8241" xr:uid="{9168485C-E404-4AC2-A9B0-B9A2A213255F}"/>
    <cellStyle name="Percent 3 8 10 2 2 2" xfId="8242" xr:uid="{E2AD3584-013D-470D-95C7-CB7BADB9E157}"/>
    <cellStyle name="Percent 3 8 10 2 3" xfId="8243" xr:uid="{263BAC5B-02DC-484F-A223-E51663D01C36}"/>
    <cellStyle name="Percent 3 8 10 2 3 2" xfId="8244" xr:uid="{D8DB4B71-88D9-4553-8490-A8D5655380B8}"/>
    <cellStyle name="Percent 3 8 10 2 4" xfId="8245" xr:uid="{EC3B5102-E03A-45F1-ADC9-A820039CFA33}"/>
    <cellStyle name="Percent 3 8 10 2 5" xfId="8246" xr:uid="{407A1A6B-F407-4461-804E-BF95BA38A845}"/>
    <cellStyle name="Percent 3 8 10 3" xfId="8247" xr:uid="{47CE1756-4B49-42CF-ADDF-6B2A9E2DAD1B}"/>
    <cellStyle name="Percent 3 8 10 3 2" xfId="8248" xr:uid="{0FC4A076-D5B6-49AD-89E3-EA739708159F}"/>
    <cellStyle name="Percent 3 8 10 3 2 2" xfId="8249" xr:uid="{D6891817-FC5A-4D1C-BC11-3484A3761C68}"/>
    <cellStyle name="Percent 3 8 10 3 3" xfId="8250" xr:uid="{AA2215CA-468A-4A4A-91E7-5E543C3EAE64}"/>
    <cellStyle name="Percent 3 8 10 3 3 2" xfId="8251" xr:uid="{1DA382CB-E94A-46FA-9F10-BBD1C7896283}"/>
    <cellStyle name="Percent 3 8 10 3 4" xfId="8252" xr:uid="{C63BA029-6FF3-480C-B5D6-7FDE7212CFA3}"/>
    <cellStyle name="Percent 3 8 10 4" xfId="8253" xr:uid="{AB8F5472-A54C-4935-B6C3-5BE69B636A11}"/>
    <cellStyle name="Percent 3 8 10 4 2" xfId="8254" xr:uid="{B05D8004-AA5F-490E-8380-36DEC774D7B2}"/>
    <cellStyle name="Percent 3 8 10 4 2 2" xfId="8255" xr:uid="{46E64B05-31A7-474D-8034-C0109CAACD8A}"/>
    <cellStyle name="Percent 3 8 10 4 3" xfId="8256" xr:uid="{1FBC4B69-E10F-4BD8-8A2F-968A4E571B07}"/>
    <cellStyle name="Percent 3 8 10 4 3 2" xfId="8257" xr:uid="{396BB651-F276-4B3D-9D9F-BF8A90CD4FAB}"/>
    <cellStyle name="Percent 3 8 10 4 4" xfId="8258" xr:uid="{82D5DBF2-3D85-4116-80E2-3F5BF901F545}"/>
    <cellStyle name="Percent 3 8 10 5" xfId="8259" xr:uid="{CF2580BE-F7ED-4BD5-A895-E6732D4EA1C7}"/>
    <cellStyle name="Percent 3 8 10 5 2" xfId="8260" xr:uid="{B602AC9F-59CD-45B5-9E31-1510C18970D0}"/>
    <cellStyle name="Percent 3 8 10 5 2 2" xfId="8261" xr:uid="{54AC1F9D-BBA1-48D4-9AFC-4B444B20A2FC}"/>
    <cellStyle name="Percent 3 8 10 5 3" xfId="8262" xr:uid="{966529F0-E292-453E-BD41-9A9C72876BF4}"/>
    <cellStyle name="Percent 3 8 10 5 3 2" xfId="8263" xr:uid="{87842054-609A-4E60-944E-FFD942A22B75}"/>
    <cellStyle name="Percent 3 8 10 5 4" xfId="8264" xr:uid="{45A87678-F4BE-4FFA-9E42-8546BAF1FDFB}"/>
    <cellStyle name="Percent 3 8 10 5 4 2" xfId="8265" xr:uid="{D152ED51-1DE9-439F-A69A-F9D71402A7FD}"/>
    <cellStyle name="Percent 3 8 10 5 5" xfId="8266" xr:uid="{C66C31E5-78F5-465E-95AC-07AB16797C03}"/>
    <cellStyle name="Percent 3 8 10 6" xfId="8267" xr:uid="{7BC4CE47-D864-44D2-ADF3-5A03CCDD6ECB}"/>
    <cellStyle name="Percent 3 8 10 6 2" xfId="8268" xr:uid="{79BA61AC-75F5-4548-95FA-BD160B990CCB}"/>
    <cellStyle name="Percent 3 8 10 6 2 2" xfId="8269" xr:uid="{E1016159-8646-4D92-A173-1BD7D23EC0E2}"/>
    <cellStyle name="Percent 3 8 10 6 3" xfId="8270" xr:uid="{38A1DACA-986D-40EA-99DA-722C9559C48F}"/>
    <cellStyle name="Percent 3 8 10 6 3 2" xfId="8271" xr:uid="{1BB4658D-2604-4F49-9760-478EA2B2EF59}"/>
    <cellStyle name="Percent 3 8 10 6 4" xfId="8272" xr:uid="{F1C49F87-E889-417A-A70F-1A1C87D77197}"/>
    <cellStyle name="Percent 3 8 10 7" xfId="8273" xr:uid="{74FB7B08-7EFB-43D0-85D3-4F2E74BE87CC}"/>
    <cellStyle name="Percent 3 8 10 7 2" xfId="8274" xr:uid="{19E72CF0-1E04-4F85-99B8-36DBB6FD0039}"/>
    <cellStyle name="Percent 3 8 10 8" xfId="8275" xr:uid="{42193BAB-B697-4168-8F00-DFF4FE17607F}"/>
    <cellStyle name="Percent 3 8 10 8 2" xfId="8276" xr:uid="{B9086EF3-BECB-4218-9767-2C52E43AE3E0}"/>
    <cellStyle name="Percent 3 8 10 9" xfId="8277" xr:uid="{6AB2F139-66D4-45D2-A254-F238343BB600}"/>
    <cellStyle name="Percent 3 8 10 9 2" xfId="8278" xr:uid="{488BB510-E947-40CA-BC2B-B8709B85BB99}"/>
    <cellStyle name="Percent 3 8 11" xfId="2949" xr:uid="{C4A27BE9-8021-4783-9C32-822851DDFDA9}"/>
    <cellStyle name="Percent 3 8 11 10" xfId="8280" xr:uid="{5CCA242F-998E-48E9-BC41-B836EC1EAF34}"/>
    <cellStyle name="Percent 3 8 11 11" xfId="8281" xr:uid="{E86CB608-C8EA-4F31-B7B8-2741E5F6A0DC}"/>
    <cellStyle name="Percent 3 8 11 12" xfId="8279" xr:uid="{0492155A-E32C-4955-920C-D2857313F000}"/>
    <cellStyle name="Percent 3 8 11 2" xfId="8282" xr:uid="{F32076C3-61CD-4D5F-B31C-780263B49D85}"/>
    <cellStyle name="Percent 3 8 11 2 2" xfId="8283" xr:uid="{EF966957-76D3-435A-AAA9-FCDFEA1A12C5}"/>
    <cellStyle name="Percent 3 8 11 2 2 2" xfId="8284" xr:uid="{D3BEAB53-9CB0-49FA-A423-B8E11FA08FC6}"/>
    <cellStyle name="Percent 3 8 11 2 3" xfId="8285" xr:uid="{5EA52DFC-ED69-42FE-BCC0-9CF098F23849}"/>
    <cellStyle name="Percent 3 8 11 2 3 2" xfId="8286" xr:uid="{215FEF26-F67D-40AF-8A13-6D8FB621FDED}"/>
    <cellStyle name="Percent 3 8 11 2 4" xfId="8287" xr:uid="{90B6ED5B-FA55-407B-B611-772FB8AFEA47}"/>
    <cellStyle name="Percent 3 8 11 2 5" xfId="8288" xr:uid="{4301FEA4-4953-4635-AABE-31179563F6A9}"/>
    <cellStyle name="Percent 3 8 11 3" xfId="8289" xr:uid="{073B1BEF-82C0-429F-B1C9-89F0570FA002}"/>
    <cellStyle name="Percent 3 8 11 3 2" xfId="8290" xr:uid="{2E47E790-4A19-47DA-85F0-D8C8E8A12119}"/>
    <cellStyle name="Percent 3 8 11 3 2 2" xfId="8291" xr:uid="{6DD3DDBB-E841-41B9-B382-1908B94D377F}"/>
    <cellStyle name="Percent 3 8 11 3 3" xfId="8292" xr:uid="{BF117BED-3543-403D-B5D7-259021E74993}"/>
    <cellStyle name="Percent 3 8 11 3 3 2" xfId="8293" xr:uid="{4E93336D-4FA3-4EE1-BF48-4E7384ECEE59}"/>
    <cellStyle name="Percent 3 8 11 3 4" xfId="8294" xr:uid="{31F60D2D-9322-4C84-B3E5-06F4AAEB8163}"/>
    <cellStyle name="Percent 3 8 11 4" xfId="8295" xr:uid="{590CC184-1C0F-4ADE-A9F3-707223EF99F9}"/>
    <cellStyle name="Percent 3 8 11 4 2" xfId="8296" xr:uid="{B269758F-AA98-4CC4-A63C-4DD57A3BC5B5}"/>
    <cellStyle name="Percent 3 8 11 4 2 2" xfId="8297" xr:uid="{E42CAE8E-E811-452C-A766-6800B92CBA9F}"/>
    <cellStyle name="Percent 3 8 11 4 3" xfId="8298" xr:uid="{B0B45EF0-AFB1-4178-93FA-91BDEF04D240}"/>
    <cellStyle name="Percent 3 8 11 4 3 2" xfId="8299" xr:uid="{66190062-9F63-4A13-AD55-EF6F4501A536}"/>
    <cellStyle name="Percent 3 8 11 4 4" xfId="8300" xr:uid="{7275B3F6-0AD7-4698-A909-E02BD9BAD11C}"/>
    <cellStyle name="Percent 3 8 11 5" xfId="8301" xr:uid="{45387C0C-A3CF-42CF-BAA3-67BAC4DE258E}"/>
    <cellStyle name="Percent 3 8 11 5 2" xfId="8302" xr:uid="{0FED55F2-B92E-424E-80A3-E7AFBEF483CA}"/>
    <cellStyle name="Percent 3 8 11 5 2 2" xfId="8303" xr:uid="{BD18B1EA-2583-4ED9-A8F6-F8AEC3F58FEC}"/>
    <cellStyle name="Percent 3 8 11 5 3" xfId="8304" xr:uid="{AFE65F10-25D8-4327-9CC8-48F6CB8D0EC9}"/>
    <cellStyle name="Percent 3 8 11 5 3 2" xfId="8305" xr:uid="{8B0A2F8B-F39F-493E-BB6A-882A39734F24}"/>
    <cellStyle name="Percent 3 8 11 5 4" xfId="8306" xr:uid="{08330B21-453A-4726-A048-21B4660251FE}"/>
    <cellStyle name="Percent 3 8 11 5 4 2" xfId="8307" xr:uid="{7A153663-FE2E-4588-8B4D-56A3D5C6CF43}"/>
    <cellStyle name="Percent 3 8 11 5 5" xfId="8308" xr:uid="{05589812-F29D-4610-A113-062BF06F1CAA}"/>
    <cellStyle name="Percent 3 8 11 6" xfId="8309" xr:uid="{0E7EE023-66DC-4C93-B970-624A6A1AD2F0}"/>
    <cellStyle name="Percent 3 8 11 6 2" xfId="8310" xr:uid="{5AB1BA27-F5B5-40B1-8862-377F8C23E1EB}"/>
    <cellStyle name="Percent 3 8 11 6 2 2" xfId="8311" xr:uid="{2697E342-9636-4900-97C1-686DCE23637B}"/>
    <cellStyle name="Percent 3 8 11 6 3" xfId="8312" xr:uid="{E852EECE-F32B-4D76-8789-64AB3D5794A4}"/>
    <cellStyle name="Percent 3 8 11 6 3 2" xfId="8313" xr:uid="{49227B8D-A19B-4542-A54F-9683EF13567D}"/>
    <cellStyle name="Percent 3 8 11 6 4" xfId="8314" xr:uid="{1FC5D009-EFCF-45E0-B9D8-E84303FC1B59}"/>
    <cellStyle name="Percent 3 8 11 7" xfId="8315" xr:uid="{A4597CF2-7EF1-40A9-BB90-10E2ABD85124}"/>
    <cellStyle name="Percent 3 8 11 7 2" xfId="8316" xr:uid="{F203F21C-E845-4933-8031-2BA66911E4C4}"/>
    <cellStyle name="Percent 3 8 11 8" xfId="8317" xr:uid="{A1A11CA0-1552-4DB0-B39A-5E30790D3E8F}"/>
    <cellStyle name="Percent 3 8 11 8 2" xfId="8318" xr:uid="{5AE5CAE3-0A30-4329-8A05-6DA889EFA361}"/>
    <cellStyle name="Percent 3 8 11 9" xfId="8319" xr:uid="{45A8E4DA-1C0B-4F15-93FD-EF7D8F103126}"/>
    <cellStyle name="Percent 3 8 11 9 2" xfId="8320" xr:uid="{72339B0E-7A68-4DBC-99EF-4D8320F3C19A}"/>
    <cellStyle name="Percent 3 8 12" xfId="2950" xr:uid="{6332B296-9933-4A24-88B5-7B54762D8DFF}"/>
    <cellStyle name="Percent 3 8 12 10" xfId="8322" xr:uid="{6149563A-4B87-454F-A706-E667289B2DF1}"/>
    <cellStyle name="Percent 3 8 12 11" xfId="8323" xr:uid="{725D92C5-AD38-4800-80FA-8AF5EDBA996E}"/>
    <cellStyle name="Percent 3 8 12 12" xfId="8321" xr:uid="{F2165BC4-2634-4202-B7D4-AFEAE4F58482}"/>
    <cellStyle name="Percent 3 8 12 2" xfId="8324" xr:uid="{8BBC7CEA-98FB-40A3-B6E5-2AAD81EBBFE8}"/>
    <cellStyle name="Percent 3 8 12 2 2" xfId="8325" xr:uid="{A1508115-C8EE-48E7-861B-77E174DAD17C}"/>
    <cellStyle name="Percent 3 8 12 2 2 2" xfId="8326" xr:uid="{1B026242-C85F-4B36-ACDA-4CA208EC4F5F}"/>
    <cellStyle name="Percent 3 8 12 2 3" xfId="8327" xr:uid="{739E784B-3CED-4933-9304-FE27AFCC27FF}"/>
    <cellStyle name="Percent 3 8 12 2 3 2" xfId="8328" xr:uid="{024B3889-C0E0-4362-B9A1-B3DF6283CECA}"/>
    <cellStyle name="Percent 3 8 12 2 4" xfId="8329" xr:uid="{F9F74123-E53B-4179-8817-F7120E8AAAAF}"/>
    <cellStyle name="Percent 3 8 12 2 5" xfId="8330" xr:uid="{A198AF08-14CB-40CE-BFA9-EFBB996E570E}"/>
    <cellStyle name="Percent 3 8 12 3" xfId="8331" xr:uid="{AD9CC17F-79E0-4A3A-A550-09E9A6016064}"/>
    <cellStyle name="Percent 3 8 12 3 2" xfId="8332" xr:uid="{AA912587-0D54-46E1-A1DD-221BA258F253}"/>
    <cellStyle name="Percent 3 8 12 3 2 2" xfId="8333" xr:uid="{AE05FE33-B390-4A89-A994-640BFCE1DF1C}"/>
    <cellStyle name="Percent 3 8 12 3 3" xfId="8334" xr:uid="{C385AA19-CEC6-422D-BE5C-307F6E4EE979}"/>
    <cellStyle name="Percent 3 8 12 3 3 2" xfId="8335" xr:uid="{58459119-5276-4518-A542-AA7FBD695C0D}"/>
    <cellStyle name="Percent 3 8 12 3 4" xfId="8336" xr:uid="{9933F51B-7B64-41E5-BA67-11970815F9A8}"/>
    <cellStyle name="Percent 3 8 12 4" xfId="8337" xr:uid="{39287C66-4311-4ABF-AAD6-B6DC0FA58AC8}"/>
    <cellStyle name="Percent 3 8 12 4 2" xfId="8338" xr:uid="{D86CEA90-6C71-4836-90FC-CFBEB7822E7C}"/>
    <cellStyle name="Percent 3 8 12 4 2 2" xfId="8339" xr:uid="{6CAD0694-2319-435B-9941-D48750886522}"/>
    <cellStyle name="Percent 3 8 12 4 3" xfId="8340" xr:uid="{B5B00A8A-1818-4C54-8924-F88C40D5A1D9}"/>
    <cellStyle name="Percent 3 8 12 4 3 2" xfId="8341" xr:uid="{E62F9ECD-A198-4DE9-A973-4754E92685F5}"/>
    <cellStyle name="Percent 3 8 12 4 4" xfId="8342" xr:uid="{E3998A1F-E6F0-488C-BDB7-16DCFE56C81A}"/>
    <cellStyle name="Percent 3 8 12 5" xfId="8343" xr:uid="{32597136-E263-4F1A-A2F6-8184D315C525}"/>
    <cellStyle name="Percent 3 8 12 5 2" xfId="8344" xr:uid="{C819870C-BEE2-4189-B29A-DAF174DC1BAC}"/>
    <cellStyle name="Percent 3 8 12 5 2 2" xfId="8345" xr:uid="{CDF6BFF7-A129-4CB2-9A53-81B0FD5CA159}"/>
    <cellStyle name="Percent 3 8 12 5 3" xfId="8346" xr:uid="{F5A2116A-1B60-4A4B-B30F-63E4D8780A61}"/>
    <cellStyle name="Percent 3 8 12 5 3 2" xfId="8347" xr:uid="{189DAC21-AD11-4A20-8988-8A660DBB806B}"/>
    <cellStyle name="Percent 3 8 12 5 4" xfId="8348" xr:uid="{610E4F79-2DFD-485F-B569-45331573A364}"/>
    <cellStyle name="Percent 3 8 12 5 4 2" xfId="8349" xr:uid="{7EA73012-68C2-4618-92E9-3162CD0ABEDC}"/>
    <cellStyle name="Percent 3 8 12 5 5" xfId="8350" xr:uid="{A7FFE884-E290-48A3-9BE9-BD1DC8781E5E}"/>
    <cellStyle name="Percent 3 8 12 6" xfId="8351" xr:uid="{35AF5F89-11A1-4F1D-B351-5C9AF01E7A69}"/>
    <cellStyle name="Percent 3 8 12 6 2" xfId="8352" xr:uid="{BC82C0CC-E5DA-4352-BB68-2F739E69A5C3}"/>
    <cellStyle name="Percent 3 8 12 6 2 2" xfId="8353" xr:uid="{65F1BEF4-74EE-4804-95E9-AE8F496DD121}"/>
    <cellStyle name="Percent 3 8 12 6 3" xfId="8354" xr:uid="{AF6A2CD9-86EF-4D3D-90B2-CFE52DD02924}"/>
    <cellStyle name="Percent 3 8 12 6 3 2" xfId="8355" xr:uid="{8F1B62FA-AE22-4942-A118-D5155A99721A}"/>
    <cellStyle name="Percent 3 8 12 6 4" xfId="8356" xr:uid="{DEE6769B-DE2B-47E7-8601-EB6545013313}"/>
    <cellStyle name="Percent 3 8 12 7" xfId="8357" xr:uid="{D67D2F98-4CE1-403F-9615-97597A1EBB80}"/>
    <cellStyle name="Percent 3 8 12 7 2" xfId="8358" xr:uid="{D1918A69-BE73-4A41-A874-289E5ADEEC4A}"/>
    <cellStyle name="Percent 3 8 12 8" xfId="8359" xr:uid="{063BC9FC-E993-48E0-87F4-0C60A50717AC}"/>
    <cellStyle name="Percent 3 8 12 8 2" xfId="8360" xr:uid="{658A5B42-4897-4A40-B0D6-88D74024EE77}"/>
    <cellStyle name="Percent 3 8 12 9" xfId="8361" xr:uid="{791D9DC7-8351-4A99-A564-469110DDFFD0}"/>
    <cellStyle name="Percent 3 8 12 9 2" xfId="8362" xr:uid="{B8BB8D6C-39B9-4782-9C9F-AD24A4A21A34}"/>
    <cellStyle name="Percent 3 8 13" xfId="2951" xr:uid="{F2D7604B-1E12-4A18-8251-70D43334CE10}"/>
    <cellStyle name="Percent 3 8 13 10" xfId="8364" xr:uid="{55C1E344-5613-435A-8AA6-27C2586515A0}"/>
    <cellStyle name="Percent 3 8 13 11" xfId="8365" xr:uid="{68253D6D-A580-4D7F-9021-3936E9BA0761}"/>
    <cellStyle name="Percent 3 8 13 12" xfId="8363" xr:uid="{815CE216-46B5-49D3-8EC7-3F84B2FDE81C}"/>
    <cellStyle name="Percent 3 8 13 2" xfId="8366" xr:uid="{BC516F3B-5D3D-4F57-99CB-DDD1A08779EC}"/>
    <cellStyle name="Percent 3 8 13 2 2" xfId="8367" xr:uid="{2D13D61D-E924-4E02-9E48-0532E1764E36}"/>
    <cellStyle name="Percent 3 8 13 2 2 2" xfId="8368" xr:uid="{92FBCB41-81A0-4712-8829-F35B8FD81A89}"/>
    <cellStyle name="Percent 3 8 13 2 3" xfId="8369" xr:uid="{A0F4635E-8CE9-4D38-8943-871C83D469E4}"/>
    <cellStyle name="Percent 3 8 13 2 3 2" xfId="8370" xr:uid="{2ADBC18F-7D05-47B6-98F9-FA3888316EA2}"/>
    <cellStyle name="Percent 3 8 13 2 4" xfId="8371" xr:uid="{C6CECEBF-F48F-434C-ABAE-A6B1BA2DF82B}"/>
    <cellStyle name="Percent 3 8 13 2 5" xfId="8372" xr:uid="{53801271-4ABA-4613-A21B-D3E9A9AFB087}"/>
    <cellStyle name="Percent 3 8 13 3" xfId="8373" xr:uid="{A019524E-EE42-4C50-BEAB-6E2733CEB0B3}"/>
    <cellStyle name="Percent 3 8 13 3 2" xfId="8374" xr:uid="{452B6BE2-E52E-485B-9C75-DAEBFD896E40}"/>
    <cellStyle name="Percent 3 8 13 3 2 2" xfId="8375" xr:uid="{CBF9F575-35CC-496B-84D5-59E930BD523D}"/>
    <cellStyle name="Percent 3 8 13 3 3" xfId="8376" xr:uid="{A8DEEF51-6E2A-421B-9ECC-C4D555059E55}"/>
    <cellStyle name="Percent 3 8 13 3 3 2" xfId="8377" xr:uid="{6B3352A5-3231-4C5D-B6ED-B220DD620FD5}"/>
    <cellStyle name="Percent 3 8 13 3 4" xfId="8378" xr:uid="{A6EC3CB0-81F3-4495-9ADA-4B4C61A9DA8F}"/>
    <cellStyle name="Percent 3 8 13 4" xfId="8379" xr:uid="{D7AAFDCD-42D5-425B-AF65-E577FA18FE45}"/>
    <cellStyle name="Percent 3 8 13 4 2" xfId="8380" xr:uid="{C9CA4CD2-E3E2-43CE-ABA8-5AD80DB92C71}"/>
    <cellStyle name="Percent 3 8 13 4 2 2" xfId="8381" xr:uid="{6A2E1987-9F14-4639-AF7D-AEFA339AAC44}"/>
    <cellStyle name="Percent 3 8 13 4 3" xfId="8382" xr:uid="{E03CC460-0ADB-4D4A-A77F-20178444CE8C}"/>
    <cellStyle name="Percent 3 8 13 4 3 2" xfId="8383" xr:uid="{C7E7312D-9B55-40C9-8568-22D374558A39}"/>
    <cellStyle name="Percent 3 8 13 4 4" xfId="8384" xr:uid="{B1408506-9051-4208-B506-A37F55F46050}"/>
    <cellStyle name="Percent 3 8 13 5" xfId="8385" xr:uid="{EC3801BF-7F4A-455C-B7F3-AD0B1F0DDEFA}"/>
    <cellStyle name="Percent 3 8 13 5 2" xfId="8386" xr:uid="{E5E698FC-777C-42A2-94DB-3E9D8D2A6408}"/>
    <cellStyle name="Percent 3 8 13 5 2 2" xfId="8387" xr:uid="{19A96A48-4F9D-4EC5-959C-A43F0DCD4574}"/>
    <cellStyle name="Percent 3 8 13 5 3" xfId="8388" xr:uid="{ADB787E9-845F-44CC-B2AE-8F719A406C98}"/>
    <cellStyle name="Percent 3 8 13 5 3 2" xfId="8389" xr:uid="{888F907C-8671-4C18-B097-B517FFCE028B}"/>
    <cellStyle name="Percent 3 8 13 5 4" xfId="8390" xr:uid="{06E7916D-F125-40F4-AF8C-A9546052270F}"/>
    <cellStyle name="Percent 3 8 13 5 4 2" xfId="8391" xr:uid="{DCE3F4CF-A706-4BD0-A5DD-5CD715F73008}"/>
    <cellStyle name="Percent 3 8 13 5 5" xfId="8392" xr:uid="{12DEBDB6-C889-48B6-A89C-B7126C2EEFDF}"/>
    <cellStyle name="Percent 3 8 13 6" xfId="8393" xr:uid="{53CAB1BE-8861-4EB4-A3B2-D6C95F2B8124}"/>
    <cellStyle name="Percent 3 8 13 6 2" xfId="8394" xr:uid="{EC4F710E-BD78-4A9F-9787-B0EC962045A4}"/>
    <cellStyle name="Percent 3 8 13 6 2 2" xfId="8395" xr:uid="{F6E99E08-8410-48D5-BBD7-A2BC24D5B93A}"/>
    <cellStyle name="Percent 3 8 13 6 3" xfId="8396" xr:uid="{3FB5633D-5D35-4116-8EE9-8F54BAADE462}"/>
    <cellStyle name="Percent 3 8 13 6 3 2" xfId="8397" xr:uid="{911B6101-4320-4D7F-A78C-4ABF2D164B58}"/>
    <cellStyle name="Percent 3 8 13 6 4" xfId="8398" xr:uid="{7B94BC77-46B4-4189-BBAD-3382BF2E51DE}"/>
    <cellStyle name="Percent 3 8 13 7" xfId="8399" xr:uid="{1A863C2B-9EE2-4885-9EEE-C0360042DA0C}"/>
    <cellStyle name="Percent 3 8 13 7 2" xfId="8400" xr:uid="{B2D68B5C-7B53-4F75-85C6-AA91D8F7BD95}"/>
    <cellStyle name="Percent 3 8 13 8" xfId="8401" xr:uid="{8A3E18D0-6604-4865-B170-55D484F1D2CE}"/>
    <cellStyle name="Percent 3 8 13 8 2" xfId="8402" xr:uid="{A575BF7D-9AD4-4962-8FEC-105713BCD9D8}"/>
    <cellStyle name="Percent 3 8 13 9" xfId="8403" xr:uid="{06318883-16E5-4C26-80F9-67572B6E429F}"/>
    <cellStyle name="Percent 3 8 13 9 2" xfId="8404" xr:uid="{2CC0463A-3BDF-4652-A27E-F54C3B569169}"/>
    <cellStyle name="Percent 3 8 14" xfId="2952" xr:uid="{C9940AFE-4F0A-425A-B159-A3E7D34FA531}"/>
    <cellStyle name="Percent 3 8 14 10" xfId="8406" xr:uid="{39093A01-CEC9-4091-87A3-7DC3C35F8998}"/>
    <cellStyle name="Percent 3 8 14 11" xfId="8407" xr:uid="{1DA19991-0EF6-455A-AE9C-1A09127D2DAA}"/>
    <cellStyle name="Percent 3 8 14 12" xfId="8405" xr:uid="{DB6B03FF-5708-4792-89B6-B8AB3B728E1E}"/>
    <cellStyle name="Percent 3 8 14 2" xfId="8408" xr:uid="{4A9A5D01-4B09-4A24-9453-0E96F40ADAD8}"/>
    <cellStyle name="Percent 3 8 14 2 2" xfId="8409" xr:uid="{62EE822E-2A6B-4E7D-9870-B01E1CD08B04}"/>
    <cellStyle name="Percent 3 8 14 2 2 2" xfId="8410" xr:uid="{86A2616B-421B-44FA-BDB2-8172F29A1E4E}"/>
    <cellStyle name="Percent 3 8 14 2 3" xfId="8411" xr:uid="{343163B6-468D-43C6-979F-D11A571F6E80}"/>
    <cellStyle name="Percent 3 8 14 2 3 2" xfId="8412" xr:uid="{E46D2B79-41BF-4D41-B7E1-2A80D261235C}"/>
    <cellStyle name="Percent 3 8 14 2 4" xfId="8413" xr:uid="{D32359F5-27A6-436F-84DE-933D7BB95DAE}"/>
    <cellStyle name="Percent 3 8 14 2 5" xfId="8414" xr:uid="{82CD493E-DF9F-49DA-817B-C987E8D31F8B}"/>
    <cellStyle name="Percent 3 8 14 3" xfId="8415" xr:uid="{569D9757-808B-4C4D-938C-A69678FB3CDF}"/>
    <cellStyle name="Percent 3 8 14 3 2" xfId="8416" xr:uid="{A055CE4F-164E-49D1-8BC5-03A78F81EEC0}"/>
    <cellStyle name="Percent 3 8 14 3 2 2" xfId="8417" xr:uid="{852A54FC-2DD7-462E-84A0-4EDE96594FF7}"/>
    <cellStyle name="Percent 3 8 14 3 3" xfId="8418" xr:uid="{BD8A5305-D4FE-4AE6-9714-B377E7C48762}"/>
    <cellStyle name="Percent 3 8 14 3 3 2" xfId="8419" xr:uid="{D94215A8-67D4-4737-B5F1-3E9EAECF0C04}"/>
    <cellStyle name="Percent 3 8 14 3 4" xfId="8420" xr:uid="{D8463F16-5999-4277-B6D8-C4B2F3827EB1}"/>
    <cellStyle name="Percent 3 8 14 4" xfId="8421" xr:uid="{245C0376-EC3E-495B-AF5B-EC6F255EF3F2}"/>
    <cellStyle name="Percent 3 8 14 4 2" xfId="8422" xr:uid="{2232DC8D-6DBE-415D-8FF2-A400F870B825}"/>
    <cellStyle name="Percent 3 8 14 4 2 2" xfId="8423" xr:uid="{B2397596-BE40-4FA0-8E29-D0D85D408A0A}"/>
    <cellStyle name="Percent 3 8 14 4 3" xfId="8424" xr:uid="{4DC2FC60-9E37-4667-81A8-B6B123A3AE9F}"/>
    <cellStyle name="Percent 3 8 14 4 3 2" xfId="8425" xr:uid="{3629DAD2-E24E-4EDD-8668-F2174F3CD548}"/>
    <cellStyle name="Percent 3 8 14 4 4" xfId="8426" xr:uid="{55F20C7E-4BAC-4832-93C6-DA951AA59D1C}"/>
    <cellStyle name="Percent 3 8 14 5" xfId="8427" xr:uid="{EF2AB49B-56A7-444D-8B81-A68AD163B627}"/>
    <cellStyle name="Percent 3 8 14 5 2" xfId="8428" xr:uid="{9D872784-1C3A-46AA-B3F1-95DEC45762BE}"/>
    <cellStyle name="Percent 3 8 14 5 2 2" xfId="8429" xr:uid="{7ED73069-06FF-48BA-863B-1FEDE6846267}"/>
    <cellStyle name="Percent 3 8 14 5 3" xfId="8430" xr:uid="{12E3C531-A7D8-4C35-9DA5-64BBFFF1B382}"/>
    <cellStyle name="Percent 3 8 14 5 3 2" xfId="8431" xr:uid="{CB8F36CB-6D85-44AA-B35D-64EA3977BEEF}"/>
    <cellStyle name="Percent 3 8 14 5 4" xfId="8432" xr:uid="{3125BA0A-814F-423A-A189-858E01A33FC7}"/>
    <cellStyle name="Percent 3 8 14 5 4 2" xfId="8433" xr:uid="{B08A5583-8ABC-49CD-8A46-3A2CC2354A7E}"/>
    <cellStyle name="Percent 3 8 14 5 5" xfId="8434" xr:uid="{5A46C80B-0DD3-4F0E-9B34-3BB41E63C6E1}"/>
    <cellStyle name="Percent 3 8 14 6" xfId="8435" xr:uid="{F92F1A95-BC21-4A5E-AEE5-4DFF738EF00F}"/>
    <cellStyle name="Percent 3 8 14 6 2" xfId="8436" xr:uid="{A79225CF-9495-48BE-A2C3-0FF071D4FFD3}"/>
    <cellStyle name="Percent 3 8 14 6 2 2" xfId="8437" xr:uid="{5A810AD1-2711-4781-8F4B-28A38419181C}"/>
    <cellStyle name="Percent 3 8 14 6 3" xfId="8438" xr:uid="{FC27F6A4-82C5-4E9D-AC23-6C977CA84591}"/>
    <cellStyle name="Percent 3 8 14 6 3 2" xfId="8439" xr:uid="{77256038-EF4D-499A-BF64-5D48BAB822BB}"/>
    <cellStyle name="Percent 3 8 14 6 4" xfId="8440" xr:uid="{FF497A4A-48A0-4325-84D6-6C54ECA30B9E}"/>
    <cellStyle name="Percent 3 8 14 7" xfId="8441" xr:uid="{CE442907-83F7-47D9-8647-938A0AC2B22F}"/>
    <cellStyle name="Percent 3 8 14 7 2" xfId="8442" xr:uid="{566979F6-4F41-481D-A9B1-8E1207347ECD}"/>
    <cellStyle name="Percent 3 8 14 8" xfId="8443" xr:uid="{27FAB871-FF61-4144-BB0D-C1648715CA54}"/>
    <cellStyle name="Percent 3 8 14 8 2" xfId="8444" xr:uid="{0F3EF4D5-3E23-48A7-BF14-5373E09D0F08}"/>
    <cellStyle name="Percent 3 8 14 9" xfId="8445" xr:uid="{296D4488-7581-4F91-B6ED-08D505B75BF7}"/>
    <cellStyle name="Percent 3 8 14 9 2" xfId="8446" xr:uid="{742A987C-B543-445D-8AB6-B2E4559A51DE}"/>
    <cellStyle name="Percent 3 8 15" xfId="2953" xr:uid="{755ED17B-7679-491D-8C6E-559119B80CD5}"/>
    <cellStyle name="Percent 3 8 15 10" xfId="8448" xr:uid="{6F598148-DD93-48C6-9AEC-52E70EC447E0}"/>
    <cellStyle name="Percent 3 8 15 11" xfId="8449" xr:uid="{B243121D-784D-49A1-96D3-4D90FFE25349}"/>
    <cellStyle name="Percent 3 8 15 12" xfId="8447" xr:uid="{92A41A65-2F93-4CB3-966A-37D70BD0686E}"/>
    <cellStyle name="Percent 3 8 15 2" xfId="8450" xr:uid="{43F62B77-21FB-4BC7-AFA5-C0156E0B2C4D}"/>
    <cellStyle name="Percent 3 8 15 2 2" xfId="8451" xr:uid="{0EF7CD40-D4CF-426C-AC7D-6E9775FF6799}"/>
    <cellStyle name="Percent 3 8 15 2 2 2" xfId="8452" xr:uid="{129DBF52-2B03-402E-B70D-6841BA942AB8}"/>
    <cellStyle name="Percent 3 8 15 2 3" xfId="8453" xr:uid="{253F85CD-040F-48BA-B6F4-A1F8E60A9456}"/>
    <cellStyle name="Percent 3 8 15 2 3 2" xfId="8454" xr:uid="{A06B8A3A-E7E7-4885-B57C-E5B5244981EB}"/>
    <cellStyle name="Percent 3 8 15 2 4" xfId="8455" xr:uid="{15F67062-E2DE-4BC2-94D8-AD74610B8E0A}"/>
    <cellStyle name="Percent 3 8 15 2 5" xfId="8456" xr:uid="{56982262-B257-48C5-A9D2-17948DABE36C}"/>
    <cellStyle name="Percent 3 8 15 3" xfId="8457" xr:uid="{D452F94B-8693-4E71-BF6C-BC27182BA265}"/>
    <cellStyle name="Percent 3 8 15 3 2" xfId="8458" xr:uid="{00A3A491-AC1E-4D47-A0F5-E29B1909D31E}"/>
    <cellStyle name="Percent 3 8 15 3 2 2" xfId="8459" xr:uid="{E6819B14-9AFB-480B-8D15-B8527B86580F}"/>
    <cellStyle name="Percent 3 8 15 3 3" xfId="8460" xr:uid="{CE4D69F5-6AFC-4505-A25D-5C7EF80F05CD}"/>
    <cellStyle name="Percent 3 8 15 3 3 2" xfId="8461" xr:uid="{5F1105E9-464F-44FD-94DD-1DB1F7E980AA}"/>
    <cellStyle name="Percent 3 8 15 3 4" xfId="8462" xr:uid="{07A28FD5-DD90-473B-99E0-7B6B4B92DA6C}"/>
    <cellStyle name="Percent 3 8 15 4" xfId="8463" xr:uid="{09582C28-D7E9-4F32-9298-160B9E67183E}"/>
    <cellStyle name="Percent 3 8 15 4 2" xfId="8464" xr:uid="{60EF9B9E-F60B-4C27-B311-316F4FD0BDAA}"/>
    <cellStyle name="Percent 3 8 15 4 2 2" xfId="8465" xr:uid="{EF2DDD74-8638-4B70-B04B-640455EB6ED4}"/>
    <cellStyle name="Percent 3 8 15 4 3" xfId="8466" xr:uid="{B21C2093-6245-4280-BCB4-3C23426729B5}"/>
    <cellStyle name="Percent 3 8 15 4 3 2" xfId="8467" xr:uid="{5BE07B3A-5AEB-43EC-89D7-61254047AFFB}"/>
    <cellStyle name="Percent 3 8 15 4 4" xfId="8468" xr:uid="{14CD0B11-2BC9-4337-B92A-7588BB10485E}"/>
    <cellStyle name="Percent 3 8 15 5" xfId="8469" xr:uid="{0062FCB7-78AC-40AF-AE03-D26ED764ADFC}"/>
    <cellStyle name="Percent 3 8 15 5 2" xfId="8470" xr:uid="{D7C07FFC-A8D2-4277-9B03-7EBA3A4C9C42}"/>
    <cellStyle name="Percent 3 8 15 5 2 2" xfId="8471" xr:uid="{A15DC1DF-AC91-4213-BED9-1E3D15363A28}"/>
    <cellStyle name="Percent 3 8 15 5 3" xfId="8472" xr:uid="{942594B8-BD33-41F1-851D-15C7F13E659E}"/>
    <cellStyle name="Percent 3 8 15 5 3 2" xfId="8473" xr:uid="{ED23926D-2D88-4DE9-8A24-45F6D7BD8195}"/>
    <cellStyle name="Percent 3 8 15 5 4" xfId="8474" xr:uid="{0087F7C5-C0CF-4AA2-85AA-EC00A9B48CC6}"/>
    <cellStyle name="Percent 3 8 15 5 4 2" xfId="8475" xr:uid="{B8B67862-291F-41C3-9D9B-BB2BE90E481F}"/>
    <cellStyle name="Percent 3 8 15 5 5" xfId="8476" xr:uid="{A3A3D8AD-7CB6-4733-98A4-B0834A3371FD}"/>
    <cellStyle name="Percent 3 8 15 6" xfId="8477" xr:uid="{650D61D9-7858-4D70-B975-55A57B934381}"/>
    <cellStyle name="Percent 3 8 15 6 2" xfId="8478" xr:uid="{3A5D3F9D-3098-4A9F-87C6-7165DA1BD1BB}"/>
    <cellStyle name="Percent 3 8 15 6 2 2" xfId="8479" xr:uid="{7C3A8776-8E59-4D59-8EB4-F2DD86BB1048}"/>
    <cellStyle name="Percent 3 8 15 6 3" xfId="8480" xr:uid="{55F4B3FF-311E-44D8-901D-60262F4CDF46}"/>
    <cellStyle name="Percent 3 8 15 6 3 2" xfId="8481" xr:uid="{20C46FA4-4278-4353-9204-952523298958}"/>
    <cellStyle name="Percent 3 8 15 6 4" xfId="8482" xr:uid="{31AD26E7-2403-4FF4-B65D-E17B7CCC5564}"/>
    <cellStyle name="Percent 3 8 15 7" xfId="8483" xr:uid="{87FB41B4-B60A-45AB-9D72-A5C5FC9F08D6}"/>
    <cellStyle name="Percent 3 8 15 7 2" xfId="8484" xr:uid="{942960F5-F1EB-4A2B-8592-872C946F7BF0}"/>
    <cellStyle name="Percent 3 8 15 8" xfId="8485" xr:uid="{D3B76778-F391-4168-B635-D532D9577E4A}"/>
    <cellStyle name="Percent 3 8 15 8 2" xfId="8486" xr:uid="{9C555754-6EEF-4AB9-A2A0-6F07DBA2EC7B}"/>
    <cellStyle name="Percent 3 8 15 9" xfId="8487" xr:uid="{667BF877-B871-4C66-A71C-614489FAEC51}"/>
    <cellStyle name="Percent 3 8 15 9 2" xfId="8488" xr:uid="{61FFB357-3BD7-4715-9E50-DF2569CB3344}"/>
    <cellStyle name="Percent 3 8 16" xfId="8489" xr:uid="{CAF13A99-DD90-4EA4-AC66-A70449C0FF00}"/>
    <cellStyle name="Percent 3 8 16 2" xfId="8490" xr:uid="{023CC7F6-42B9-4E08-BF5D-97C69A775E31}"/>
    <cellStyle name="Percent 3 8 16 2 2" xfId="8491" xr:uid="{B6CE1E4D-3F39-4AC0-8A89-5BABF43EEB78}"/>
    <cellStyle name="Percent 3 8 16 3" xfId="8492" xr:uid="{543429DB-43AD-48DA-87F0-E203557649FA}"/>
    <cellStyle name="Percent 3 8 16 3 2" xfId="8493" xr:uid="{0E0AD3C3-6361-49C8-BD67-B763BC5DFABC}"/>
    <cellStyle name="Percent 3 8 16 4" xfId="8494" xr:uid="{AB844072-2A2D-4B1B-9DE8-E9329C1B2A68}"/>
    <cellStyle name="Percent 3 8 16 5" xfId="8495" xr:uid="{F4C19024-A876-4E3F-9AB0-CCADC246BF8B}"/>
    <cellStyle name="Percent 3 8 17" xfId="8496" xr:uid="{AD81F32E-13F2-4677-A076-0918D649B78A}"/>
    <cellStyle name="Percent 3 8 17 2" xfId="8497" xr:uid="{517A2091-6AA3-4F56-B3C6-72246F327215}"/>
    <cellStyle name="Percent 3 8 17 2 2" xfId="8498" xr:uid="{BE0B235D-3190-4C24-8F22-8EC6B559288C}"/>
    <cellStyle name="Percent 3 8 17 3" xfId="8499" xr:uid="{9B0550E2-8AEF-4C3C-AFAE-06CF348F2003}"/>
    <cellStyle name="Percent 3 8 17 3 2" xfId="8500" xr:uid="{12F43D86-27D3-498B-8D93-A198E85C9042}"/>
    <cellStyle name="Percent 3 8 17 4" xfId="8501" xr:uid="{675A3A1B-A3AB-4A83-8BA2-B9EB97706A78}"/>
    <cellStyle name="Percent 3 8 18" xfId="8502" xr:uid="{F0852B2B-15B9-468A-B812-4A279BB5CB98}"/>
    <cellStyle name="Percent 3 8 18 2" xfId="8503" xr:uid="{35DF5A72-0D6B-4E71-AE54-46F6CD3F77AC}"/>
    <cellStyle name="Percent 3 8 18 2 2" xfId="8504" xr:uid="{F3377801-02CB-43CD-B515-E9D1F3DE3884}"/>
    <cellStyle name="Percent 3 8 18 3" xfId="8505" xr:uid="{02CE7A82-9E73-4C45-97E0-2C1D2C6D59CE}"/>
    <cellStyle name="Percent 3 8 18 3 2" xfId="8506" xr:uid="{5965BFC3-3AFB-4E42-84A8-21E0CB20C194}"/>
    <cellStyle name="Percent 3 8 18 4" xfId="8507" xr:uid="{3404F212-7087-4754-98EE-F80B63803100}"/>
    <cellStyle name="Percent 3 8 19" xfId="8508" xr:uid="{8EFC68A9-D704-458D-B6F9-AB16978E93EC}"/>
    <cellStyle name="Percent 3 8 19 2" xfId="8509" xr:uid="{6FF61C09-9087-4EDA-92B2-1BE709B503F5}"/>
    <cellStyle name="Percent 3 8 19 2 2" xfId="8510" xr:uid="{6A1B1EDF-EC95-4693-ADE6-715057AB3382}"/>
    <cellStyle name="Percent 3 8 19 3" xfId="8511" xr:uid="{1729DC3A-1700-46FB-B336-D242225CC3EF}"/>
    <cellStyle name="Percent 3 8 19 3 2" xfId="8512" xr:uid="{03936F86-0A29-4023-8E1B-A36E383E79EA}"/>
    <cellStyle name="Percent 3 8 19 4" xfId="8513" xr:uid="{CAEADBF7-4044-4ACD-9B2A-C77D9058D6E0}"/>
    <cellStyle name="Percent 3 8 19 4 2" xfId="8514" xr:uid="{A17496EC-BC7D-4B0D-B548-1978874722ED}"/>
    <cellStyle name="Percent 3 8 19 5" xfId="8515" xr:uid="{376266D8-295A-4345-927C-0308F362C0DA}"/>
    <cellStyle name="Percent 3 8 2" xfId="2954" xr:uid="{A94623E6-2FD0-49E7-9CD5-1FAC283F2F09}"/>
    <cellStyle name="Percent 3 8 2 10" xfId="8517" xr:uid="{B6AB0C2F-F826-4FC4-A1BA-1B19248A754F}"/>
    <cellStyle name="Percent 3 8 2 11" xfId="8518" xr:uid="{A9BBB25A-50E2-47C4-A19F-333CAE9A3491}"/>
    <cellStyle name="Percent 3 8 2 12" xfId="8516" xr:uid="{065BAFC2-BBDC-4259-8AB8-60F851FED723}"/>
    <cellStyle name="Percent 3 8 2 2" xfId="8519" xr:uid="{16CEA370-36F6-434D-B286-4B54799CA00B}"/>
    <cellStyle name="Percent 3 8 2 2 2" xfId="8520" xr:uid="{444C26B5-320C-4F8D-85CC-B856F3092AF9}"/>
    <cellStyle name="Percent 3 8 2 2 2 2" xfId="8521" xr:uid="{5BF7C55B-3679-4DB2-9ECE-BAB76C7AF769}"/>
    <cellStyle name="Percent 3 8 2 2 3" xfId="8522" xr:uid="{40F2DD8C-95BA-42B2-9E0C-257BBB1CA31B}"/>
    <cellStyle name="Percent 3 8 2 2 3 2" xfId="8523" xr:uid="{2AA11D96-CF5E-4DB7-9E90-7D489DD9682F}"/>
    <cellStyle name="Percent 3 8 2 2 4" xfId="8524" xr:uid="{A6E2AE35-9CAC-407D-9E96-428075FC4841}"/>
    <cellStyle name="Percent 3 8 2 2 5" xfId="8525" xr:uid="{1678B4DC-1B72-4888-B0C1-915A648F2C58}"/>
    <cellStyle name="Percent 3 8 2 3" xfId="8526" xr:uid="{ADD96C56-E5B1-4FEC-B7DC-53C3F0A7B417}"/>
    <cellStyle name="Percent 3 8 2 3 2" xfId="8527" xr:uid="{858BE005-78DC-4B2C-9E6E-1DF43FE2EE9C}"/>
    <cellStyle name="Percent 3 8 2 3 2 2" xfId="8528" xr:uid="{C8D4331E-7724-4EA8-B967-7C9BD3822EC6}"/>
    <cellStyle name="Percent 3 8 2 3 3" xfId="8529" xr:uid="{F85643B4-814F-470E-8B9D-FDB90DAA259F}"/>
    <cellStyle name="Percent 3 8 2 3 3 2" xfId="8530" xr:uid="{E5A31061-92D3-4C80-8166-5D8654B320A5}"/>
    <cellStyle name="Percent 3 8 2 3 4" xfId="8531" xr:uid="{BCD36260-A734-4601-8FD4-8C6AAD757E00}"/>
    <cellStyle name="Percent 3 8 2 4" xfId="8532" xr:uid="{3235159C-F9E6-48FC-895C-CFEBCE6FE0E6}"/>
    <cellStyle name="Percent 3 8 2 4 2" xfId="8533" xr:uid="{9CED45F2-8915-4AEA-B0E5-60CB5ED8A247}"/>
    <cellStyle name="Percent 3 8 2 4 2 2" xfId="8534" xr:uid="{F542ED3B-2EF9-4BBB-A347-B7CCEC7892C4}"/>
    <cellStyle name="Percent 3 8 2 4 3" xfId="8535" xr:uid="{E7F0FE92-2E56-4C68-9DCE-0FF56B3A2E56}"/>
    <cellStyle name="Percent 3 8 2 4 3 2" xfId="8536" xr:uid="{0807EBBB-2504-40AE-A761-7BC4F5686CF3}"/>
    <cellStyle name="Percent 3 8 2 4 4" xfId="8537" xr:uid="{92747BD9-28C7-4143-88C6-61046075C2A3}"/>
    <cellStyle name="Percent 3 8 2 5" xfId="8538" xr:uid="{E5B951BB-A37F-4243-A20F-6861969945E7}"/>
    <cellStyle name="Percent 3 8 2 5 2" xfId="8539" xr:uid="{007BDB03-A80B-4FEF-B102-BBAB3A26951B}"/>
    <cellStyle name="Percent 3 8 2 5 2 2" xfId="8540" xr:uid="{553DCBC1-754B-4C02-BBE3-7D5F276FD6AB}"/>
    <cellStyle name="Percent 3 8 2 5 3" xfId="8541" xr:uid="{DA7792F9-1E3E-4D1D-9004-8BB53CD23E64}"/>
    <cellStyle name="Percent 3 8 2 5 3 2" xfId="8542" xr:uid="{7ED5288A-F435-4966-A9D8-BFA4A513733F}"/>
    <cellStyle name="Percent 3 8 2 5 4" xfId="8543" xr:uid="{A3B16E28-DDF9-4628-BF33-489F86DF03BA}"/>
    <cellStyle name="Percent 3 8 2 5 4 2" xfId="8544" xr:uid="{31ED1976-804C-4370-B13A-C713D8E19CAE}"/>
    <cellStyle name="Percent 3 8 2 5 5" xfId="8545" xr:uid="{E359C920-2D8B-4B94-B617-4686F08E2236}"/>
    <cellStyle name="Percent 3 8 2 6" xfId="8546" xr:uid="{746C13E0-1292-40ED-A6C7-AD7FA11C228D}"/>
    <cellStyle name="Percent 3 8 2 6 2" xfId="8547" xr:uid="{2F1A7DA5-1459-46AE-A8A6-2AA91337CBE1}"/>
    <cellStyle name="Percent 3 8 2 6 2 2" xfId="8548" xr:uid="{EA018041-97BC-47D0-B9CF-0878EB206219}"/>
    <cellStyle name="Percent 3 8 2 6 3" xfId="8549" xr:uid="{E31F989A-E884-400B-85C2-8834D5E8FD7B}"/>
    <cellStyle name="Percent 3 8 2 6 3 2" xfId="8550" xr:uid="{A2BE6BC4-5A19-42A3-AB28-504126CA7A3A}"/>
    <cellStyle name="Percent 3 8 2 6 4" xfId="8551" xr:uid="{3CE1367C-4C6A-41B4-A604-EE7721384848}"/>
    <cellStyle name="Percent 3 8 2 7" xfId="8552" xr:uid="{D480DD56-CDC4-4328-B6F3-F5E9A8A81A6A}"/>
    <cellStyle name="Percent 3 8 2 7 2" xfId="8553" xr:uid="{0C90F518-E2E7-4037-BB88-ACE1423F3BEC}"/>
    <cellStyle name="Percent 3 8 2 8" xfId="8554" xr:uid="{F2D70A62-202C-41E5-8536-2D4DCCE63233}"/>
    <cellStyle name="Percent 3 8 2 8 2" xfId="8555" xr:uid="{69BCAF7B-D838-4269-B541-A5FE207BAC8A}"/>
    <cellStyle name="Percent 3 8 2 9" xfId="8556" xr:uid="{B8A7B0EF-76A0-4FE8-ACE3-F40F8AA5B64A}"/>
    <cellStyle name="Percent 3 8 2 9 2" xfId="8557" xr:uid="{4C067ED4-9339-4F37-8C69-CA168183EEA7}"/>
    <cellStyle name="Percent 3 8 20" xfId="8558" xr:uid="{86887350-EC0E-47CB-967B-62BAD53F2210}"/>
    <cellStyle name="Percent 3 8 20 2" xfId="8559" xr:uid="{14CC403A-7474-4097-B06C-99F80686B20F}"/>
    <cellStyle name="Percent 3 8 20 2 2" xfId="8560" xr:uid="{A42AD0F6-247E-4DD8-AC08-5633945E2162}"/>
    <cellStyle name="Percent 3 8 20 3" xfId="8561" xr:uid="{1D215923-6621-4B27-903A-3E4E971686FF}"/>
    <cellStyle name="Percent 3 8 20 3 2" xfId="8562" xr:uid="{DC4D8EF2-578F-49C1-93FC-07AB882A825E}"/>
    <cellStyle name="Percent 3 8 20 4" xfId="8563" xr:uid="{050C1EA9-1A39-4D8E-A423-0E7322A0DE39}"/>
    <cellStyle name="Percent 3 8 21" xfId="8564" xr:uid="{AEA7C248-5695-46BC-8667-7B56357EAD02}"/>
    <cellStyle name="Percent 3 8 21 2" xfId="8565" xr:uid="{E778EB0D-C535-4C08-8094-A6F5F9816DED}"/>
    <cellStyle name="Percent 3 8 22" xfId="8566" xr:uid="{DA6AFF4E-C260-4578-8966-5077AFEBB752}"/>
    <cellStyle name="Percent 3 8 22 2" xfId="8567" xr:uid="{5A11A546-C44C-4FFC-8D39-7033E78F51FD}"/>
    <cellStyle name="Percent 3 8 23" xfId="8568" xr:uid="{CC44066A-CC73-412C-AB07-41A63A900C43}"/>
    <cellStyle name="Percent 3 8 23 2" xfId="8569" xr:uid="{D4EE4B2A-0E1F-4CCD-BBA4-D9675FB79CEB}"/>
    <cellStyle name="Percent 3 8 24" xfId="8570" xr:uid="{3472AD44-C3B3-4D72-A1AD-ECDF28195EAD}"/>
    <cellStyle name="Percent 3 8 25" xfId="8571" xr:uid="{081EA233-411B-474B-9AFF-D241315B2040}"/>
    <cellStyle name="Percent 3 8 26" xfId="8236" xr:uid="{804D0092-E5CF-4D06-891C-6BCB63498586}"/>
    <cellStyle name="Percent 3 8 3" xfId="2955" xr:uid="{DE9F7689-3146-4BF1-AF4E-A0719C040E1B}"/>
    <cellStyle name="Percent 3 8 3 10" xfId="8573" xr:uid="{4DF77542-0F00-41E9-8E88-94EE5DB166AE}"/>
    <cellStyle name="Percent 3 8 3 11" xfId="8574" xr:uid="{A5CC7797-6DCE-4337-80AE-871AAFD6B633}"/>
    <cellStyle name="Percent 3 8 3 12" xfId="8572" xr:uid="{888536E9-2D2E-4448-A8DA-C2270F7A52FC}"/>
    <cellStyle name="Percent 3 8 3 2" xfId="8575" xr:uid="{5DA1B0ED-80FE-4423-BFB6-02B535D5BB20}"/>
    <cellStyle name="Percent 3 8 3 2 2" xfId="8576" xr:uid="{D1A0F62C-22CE-4C20-BDBE-033FED205DB2}"/>
    <cellStyle name="Percent 3 8 3 2 2 2" xfId="8577" xr:uid="{694C3290-1744-4906-B749-783EA889EBAF}"/>
    <cellStyle name="Percent 3 8 3 2 3" xfId="8578" xr:uid="{812158D7-7026-4BED-8909-8836B06532D5}"/>
    <cellStyle name="Percent 3 8 3 2 3 2" xfId="8579" xr:uid="{8CDC5066-AF47-43FD-8857-1F783E4F12FB}"/>
    <cellStyle name="Percent 3 8 3 2 4" xfId="8580" xr:uid="{47B3F19E-98C1-488C-9927-9C766627693C}"/>
    <cellStyle name="Percent 3 8 3 2 5" xfId="8581" xr:uid="{A1552912-A556-40DF-8AF0-B0B145494521}"/>
    <cellStyle name="Percent 3 8 3 3" xfId="8582" xr:uid="{AD111669-49D3-4F1C-9F17-5BAB3E087DC0}"/>
    <cellStyle name="Percent 3 8 3 3 2" xfId="8583" xr:uid="{19BC9B2F-9C9C-4F11-881C-5D44D6847DAE}"/>
    <cellStyle name="Percent 3 8 3 3 2 2" xfId="8584" xr:uid="{45DEBAF8-2159-4EEF-A8C2-793CCFCDA978}"/>
    <cellStyle name="Percent 3 8 3 3 3" xfId="8585" xr:uid="{8DAFE43A-0235-4AE5-8A54-0966B063213E}"/>
    <cellStyle name="Percent 3 8 3 3 3 2" xfId="8586" xr:uid="{48C69960-A111-4FA2-B091-E971003F188E}"/>
    <cellStyle name="Percent 3 8 3 3 4" xfId="8587" xr:uid="{EB040363-9F5D-4AC6-8774-0FC7668055BC}"/>
    <cellStyle name="Percent 3 8 3 4" xfId="8588" xr:uid="{E2A68705-F580-49D7-9A28-D840D9DB73DB}"/>
    <cellStyle name="Percent 3 8 3 4 2" xfId="8589" xr:uid="{2817C82A-1F8F-45E2-809B-65CBE42B1B16}"/>
    <cellStyle name="Percent 3 8 3 4 2 2" xfId="8590" xr:uid="{3CA5CE93-C6FA-4E85-AE53-CF6B87F43B1D}"/>
    <cellStyle name="Percent 3 8 3 4 3" xfId="8591" xr:uid="{67B708E1-BAE3-4A21-97E5-D7793DB4A44E}"/>
    <cellStyle name="Percent 3 8 3 4 3 2" xfId="8592" xr:uid="{0B4DD21D-265E-4FCD-843F-9F3ECD82D2E2}"/>
    <cellStyle name="Percent 3 8 3 4 4" xfId="8593" xr:uid="{15CD2D8A-2EC6-4B93-8EF5-4B2131158F90}"/>
    <cellStyle name="Percent 3 8 3 5" xfId="8594" xr:uid="{7164E739-1BB2-4C98-A0B6-3B25D738DA56}"/>
    <cellStyle name="Percent 3 8 3 5 2" xfId="8595" xr:uid="{07FDF5AF-A251-49EB-867E-BDB2113DDCA4}"/>
    <cellStyle name="Percent 3 8 3 5 2 2" xfId="8596" xr:uid="{DF4AECEB-F3D5-4511-A66E-06A3D6FDA602}"/>
    <cellStyle name="Percent 3 8 3 5 3" xfId="8597" xr:uid="{D7924A45-A8AD-40A5-99D5-81795EDD128F}"/>
    <cellStyle name="Percent 3 8 3 5 3 2" xfId="8598" xr:uid="{42E74702-9826-45B8-A174-3D127D03FAE9}"/>
    <cellStyle name="Percent 3 8 3 5 4" xfId="8599" xr:uid="{F4795073-24AC-46FF-85FA-16FB7BA2FCED}"/>
    <cellStyle name="Percent 3 8 3 5 4 2" xfId="8600" xr:uid="{8459C6C4-4405-403F-B997-9DA6F1CFA16F}"/>
    <cellStyle name="Percent 3 8 3 5 5" xfId="8601" xr:uid="{CCF7A882-8560-49FD-99DE-9E55D81EED70}"/>
    <cellStyle name="Percent 3 8 3 6" xfId="8602" xr:uid="{D8990581-697C-4F48-8B83-9FF661D8F6E6}"/>
    <cellStyle name="Percent 3 8 3 6 2" xfId="8603" xr:uid="{3D8D43F9-047A-45E4-A61D-B3EF3E5B6B26}"/>
    <cellStyle name="Percent 3 8 3 6 2 2" xfId="8604" xr:uid="{8D7AE9BE-D46C-45DE-BB2C-1E8E4EA3AD67}"/>
    <cellStyle name="Percent 3 8 3 6 3" xfId="8605" xr:uid="{3B737414-C699-43FD-B915-8CD11EC9F9EF}"/>
    <cellStyle name="Percent 3 8 3 6 3 2" xfId="8606" xr:uid="{4AF17311-7870-45A6-B23C-D4C938A602B5}"/>
    <cellStyle name="Percent 3 8 3 6 4" xfId="8607" xr:uid="{8A1A463E-3889-4504-8A50-CCEBBC48923E}"/>
    <cellStyle name="Percent 3 8 3 7" xfId="8608" xr:uid="{786626BC-15A3-412E-859A-44D4CCE45639}"/>
    <cellStyle name="Percent 3 8 3 7 2" xfId="8609" xr:uid="{702EEFAF-FED4-4BA3-AEF8-611CB1BDC7E7}"/>
    <cellStyle name="Percent 3 8 3 8" xfId="8610" xr:uid="{D332EAFE-51F0-4E2B-98FD-0C2F847FFBF1}"/>
    <cellStyle name="Percent 3 8 3 8 2" xfId="8611" xr:uid="{F894C83B-85CB-4465-8A9C-632F1D7DFC75}"/>
    <cellStyle name="Percent 3 8 3 9" xfId="8612" xr:uid="{1D70AF51-DAAF-4C8B-B6B3-83375B6018C1}"/>
    <cellStyle name="Percent 3 8 3 9 2" xfId="8613" xr:uid="{FBFABB35-0490-48AC-B1A9-161E69E896E0}"/>
    <cellStyle name="Percent 3 8 4" xfId="2956" xr:uid="{26C07E31-CF65-42FD-BC8F-13ACE40364E8}"/>
    <cellStyle name="Percent 3 8 4 10" xfId="8615" xr:uid="{65EE012F-433B-46A0-99C2-DB92703740D7}"/>
    <cellStyle name="Percent 3 8 4 11" xfId="8616" xr:uid="{4F86B33F-A5B2-4989-8F8E-52B4076CD1DD}"/>
    <cellStyle name="Percent 3 8 4 12" xfId="8614" xr:uid="{EAA131A6-D513-478C-A3F5-552A8D6B899C}"/>
    <cellStyle name="Percent 3 8 4 2" xfId="8617" xr:uid="{957FE7C3-CB8A-4D64-B2E7-6645E4DE93FE}"/>
    <cellStyle name="Percent 3 8 4 2 2" xfId="8618" xr:uid="{6E24A87E-6CB3-4FB1-ACDE-F760EC0EF869}"/>
    <cellStyle name="Percent 3 8 4 2 2 2" xfId="8619" xr:uid="{2247FE8A-739F-4EC8-8BFB-D4F8E3CACA64}"/>
    <cellStyle name="Percent 3 8 4 2 3" xfId="8620" xr:uid="{C429CE0A-DD1A-4F3C-8974-8066B6C77CF5}"/>
    <cellStyle name="Percent 3 8 4 2 3 2" xfId="8621" xr:uid="{8066AB68-D51F-4C3B-A814-9156FD9DEC4A}"/>
    <cellStyle name="Percent 3 8 4 2 4" xfId="8622" xr:uid="{15BDBAA6-DDC1-4C00-9044-8C34538E8A1A}"/>
    <cellStyle name="Percent 3 8 4 2 5" xfId="8623" xr:uid="{23B099B4-EE9A-4158-97B5-EFDFA4F4B3E0}"/>
    <cellStyle name="Percent 3 8 4 3" xfId="8624" xr:uid="{93B8E184-EA77-491E-AA8D-00E17C8CD872}"/>
    <cellStyle name="Percent 3 8 4 3 2" xfId="8625" xr:uid="{C4D22D28-2B5D-457C-B367-6F7A013E1B4C}"/>
    <cellStyle name="Percent 3 8 4 3 2 2" xfId="8626" xr:uid="{3C9D4C0B-3CC8-484A-902F-4F2A054E4C97}"/>
    <cellStyle name="Percent 3 8 4 3 3" xfId="8627" xr:uid="{6BF976DA-82C2-4E27-A7C9-DE1DC9F4CAA3}"/>
    <cellStyle name="Percent 3 8 4 3 3 2" xfId="8628" xr:uid="{358E8C85-F5FA-43D2-A902-EB3B26D3A55B}"/>
    <cellStyle name="Percent 3 8 4 3 4" xfId="8629" xr:uid="{B1B29142-50F9-46B9-A86A-4EF513327561}"/>
    <cellStyle name="Percent 3 8 4 4" xfId="8630" xr:uid="{97070F06-E762-4746-9412-E84343CE0226}"/>
    <cellStyle name="Percent 3 8 4 4 2" xfId="8631" xr:uid="{28FFB380-C1B9-483D-A943-76BBBC59C305}"/>
    <cellStyle name="Percent 3 8 4 4 2 2" xfId="8632" xr:uid="{76AE6EA4-9163-4FE7-9514-03D18B57E9E1}"/>
    <cellStyle name="Percent 3 8 4 4 3" xfId="8633" xr:uid="{39AC0B03-4B49-410A-98F0-509D317B8D85}"/>
    <cellStyle name="Percent 3 8 4 4 3 2" xfId="8634" xr:uid="{B4F0E9DA-F513-4E6F-A5F9-068F97F972E1}"/>
    <cellStyle name="Percent 3 8 4 4 4" xfId="8635" xr:uid="{8D9AC38E-AC84-4D65-8332-871757B8A3A3}"/>
    <cellStyle name="Percent 3 8 4 5" xfId="8636" xr:uid="{8822B658-9F62-4E5C-94CF-46B5F7B5C8DC}"/>
    <cellStyle name="Percent 3 8 4 5 2" xfId="8637" xr:uid="{213DA569-7E40-456A-8BDA-0BA087AF509B}"/>
    <cellStyle name="Percent 3 8 4 5 2 2" xfId="8638" xr:uid="{643CC061-FFD9-435C-968E-603A6679BFD5}"/>
    <cellStyle name="Percent 3 8 4 5 3" xfId="8639" xr:uid="{F1FB2E8E-B6C1-4B28-8579-0456D0A61878}"/>
    <cellStyle name="Percent 3 8 4 5 3 2" xfId="8640" xr:uid="{29542E47-AC9A-4790-9BA3-475BA3FC615B}"/>
    <cellStyle name="Percent 3 8 4 5 4" xfId="8641" xr:uid="{A54C145D-50A8-4FF8-8245-59AFC3CCCD64}"/>
    <cellStyle name="Percent 3 8 4 5 4 2" xfId="8642" xr:uid="{3478B809-A3D1-41D8-912F-53DF5B68330A}"/>
    <cellStyle name="Percent 3 8 4 5 5" xfId="8643" xr:uid="{736F79D8-70ED-46DA-8752-CC00A0AA1EE7}"/>
    <cellStyle name="Percent 3 8 4 6" xfId="8644" xr:uid="{99FBA89B-EE9E-4906-A1A4-D097A5E431AF}"/>
    <cellStyle name="Percent 3 8 4 6 2" xfId="8645" xr:uid="{0899E6FB-7F3D-4E57-86B5-B13979ED4043}"/>
    <cellStyle name="Percent 3 8 4 6 2 2" xfId="8646" xr:uid="{F896E1BA-0186-49C4-9F0D-A7433EB6623F}"/>
    <cellStyle name="Percent 3 8 4 6 3" xfId="8647" xr:uid="{8A85AD5A-96C3-4F38-8310-C977AB32979E}"/>
    <cellStyle name="Percent 3 8 4 6 3 2" xfId="8648" xr:uid="{70E4ED84-69A9-4F97-8ACC-BD4E76B6ECDD}"/>
    <cellStyle name="Percent 3 8 4 6 4" xfId="8649" xr:uid="{FEA8A584-9EAC-4E15-82C7-7F8D0CF7BE9B}"/>
    <cellStyle name="Percent 3 8 4 7" xfId="8650" xr:uid="{4BBDFF3B-B71D-4A7A-B27B-1924E73E6532}"/>
    <cellStyle name="Percent 3 8 4 7 2" xfId="8651" xr:uid="{541BD38F-BB12-4EB1-9E03-217B078749EE}"/>
    <cellStyle name="Percent 3 8 4 8" xfId="8652" xr:uid="{98153AD2-65A1-4A6F-8285-EA2556333D1D}"/>
    <cellStyle name="Percent 3 8 4 8 2" xfId="8653" xr:uid="{1A1ECEB2-FB22-44DD-A8F8-DF37BB600241}"/>
    <cellStyle name="Percent 3 8 4 9" xfId="8654" xr:uid="{B86D00A6-36ED-4213-B173-70461B455046}"/>
    <cellStyle name="Percent 3 8 4 9 2" xfId="8655" xr:uid="{49268814-1C2E-4FD0-AD7F-B59434DF374E}"/>
    <cellStyle name="Percent 3 8 5" xfId="2957" xr:uid="{709D6EF8-068D-4AE3-AB33-34C3E401082C}"/>
    <cellStyle name="Percent 3 8 5 10" xfId="8657" xr:uid="{B3955636-3CCB-4FE2-BDBE-7112AA1388E5}"/>
    <cellStyle name="Percent 3 8 5 11" xfId="8658" xr:uid="{C6C2014D-19A3-4EE8-A23B-04312A482A0B}"/>
    <cellStyle name="Percent 3 8 5 12" xfId="8656" xr:uid="{9B0C689F-A45F-4737-A58D-0AED1DCB981E}"/>
    <cellStyle name="Percent 3 8 5 2" xfId="8659" xr:uid="{F146E2AB-860C-46E8-A39A-FFCE428E601C}"/>
    <cellStyle name="Percent 3 8 5 2 2" xfId="8660" xr:uid="{545BF280-061E-42CB-939B-E9FD8E4BCABB}"/>
    <cellStyle name="Percent 3 8 5 2 2 2" xfId="8661" xr:uid="{9FBB1944-F089-4389-93C9-D4E6730C3BEB}"/>
    <cellStyle name="Percent 3 8 5 2 3" xfId="8662" xr:uid="{696D3E7A-48F0-4854-8C44-722AC3B25BB1}"/>
    <cellStyle name="Percent 3 8 5 2 3 2" xfId="8663" xr:uid="{281CBE82-783D-4A1F-AC15-659215B6CA10}"/>
    <cellStyle name="Percent 3 8 5 2 4" xfId="8664" xr:uid="{47AF16F1-32D9-45E5-AE64-E2E22C428C10}"/>
    <cellStyle name="Percent 3 8 5 2 5" xfId="8665" xr:uid="{E75A7486-D3B4-4564-AAF2-3693DFEE48C6}"/>
    <cellStyle name="Percent 3 8 5 3" xfId="8666" xr:uid="{BD24D632-798F-45C1-A674-CF068D255A3D}"/>
    <cellStyle name="Percent 3 8 5 3 2" xfId="8667" xr:uid="{F8368C01-8F4E-42ED-880F-E5C6568250F2}"/>
    <cellStyle name="Percent 3 8 5 3 2 2" xfId="8668" xr:uid="{9730483E-3A17-4E52-B9C0-C60E6D8F8001}"/>
    <cellStyle name="Percent 3 8 5 3 3" xfId="8669" xr:uid="{024D1D03-7ECC-4B66-BCA3-366759C083A3}"/>
    <cellStyle name="Percent 3 8 5 3 3 2" xfId="8670" xr:uid="{A4E0E6A0-BFD5-4D83-B568-2F0336D48775}"/>
    <cellStyle name="Percent 3 8 5 3 4" xfId="8671" xr:uid="{5FF5AD89-14CC-4A17-90BF-66B95539E4ED}"/>
    <cellStyle name="Percent 3 8 5 4" xfId="8672" xr:uid="{B913B21E-361D-4F9C-98EE-08A991D151A8}"/>
    <cellStyle name="Percent 3 8 5 4 2" xfId="8673" xr:uid="{1E277984-63D3-46EE-A62F-6B4A4A23CBC6}"/>
    <cellStyle name="Percent 3 8 5 4 2 2" xfId="8674" xr:uid="{97941AF8-BA6C-444A-A01F-0F6F97C91577}"/>
    <cellStyle name="Percent 3 8 5 4 3" xfId="8675" xr:uid="{6386709A-15AF-46D4-AD22-8F257916277A}"/>
    <cellStyle name="Percent 3 8 5 4 3 2" xfId="8676" xr:uid="{8FB7DE86-7BFF-498E-8EE9-4CAC99F52574}"/>
    <cellStyle name="Percent 3 8 5 4 4" xfId="8677" xr:uid="{135D674B-AD1B-44DC-B71B-CB5775322BAC}"/>
    <cellStyle name="Percent 3 8 5 5" xfId="8678" xr:uid="{9E54820C-BB54-4CF9-9766-433C9F242BCF}"/>
    <cellStyle name="Percent 3 8 5 5 2" xfId="8679" xr:uid="{3931AECB-9559-4644-ABAC-DF54D41FC616}"/>
    <cellStyle name="Percent 3 8 5 5 2 2" xfId="8680" xr:uid="{91BD2062-89F5-40F5-9B55-29F0DA66EEA9}"/>
    <cellStyle name="Percent 3 8 5 5 3" xfId="8681" xr:uid="{DD791B49-CBD6-4DED-95D1-BC67DE005322}"/>
    <cellStyle name="Percent 3 8 5 5 3 2" xfId="8682" xr:uid="{B894BEDE-CBBC-4734-8F42-E7606D90DEC1}"/>
    <cellStyle name="Percent 3 8 5 5 4" xfId="8683" xr:uid="{858A7F10-C91F-4410-85E5-51020EB88B83}"/>
    <cellStyle name="Percent 3 8 5 5 4 2" xfId="8684" xr:uid="{D761536B-4820-4BF0-9BA0-F4C134F89C23}"/>
    <cellStyle name="Percent 3 8 5 5 5" xfId="8685" xr:uid="{EDB28915-29DB-40AF-BA24-08F036CEE03C}"/>
    <cellStyle name="Percent 3 8 5 6" xfId="8686" xr:uid="{8FFC3F3E-D4DB-40FC-80DA-93832BD056E6}"/>
    <cellStyle name="Percent 3 8 5 6 2" xfId="8687" xr:uid="{34371F76-6A3D-494E-A364-5E22E06B927D}"/>
    <cellStyle name="Percent 3 8 5 6 2 2" xfId="8688" xr:uid="{4E1D166A-BA0A-4A93-B4D1-C68343FA249C}"/>
    <cellStyle name="Percent 3 8 5 6 3" xfId="8689" xr:uid="{BB1816EF-F21B-45B8-9CDD-0C2506781A8E}"/>
    <cellStyle name="Percent 3 8 5 6 3 2" xfId="8690" xr:uid="{8A484357-2582-4787-BA9C-55C67CCA777C}"/>
    <cellStyle name="Percent 3 8 5 6 4" xfId="8691" xr:uid="{45D021AE-65C8-4113-9DBF-E0DFCB46B854}"/>
    <cellStyle name="Percent 3 8 5 7" xfId="8692" xr:uid="{36A0D930-18A1-432F-AB0F-942DF7B1F7B9}"/>
    <cellStyle name="Percent 3 8 5 7 2" xfId="8693" xr:uid="{3F69EE1C-C51A-4C7D-A401-F6AD6B796FA6}"/>
    <cellStyle name="Percent 3 8 5 8" xfId="8694" xr:uid="{7EF0D3C0-11EC-4E7B-9562-315D354247A2}"/>
    <cellStyle name="Percent 3 8 5 8 2" xfId="8695" xr:uid="{527EC55A-56A5-4385-8868-3F6791B028BE}"/>
    <cellStyle name="Percent 3 8 5 9" xfId="8696" xr:uid="{B317F90F-B9F9-489B-ADB9-86C9CC266F3A}"/>
    <cellStyle name="Percent 3 8 5 9 2" xfId="8697" xr:uid="{C933D6BA-14FF-4B79-8E73-66F94D52A1A0}"/>
    <cellStyle name="Percent 3 8 6" xfId="2958" xr:uid="{A9412DEB-D811-4C49-83B5-CEDDA5C05B5A}"/>
    <cellStyle name="Percent 3 8 6 10" xfId="8699" xr:uid="{7F52C557-C2E7-48A0-A6BE-AD82D35D30A1}"/>
    <cellStyle name="Percent 3 8 6 11" xfId="8700" xr:uid="{75B2F728-12D5-4823-80E6-58B9BB3BF3A2}"/>
    <cellStyle name="Percent 3 8 6 12" xfId="8698" xr:uid="{0AC7B31F-8CEF-4A23-AA8F-171DED07FC09}"/>
    <cellStyle name="Percent 3 8 6 2" xfId="8701" xr:uid="{267722BF-E710-4CDF-93F2-7389CDFF5872}"/>
    <cellStyle name="Percent 3 8 6 2 2" xfId="8702" xr:uid="{12B82CF5-C8DB-49A8-97E2-8213071F7ECE}"/>
    <cellStyle name="Percent 3 8 6 2 2 2" xfId="8703" xr:uid="{FA12010B-6CD2-44E8-8410-6D337195685C}"/>
    <cellStyle name="Percent 3 8 6 2 3" xfId="8704" xr:uid="{878FB867-9E1C-4E42-859B-DF697B5F0D31}"/>
    <cellStyle name="Percent 3 8 6 2 3 2" xfId="8705" xr:uid="{F0D5C34A-A406-4320-9D3A-F6BAAE8402ED}"/>
    <cellStyle name="Percent 3 8 6 2 4" xfId="8706" xr:uid="{BC8BAF1F-FA95-490F-8AAE-4800FC1AF93C}"/>
    <cellStyle name="Percent 3 8 6 2 5" xfId="8707" xr:uid="{0F70CB5B-CC27-4779-86F0-A7345F3CA455}"/>
    <cellStyle name="Percent 3 8 6 3" xfId="8708" xr:uid="{15443FB4-C2F0-40EB-A1EC-E8F071EF8B06}"/>
    <cellStyle name="Percent 3 8 6 3 2" xfId="8709" xr:uid="{08381114-3FF6-4AC9-B2FD-DDF801F1B2F4}"/>
    <cellStyle name="Percent 3 8 6 3 2 2" xfId="8710" xr:uid="{C46B6FAD-8114-4CA7-AD99-FCD03DB87D13}"/>
    <cellStyle name="Percent 3 8 6 3 3" xfId="8711" xr:uid="{06D01A8F-6ECC-4E83-A5EF-9B24A3233DD9}"/>
    <cellStyle name="Percent 3 8 6 3 3 2" xfId="8712" xr:uid="{B440A28F-C8FE-4D45-AB54-E7D5B707C785}"/>
    <cellStyle name="Percent 3 8 6 3 4" xfId="8713" xr:uid="{77A1D1AB-1E57-4728-80C0-CB8C745147BB}"/>
    <cellStyle name="Percent 3 8 6 4" xfId="8714" xr:uid="{4F4B14FB-4439-425B-A1A1-F5C1AC132F01}"/>
    <cellStyle name="Percent 3 8 6 4 2" xfId="8715" xr:uid="{A6DE330B-EB90-43F7-90A0-5E173FB0AF67}"/>
    <cellStyle name="Percent 3 8 6 4 2 2" xfId="8716" xr:uid="{1EDBF9DA-0E5C-4274-9ED7-42EB0B2E6362}"/>
    <cellStyle name="Percent 3 8 6 4 3" xfId="8717" xr:uid="{B6ACDA7A-6968-4311-A914-62A7E4638FBB}"/>
    <cellStyle name="Percent 3 8 6 4 3 2" xfId="8718" xr:uid="{18E1A4F1-601B-4217-ABFD-2DF3BEA9017C}"/>
    <cellStyle name="Percent 3 8 6 4 4" xfId="8719" xr:uid="{B8850910-9C07-4CE8-B68B-9077BBD3725F}"/>
    <cellStyle name="Percent 3 8 6 5" xfId="8720" xr:uid="{EEE6A4D2-0A84-437C-A93C-B84C16444C46}"/>
    <cellStyle name="Percent 3 8 6 5 2" xfId="8721" xr:uid="{97251A2A-2F04-485D-9F16-6A1808E60820}"/>
    <cellStyle name="Percent 3 8 6 5 2 2" xfId="8722" xr:uid="{A4E55642-BC27-46CA-8AD2-C456C10846BA}"/>
    <cellStyle name="Percent 3 8 6 5 3" xfId="8723" xr:uid="{B08D51B1-29AC-4B38-AB85-35C755105A45}"/>
    <cellStyle name="Percent 3 8 6 5 3 2" xfId="8724" xr:uid="{698CA0CC-7AD1-48FD-BA18-602AB68C1015}"/>
    <cellStyle name="Percent 3 8 6 5 4" xfId="8725" xr:uid="{E7BA534D-06C1-4B97-AC85-1EF3E88A2DC8}"/>
    <cellStyle name="Percent 3 8 6 5 4 2" xfId="8726" xr:uid="{C14FEF77-1AA7-4B4E-B269-A14CFC819142}"/>
    <cellStyle name="Percent 3 8 6 5 5" xfId="8727" xr:uid="{2E328E84-37D2-48BA-B933-9BB54F26E298}"/>
    <cellStyle name="Percent 3 8 6 6" xfId="8728" xr:uid="{B6433552-7DFF-49D1-B84E-360006CB63DA}"/>
    <cellStyle name="Percent 3 8 6 6 2" xfId="8729" xr:uid="{F191C772-BEF6-4544-9B99-18E0484C30BD}"/>
    <cellStyle name="Percent 3 8 6 6 2 2" xfId="8730" xr:uid="{5748D5C6-9483-49A8-A861-533366D3A976}"/>
    <cellStyle name="Percent 3 8 6 6 3" xfId="8731" xr:uid="{007D2C40-F95E-4F6E-9A39-3F3069FAD591}"/>
    <cellStyle name="Percent 3 8 6 6 3 2" xfId="8732" xr:uid="{FBF36738-FD39-46BA-AF27-58EDAA225A4B}"/>
    <cellStyle name="Percent 3 8 6 6 4" xfId="8733" xr:uid="{3E03AB4D-7DE5-43D2-8AA4-EBFCCBEC332C}"/>
    <cellStyle name="Percent 3 8 6 7" xfId="8734" xr:uid="{C71F190F-95EE-4429-8EE6-15306916E193}"/>
    <cellStyle name="Percent 3 8 6 7 2" xfId="8735" xr:uid="{A1A6903A-5829-4095-B5E8-70E50C046D3F}"/>
    <cellStyle name="Percent 3 8 6 8" xfId="8736" xr:uid="{32987AD3-A0E3-4045-94DF-090811AD6EC6}"/>
    <cellStyle name="Percent 3 8 6 8 2" xfId="8737" xr:uid="{F54453FF-98C9-460F-A269-368147A6D73E}"/>
    <cellStyle name="Percent 3 8 6 9" xfId="8738" xr:uid="{3F1D8C36-A1A1-4A0B-AA77-B01E10FC479F}"/>
    <cellStyle name="Percent 3 8 6 9 2" xfId="8739" xr:uid="{A41E0B4C-0C26-4073-8D47-D6694B23BDC6}"/>
    <cellStyle name="Percent 3 8 7" xfId="2959" xr:uid="{28133E8D-133C-4457-A9F4-E86B50EDCA05}"/>
    <cellStyle name="Percent 3 8 7 10" xfId="8741" xr:uid="{A4AF1AE9-4C88-4DC0-A996-97B4B364F75A}"/>
    <cellStyle name="Percent 3 8 7 11" xfId="8742" xr:uid="{DCF2A508-0E8D-45B1-B3FB-66DFDB96154C}"/>
    <cellStyle name="Percent 3 8 7 12" xfId="8740" xr:uid="{04124540-8D59-47AC-9C54-1577BCB032CC}"/>
    <cellStyle name="Percent 3 8 7 2" xfId="8743" xr:uid="{F2208FC7-C568-46B1-A64C-C89CFEE0BF7F}"/>
    <cellStyle name="Percent 3 8 7 2 2" xfId="8744" xr:uid="{63637E24-6917-4AAA-A711-DF418243A358}"/>
    <cellStyle name="Percent 3 8 7 2 2 2" xfId="8745" xr:uid="{5C4DAEE4-3FB7-44AB-868C-7554AEF98355}"/>
    <cellStyle name="Percent 3 8 7 2 3" xfId="8746" xr:uid="{9B386C4A-6A3F-4622-903A-4208786FF1E5}"/>
    <cellStyle name="Percent 3 8 7 2 3 2" xfId="8747" xr:uid="{ED503DB6-CDED-4816-B500-8498B4B971D9}"/>
    <cellStyle name="Percent 3 8 7 2 4" xfId="8748" xr:uid="{5FD4ABBF-4EB7-49EB-9D68-A943ED070D85}"/>
    <cellStyle name="Percent 3 8 7 2 5" xfId="8749" xr:uid="{29772791-2BB6-46F2-8562-D96B18CD1375}"/>
    <cellStyle name="Percent 3 8 7 3" xfId="8750" xr:uid="{24AFA480-48FA-4998-84AB-BBA564C7D3FE}"/>
    <cellStyle name="Percent 3 8 7 3 2" xfId="8751" xr:uid="{258C8E77-E749-4E22-ACC5-BC954CD26C77}"/>
    <cellStyle name="Percent 3 8 7 3 2 2" xfId="8752" xr:uid="{4A9AFD8D-7F4D-498E-BCE7-5B088622CB81}"/>
    <cellStyle name="Percent 3 8 7 3 3" xfId="8753" xr:uid="{4F3DF33B-0BA4-49A9-BFF9-ED21A042E21A}"/>
    <cellStyle name="Percent 3 8 7 3 3 2" xfId="8754" xr:uid="{548EF73C-0AF8-4208-85A1-49013AB3DBC1}"/>
    <cellStyle name="Percent 3 8 7 3 4" xfId="8755" xr:uid="{0C2CFFF3-4C92-4322-85FE-2EEDD6CB8BFB}"/>
    <cellStyle name="Percent 3 8 7 4" xfId="8756" xr:uid="{E518ED11-1530-43BA-A6C6-A3A2CC98FE6F}"/>
    <cellStyle name="Percent 3 8 7 4 2" xfId="8757" xr:uid="{E811E8DE-1F28-4861-B8F2-BFB4EABDABA6}"/>
    <cellStyle name="Percent 3 8 7 4 2 2" xfId="8758" xr:uid="{2BDE373C-E8C5-47DE-A555-2249691C5BB3}"/>
    <cellStyle name="Percent 3 8 7 4 3" xfId="8759" xr:uid="{2793A5B3-7BDC-48F6-BEED-A03FCE86E100}"/>
    <cellStyle name="Percent 3 8 7 4 3 2" xfId="8760" xr:uid="{E1C7ED16-E4A8-4945-B8D2-F40188AC6C7E}"/>
    <cellStyle name="Percent 3 8 7 4 4" xfId="8761" xr:uid="{25518DE5-1D74-4EE5-B979-991AB83F7095}"/>
    <cellStyle name="Percent 3 8 7 5" xfId="8762" xr:uid="{0C9D3B56-3E33-46F6-B767-074B8A1DBF13}"/>
    <cellStyle name="Percent 3 8 7 5 2" xfId="8763" xr:uid="{E6D32C10-B10F-480D-BCE1-8799254F82C1}"/>
    <cellStyle name="Percent 3 8 7 5 2 2" xfId="8764" xr:uid="{7FC08658-913D-4F2A-BC2C-173C2F1072C6}"/>
    <cellStyle name="Percent 3 8 7 5 3" xfId="8765" xr:uid="{0DA215B6-6140-41C1-AD95-E2451D5C704A}"/>
    <cellStyle name="Percent 3 8 7 5 3 2" xfId="8766" xr:uid="{C8BAD29D-51E7-4C67-A806-0DCDC833C459}"/>
    <cellStyle name="Percent 3 8 7 5 4" xfId="8767" xr:uid="{EF6844E2-B39B-4AF9-AA6C-C6E1AB0CE158}"/>
    <cellStyle name="Percent 3 8 7 5 4 2" xfId="8768" xr:uid="{D1DD74CC-1117-4F95-AB44-1A92833B0132}"/>
    <cellStyle name="Percent 3 8 7 5 5" xfId="8769" xr:uid="{A9E05D9D-77A0-4845-B459-D901B92B9437}"/>
    <cellStyle name="Percent 3 8 7 6" xfId="8770" xr:uid="{694F6C06-0EF8-45A7-B83E-59977897E6FC}"/>
    <cellStyle name="Percent 3 8 7 6 2" xfId="8771" xr:uid="{FEB429A0-0330-48F7-A379-9F1C7E73402C}"/>
    <cellStyle name="Percent 3 8 7 6 2 2" xfId="8772" xr:uid="{D970604C-07C3-4A3E-A6E7-15F3FA9B0000}"/>
    <cellStyle name="Percent 3 8 7 6 3" xfId="8773" xr:uid="{954DA3EA-3A59-416E-BAD8-9C7FAEAC8591}"/>
    <cellStyle name="Percent 3 8 7 6 3 2" xfId="8774" xr:uid="{58650DEE-5DD3-4133-AE3C-E4C1E5D30BA6}"/>
    <cellStyle name="Percent 3 8 7 6 4" xfId="8775" xr:uid="{2009A529-C2D6-4BB2-A1A4-AE31ACDB17EF}"/>
    <cellStyle name="Percent 3 8 7 7" xfId="8776" xr:uid="{2B7370C1-F525-4A78-96D4-A9B1E13B6703}"/>
    <cellStyle name="Percent 3 8 7 7 2" xfId="8777" xr:uid="{B034ED15-1CB4-4690-A9BB-79C83704D68B}"/>
    <cellStyle name="Percent 3 8 7 8" xfId="8778" xr:uid="{C38BBD1B-54A8-44DE-9F22-D3A5A44F1C21}"/>
    <cellStyle name="Percent 3 8 7 8 2" xfId="8779" xr:uid="{E8ABC49C-16E9-4A2A-A3E7-6963C4321622}"/>
    <cellStyle name="Percent 3 8 7 9" xfId="8780" xr:uid="{34C236A1-27DF-4B98-9C13-D24E0A1E6D8B}"/>
    <cellStyle name="Percent 3 8 7 9 2" xfId="8781" xr:uid="{A0475B23-D745-4728-82CE-4EFCBABD5729}"/>
    <cellStyle name="Percent 3 8 8" xfId="2960" xr:uid="{A263FE68-B33F-441E-B748-E48297E0B06F}"/>
    <cellStyle name="Percent 3 8 8 10" xfId="8783" xr:uid="{CA9D4AC0-FE11-4ADB-BCA5-13E8A71BF08D}"/>
    <cellStyle name="Percent 3 8 8 11" xfId="8784" xr:uid="{0C29BB50-F131-422F-A9CE-FA49EA1DE5CF}"/>
    <cellStyle name="Percent 3 8 8 12" xfId="8782" xr:uid="{2169CBDC-3E85-417E-BBF9-DD535A201563}"/>
    <cellStyle name="Percent 3 8 8 2" xfId="8785" xr:uid="{0141D605-6BA6-4950-AFFC-BB5B2BE1AA02}"/>
    <cellStyle name="Percent 3 8 8 2 2" xfId="8786" xr:uid="{0A336038-F1CB-4455-A853-3C70A1F5A7AC}"/>
    <cellStyle name="Percent 3 8 8 2 2 2" xfId="8787" xr:uid="{CAD58D3B-2E2C-4293-9091-FCC0DEF41FB7}"/>
    <cellStyle name="Percent 3 8 8 2 3" xfId="8788" xr:uid="{42D56EE3-9279-4738-895C-AE656AAC60C1}"/>
    <cellStyle name="Percent 3 8 8 2 3 2" xfId="8789" xr:uid="{1B5AECB7-58C3-4363-B92A-F0DAF77BB7AE}"/>
    <cellStyle name="Percent 3 8 8 2 4" xfId="8790" xr:uid="{8FF41E72-CF69-489C-BEAA-A67BDB132183}"/>
    <cellStyle name="Percent 3 8 8 2 5" xfId="8791" xr:uid="{C160D651-751E-4677-899E-8AE3245BB3A4}"/>
    <cellStyle name="Percent 3 8 8 3" xfId="8792" xr:uid="{BC2BF082-9E05-4441-B57B-7785FE353C88}"/>
    <cellStyle name="Percent 3 8 8 3 2" xfId="8793" xr:uid="{9CEEC553-AB78-4410-8E3E-53BA187F6208}"/>
    <cellStyle name="Percent 3 8 8 3 2 2" xfId="8794" xr:uid="{01785C6F-CEE9-48C0-A568-03F9B4DA530F}"/>
    <cellStyle name="Percent 3 8 8 3 3" xfId="8795" xr:uid="{F9CCE4EC-2EEF-4C2C-B632-7948AD7984F2}"/>
    <cellStyle name="Percent 3 8 8 3 3 2" xfId="8796" xr:uid="{4D6A990A-C598-4093-959D-791A980BEFAF}"/>
    <cellStyle name="Percent 3 8 8 3 4" xfId="8797" xr:uid="{07F471C2-4D2A-428D-A812-CCADA0FC560A}"/>
    <cellStyle name="Percent 3 8 8 4" xfId="8798" xr:uid="{593DCDB9-F011-447A-8272-69E525880AA2}"/>
    <cellStyle name="Percent 3 8 8 4 2" xfId="8799" xr:uid="{CCDE5823-E2B6-4E6B-8068-49711353516A}"/>
    <cellStyle name="Percent 3 8 8 4 2 2" xfId="8800" xr:uid="{0FE0A836-B251-42CD-8425-FB84F485912A}"/>
    <cellStyle name="Percent 3 8 8 4 3" xfId="8801" xr:uid="{F9326D94-5CF9-4785-9D7C-654FB7A62876}"/>
    <cellStyle name="Percent 3 8 8 4 3 2" xfId="8802" xr:uid="{4F2EEA13-3A39-4048-A922-E93DB59DA375}"/>
    <cellStyle name="Percent 3 8 8 4 4" xfId="8803" xr:uid="{2851AA57-9984-4588-A2C0-CB030D924BEC}"/>
    <cellStyle name="Percent 3 8 8 5" xfId="8804" xr:uid="{A65C62D4-EF6A-40B9-BD38-CC27307540F7}"/>
    <cellStyle name="Percent 3 8 8 5 2" xfId="8805" xr:uid="{9049AF2D-04D8-46F9-9ED7-FE3FDD0C427E}"/>
    <cellStyle name="Percent 3 8 8 5 2 2" xfId="8806" xr:uid="{FB4283C6-5DF5-4F65-B638-A5CD15305E80}"/>
    <cellStyle name="Percent 3 8 8 5 3" xfId="8807" xr:uid="{B4C70983-3C6C-4692-9EB1-25C2373A31B3}"/>
    <cellStyle name="Percent 3 8 8 5 3 2" xfId="8808" xr:uid="{D03F8409-28D7-4720-87E9-310A5970F6AF}"/>
    <cellStyle name="Percent 3 8 8 5 4" xfId="8809" xr:uid="{B5A45554-2EF1-46BE-893A-084506B6D155}"/>
    <cellStyle name="Percent 3 8 8 5 4 2" xfId="8810" xr:uid="{97F8D9E5-EA20-4CB1-9BD9-4256F2E5BF8F}"/>
    <cellStyle name="Percent 3 8 8 5 5" xfId="8811" xr:uid="{1C826556-BAE7-440C-B1B3-FA47AF6BCCDA}"/>
    <cellStyle name="Percent 3 8 8 6" xfId="8812" xr:uid="{22493B2F-3113-4243-989A-0D43BFBE5AD2}"/>
    <cellStyle name="Percent 3 8 8 6 2" xfId="8813" xr:uid="{512BC83B-0644-428D-B61B-F020554F2540}"/>
    <cellStyle name="Percent 3 8 8 6 2 2" xfId="8814" xr:uid="{79681950-0C16-4FC3-A094-69466312B426}"/>
    <cellStyle name="Percent 3 8 8 6 3" xfId="8815" xr:uid="{561F3DFD-D01E-447F-83E0-53397B481189}"/>
    <cellStyle name="Percent 3 8 8 6 3 2" xfId="8816" xr:uid="{CA5EE5AB-E5F7-4E09-8CF6-FC5EE8F1121F}"/>
    <cellStyle name="Percent 3 8 8 6 4" xfId="8817" xr:uid="{E98D4F65-9343-4845-8F19-BC1849054E4D}"/>
    <cellStyle name="Percent 3 8 8 7" xfId="8818" xr:uid="{380EAC51-71CF-4369-8E51-6C148747C7DE}"/>
    <cellStyle name="Percent 3 8 8 7 2" xfId="8819" xr:uid="{492B89BC-96F2-4784-AC4B-87C4A960BE69}"/>
    <cellStyle name="Percent 3 8 8 8" xfId="8820" xr:uid="{305A1F4F-0301-40F1-B1E1-44F68A6743A3}"/>
    <cellStyle name="Percent 3 8 8 8 2" xfId="8821" xr:uid="{C35DC6F1-E4E2-4EC0-9C5D-70A7FE00C067}"/>
    <cellStyle name="Percent 3 8 8 9" xfId="8822" xr:uid="{23A14600-8466-4A62-A2D0-8B9DCF2BADAF}"/>
    <cellStyle name="Percent 3 8 8 9 2" xfId="8823" xr:uid="{CCB5B843-6CD9-4DCC-B734-BB2774B03C9A}"/>
    <cellStyle name="Percent 3 8 9" xfId="2961" xr:uid="{D9842D04-4D2E-40F5-AC9C-97F3A3D9F92C}"/>
    <cellStyle name="Percent 3 8 9 10" xfId="8825" xr:uid="{0A2914D1-E2A2-45FE-AD59-AD958EFE46CE}"/>
    <cellStyle name="Percent 3 8 9 11" xfId="8826" xr:uid="{976DC345-B3F3-42C8-99D6-B77682C977EB}"/>
    <cellStyle name="Percent 3 8 9 12" xfId="8824" xr:uid="{3469F650-6540-49AB-9F9D-34A674632D69}"/>
    <cellStyle name="Percent 3 8 9 2" xfId="8827" xr:uid="{B36887F8-0A0B-4962-AFEE-23C0505FC755}"/>
    <cellStyle name="Percent 3 8 9 2 2" xfId="8828" xr:uid="{82C7FA34-7F93-476F-88BC-AC0230711A19}"/>
    <cellStyle name="Percent 3 8 9 2 2 2" xfId="8829" xr:uid="{5C27EE04-1775-4FB7-B8FB-878EF4ECDF30}"/>
    <cellStyle name="Percent 3 8 9 2 3" xfId="8830" xr:uid="{E47543FE-84B9-44F7-B25E-3EC832483668}"/>
    <cellStyle name="Percent 3 8 9 2 3 2" xfId="8831" xr:uid="{1B6D74E2-0953-489E-B6CE-E95C0C033F13}"/>
    <cellStyle name="Percent 3 8 9 2 4" xfId="8832" xr:uid="{29B31B1E-DBF0-4909-8F2D-0601F4DEC9DD}"/>
    <cellStyle name="Percent 3 8 9 2 5" xfId="8833" xr:uid="{1B0B9BB5-48B3-4D21-849F-DEFA81EBFA72}"/>
    <cellStyle name="Percent 3 8 9 3" xfId="8834" xr:uid="{1D9A25E5-587A-4BDD-8CB2-B793538B578E}"/>
    <cellStyle name="Percent 3 8 9 3 2" xfId="8835" xr:uid="{D44E2583-EF8C-40FD-A556-FA38A97065CD}"/>
    <cellStyle name="Percent 3 8 9 3 2 2" xfId="8836" xr:uid="{0F931A80-4D2B-4565-BB37-687D35D986CC}"/>
    <cellStyle name="Percent 3 8 9 3 3" xfId="8837" xr:uid="{DE9F3F1D-7FFB-4D3B-84F5-230A2ABA9328}"/>
    <cellStyle name="Percent 3 8 9 3 3 2" xfId="8838" xr:uid="{E9D74C24-9CF6-4F78-B087-CDB62F235BF5}"/>
    <cellStyle name="Percent 3 8 9 3 4" xfId="8839" xr:uid="{2AFDEAF7-2FF2-4667-A4A6-165B72F9F61A}"/>
    <cellStyle name="Percent 3 8 9 4" xfId="8840" xr:uid="{C73C39BC-DAB6-4527-9CE2-91C56C2AA996}"/>
    <cellStyle name="Percent 3 8 9 4 2" xfId="8841" xr:uid="{F2A650E7-959B-4731-AF68-0B6AD2D4DEA7}"/>
    <cellStyle name="Percent 3 8 9 4 2 2" xfId="8842" xr:uid="{7BC46EAF-0448-42D1-A2B1-FEF4C6C80F36}"/>
    <cellStyle name="Percent 3 8 9 4 3" xfId="8843" xr:uid="{7130CDFC-0E20-4F5D-ADD7-336A6259A234}"/>
    <cellStyle name="Percent 3 8 9 4 3 2" xfId="8844" xr:uid="{E98E080D-788E-4880-B2AC-A469676BC9B5}"/>
    <cellStyle name="Percent 3 8 9 4 4" xfId="8845" xr:uid="{222A397F-9A3D-4178-AA4D-1B5EC05A72AE}"/>
    <cellStyle name="Percent 3 8 9 5" xfId="8846" xr:uid="{BBD273A0-F878-4FBD-89C9-641C62714A66}"/>
    <cellStyle name="Percent 3 8 9 5 2" xfId="8847" xr:uid="{ABF3190D-3744-4FA1-A645-CF7CCAAEF571}"/>
    <cellStyle name="Percent 3 8 9 5 2 2" xfId="8848" xr:uid="{E7638A49-C78F-4704-AB71-35E5376D1538}"/>
    <cellStyle name="Percent 3 8 9 5 3" xfId="8849" xr:uid="{7F382DD3-EBD0-4227-8266-1F086A3A5958}"/>
    <cellStyle name="Percent 3 8 9 5 3 2" xfId="8850" xr:uid="{2DF12B01-77B3-491B-8875-E3D6C00BF653}"/>
    <cellStyle name="Percent 3 8 9 5 4" xfId="8851" xr:uid="{66113F1E-FA23-4604-AE23-85B65BE41D79}"/>
    <cellStyle name="Percent 3 8 9 5 4 2" xfId="8852" xr:uid="{D263931C-E8D7-468F-A615-F491F724E1F9}"/>
    <cellStyle name="Percent 3 8 9 5 5" xfId="8853" xr:uid="{CA94EE95-B8FF-4C17-9E63-733A2A5C199C}"/>
    <cellStyle name="Percent 3 8 9 6" xfId="8854" xr:uid="{900C25C9-83F8-4412-B8A1-1D4774C02A31}"/>
    <cellStyle name="Percent 3 8 9 6 2" xfId="8855" xr:uid="{1EBFDC3C-72F2-4F00-A9C1-F5BD4A094CE4}"/>
    <cellStyle name="Percent 3 8 9 6 2 2" xfId="8856" xr:uid="{0C810A13-BD52-440E-94C7-D5E0E70AF9C7}"/>
    <cellStyle name="Percent 3 8 9 6 3" xfId="8857" xr:uid="{96F6D026-12D6-4382-A1A1-F6C339522F18}"/>
    <cellStyle name="Percent 3 8 9 6 3 2" xfId="8858" xr:uid="{16C3C791-EB0A-4015-B057-1B6B7317C1CB}"/>
    <cellStyle name="Percent 3 8 9 6 4" xfId="8859" xr:uid="{7D9204CF-92A3-4E78-80F7-040A8068F5CE}"/>
    <cellStyle name="Percent 3 8 9 7" xfId="8860" xr:uid="{CB4FE22E-4DFC-474C-A7F4-81AA59488E02}"/>
    <cellStyle name="Percent 3 8 9 7 2" xfId="8861" xr:uid="{B9A35FCE-31E8-4806-9D04-17D0543A856A}"/>
    <cellStyle name="Percent 3 8 9 8" xfId="8862" xr:uid="{5203EEE0-B086-4650-A745-A44334598775}"/>
    <cellStyle name="Percent 3 8 9 8 2" xfId="8863" xr:uid="{5B3E60B1-A7B5-4125-8659-D7ECD99AAF90}"/>
    <cellStyle name="Percent 3 8 9 9" xfId="8864" xr:uid="{6C57A569-3F3C-4EA4-9599-A47033C07E22}"/>
    <cellStyle name="Percent 3 8 9 9 2" xfId="8865" xr:uid="{5782402C-A04B-49D9-BE8D-E50D12ED6ABB}"/>
    <cellStyle name="Percent 3 9" xfId="2962" xr:uid="{6A743D79-6722-4B23-B48C-7A16D5305207}"/>
    <cellStyle name="Percent 3 9 10" xfId="2963" xr:uid="{0CF79190-0D47-4EB6-A2E1-A6D1026CE218}"/>
    <cellStyle name="Percent 3 9 10 10" xfId="8868" xr:uid="{FBCBCE2D-DAB0-480F-82A3-9BA91DAFC938}"/>
    <cellStyle name="Percent 3 9 10 11" xfId="8869" xr:uid="{C1690A49-BF6A-47CC-A109-06359C080364}"/>
    <cellStyle name="Percent 3 9 10 12" xfId="8867" xr:uid="{69BD5DA3-1350-4F2B-B614-87993F89484C}"/>
    <cellStyle name="Percent 3 9 10 2" xfId="8870" xr:uid="{5C1E26DF-CEDE-4B2B-BA02-4522FA56A41C}"/>
    <cellStyle name="Percent 3 9 10 2 2" xfId="8871" xr:uid="{DD608911-322D-4BFA-9296-85D329EC8B7B}"/>
    <cellStyle name="Percent 3 9 10 2 2 2" xfId="8872" xr:uid="{B07D831D-4436-4364-BD41-1587E51DDF3E}"/>
    <cellStyle name="Percent 3 9 10 2 3" xfId="8873" xr:uid="{0B58BCF4-E1F8-4448-A7AE-6774D565397D}"/>
    <cellStyle name="Percent 3 9 10 2 3 2" xfId="8874" xr:uid="{6928A7AE-CD0A-4354-8E39-363A565FF172}"/>
    <cellStyle name="Percent 3 9 10 2 4" xfId="8875" xr:uid="{6383FD25-015D-4B82-BF41-BC51AFC94F42}"/>
    <cellStyle name="Percent 3 9 10 2 5" xfId="8876" xr:uid="{C7CF38EA-0806-4938-B151-70B60B0939A6}"/>
    <cellStyle name="Percent 3 9 10 3" xfId="8877" xr:uid="{767FE724-3FCD-48FF-B2D2-4672AEBCC4E9}"/>
    <cellStyle name="Percent 3 9 10 3 2" xfId="8878" xr:uid="{AE1F17C6-68B8-46C9-8672-A3D8E828662A}"/>
    <cellStyle name="Percent 3 9 10 3 2 2" xfId="8879" xr:uid="{8CEF1A4D-6F6C-4FAC-B6DD-619FA5CC52A4}"/>
    <cellStyle name="Percent 3 9 10 3 3" xfId="8880" xr:uid="{F3ACF5CF-EB15-4ACF-BE24-12F8EC1122E7}"/>
    <cellStyle name="Percent 3 9 10 3 3 2" xfId="8881" xr:uid="{6DC0A79A-77DC-4EAD-86F5-50E1BC86BDE9}"/>
    <cellStyle name="Percent 3 9 10 3 4" xfId="8882" xr:uid="{88B8778C-3051-4F06-9A8B-4CEECEF76A00}"/>
    <cellStyle name="Percent 3 9 10 4" xfId="8883" xr:uid="{1ACD4C81-278C-4981-9CBE-4CD52A0B1324}"/>
    <cellStyle name="Percent 3 9 10 4 2" xfId="8884" xr:uid="{75022FA5-E5F5-4560-9C9E-AD8DE6378ED2}"/>
    <cellStyle name="Percent 3 9 10 4 2 2" xfId="8885" xr:uid="{7619A323-4C94-45AD-8454-516BA078D526}"/>
    <cellStyle name="Percent 3 9 10 4 3" xfId="8886" xr:uid="{929496AE-3F22-45A9-A527-6013322F7341}"/>
    <cellStyle name="Percent 3 9 10 4 3 2" xfId="8887" xr:uid="{43627458-1008-4E3D-9526-EB5D3FB60F6C}"/>
    <cellStyle name="Percent 3 9 10 4 4" xfId="8888" xr:uid="{4282DEFF-5EEC-449D-99B1-82196886971D}"/>
    <cellStyle name="Percent 3 9 10 5" xfId="8889" xr:uid="{25CA09A9-92EE-40C8-AB7B-331F0375BA17}"/>
    <cellStyle name="Percent 3 9 10 5 2" xfId="8890" xr:uid="{3A5B63D2-C16C-464F-A0E7-7A078C38C5EC}"/>
    <cellStyle name="Percent 3 9 10 5 2 2" xfId="8891" xr:uid="{D94711B7-46BE-4AB8-861B-C1F93B2F3F57}"/>
    <cellStyle name="Percent 3 9 10 5 3" xfId="8892" xr:uid="{1D52CD14-FB84-4DAF-B209-54B2471E48E0}"/>
    <cellStyle name="Percent 3 9 10 5 3 2" xfId="8893" xr:uid="{5881F9FA-9E8D-4FE0-8F26-CEFC54517D20}"/>
    <cellStyle name="Percent 3 9 10 5 4" xfId="8894" xr:uid="{C72B5114-53E7-4BC3-8B90-D2A523405FFB}"/>
    <cellStyle name="Percent 3 9 10 5 4 2" xfId="8895" xr:uid="{E0F9DD13-0230-4F63-A938-AFC35DFA42F1}"/>
    <cellStyle name="Percent 3 9 10 5 5" xfId="8896" xr:uid="{73ABD04E-7AEF-4AE4-99A4-F8AE0F0F4E13}"/>
    <cellStyle name="Percent 3 9 10 6" xfId="8897" xr:uid="{0095CC1E-E28B-4E4F-BDB2-EAD573097B38}"/>
    <cellStyle name="Percent 3 9 10 6 2" xfId="8898" xr:uid="{B5DA16FB-597D-442D-814B-DEDE3D72BB77}"/>
    <cellStyle name="Percent 3 9 10 6 2 2" xfId="8899" xr:uid="{E83B5A83-1CD7-44DD-8649-D8D4CD386535}"/>
    <cellStyle name="Percent 3 9 10 6 3" xfId="8900" xr:uid="{9B266DE4-57BC-40AA-9A0B-4BF8BE812CCC}"/>
    <cellStyle name="Percent 3 9 10 6 3 2" xfId="8901" xr:uid="{FDE2593D-2706-42FF-96C2-16B25DFDAB7A}"/>
    <cellStyle name="Percent 3 9 10 6 4" xfId="8902" xr:uid="{3E668321-F464-47EB-B483-CEB4232903DC}"/>
    <cellStyle name="Percent 3 9 10 7" xfId="8903" xr:uid="{0B409170-190C-4BA9-879C-BC75401322C3}"/>
    <cellStyle name="Percent 3 9 10 7 2" xfId="8904" xr:uid="{D5BC3B5E-B40A-4D54-B745-7107FBF3F5D3}"/>
    <cellStyle name="Percent 3 9 10 8" xfId="8905" xr:uid="{CC88EA3F-D207-49E6-A501-1DF2734D6C75}"/>
    <cellStyle name="Percent 3 9 10 8 2" xfId="8906" xr:uid="{D43D22E8-9BAB-48A3-A7E0-ACF723999C2A}"/>
    <cellStyle name="Percent 3 9 10 9" xfId="8907" xr:uid="{0FC35BD5-6E6A-461B-9D9B-98085596767C}"/>
    <cellStyle name="Percent 3 9 10 9 2" xfId="8908" xr:uid="{A61EC61C-0AD8-4046-BCB4-FED67ED7B7F3}"/>
    <cellStyle name="Percent 3 9 11" xfId="2964" xr:uid="{797178CF-1159-468E-8C31-3A9D7C80E829}"/>
    <cellStyle name="Percent 3 9 11 10" xfId="8910" xr:uid="{F960FE80-15FC-4840-9F2F-9FDB7123EDCE}"/>
    <cellStyle name="Percent 3 9 11 11" xfId="8911" xr:uid="{F1B83197-EA06-43B8-B99E-AAD7A535BC9E}"/>
    <cellStyle name="Percent 3 9 11 12" xfId="8909" xr:uid="{54B07055-A2C3-433B-B55D-2028670A2BCE}"/>
    <cellStyle name="Percent 3 9 11 2" xfId="8912" xr:uid="{888CA08B-1DA6-4A21-B5CD-43C6E2975C7F}"/>
    <cellStyle name="Percent 3 9 11 2 2" xfId="8913" xr:uid="{E821A931-64F9-44EC-81E4-D39585196108}"/>
    <cellStyle name="Percent 3 9 11 2 2 2" xfId="8914" xr:uid="{1E956992-19A4-4A29-83EA-754484CC5DD1}"/>
    <cellStyle name="Percent 3 9 11 2 3" xfId="8915" xr:uid="{3C574E93-0AC0-47AA-ACCC-B7223A7DBEAF}"/>
    <cellStyle name="Percent 3 9 11 2 3 2" xfId="8916" xr:uid="{C635D20E-2FE6-4B04-9D91-612C444E80E3}"/>
    <cellStyle name="Percent 3 9 11 2 4" xfId="8917" xr:uid="{8299D995-CF85-48A6-B397-D4506840E4E9}"/>
    <cellStyle name="Percent 3 9 11 2 5" xfId="8918" xr:uid="{F7829E5D-12F9-469E-9EE6-76246C76D45D}"/>
    <cellStyle name="Percent 3 9 11 3" xfId="8919" xr:uid="{DDD330EA-B83E-46E0-874C-97BBBFE8D517}"/>
    <cellStyle name="Percent 3 9 11 3 2" xfId="8920" xr:uid="{79B2F4E2-B424-4626-A64E-3BE4BB9F0C93}"/>
    <cellStyle name="Percent 3 9 11 3 2 2" xfId="8921" xr:uid="{32E04BD5-DD20-4CA1-91E6-83A34F22C657}"/>
    <cellStyle name="Percent 3 9 11 3 3" xfId="8922" xr:uid="{F54BF9D4-425C-4CB3-9184-DF480B0FD282}"/>
    <cellStyle name="Percent 3 9 11 3 3 2" xfId="8923" xr:uid="{AA07A12B-255C-4879-98FC-7F6DFE32D2D8}"/>
    <cellStyle name="Percent 3 9 11 3 4" xfId="8924" xr:uid="{94A2CDC1-C007-4894-A998-55239BDC1561}"/>
    <cellStyle name="Percent 3 9 11 4" xfId="8925" xr:uid="{30A2BA02-061A-4CA6-8D95-8C8F3E86D6DC}"/>
    <cellStyle name="Percent 3 9 11 4 2" xfId="8926" xr:uid="{B1353169-2DFC-44BF-A22E-503F7FF102C2}"/>
    <cellStyle name="Percent 3 9 11 4 2 2" xfId="8927" xr:uid="{34408555-3955-46C2-8D3F-3ADD1A5704C9}"/>
    <cellStyle name="Percent 3 9 11 4 3" xfId="8928" xr:uid="{A95D02EE-43B7-4412-9B6E-B78780E3965A}"/>
    <cellStyle name="Percent 3 9 11 4 3 2" xfId="8929" xr:uid="{14B4DEAA-145C-4512-A299-B8C2F961059B}"/>
    <cellStyle name="Percent 3 9 11 4 4" xfId="8930" xr:uid="{0DFAB6B2-04CE-4CCF-9D42-0611C3F66FC5}"/>
    <cellStyle name="Percent 3 9 11 5" xfId="8931" xr:uid="{26E498FE-9F62-488E-BB0E-592758B52FCE}"/>
    <cellStyle name="Percent 3 9 11 5 2" xfId="8932" xr:uid="{75437480-3244-43D3-AA2E-667B40E0CB9F}"/>
    <cellStyle name="Percent 3 9 11 5 2 2" xfId="8933" xr:uid="{7566AF5A-3BD6-459F-849F-90F200D2DE5A}"/>
    <cellStyle name="Percent 3 9 11 5 3" xfId="8934" xr:uid="{A88ED970-A3DD-4C17-8D6C-CA040B539E4E}"/>
    <cellStyle name="Percent 3 9 11 5 3 2" xfId="8935" xr:uid="{0265271A-A47F-414C-8204-23F5C110323D}"/>
    <cellStyle name="Percent 3 9 11 5 4" xfId="8936" xr:uid="{88F91853-4252-4373-920D-5C8792D39F55}"/>
    <cellStyle name="Percent 3 9 11 5 4 2" xfId="8937" xr:uid="{CB50EE48-B15F-47F1-BD94-7DED3B23A3D7}"/>
    <cellStyle name="Percent 3 9 11 5 5" xfId="8938" xr:uid="{6E26EB2A-1240-4C9F-AA01-32DABBAD52BB}"/>
    <cellStyle name="Percent 3 9 11 6" xfId="8939" xr:uid="{8E9455C0-6F62-4A87-84F9-EA51968730CA}"/>
    <cellStyle name="Percent 3 9 11 6 2" xfId="8940" xr:uid="{1ECD693D-780D-48E8-A3CA-1BA835F705FD}"/>
    <cellStyle name="Percent 3 9 11 6 2 2" xfId="8941" xr:uid="{CCAF082B-B116-47E0-BCCF-801441AD2040}"/>
    <cellStyle name="Percent 3 9 11 6 3" xfId="8942" xr:uid="{476A960D-C69C-43F4-8294-90C2F177F953}"/>
    <cellStyle name="Percent 3 9 11 6 3 2" xfId="8943" xr:uid="{972329E9-29B4-4021-ADE2-F90368C67770}"/>
    <cellStyle name="Percent 3 9 11 6 4" xfId="8944" xr:uid="{A1E64C40-263E-4F1D-85D6-CD59ADF70071}"/>
    <cellStyle name="Percent 3 9 11 7" xfId="8945" xr:uid="{0CEA7FF6-9F43-4180-998E-9C0AD9A5FB78}"/>
    <cellStyle name="Percent 3 9 11 7 2" xfId="8946" xr:uid="{46E2342A-B3CA-4740-88CF-C8322EFAC90F}"/>
    <cellStyle name="Percent 3 9 11 8" xfId="8947" xr:uid="{E7FEF11E-6333-48E8-AD0F-3F504E5699F2}"/>
    <cellStyle name="Percent 3 9 11 8 2" xfId="8948" xr:uid="{AC392B5E-B794-4B8E-870E-CEE0613BE131}"/>
    <cellStyle name="Percent 3 9 11 9" xfId="8949" xr:uid="{A47075F9-8098-453B-9B19-4ED919088FEE}"/>
    <cellStyle name="Percent 3 9 11 9 2" xfId="8950" xr:uid="{1C96328E-56BA-49C3-AA11-F5B34684AEB1}"/>
    <cellStyle name="Percent 3 9 12" xfId="2965" xr:uid="{7E2C4DC6-4E1E-4FF6-9ADC-C32D2A2ECBE8}"/>
    <cellStyle name="Percent 3 9 12 10" xfId="8952" xr:uid="{8D908B50-D1CE-4CCF-B8D8-37DD5ABF1283}"/>
    <cellStyle name="Percent 3 9 12 11" xfId="8953" xr:uid="{119109ED-C809-417E-89DA-389CAB0F8771}"/>
    <cellStyle name="Percent 3 9 12 12" xfId="8951" xr:uid="{F5952DE3-E590-4EA1-8508-86AC427F1A35}"/>
    <cellStyle name="Percent 3 9 12 2" xfId="8954" xr:uid="{E1AC573D-1F64-4F8E-ACB1-C10412A50133}"/>
    <cellStyle name="Percent 3 9 12 2 2" xfId="8955" xr:uid="{63A9BF30-A712-42DB-884E-0711EAD90FDC}"/>
    <cellStyle name="Percent 3 9 12 2 2 2" xfId="8956" xr:uid="{389B16AF-CF05-454F-B49F-F6F99EC87B22}"/>
    <cellStyle name="Percent 3 9 12 2 3" xfId="8957" xr:uid="{66417795-0FB0-4767-B96A-9407023F7CEF}"/>
    <cellStyle name="Percent 3 9 12 2 3 2" xfId="8958" xr:uid="{F3EA4B82-03F6-4FEE-9515-EF105AE05A84}"/>
    <cellStyle name="Percent 3 9 12 2 4" xfId="8959" xr:uid="{8AE9823E-40E8-44DC-AC2B-6E9234ADBA3F}"/>
    <cellStyle name="Percent 3 9 12 2 5" xfId="8960" xr:uid="{9D366B15-450B-4AA3-B3A8-1B4745825DE8}"/>
    <cellStyle name="Percent 3 9 12 3" xfId="8961" xr:uid="{505D7342-DFA6-4997-B8EF-81B947E5BC53}"/>
    <cellStyle name="Percent 3 9 12 3 2" xfId="8962" xr:uid="{45294F7F-21ED-4ECD-B733-6EE180E4B255}"/>
    <cellStyle name="Percent 3 9 12 3 2 2" xfId="8963" xr:uid="{0F9A54D9-E5A1-4C6D-8F58-6F8647601D94}"/>
    <cellStyle name="Percent 3 9 12 3 3" xfId="8964" xr:uid="{4E0B3CBC-FEE2-495D-8968-93EB9A82606E}"/>
    <cellStyle name="Percent 3 9 12 3 3 2" xfId="8965" xr:uid="{72032884-7422-4E7C-B653-3ACF4738D595}"/>
    <cellStyle name="Percent 3 9 12 3 4" xfId="8966" xr:uid="{807C9C90-2936-4098-848C-118500841FEA}"/>
    <cellStyle name="Percent 3 9 12 4" xfId="8967" xr:uid="{F62C84B0-E3B6-4F88-83D3-EEEA1F476FE6}"/>
    <cellStyle name="Percent 3 9 12 4 2" xfId="8968" xr:uid="{F09AD871-907B-4C75-8DC0-2B311AB6E403}"/>
    <cellStyle name="Percent 3 9 12 4 2 2" xfId="8969" xr:uid="{E30994E9-CF6E-4446-A80E-525AAB185097}"/>
    <cellStyle name="Percent 3 9 12 4 3" xfId="8970" xr:uid="{0B2392C8-CDD1-493B-A7C6-3B9A30F8C14E}"/>
    <cellStyle name="Percent 3 9 12 4 3 2" xfId="8971" xr:uid="{16A29F92-25CE-4FF8-9DFB-90404B3F444D}"/>
    <cellStyle name="Percent 3 9 12 4 4" xfId="8972" xr:uid="{0ED4CAEB-774C-4899-A818-C55F00C4C62D}"/>
    <cellStyle name="Percent 3 9 12 5" xfId="8973" xr:uid="{014770B9-E187-4F67-8F65-10EEAFD0DDFA}"/>
    <cellStyle name="Percent 3 9 12 5 2" xfId="8974" xr:uid="{9C27B2E2-0A21-4DEE-BE31-95C85D68A06A}"/>
    <cellStyle name="Percent 3 9 12 5 2 2" xfId="8975" xr:uid="{9A87E48C-D2EA-44D5-B1BB-5C3BB490DB10}"/>
    <cellStyle name="Percent 3 9 12 5 3" xfId="8976" xr:uid="{8A4C38B8-0E98-43E5-B4DE-48E3A2BBD13E}"/>
    <cellStyle name="Percent 3 9 12 5 3 2" xfId="8977" xr:uid="{478484E8-B242-41D7-900C-F8A46B918599}"/>
    <cellStyle name="Percent 3 9 12 5 4" xfId="8978" xr:uid="{1DAA9E06-A96D-4DAD-80B1-640588A12278}"/>
    <cellStyle name="Percent 3 9 12 5 4 2" xfId="8979" xr:uid="{544314A5-8565-4DB2-8D59-05CFF0A3B21D}"/>
    <cellStyle name="Percent 3 9 12 5 5" xfId="8980" xr:uid="{8778967F-57E5-4210-8D38-A518A0CFE135}"/>
    <cellStyle name="Percent 3 9 12 6" xfId="8981" xr:uid="{66F998C1-42EF-4DD6-B54A-EE03CD3946C6}"/>
    <cellStyle name="Percent 3 9 12 6 2" xfId="8982" xr:uid="{F0701DE7-6A99-4AAF-AB88-9890E627EEDB}"/>
    <cellStyle name="Percent 3 9 12 6 2 2" xfId="8983" xr:uid="{F2ED0BCC-845A-42BF-824F-663011502480}"/>
    <cellStyle name="Percent 3 9 12 6 3" xfId="8984" xr:uid="{6789B8D0-A701-4BFA-A4EE-A57AE7C6B8CC}"/>
    <cellStyle name="Percent 3 9 12 6 3 2" xfId="8985" xr:uid="{E2D7AAF0-CC39-4C18-903B-24476327F6B9}"/>
    <cellStyle name="Percent 3 9 12 6 4" xfId="8986" xr:uid="{A7F44D71-9EE2-4494-A38A-6B76EA11F639}"/>
    <cellStyle name="Percent 3 9 12 7" xfId="8987" xr:uid="{13CAA532-B950-474D-97F7-C02F1260BFA6}"/>
    <cellStyle name="Percent 3 9 12 7 2" xfId="8988" xr:uid="{15608D9B-0E6C-48DB-AC8A-CE6D66899110}"/>
    <cellStyle name="Percent 3 9 12 8" xfId="8989" xr:uid="{D5FA9638-402E-4EAB-91F6-3A92A27607EF}"/>
    <cellStyle name="Percent 3 9 12 8 2" xfId="8990" xr:uid="{E3CF8FCA-5FD6-4E2A-A557-FAEE7253A647}"/>
    <cellStyle name="Percent 3 9 12 9" xfId="8991" xr:uid="{5028BA77-AD75-4262-A3C4-D7363667E451}"/>
    <cellStyle name="Percent 3 9 12 9 2" xfId="8992" xr:uid="{FA48321D-908E-4A4A-A0E7-BE30AC80CBA1}"/>
    <cellStyle name="Percent 3 9 13" xfId="2966" xr:uid="{E84F9F88-BE84-48F7-80A1-291C5824F1F4}"/>
    <cellStyle name="Percent 3 9 13 10" xfId="8994" xr:uid="{864E38D2-06FA-428D-9666-0321B23333F8}"/>
    <cellStyle name="Percent 3 9 13 11" xfId="8995" xr:uid="{FFFE1576-F958-47AD-92C0-4B29BB5E1D28}"/>
    <cellStyle name="Percent 3 9 13 12" xfId="8993" xr:uid="{4D601D6A-2AE3-4728-AA41-AE175C2838EC}"/>
    <cellStyle name="Percent 3 9 13 2" xfId="8996" xr:uid="{1A48F442-C707-4B37-BFFA-B35DDA8653DB}"/>
    <cellStyle name="Percent 3 9 13 2 2" xfId="8997" xr:uid="{827466B5-25E8-464A-B7CC-C43C0668B031}"/>
    <cellStyle name="Percent 3 9 13 2 2 2" xfId="8998" xr:uid="{6BC509A1-EF26-466B-BDB7-6F36DE3131DE}"/>
    <cellStyle name="Percent 3 9 13 2 3" xfId="8999" xr:uid="{EEA7F8D8-9EE7-4D96-9C07-A5E732E053FB}"/>
    <cellStyle name="Percent 3 9 13 2 3 2" xfId="9000" xr:uid="{FB5279F2-E65D-405F-80FA-DBBC98A50DD9}"/>
    <cellStyle name="Percent 3 9 13 2 4" xfId="9001" xr:uid="{C4828424-B4C2-4E43-9D0F-55CDAD9D0FEC}"/>
    <cellStyle name="Percent 3 9 13 2 5" xfId="9002" xr:uid="{9C649914-0F7B-49A0-A11B-6A326EC3CE1D}"/>
    <cellStyle name="Percent 3 9 13 3" xfId="9003" xr:uid="{FF49A969-39D6-4E36-95E5-B77E698DB3AE}"/>
    <cellStyle name="Percent 3 9 13 3 2" xfId="9004" xr:uid="{658B0687-4DAD-4FE1-A78B-C2D2CE08A7EF}"/>
    <cellStyle name="Percent 3 9 13 3 2 2" xfId="9005" xr:uid="{D404FA24-73B9-4301-B692-0BAF161B31A5}"/>
    <cellStyle name="Percent 3 9 13 3 3" xfId="9006" xr:uid="{A3911531-B95C-4376-A231-C87EBEA13C3F}"/>
    <cellStyle name="Percent 3 9 13 3 3 2" xfId="9007" xr:uid="{023327FA-8740-4C99-9423-269309F84C60}"/>
    <cellStyle name="Percent 3 9 13 3 4" xfId="9008" xr:uid="{C4C1BCC0-3E42-47FF-B929-5693738DF730}"/>
    <cellStyle name="Percent 3 9 13 4" xfId="9009" xr:uid="{ECE64E14-E1D4-46E3-9B0A-9AD02E9DEEBD}"/>
    <cellStyle name="Percent 3 9 13 4 2" xfId="9010" xr:uid="{4B7B1E5B-56B7-43C6-A131-AA46A44F0273}"/>
    <cellStyle name="Percent 3 9 13 4 2 2" xfId="9011" xr:uid="{78D096C7-6EAB-4432-9366-6BE6143025BC}"/>
    <cellStyle name="Percent 3 9 13 4 3" xfId="9012" xr:uid="{7D3ED25D-4523-433D-915E-DB091AA08754}"/>
    <cellStyle name="Percent 3 9 13 4 3 2" xfId="9013" xr:uid="{116786D6-AF97-40BC-B054-3C2D32C6E389}"/>
    <cellStyle name="Percent 3 9 13 4 4" xfId="9014" xr:uid="{9BAF16C6-52B4-4C30-BE14-F0707AA69ACF}"/>
    <cellStyle name="Percent 3 9 13 5" xfId="9015" xr:uid="{9D602A91-B35D-468F-80D3-C2EC8E2D4179}"/>
    <cellStyle name="Percent 3 9 13 5 2" xfId="9016" xr:uid="{BD80C6DD-28C3-40BF-90B6-AE1FB213263E}"/>
    <cellStyle name="Percent 3 9 13 5 2 2" xfId="9017" xr:uid="{3ADB6A8F-5AF0-41E9-B678-11DB24DD0B02}"/>
    <cellStyle name="Percent 3 9 13 5 3" xfId="9018" xr:uid="{3ACFDB78-6266-43FC-BEE3-F2978E29B3A3}"/>
    <cellStyle name="Percent 3 9 13 5 3 2" xfId="9019" xr:uid="{FB21698F-BB8E-4910-9532-47F1641A1937}"/>
    <cellStyle name="Percent 3 9 13 5 4" xfId="9020" xr:uid="{A3CEAA03-40C7-4168-BDE5-AE69C64B046B}"/>
    <cellStyle name="Percent 3 9 13 5 4 2" xfId="9021" xr:uid="{84587191-BF9C-4262-90FD-F89F67FE5DB2}"/>
    <cellStyle name="Percent 3 9 13 5 5" xfId="9022" xr:uid="{1F651DB3-2801-4B4B-A28E-D723847CB3B6}"/>
    <cellStyle name="Percent 3 9 13 6" xfId="9023" xr:uid="{79D010F2-F4FA-45D5-BD3F-6A0E2B607BD5}"/>
    <cellStyle name="Percent 3 9 13 6 2" xfId="9024" xr:uid="{BD727217-CFAC-467A-8C25-EBF58B05959B}"/>
    <cellStyle name="Percent 3 9 13 6 2 2" xfId="9025" xr:uid="{C8DE568B-4F82-440D-B0A7-DF76F1A2E743}"/>
    <cellStyle name="Percent 3 9 13 6 3" xfId="9026" xr:uid="{B52CEF82-FFA0-4407-A70F-0A8D2684DD39}"/>
    <cellStyle name="Percent 3 9 13 6 3 2" xfId="9027" xr:uid="{761C73D7-5A62-44AE-90F1-EB64AE29D4B8}"/>
    <cellStyle name="Percent 3 9 13 6 4" xfId="9028" xr:uid="{68F47971-BBD9-48F6-8485-BE5635E5225B}"/>
    <cellStyle name="Percent 3 9 13 7" xfId="9029" xr:uid="{E77B8159-E34C-4E75-833D-93F17A93C826}"/>
    <cellStyle name="Percent 3 9 13 7 2" xfId="9030" xr:uid="{40BD363C-16A2-44A5-9CC9-177FB3B3582E}"/>
    <cellStyle name="Percent 3 9 13 8" xfId="9031" xr:uid="{C0DD362A-243C-4860-A9EE-9BA316AE866E}"/>
    <cellStyle name="Percent 3 9 13 8 2" xfId="9032" xr:uid="{98E66ECF-862D-4BA1-995A-D81ED451C50A}"/>
    <cellStyle name="Percent 3 9 13 9" xfId="9033" xr:uid="{7E3703F2-8F20-46D0-9626-E902CF52C279}"/>
    <cellStyle name="Percent 3 9 13 9 2" xfId="9034" xr:uid="{0066E029-323D-4DBE-AB9F-836FC8288DB8}"/>
    <cellStyle name="Percent 3 9 14" xfId="2967" xr:uid="{0266A2CB-A66B-4772-A04C-BA5E7677F2B0}"/>
    <cellStyle name="Percent 3 9 14 10" xfId="9036" xr:uid="{4B21EF66-ADF7-43CC-84FA-5042625839AB}"/>
    <cellStyle name="Percent 3 9 14 11" xfId="9037" xr:uid="{93031A38-242C-4E30-A3D8-DC66683276FE}"/>
    <cellStyle name="Percent 3 9 14 12" xfId="9035" xr:uid="{40B6948F-8641-432F-AF70-08DDEE36A7E7}"/>
    <cellStyle name="Percent 3 9 14 2" xfId="9038" xr:uid="{F5DC88E7-E6DD-4EFF-9511-46CFF96F9438}"/>
    <cellStyle name="Percent 3 9 14 2 2" xfId="9039" xr:uid="{615EDC28-4E3C-4C0F-A86C-41DF77A40954}"/>
    <cellStyle name="Percent 3 9 14 2 2 2" xfId="9040" xr:uid="{BE86AA60-9A38-42FB-ABC0-2105F6C730CA}"/>
    <cellStyle name="Percent 3 9 14 2 3" xfId="9041" xr:uid="{28C988D5-1DA0-4F71-8AEC-EEC94D35DF89}"/>
    <cellStyle name="Percent 3 9 14 2 3 2" xfId="9042" xr:uid="{EC525871-F554-40E5-BD2B-1B3E7B853BF4}"/>
    <cellStyle name="Percent 3 9 14 2 4" xfId="9043" xr:uid="{D8387990-AA7F-40CD-9665-4901A3BEC655}"/>
    <cellStyle name="Percent 3 9 14 2 5" xfId="9044" xr:uid="{22D2AA82-F72F-493D-8686-9566E07E2865}"/>
    <cellStyle name="Percent 3 9 14 3" xfId="9045" xr:uid="{D25FA0CA-BCFA-4C81-A01F-B1616753BA57}"/>
    <cellStyle name="Percent 3 9 14 3 2" xfId="9046" xr:uid="{A6D94AD9-0DB4-4322-A374-773D9CBF3347}"/>
    <cellStyle name="Percent 3 9 14 3 2 2" xfId="9047" xr:uid="{B60EDE66-7F2E-4716-B03A-ED98661CFC7A}"/>
    <cellStyle name="Percent 3 9 14 3 3" xfId="9048" xr:uid="{7A68896C-5746-4062-8771-937578ABC6B5}"/>
    <cellStyle name="Percent 3 9 14 3 3 2" xfId="9049" xr:uid="{54517C63-96A1-4F7A-B1AD-3296BF1684F0}"/>
    <cellStyle name="Percent 3 9 14 3 4" xfId="9050" xr:uid="{1678C3F4-CFE9-4A25-A1C4-0CE4AF6B40AD}"/>
    <cellStyle name="Percent 3 9 14 4" xfId="9051" xr:uid="{DE6603F0-314F-438F-9D05-094D0573887F}"/>
    <cellStyle name="Percent 3 9 14 4 2" xfId="9052" xr:uid="{68274FC1-0B9B-4088-B6F3-B0C635963088}"/>
    <cellStyle name="Percent 3 9 14 4 2 2" xfId="9053" xr:uid="{A7FB32F2-622C-467D-A8C4-DA9362D713BF}"/>
    <cellStyle name="Percent 3 9 14 4 3" xfId="9054" xr:uid="{14885F0E-48ED-477A-9923-B2D3A7F400FB}"/>
    <cellStyle name="Percent 3 9 14 4 3 2" xfId="9055" xr:uid="{666AD8B0-9238-4C59-BE67-7B9831242F27}"/>
    <cellStyle name="Percent 3 9 14 4 4" xfId="9056" xr:uid="{705D5CF3-F9CC-428E-BCF6-856E95B324E6}"/>
    <cellStyle name="Percent 3 9 14 5" xfId="9057" xr:uid="{A2943E7B-D79C-444A-983B-3B21EDB9733B}"/>
    <cellStyle name="Percent 3 9 14 5 2" xfId="9058" xr:uid="{F9348944-3CD6-49BE-B407-D09A6358CAE3}"/>
    <cellStyle name="Percent 3 9 14 5 2 2" xfId="9059" xr:uid="{C9AD438F-7542-4C2F-A993-6E21879BC6D1}"/>
    <cellStyle name="Percent 3 9 14 5 3" xfId="9060" xr:uid="{F9742DDA-C018-4EE1-88EC-D8438DE90881}"/>
    <cellStyle name="Percent 3 9 14 5 3 2" xfId="9061" xr:uid="{87A47830-AB0D-42B9-B1F6-DC846026688A}"/>
    <cellStyle name="Percent 3 9 14 5 4" xfId="9062" xr:uid="{B91CAF44-78A5-4D1F-B607-5C44DECF9081}"/>
    <cellStyle name="Percent 3 9 14 5 4 2" xfId="9063" xr:uid="{084F9117-35FB-4DB1-8BFD-BD3CB8B50132}"/>
    <cellStyle name="Percent 3 9 14 5 5" xfId="9064" xr:uid="{514A8EB4-183A-4071-8CC0-21D16385063E}"/>
    <cellStyle name="Percent 3 9 14 6" xfId="9065" xr:uid="{B0B3FDDA-AFC7-4C29-B33C-B46089BC0683}"/>
    <cellStyle name="Percent 3 9 14 6 2" xfId="9066" xr:uid="{8B20D6A1-81D7-41E2-B470-5ED7F5A1A3EC}"/>
    <cellStyle name="Percent 3 9 14 6 2 2" xfId="9067" xr:uid="{0B81BF04-7CF0-443A-A57D-2BD933D76B98}"/>
    <cellStyle name="Percent 3 9 14 6 3" xfId="9068" xr:uid="{8F02C93A-D08D-4477-A93F-38A85359B869}"/>
    <cellStyle name="Percent 3 9 14 6 3 2" xfId="9069" xr:uid="{443EAA03-A6A4-4A42-9BB3-3B12101EB058}"/>
    <cellStyle name="Percent 3 9 14 6 4" xfId="9070" xr:uid="{61428F4E-B90C-47EE-8CC0-CC5747EC88BE}"/>
    <cellStyle name="Percent 3 9 14 7" xfId="9071" xr:uid="{A1D32931-891D-428D-B69D-B6935F5014EE}"/>
    <cellStyle name="Percent 3 9 14 7 2" xfId="9072" xr:uid="{6FCFD8A5-D18D-4FF3-9224-AC5C94EC6384}"/>
    <cellStyle name="Percent 3 9 14 8" xfId="9073" xr:uid="{10D1795E-6B1E-4E69-9533-D46220BB7BEB}"/>
    <cellStyle name="Percent 3 9 14 8 2" xfId="9074" xr:uid="{DAE4B3E9-FB69-488A-BF76-3653A80488B6}"/>
    <cellStyle name="Percent 3 9 14 9" xfId="9075" xr:uid="{287061ED-C1AC-40CA-B8FE-A2E5CB713155}"/>
    <cellStyle name="Percent 3 9 14 9 2" xfId="9076" xr:uid="{06DE38B2-68C1-49F1-B51B-46B58B332907}"/>
    <cellStyle name="Percent 3 9 15" xfId="2968" xr:uid="{6F2913F1-6797-4409-B8A4-568832C03472}"/>
    <cellStyle name="Percent 3 9 15 10" xfId="9078" xr:uid="{2F2FD937-937C-40C6-A646-92D818CD7025}"/>
    <cellStyle name="Percent 3 9 15 11" xfId="9079" xr:uid="{9A48F6E1-8907-40B0-B4E6-ED443A12EFB9}"/>
    <cellStyle name="Percent 3 9 15 12" xfId="9077" xr:uid="{0753726A-5945-48FE-AAA1-F7BD8FEE89B4}"/>
    <cellStyle name="Percent 3 9 15 2" xfId="9080" xr:uid="{E4375143-1012-4B12-BC56-1A50D140C0CA}"/>
    <cellStyle name="Percent 3 9 15 2 2" xfId="9081" xr:uid="{3D95C21F-77F6-47C4-A29F-38F591422554}"/>
    <cellStyle name="Percent 3 9 15 2 2 2" xfId="9082" xr:uid="{CF9D2C05-5B3E-4694-9A06-5658069A0677}"/>
    <cellStyle name="Percent 3 9 15 2 3" xfId="9083" xr:uid="{67F23699-B967-4A97-8B9F-CEBDF5AB6A9A}"/>
    <cellStyle name="Percent 3 9 15 2 3 2" xfId="9084" xr:uid="{D90B6E1C-0AEB-4D75-B980-2B79DBFCCFBE}"/>
    <cellStyle name="Percent 3 9 15 2 4" xfId="9085" xr:uid="{5D5C466A-4A94-4EA2-B895-25C3868F0BA8}"/>
    <cellStyle name="Percent 3 9 15 2 5" xfId="9086" xr:uid="{C60AC3A4-40A5-42C8-965B-B8579DD51690}"/>
    <cellStyle name="Percent 3 9 15 3" xfId="9087" xr:uid="{47776E91-F96A-4214-A310-AD1D6C7C56FF}"/>
    <cellStyle name="Percent 3 9 15 3 2" xfId="9088" xr:uid="{0CA82764-AAB3-4D58-83B9-10AECFC7AA25}"/>
    <cellStyle name="Percent 3 9 15 3 2 2" xfId="9089" xr:uid="{31AC5C1E-EDD0-4AF4-B1E5-191B1B5DF132}"/>
    <cellStyle name="Percent 3 9 15 3 3" xfId="9090" xr:uid="{B943FBBA-504F-41AF-959B-734930A44167}"/>
    <cellStyle name="Percent 3 9 15 3 3 2" xfId="9091" xr:uid="{F5D4342D-C748-457B-AEAA-5B3E5A0B5418}"/>
    <cellStyle name="Percent 3 9 15 3 4" xfId="9092" xr:uid="{1D1535F6-94AA-482A-9246-665A7FA9535D}"/>
    <cellStyle name="Percent 3 9 15 4" xfId="9093" xr:uid="{40507AC6-5CCB-41D3-95D0-8F896BBDC461}"/>
    <cellStyle name="Percent 3 9 15 4 2" xfId="9094" xr:uid="{05CF83D4-EAE3-4EA0-9838-56ABDE47C70C}"/>
    <cellStyle name="Percent 3 9 15 4 2 2" xfId="9095" xr:uid="{0C7E2FD4-C037-43C8-9A08-A8B77FDE1308}"/>
    <cellStyle name="Percent 3 9 15 4 3" xfId="9096" xr:uid="{43403550-6935-4899-A7CA-F694CA9E0896}"/>
    <cellStyle name="Percent 3 9 15 4 3 2" xfId="9097" xr:uid="{9D938214-5711-48C6-A2B9-DAB4C80E23C1}"/>
    <cellStyle name="Percent 3 9 15 4 4" xfId="9098" xr:uid="{A196FEF9-7A2B-4981-9C94-28569274630B}"/>
    <cellStyle name="Percent 3 9 15 5" xfId="9099" xr:uid="{B1FA1242-D648-45C5-ADE0-76224850F303}"/>
    <cellStyle name="Percent 3 9 15 5 2" xfId="9100" xr:uid="{4AA99723-60E0-4A91-B74C-A528177175DB}"/>
    <cellStyle name="Percent 3 9 15 5 2 2" xfId="9101" xr:uid="{B76D0DD4-8C7E-4DD5-A49E-68B2CEC70AE5}"/>
    <cellStyle name="Percent 3 9 15 5 3" xfId="9102" xr:uid="{43D0B597-3F58-4ED1-8E1A-14DBA80C88AC}"/>
    <cellStyle name="Percent 3 9 15 5 3 2" xfId="9103" xr:uid="{A0261DB4-763D-48B9-B912-9526AEC07F2A}"/>
    <cellStyle name="Percent 3 9 15 5 4" xfId="9104" xr:uid="{BB0D3B30-CC4B-471D-8DC4-13901DFF069C}"/>
    <cellStyle name="Percent 3 9 15 5 4 2" xfId="9105" xr:uid="{84EDDB83-811D-49B9-A90B-46CE638C38F0}"/>
    <cellStyle name="Percent 3 9 15 5 5" xfId="9106" xr:uid="{CD16AC28-45ED-4997-85E7-1C1096C7D8E7}"/>
    <cellStyle name="Percent 3 9 15 6" xfId="9107" xr:uid="{4B2B54FC-6A71-4A69-86D9-567656D28F18}"/>
    <cellStyle name="Percent 3 9 15 6 2" xfId="9108" xr:uid="{9AA0EC14-3A37-4DF7-A85A-6B81EBAC58C7}"/>
    <cellStyle name="Percent 3 9 15 6 2 2" xfId="9109" xr:uid="{DE0446C9-EF7B-404A-86E6-7FBEF83C1F1F}"/>
    <cellStyle name="Percent 3 9 15 6 3" xfId="9110" xr:uid="{53AA1712-F09D-45ED-8932-1907588A4A89}"/>
    <cellStyle name="Percent 3 9 15 6 3 2" xfId="9111" xr:uid="{1C786591-64D6-4450-BDCA-7CC08563F204}"/>
    <cellStyle name="Percent 3 9 15 6 4" xfId="9112" xr:uid="{F2568A82-45E2-480B-A73A-4CE2470C8FA0}"/>
    <cellStyle name="Percent 3 9 15 7" xfId="9113" xr:uid="{AE47E999-C841-4A37-AFA5-26AA203CC6BC}"/>
    <cellStyle name="Percent 3 9 15 7 2" xfId="9114" xr:uid="{16CB14CA-DD4B-4EB3-8492-57CA53C90684}"/>
    <cellStyle name="Percent 3 9 15 8" xfId="9115" xr:uid="{80D46738-7E47-45DF-8551-3266DB016FC2}"/>
    <cellStyle name="Percent 3 9 15 8 2" xfId="9116" xr:uid="{76DA3950-EE1C-476D-B7CC-089A3E6C3E78}"/>
    <cellStyle name="Percent 3 9 15 9" xfId="9117" xr:uid="{F43B9EAE-679C-4598-A225-34871CF542B5}"/>
    <cellStyle name="Percent 3 9 15 9 2" xfId="9118" xr:uid="{17D3ADD5-0EFD-4A02-B8E6-A71E7D859E0F}"/>
    <cellStyle name="Percent 3 9 16" xfId="9119" xr:uid="{05B90431-BF3F-4E69-8671-7D4170EA7F6F}"/>
    <cellStyle name="Percent 3 9 16 2" xfId="9120" xr:uid="{AA0DC508-D72D-4797-8E82-82A909347A53}"/>
    <cellStyle name="Percent 3 9 16 2 2" xfId="9121" xr:uid="{154D77EF-E658-4FEE-A9F1-E01F6B194474}"/>
    <cellStyle name="Percent 3 9 16 3" xfId="9122" xr:uid="{748B4A85-6EB0-48F1-9A92-D601B5B1DC41}"/>
    <cellStyle name="Percent 3 9 16 3 2" xfId="9123" xr:uid="{8284C44D-86FB-48E8-8FCB-4F9CE1ABE207}"/>
    <cellStyle name="Percent 3 9 16 4" xfId="9124" xr:uid="{CC0750F1-CB06-4D1C-9FFE-E80E2B576201}"/>
    <cellStyle name="Percent 3 9 16 5" xfId="9125" xr:uid="{234C8B24-6DE1-4CEE-B59F-C989FCF78ED3}"/>
    <cellStyle name="Percent 3 9 17" xfId="9126" xr:uid="{28FFFFE3-5743-4E89-9D2E-C3F80A0F8382}"/>
    <cellStyle name="Percent 3 9 17 2" xfId="9127" xr:uid="{1E9F8C3C-D9E5-48C0-ABF3-7B4D6A3F7E42}"/>
    <cellStyle name="Percent 3 9 17 2 2" xfId="9128" xr:uid="{DB6ED22A-8318-4F60-AD7A-B90A5A10A01C}"/>
    <cellStyle name="Percent 3 9 17 3" xfId="9129" xr:uid="{2946EB28-C43A-4D6A-BAC6-BBF8A07C5974}"/>
    <cellStyle name="Percent 3 9 17 3 2" xfId="9130" xr:uid="{52F1C235-056F-49D6-9290-7308DA45D1A3}"/>
    <cellStyle name="Percent 3 9 17 4" xfId="9131" xr:uid="{E85AABC4-4C85-4682-8453-30E307791E22}"/>
    <cellStyle name="Percent 3 9 18" xfId="9132" xr:uid="{2CE27E78-39B7-4491-8AD3-F75F8D28FE99}"/>
    <cellStyle name="Percent 3 9 18 2" xfId="9133" xr:uid="{0D0D459E-585B-40C3-A54C-F7B4921EF222}"/>
    <cellStyle name="Percent 3 9 18 2 2" xfId="9134" xr:uid="{111B3F5D-7833-442F-B4F7-2BFF4379ECDE}"/>
    <cellStyle name="Percent 3 9 18 3" xfId="9135" xr:uid="{A0B8B911-36B1-4CAA-9066-494F149214AE}"/>
    <cellStyle name="Percent 3 9 18 3 2" xfId="9136" xr:uid="{ED713A5D-7D21-4D29-8738-8B60EDF1CAF3}"/>
    <cellStyle name="Percent 3 9 18 4" xfId="9137" xr:uid="{CBFD4E1B-BAE6-4DCD-BC18-3B6078BC2A25}"/>
    <cellStyle name="Percent 3 9 19" xfId="9138" xr:uid="{45328DB6-7350-4F2E-BF55-A5792A4A86F2}"/>
    <cellStyle name="Percent 3 9 19 2" xfId="9139" xr:uid="{46EB3942-2A7B-40F0-AADD-B7187ACC0FCB}"/>
    <cellStyle name="Percent 3 9 19 2 2" xfId="9140" xr:uid="{E3C87F75-F169-4558-AFDF-447B948CD009}"/>
    <cellStyle name="Percent 3 9 19 3" xfId="9141" xr:uid="{13A41519-0884-4399-A03B-B5FB55EDA9DB}"/>
    <cellStyle name="Percent 3 9 19 3 2" xfId="9142" xr:uid="{999A9472-0B3D-4928-BDAA-B814C10CC42C}"/>
    <cellStyle name="Percent 3 9 19 4" xfId="9143" xr:uid="{8629B727-FC7C-4ECF-BE9A-5DAFEA16BB0A}"/>
    <cellStyle name="Percent 3 9 19 4 2" xfId="9144" xr:uid="{E3BFFCF2-0FAA-44E7-B690-B464CB587CF9}"/>
    <cellStyle name="Percent 3 9 19 5" xfId="9145" xr:uid="{CDAECC32-2A12-429C-9CB4-66604C52E3E9}"/>
    <cellStyle name="Percent 3 9 2" xfId="2969" xr:uid="{C524DA1A-20A7-4AD5-A1E0-67A6E21BCFA1}"/>
    <cellStyle name="Percent 3 9 2 10" xfId="9147" xr:uid="{2D2FAD7C-763E-4A49-BD97-987D0E1093CE}"/>
    <cellStyle name="Percent 3 9 2 11" xfId="9148" xr:uid="{4A78C9A0-694B-4BBF-AA82-0B697A62CD3E}"/>
    <cellStyle name="Percent 3 9 2 12" xfId="9146" xr:uid="{83C1ACBB-2A7D-4C23-9DF2-FCD731158379}"/>
    <cellStyle name="Percent 3 9 2 2" xfId="9149" xr:uid="{B2122CD5-B01E-4B66-948E-6B134793DC37}"/>
    <cellStyle name="Percent 3 9 2 2 2" xfId="9150" xr:uid="{CF6EDDEB-C1F5-4C45-8618-EBB20FF5C51C}"/>
    <cellStyle name="Percent 3 9 2 2 2 2" xfId="9151" xr:uid="{C0DCA0DC-F33D-4E75-A7E2-A9D318D727D7}"/>
    <cellStyle name="Percent 3 9 2 2 3" xfId="9152" xr:uid="{56750D96-E50F-4088-ACBC-B6574509DBF4}"/>
    <cellStyle name="Percent 3 9 2 2 3 2" xfId="9153" xr:uid="{9D7815A3-E19D-4B24-8415-8CC2DB25E60D}"/>
    <cellStyle name="Percent 3 9 2 2 4" xfId="9154" xr:uid="{5AC37F3F-E710-4EA1-B8F5-A7C59B6B87B6}"/>
    <cellStyle name="Percent 3 9 2 2 5" xfId="9155" xr:uid="{151E02C0-4143-4CEE-9B4E-E93564C6D46F}"/>
    <cellStyle name="Percent 3 9 2 3" xfId="9156" xr:uid="{0E021C2A-AF7D-469B-ACCC-11C81030697B}"/>
    <cellStyle name="Percent 3 9 2 3 2" xfId="9157" xr:uid="{36F4EF6D-888B-4567-BD0B-4D707A2081CE}"/>
    <cellStyle name="Percent 3 9 2 3 2 2" xfId="9158" xr:uid="{3D96067D-A22B-4AB2-8D30-1A54F92F7403}"/>
    <cellStyle name="Percent 3 9 2 3 3" xfId="9159" xr:uid="{AA0B0049-7C1D-4710-9AF5-9C6298A217AC}"/>
    <cellStyle name="Percent 3 9 2 3 3 2" xfId="9160" xr:uid="{0EB8D93B-4AC7-43DF-9A35-A9EA655F4373}"/>
    <cellStyle name="Percent 3 9 2 3 4" xfId="9161" xr:uid="{555E74D6-7E32-4F49-BBC0-C571C3EDC1C4}"/>
    <cellStyle name="Percent 3 9 2 4" xfId="9162" xr:uid="{897366E0-953D-4648-A6E6-BFBB14DC1EF1}"/>
    <cellStyle name="Percent 3 9 2 4 2" xfId="9163" xr:uid="{66527BBA-6B2B-449C-97CF-20A97D5EC0F2}"/>
    <cellStyle name="Percent 3 9 2 4 2 2" xfId="9164" xr:uid="{5FD148BD-DFA3-48B2-87E6-6A0237BE13E5}"/>
    <cellStyle name="Percent 3 9 2 4 3" xfId="9165" xr:uid="{9DCE5BE2-976E-4BA1-B7B2-336EF800ACAB}"/>
    <cellStyle name="Percent 3 9 2 4 3 2" xfId="9166" xr:uid="{C0383225-DAD8-4E23-8548-7D90B1E32D79}"/>
    <cellStyle name="Percent 3 9 2 4 4" xfId="9167" xr:uid="{14FDAF65-0DED-454E-9CCD-09AA1051D47C}"/>
    <cellStyle name="Percent 3 9 2 5" xfId="9168" xr:uid="{2D8E63D3-8D7F-445A-BC03-9FDE77F33441}"/>
    <cellStyle name="Percent 3 9 2 5 2" xfId="9169" xr:uid="{6CE8C84D-7309-450D-B039-C75E12E1D715}"/>
    <cellStyle name="Percent 3 9 2 5 2 2" xfId="9170" xr:uid="{B79FE7F1-E9F2-4B5F-9C2D-4598A6FB6417}"/>
    <cellStyle name="Percent 3 9 2 5 3" xfId="9171" xr:uid="{BDD6725F-359C-4783-843A-8D9E17B26361}"/>
    <cellStyle name="Percent 3 9 2 5 3 2" xfId="9172" xr:uid="{2F8E140A-5A75-4D27-B1D6-60735F0AD0A5}"/>
    <cellStyle name="Percent 3 9 2 5 4" xfId="9173" xr:uid="{47BB7EF3-26B5-4619-AD39-FD01E6B3E34B}"/>
    <cellStyle name="Percent 3 9 2 5 4 2" xfId="9174" xr:uid="{587E9F45-9C6C-4AF8-BB28-03E8C293D70F}"/>
    <cellStyle name="Percent 3 9 2 5 5" xfId="9175" xr:uid="{C069CC61-8ED6-4AB3-BB82-5FA3CF9E4940}"/>
    <cellStyle name="Percent 3 9 2 6" xfId="9176" xr:uid="{12E379E0-61BB-475A-942E-F16976F8DBAF}"/>
    <cellStyle name="Percent 3 9 2 6 2" xfId="9177" xr:uid="{74397DDD-2E71-4D93-A083-B3A17F711FAE}"/>
    <cellStyle name="Percent 3 9 2 6 2 2" xfId="9178" xr:uid="{319DC87B-42DA-488A-8FA7-577BBF3AA72F}"/>
    <cellStyle name="Percent 3 9 2 6 3" xfId="9179" xr:uid="{DDFA9358-8D7D-4979-B1B0-CDF504919D10}"/>
    <cellStyle name="Percent 3 9 2 6 3 2" xfId="9180" xr:uid="{D6CF4599-74A3-48D2-B431-1FC7678D1D60}"/>
    <cellStyle name="Percent 3 9 2 6 4" xfId="9181" xr:uid="{8FA06A22-30DD-42D1-8490-00AE8347E7E9}"/>
    <cellStyle name="Percent 3 9 2 7" xfId="9182" xr:uid="{98A833D5-0FD3-47AD-BBCB-F0616816AC61}"/>
    <cellStyle name="Percent 3 9 2 7 2" xfId="9183" xr:uid="{E43E6C7D-7C75-48DA-A16F-D5E3A5C99A93}"/>
    <cellStyle name="Percent 3 9 2 8" xfId="9184" xr:uid="{0D48BA7B-46BA-4963-84C6-29F9D1634AC5}"/>
    <cellStyle name="Percent 3 9 2 8 2" xfId="9185" xr:uid="{DE2AF0A6-E10B-4EF2-B9A9-3E6E1E536F76}"/>
    <cellStyle name="Percent 3 9 2 9" xfId="9186" xr:uid="{9BE2B949-6842-4019-B747-B327BAC063DB}"/>
    <cellStyle name="Percent 3 9 2 9 2" xfId="9187" xr:uid="{436BAC07-573A-4EAD-8796-17C0BDDDFE57}"/>
    <cellStyle name="Percent 3 9 20" xfId="9188" xr:uid="{0D1E0D70-58BF-49F6-9A52-2A118569FA1D}"/>
    <cellStyle name="Percent 3 9 20 2" xfId="9189" xr:uid="{E5257E11-127B-418E-946B-2727F94ED01F}"/>
    <cellStyle name="Percent 3 9 20 2 2" xfId="9190" xr:uid="{8082B023-795D-4DC6-9250-9574B0909017}"/>
    <cellStyle name="Percent 3 9 20 3" xfId="9191" xr:uid="{9D92D708-5E80-4548-B8C1-A899D277A0F0}"/>
    <cellStyle name="Percent 3 9 20 3 2" xfId="9192" xr:uid="{C1116DBD-B20A-407A-B8B7-51ECFAF25571}"/>
    <cellStyle name="Percent 3 9 20 4" xfId="9193" xr:uid="{BD22FF91-031F-4933-9273-8112D757B7B6}"/>
    <cellStyle name="Percent 3 9 21" xfId="9194" xr:uid="{D55A4474-C876-4A34-B6FA-0D840724D014}"/>
    <cellStyle name="Percent 3 9 21 2" xfId="9195" xr:uid="{652DDE12-40E7-4EC1-8EAA-3C094C7AAB98}"/>
    <cellStyle name="Percent 3 9 22" xfId="9196" xr:uid="{38AF3BC5-26E2-404F-AAE8-EA8A86E6BBEA}"/>
    <cellStyle name="Percent 3 9 22 2" xfId="9197" xr:uid="{F35AA3F8-1B65-4BF6-B634-7D951350D9D1}"/>
    <cellStyle name="Percent 3 9 23" xfId="9198" xr:uid="{9294CF45-FA19-4B4B-BF74-2423002320F2}"/>
    <cellStyle name="Percent 3 9 23 2" xfId="9199" xr:uid="{4D95CCFF-9870-444F-B39D-ADB1147C6985}"/>
    <cellStyle name="Percent 3 9 24" xfId="9200" xr:uid="{EE6C7F27-55CD-4317-9BAA-2315023F0159}"/>
    <cellStyle name="Percent 3 9 25" xfId="9201" xr:uid="{8F090E6E-DAD4-4FDD-8CE3-B3EDB464D141}"/>
    <cellStyle name="Percent 3 9 26" xfId="8866" xr:uid="{5E5CC6A7-3F0E-4A1D-A8C5-C78EE680F2AE}"/>
    <cellStyle name="Percent 3 9 3" xfId="2970" xr:uid="{806C1976-A72C-4ABF-A8B3-990E74BDB5FF}"/>
    <cellStyle name="Percent 3 9 3 10" xfId="9203" xr:uid="{751C9C46-F26D-472E-B2F5-5612D1403B1B}"/>
    <cellStyle name="Percent 3 9 3 11" xfId="9204" xr:uid="{A7F71EED-9506-447E-9E3E-CB262FE8C77E}"/>
    <cellStyle name="Percent 3 9 3 12" xfId="9202" xr:uid="{D79133F3-1759-45AA-8A28-9AA46F450F1E}"/>
    <cellStyle name="Percent 3 9 3 2" xfId="9205" xr:uid="{B2F392C4-F28E-430C-A9BB-C9CE88416EE8}"/>
    <cellStyle name="Percent 3 9 3 2 2" xfId="9206" xr:uid="{1CB2A622-4C7A-4294-BAB7-7FC776AE573F}"/>
    <cellStyle name="Percent 3 9 3 2 2 2" xfId="9207" xr:uid="{08AFDD6D-817C-4C1D-A2EF-192F829BA0CC}"/>
    <cellStyle name="Percent 3 9 3 2 3" xfId="9208" xr:uid="{25B283BF-2141-4756-BB98-9E1015C486B7}"/>
    <cellStyle name="Percent 3 9 3 2 3 2" xfId="9209" xr:uid="{C48CC133-0F05-4BC0-83B6-E0D715B47B90}"/>
    <cellStyle name="Percent 3 9 3 2 4" xfId="9210" xr:uid="{A3B016EB-934B-4611-BDB2-74ECC9F9FFBF}"/>
    <cellStyle name="Percent 3 9 3 2 5" xfId="9211" xr:uid="{2A77CB1D-2504-466D-9F6A-829392D509AB}"/>
    <cellStyle name="Percent 3 9 3 3" xfId="9212" xr:uid="{C9C6EE8A-3F25-4CF2-A2F8-3358B92F8113}"/>
    <cellStyle name="Percent 3 9 3 3 2" xfId="9213" xr:uid="{9C81A1FD-9DFE-4CFB-AAAB-8FBE056CC222}"/>
    <cellStyle name="Percent 3 9 3 3 2 2" xfId="9214" xr:uid="{4379B371-7A21-4EC1-AF74-2BFE5745B969}"/>
    <cellStyle name="Percent 3 9 3 3 3" xfId="9215" xr:uid="{498053A1-A295-4912-B15D-564567A10B9E}"/>
    <cellStyle name="Percent 3 9 3 3 3 2" xfId="9216" xr:uid="{0A62E7C3-3044-4A8E-A975-98E81402DF38}"/>
    <cellStyle name="Percent 3 9 3 3 4" xfId="9217" xr:uid="{18215A19-1095-4BD8-A83C-E0FCBFDD37D7}"/>
    <cellStyle name="Percent 3 9 3 4" xfId="9218" xr:uid="{8202EE58-4F27-4946-AF2C-153E83831B44}"/>
    <cellStyle name="Percent 3 9 3 4 2" xfId="9219" xr:uid="{47E2A168-886A-4B3B-9E35-D154FB376B4F}"/>
    <cellStyle name="Percent 3 9 3 4 2 2" xfId="9220" xr:uid="{5A6197D5-C925-40D2-9F82-15DF5CA6FF97}"/>
    <cellStyle name="Percent 3 9 3 4 3" xfId="9221" xr:uid="{2A5E417E-1B71-48BF-871B-136CC26B856F}"/>
    <cellStyle name="Percent 3 9 3 4 3 2" xfId="9222" xr:uid="{F2A25C15-9F0C-4DF2-B369-1D41F8E3A974}"/>
    <cellStyle name="Percent 3 9 3 4 4" xfId="9223" xr:uid="{63442E7D-CF5C-4EA0-BC84-5FC98A6ECAFA}"/>
    <cellStyle name="Percent 3 9 3 5" xfId="9224" xr:uid="{8EA753B1-263E-48C5-AEC2-D755D71641B6}"/>
    <cellStyle name="Percent 3 9 3 5 2" xfId="9225" xr:uid="{FF0E6D0E-3FDB-40A6-9E77-FFBE5C33CC6E}"/>
    <cellStyle name="Percent 3 9 3 5 2 2" xfId="9226" xr:uid="{C6D79A1C-93C4-4E0A-A85F-F2530C162243}"/>
    <cellStyle name="Percent 3 9 3 5 3" xfId="9227" xr:uid="{9DB63E3B-D96F-4534-ADAC-9F6DC8FA3D05}"/>
    <cellStyle name="Percent 3 9 3 5 3 2" xfId="9228" xr:uid="{3E8BB2B2-07A3-4256-94A6-5D00B01F0FE9}"/>
    <cellStyle name="Percent 3 9 3 5 4" xfId="9229" xr:uid="{6E595191-AE86-4D09-B05E-7B483A1FF1B9}"/>
    <cellStyle name="Percent 3 9 3 5 4 2" xfId="9230" xr:uid="{F37E8B72-0A01-4A02-B9FE-177D2DF69A0E}"/>
    <cellStyle name="Percent 3 9 3 5 5" xfId="9231" xr:uid="{3E7CE30E-14BA-470A-AA20-52E7DDA28F71}"/>
    <cellStyle name="Percent 3 9 3 6" xfId="9232" xr:uid="{567191B9-C42A-490E-A23A-A7942E05E2C1}"/>
    <cellStyle name="Percent 3 9 3 6 2" xfId="9233" xr:uid="{28D3F969-26B8-4B67-B52D-736584690AED}"/>
    <cellStyle name="Percent 3 9 3 6 2 2" xfId="9234" xr:uid="{E84351DC-0B82-4A64-920A-68A6C1F9434C}"/>
    <cellStyle name="Percent 3 9 3 6 3" xfId="9235" xr:uid="{A222CF8F-C957-43E9-B81B-E0E294DB3089}"/>
    <cellStyle name="Percent 3 9 3 6 3 2" xfId="9236" xr:uid="{1A5FDF34-CB6C-4641-BD5F-4F6E4694BE86}"/>
    <cellStyle name="Percent 3 9 3 6 4" xfId="9237" xr:uid="{012C47FC-9978-4562-9EBD-53256DA9E330}"/>
    <cellStyle name="Percent 3 9 3 7" xfId="9238" xr:uid="{E598331D-626A-4A7F-B429-2E9DB67E6B8F}"/>
    <cellStyle name="Percent 3 9 3 7 2" xfId="9239" xr:uid="{0DC0CAB1-A7D0-415B-A3A2-84E7E26A7749}"/>
    <cellStyle name="Percent 3 9 3 8" xfId="9240" xr:uid="{06BA478F-67FC-4D45-ACCE-675E4FFBD9D5}"/>
    <cellStyle name="Percent 3 9 3 8 2" xfId="9241" xr:uid="{BC1DC540-9A16-425D-ABA5-BE2A35CCC3A3}"/>
    <cellStyle name="Percent 3 9 3 9" xfId="9242" xr:uid="{BABCD9B4-41CB-4D29-ADC0-09AA04B3B3A4}"/>
    <cellStyle name="Percent 3 9 3 9 2" xfId="9243" xr:uid="{45CCC3AC-D0DD-4A88-A24A-3A8F7B0C29EF}"/>
    <cellStyle name="Percent 3 9 4" xfId="2971" xr:uid="{4F65B3E7-871D-4505-872A-85E691646672}"/>
    <cellStyle name="Percent 3 9 4 10" xfId="9245" xr:uid="{10B757CB-DECA-4B5A-A074-84F1EBD6DF16}"/>
    <cellStyle name="Percent 3 9 4 11" xfId="9246" xr:uid="{A0E0BE4F-AACD-4519-BE24-7FF86D2D88BB}"/>
    <cellStyle name="Percent 3 9 4 12" xfId="9244" xr:uid="{17E9219C-0F03-421B-82D7-75387CA785EB}"/>
    <cellStyle name="Percent 3 9 4 2" xfId="9247" xr:uid="{ABCC9D2B-769F-4A7A-A576-3CA8842ED6F7}"/>
    <cellStyle name="Percent 3 9 4 2 2" xfId="9248" xr:uid="{B55A6A4C-C456-44F3-BCB8-F1DC39DAE171}"/>
    <cellStyle name="Percent 3 9 4 2 2 2" xfId="9249" xr:uid="{8DC7A011-629E-4747-BEB5-310225BDD3E1}"/>
    <cellStyle name="Percent 3 9 4 2 3" xfId="9250" xr:uid="{9D3D1006-5AFB-475F-BBEC-A34493FA216A}"/>
    <cellStyle name="Percent 3 9 4 2 3 2" xfId="9251" xr:uid="{D615D8A6-2417-4FB0-AA85-152EA6503D6E}"/>
    <cellStyle name="Percent 3 9 4 2 4" xfId="9252" xr:uid="{0C2B935D-DCD4-4172-A35F-758CB406A5D5}"/>
    <cellStyle name="Percent 3 9 4 2 5" xfId="9253" xr:uid="{85A9D4A1-32BB-4535-A184-C77609C1CC9C}"/>
    <cellStyle name="Percent 3 9 4 3" xfId="9254" xr:uid="{6F3D580B-AA57-48CD-BB2A-078371B6EA8A}"/>
    <cellStyle name="Percent 3 9 4 3 2" xfId="9255" xr:uid="{B6D355DC-1687-49D4-8F82-5E3B8C62D248}"/>
    <cellStyle name="Percent 3 9 4 3 2 2" xfId="9256" xr:uid="{21A83B05-5B77-4A2E-8880-41D821EE966C}"/>
    <cellStyle name="Percent 3 9 4 3 3" xfId="9257" xr:uid="{D4615C5A-42D7-46D2-8146-CB13CEBE5B9F}"/>
    <cellStyle name="Percent 3 9 4 3 3 2" xfId="9258" xr:uid="{7958CFA7-BC82-48A8-A38C-9AB2F83E0E72}"/>
    <cellStyle name="Percent 3 9 4 3 4" xfId="9259" xr:uid="{7339F87B-1FB5-4D65-9FA8-354A79CFE818}"/>
    <cellStyle name="Percent 3 9 4 4" xfId="9260" xr:uid="{8373014E-B955-4265-B701-C75D12917CC7}"/>
    <cellStyle name="Percent 3 9 4 4 2" xfId="9261" xr:uid="{E21FBD48-3B54-4BBA-83C9-E261880DD773}"/>
    <cellStyle name="Percent 3 9 4 4 2 2" xfId="9262" xr:uid="{D3335DCD-6958-4051-8D80-1954EEEC790A}"/>
    <cellStyle name="Percent 3 9 4 4 3" xfId="9263" xr:uid="{BF2A5ED5-BC71-46D0-9826-0649899231EC}"/>
    <cellStyle name="Percent 3 9 4 4 3 2" xfId="9264" xr:uid="{39310C4D-D776-4608-95F9-D2C7CCE28858}"/>
    <cellStyle name="Percent 3 9 4 4 4" xfId="9265" xr:uid="{40F33F5F-FD9E-4B22-91A4-33C370B126E9}"/>
    <cellStyle name="Percent 3 9 4 5" xfId="9266" xr:uid="{6B96A690-544C-458A-8560-F51BF8240F7E}"/>
    <cellStyle name="Percent 3 9 4 5 2" xfId="9267" xr:uid="{CAE62954-4009-42EF-B693-AA6C9D68C3C3}"/>
    <cellStyle name="Percent 3 9 4 5 2 2" xfId="9268" xr:uid="{33208E27-443C-470F-B4CD-E3760EAD3B08}"/>
    <cellStyle name="Percent 3 9 4 5 3" xfId="9269" xr:uid="{40CAFC2B-1F62-4B7B-BFFB-99CDDFEF3701}"/>
    <cellStyle name="Percent 3 9 4 5 3 2" xfId="9270" xr:uid="{EB1660EB-EC19-49C1-97A3-766220ABEA0F}"/>
    <cellStyle name="Percent 3 9 4 5 4" xfId="9271" xr:uid="{BF7C5AE7-0274-46AD-BB75-FC76E3C54BD2}"/>
    <cellStyle name="Percent 3 9 4 5 4 2" xfId="9272" xr:uid="{C63A1552-C347-4B13-8332-176351ECBEC6}"/>
    <cellStyle name="Percent 3 9 4 5 5" xfId="9273" xr:uid="{7E970F95-AFDC-4494-B325-7148BA57A0CC}"/>
    <cellStyle name="Percent 3 9 4 6" xfId="9274" xr:uid="{73CF22B3-1B79-4786-8A6B-258A6018F6E1}"/>
    <cellStyle name="Percent 3 9 4 6 2" xfId="9275" xr:uid="{1BC4015B-D439-413F-B7E8-F1B9A365D48A}"/>
    <cellStyle name="Percent 3 9 4 6 2 2" xfId="9276" xr:uid="{85527727-087B-428D-A8CB-AD1AC1A9B312}"/>
    <cellStyle name="Percent 3 9 4 6 3" xfId="9277" xr:uid="{79C663B1-A11C-4B4E-AE78-BFED401C86CF}"/>
    <cellStyle name="Percent 3 9 4 6 3 2" xfId="9278" xr:uid="{95EC8F0B-5F4D-4D97-811D-2E0D8DCE0F1B}"/>
    <cellStyle name="Percent 3 9 4 6 4" xfId="9279" xr:uid="{7E49A701-7E8D-4A60-A67D-E03815E7A34A}"/>
    <cellStyle name="Percent 3 9 4 7" xfId="9280" xr:uid="{DB9599A1-76D0-445D-8B7E-DCE27EB726B9}"/>
    <cellStyle name="Percent 3 9 4 7 2" xfId="9281" xr:uid="{12A57A3D-9491-4361-8B68-2942E6EDDD39}"/>
    <cellStyle name="Percent 3 9 4 8" xfId="9282" xr:uid="{2DD42F12-AF6A-4968-A1C6-347B3B359FF2}"/>
    <cellStyle name="Percent 3 9 4 8 2" xfId="9283" xr:uid="{0B267CCF-E169-418C-92F8-B4518FA33D0D}"/>
    <cellStyle name="Percent 3 9 4 9" xfId="9284" xr:uid="{56D1C299-D6BC-4990-BEA0-80E742A5705E}"/>
    <cellStyle name="Percent 3 9 4 9 2" xfId="9285" xr:uid="{5C43C069-2AD2-4C5E-AAD2-C1D4C780D10E}"/>
    <cellStyle name="Percent 3 9 5" xfId="2972" xr:uid="{D5F07669-DFE7-4C02-A791-0E14176A16FB}"/>
    <cellStyle name="Percent 3 9 5 10" xfId="9287" xr:uid="{059D865F-F51A-4AA3-BE49-1126AC27E5E2}"/>
    <cellStyle name="Percent 3 9 5 11" xfId="9288" xr:uid="{CEFA46E0-1CF0-4A6F-A5B2-FA1CC0E98EE0}"/>
    <cellStyle name="Percent 3 9 5 12" xfId="9286" xr:uid="{4A70C07E-D260-441F-8632-6B7BE2D6C3B0}"/>
    <cellStyle name="Percent 3 9 5 2" xfId="9289" xr:uid="{BC44036D-C494-491E-8E91-341A94F64E06}"/>
    <cellStyle name="Percent 3 9 5 2 2" xfId="9290" xr:uid="{51F0D105-BBDD-41BC-BB9D-717AD36DBC16}"/>
    <cellStyle name="Percent 3 9 5 2 2 2" xfId="9291" xr:uid="{7C15AE2B-2B7C-4AC8-A159-A1922E5DF493}"/>
    <cellStyle name="Percent 3 9 5 2 3" xfId="9292" xr:uid="{BE6F671E-4176-4503-B0EC-4EE7C3FAE8E5}"/>
    <cellStyle name="Percent 3 9 5 2 3 2" xfId="9293" xr:uid="{3F9FDDBE-08C6-4465-AB68-6F040726ACB7}"/>
    <cellStyle name="Percent 3 9 5 2 4" xfId="9294" xr:uid="{5EA01D55-F9C1-4395-8199-942ECA1A1A43}"/>
    <cellStyle name="Percent 3 9 5 2 5" xfId="9295" xr:uid="{BC815F23-1571-4494-969D-04FE1C1FDF9A}"/>
    <cellStyle name="Percent 3 9 5 3" xfId="9296" xr:uid="{1D36D57D-CB12-4FC8-963A-E1DE790EC320}"/>
    <cellStyle name="Percent 3 9 5 3 2" xfId="9297" xr:uid="{A36020FD-D6BE-4FC5-9E13-4D91B885561E}"/>
    <cellStyle name="Percent 3 9 5 3 2 2" xfId="9298" xr:uid="{4CA2B631-833F-4AB5-BEFA-A15C1061AA9E}"/>
    <cellStyle name="Percent 3 9 5 3 3" xfId="9299" xr:uid="{5509F6B3-EF05-4053-8F17-C6DCD8E17BA7}"/>
    <cellStyle name="Percent 3 9 5 3 3 2" xfId="9300" xr:uid="{45D44866-238F-4B94-93D3-E2BBD8CD53BD}"/>
    <cellStyle name="Percent 3 9 5 3 4" xfId="9301" xr:uid="{8AC36EA0-3F8B-4091-9F94-BCC43AF4B2DF}"/>
    <cellStyle name="Percent 3 9 5 4" xfId="9302" xr:uid="{FEC4C1FA-CE23-4E97-96C6-DAB16C243E46}"/>
    <cellStyle name="Percent 3 9 5 4 2" xfId="9303" xr:uid="{6FCE4BC3-5B3E-4114-BB46-9CFAB3F65D2B}"/>
    <cellStyle name="Percent 3 9 5 4 2 2" xfId="9304" xr:uid="{727B0A8F-EBD4-4C29-AC91-D1A64CC71BE1}"/>
    <cellStyle name="Percent 3 9 5 4 3" xfId="9305" xr:uid="{B5D45ADC-6040-432C-8485-8954E994846D}"/>
    <cellStyle name="Percent 3 9 5 4 3 2" xfId="9306" xr:uid="{0A48109E-777B-412F-9268-99F11F90DFC1}"/>
    <cellStyle name="Percent 3 9 5 4 4" xfId="9307" xr:uid="{477DFA55-A62E-4480-8751-6592A4D3AC80}"/>
    <cellStyle name="Percent 3 9 5 5" xfId="9308" xr:uid="{2A712379-56A9-4D19-9F92-CEC09F5BB14C}"/>
    <cellStyle name="Percent 3 9 5 5 2" xfId="9309" xr:uid="{0F8E1B0E-8B50-4932-A27D-37FFA7A03AA4}"/>
    <cellStyle name="Percent 3 9 5 5 2 2" xfId="9310" xr:uid="{5DC9D590-9F98-4395-96D8-707EC1D93C9C}"/>
    <cellStyle name="Percent 3 9 5 5 3" xfId="9311" xr:uid="{50E9398F-20EB-4DD4-A0F9-947009DE2BF7}"/>
    <cellStyle name="Percent 3 9 5 5 3 2" xfId="9312" xr:uid="{DF90EEFA-3AF4-422F-AEE2-72C5D8223698}"/>
    <cellStyle name="Percent 3 9 5 5 4" xfId="9313" xr:uid="{D04ABE3E-834D-486C-8E44-DD0B28A917BB}"/>
    <cellStyle name="Percent 3 9 5 5 4 2" xfId="9314" xr:uid="{6EF5957E-46C3-491E-8295-FD6484E7E358}"/>
    <cellStyle name="Percent 3 9 5 5 5" xfId="9315" xr:uid="{D84865FC-6BED-48BF-8625-62A66CFA884C}"/>
    <cellStyle name="Percent 3 9 5 6" xfId="9316" xr:uid="{F2A4ED41-AD3A-4948-912E-74036370F9E4}"/>
    <cellStyle name="Percent 3 9 5 6 2" xfId="9317" xr:uid="{886C8820-12EC-432D-95D7-9F198E9CFD53}"/>
    <cellStyle name="Percent 3 9 5 6 2 2" xfId="9318" xr:uid="{3261C6AE-2D7B-4B27-A9A4-BFEE32AAC96D}"/>
    <cellStyle name="Percent 3 9 5 6 3" xfId="9319" xr:uid="{8E9E513A-E81D-4C0C-82C5-ADF98CA879B7}"/>
    <cellStyle name="Percent 3 9 5 6 3 2" xfId="9320" xr:uid="{EEB63C45-C8C5-4304-8545-CB3F2A8B87FF}"/>
    <cellStyle name="Percent 3 9 5 6 4" xfId="9321" xr:uid="{E8870BA7-7659-4936-A6EF-9D20DE8F3C33}"/>
    <cellStyle name="Percent 3 9 5 7" xfId="9322" xr:uid="{E043ECCF-C5BD-403A-B54E-E9300144CA4E}"/>
    <cellStyle name="Percent 3 9 5 7 2" xfId="9323" xr:uid="{6757613B-696F-4EEB-B819-B2D485EE871D}"/>
    <cellStyle name="Percent 3 9 5 8" xfId="9324" xr:uid="{5126B2F6-2F3C-4361-9AD7-7B41368936D3}"/>
    <cellStyle name="Percent 3 9 5 8 2" xfId="9325" xr:uid="{A99361CE-CB6C-4F8B-B714-0CEB3C4508FB}"/>
    <cellStyle name="Percent 3 9 5 9" xfId="9326" xr:uid="{5A876AD1-99FC-443A-85FF-A22B660E73D5}"/>
    <cellStyle name="Percent 3 9 5 9 2" xfId="9327" xr:uid="{7379008D-8B3E-4C8E-A878-BEED0024BE70}"/>
    <cellStyle name="Percent 3 9 6" xfId="2973" xr:uid="{BE1BBA16-5C76-4308-BA6F-59ED9DE03D5D}"/>
    <cellStyle name="Percent 3 9 6 10" xfId="9329" xr:uid="{05828C9D-F2C0-48C4-9D6F-71CBF0804A53}"/>
    <cellStyle name="Percent 3 9 6 11" xfId="9330" xr:uid="{2FD28683-7414-4DF1-B3A5-DA55AA4DF104}"/>
    <cellStyle name="Percent 3 9 6 12" xfId="9328" xr:uid="{3F2F1E18-3005-4CC2-BB2A-54A1A6928C58}"/>
    <cellStyle name="Percent 3 9 6 2" xfId="9331" xr:uid="{1FB541AC-6CE7-42A4-AEB4-492D7DD384E9}"/>
    <cellStyle name="Percent 3 9 6 2 2" xfId="9332" xr:uid="{AD9F00D2-E17B-411D-86FE-9AB18838E5FF}"/>
    <cellStyle name="Percent 3 9 6 2 2 2" xfId="9333" xr:uid="{9D32269F-FB97-43E2-851E-0DB7EEFA241E}"/>
    <cellStyle name="Percent 3 9 6 2 3" xfId="9334" xr:uid="{6BABAC01-AC31-44DE-A079-D5A9D2CFA1EF}"/>
    <cellStyle name="Percent 3 9 6 2 3 2" xfId="9335" xr:uid="{CE7D32E4-9011-4D1A-BE4A-3509AF1E04D3}"/>
    <cellStyle name="Percent 3 9 6 2 4" xfId="9336" xr:uid="{3A38FD2E-09AC-495D-8594-EE8D126C9936}"/>
    <cellStyle name="Percent 3 9 6 2 5" xfId="9337" xr:uid="{DF3E80D5-B8AA-4A59-A13D-70BACDF5E863}"/>
    <cellStyle name="Percent 3 9 6 3" xfId="9338" xr:uid="{520041C6-F17D-4839-B948-9E40B6966395}"/>
    <cellStyle name="Percent 3 9 6 3 2" xfId="9339" xr:uid="{0FBE207A-0A8E-42C7-9E81-2F35336EA737}"/>
    <cellStyle name="Percent 3 9 6 3 2 2" xfId="9340" xr:uid="{B81577DB-0B05-41FE-91FF-9F6E246AF48B}"/>
    <cellStyle name="Percent 3 9 6 3 3" xfId="9341" xr:uid="{9767D1DA-ACD0-4992-9570-E08E97C210A6}"/>
    <cellStyle name="Percent 3 9 6 3 3 2" xfId="9342" xr:uid="{B86ADF80-0756-4E72-BE44-EE002FF29401}"/>
    <cellStyle name="Percent 3 9 6 3 4" xfId="9343" xr:uid="{13703590-1300-4E89-86C4-01D0A0E7E571}"/>
    <cellStyle name="Percent 3 9 6 4" xfId="9344" xr:uid="{CCC713B8-0962-4271-8B83-4DF306BDFE0E}"/>
    <cellStyle name="Percent 3 9 6 4 2" xfId="9345" xr:uid="{A7A00083-EE1E-4640-A040-63C9C529E918}"/>
    <cellStyle name="Percent 3 9 6 4 2 2" xfId="9346" xr:uid="{C8F14CA3-928E-4842-AC7F-A8E0A7D63D03}"/>
    <cellStyle name="Percent 3 9 6 4 3" xfId="9347" xr:uid="{9C132E7A-96E8-464C-B24C-C7F3B121D818}"/>
    <cellStyle name="Percent 3 9 6 4 3 2" xfId="9348" xr:uid="{98175F5E-B38C-4D5A-B706-B0E05747592F}"/>
    <cellStyle name="Percent 3 9 6 4 4" xfId="9349" xr:uid="{28512F3B-4A50-479E-964D-EB396C082F3D}"/>
    <cellStyle name="Percent 3 9 6 5" xfId="9350" xr:uid="{4ACED859-0CD1-4C54-9FF5-DA2E90E1F77C}"/>
    <cellStyle name="Percent 3 9 6 5 2" xfId="9351" xr:uid="{761071C7-729B-4088-AF08-1DC5FB695F01}"/>
    <cellStyle name="Percent 3 9 6 5 2 2" xfId="9352" xr:uid="{F3637C93-B3F9-4C90-817C-2F46FCE644C3}"/>
    <cellStyle name="Percent 3 9 6 5 3" xfId="9353" xr:uid="{6CDBA4CA-FC0E-4FED-9AB6-8BAF84CDB444}"/>
    <cellStyle name="Percent 3 9 6 5 3 2" xfId="9354" xr:uid="{D3294F66-FD6E-4620-9908-6877DA41758A}"/>
    <cellStyle name="Percent 3 9 6 5 4" xfId="9355" xr:uid="{DCD23EB4-175D-405E-8926-58C75856044B}"/>
    <cellStyle name="Percent 3 9 6 5 4 2" xfId="9356" xr:uid="{E6453BAD-2BC6-41C2-8D09-9F1B6A1F40F4}"/>
    <cellStyle name="Percent 3 9 6 5 5" xfId="9357" xr:uid="{737EBC29-CABF-407E-8055-72D7E4DF0172}"/>
    <cellStyle name="Percent 3 9 6 6" xfId="9358" xr:uid="{11D0FEB6-F534-486D-A0E6-B8945D30F66D}"/>
    <cellStyle name="Percent 3 9 6 6 2" xfId="9359" xr:uid="{4843749E-B526-4706-A33F-3E460421F8C9}"/>
    <cellStyle name="Percent 3 9 6 6 2 2" xfId="9360" xr:uid="{B9FBFC7C-38A4-4BBF-A633-4B0B69BC92CE}"/>
    <cellStyle name="Percent 3 9 6 6 3" xfId="9361" xr:uid="{B05BF9DF-9098-4A5C-BDC7-8A821A6B2E1E}"/>
    <cellStyle name="Percent 3 9 6 6 3 2" xfId="9362" xr:uid="{7C7E64C8-E2E2-4095-B83F-E8BE402A4B18}"/>
    <cellStyle name="Percent 3 9 6 6 4" xfId="9363" xr:uid="{2BD548E2-14EC-4018-BA49-ED0BCE4B2CCE}"/>
    <cellStyle name="Percent 3 9 6 7" xfId="9364" xr:uid="{E2548025-B040-4D57-8EC0-C1A9DA243842}"/>
    <cellStyle name="Percent 3 9 6 7 2" xfId="9365" xr:uid="{42B585A1-9F88-44B9-BEE0-AE4EEE6CB9C1}"/>
    <cellStyle name="Percent 3 9 6 8" xfId="9366" xr:uid="{AF4834A5-6E42-4956-861F-471BE444D484}"/>
    <cellStyle name="Percent 3 9 6 8 2" xfId="9367" xr:uid="{D28D6009-34F9-4979-B787-214DF8D02E85}"/>
    <cellStyle name="Percent 3 9 6 9" xfId="9368" xr:uid="{FA1CF72A-2E52-4861-9591-1E53AC0C072C}"/>
    <cellStyle name="Percent 3 9 6 9 2" xfId="9369" xr:uid="{DA7822B0-9DA1-46C1-8F21-9B7D40045653}"/>
    <cellStyle name="Percent 3 9 7" xfId="2974" xr:uid="{65827B77-F781-45E9-B569-95CD3BBC6286}"/>
    <cellStyle name="Percent 3 9 7 10" xfId="9371" xr:uid="{4DEBA860-CCA1-47CC-9990-F41842ED4CCC}"/>
    <cellStyle name="Percent 3 9 7 11" xfId="9372" xr:uid="{FA8EA22A-2876-4E57-9F81-FE889D33267C}"/>
    <cellStyle name="Percent 3 9 7 12" xfId="9370" xr:uid="{D7FEA62D-8B1F-412B-AC7A-9F6D157A5769}"/>
    <cellStyle name="Percent 3 9 7 2" xfId="9373" xr:uid="{C98F12DE-56A1-4AA9-96FB-B5C0A40B17C4}"/>
    <cellStyle name="Percent 3 9 7 2 2" xfId="9374" xr:uid="{4A77451E-91DF-483D-BE07-FF36C043C6A4}"/>
    <cellStyle name="Percent 3 9 7 2 2 2" xfId="9375" xr:uid="{BC7D1C78-3573-45B8-8605-4A1C28862EEC}"/>
    <cellStyle name="Percent 3 9 7 2 3" xfId="9376" xr:uid="{4D019A15-2FA2-45AD-8000-090C769DB22C}"/>
    <cellStyle name="Percent 3 9 7 2 3 2" xfId="9377" xr:uid="{8EC1E09B-94D7-4E3A-A013-FAF7F5489F90}"/>
    <cellStyle name="Percent 3 9 7 2 4" xfId="9378" xr:uid="{3610BE3E-2F06-489B-BD38-6E52D746114D}"/>
    <cellStyle name="Percent 3 9 7 2 5" xfId="9379" xr:uid="{3C55251B-E4BF-461C-AAE7-C98B719D683D}"/>
    <cellStyle name="Percent 3 9 7 3" xfId="9380" xr:uid="{454464D7-A647-4B29-AE5A-C8FD14C2D7BA}"/>
    <cellStyle name="Percent 3 9 7 3 2" xfId="9381" xr:uid="{9BBEA24D-5C1F-45BF-B197-D212D37873AB}"/>
    <cellStyle name="Percent 3 9 7 3 2 2" xfId="9382" xr:uid="{7BADA9E9-3752-46AC-876A-05FE75708CEA}"/>
    <cellStyle name="Percent 3 9 7 3 3" xfId="9383" xr:uid="{944CD7E4-FAD9-4160-9D75-839AA24DA432}"/>
    <cellStyle name="Percent 3 9 7 3 3 2" xfId="9384" xr:uid="{498C15EC-9198-4055-95C8-549C5B8902DB}"/>
    <cellStyle name="Percent 3 9 7 3 4" xfId="9385" xr:uid="{E1F1FCA5-40AB-460B-A239-3C35E9E23B4B}"/>
    <cellStyle name="Percent 3 9 7 4" xfId="9386" xr:uid="{DAC73BA3-04EA-4957-BF37-96582CBED0A2}"/>
    <cellStyle name="Percent 3 9 7 4 2" xfId="9387" xr:uid="{B2884A43-B04A-4F31-8F7E-D3E6F9F6BB51}"/>
    <cellStyle name="Percent 3 9 7 4 2 2" xfId="9388" xr:uid="{2647B819-A9CC-4491-BE1D-7D86F78DC93F}"/>
    <cellStyle name="Percent 3 9 7 4 3" xfId="9389" xr:uid="{725AC325-5F5A-4807-AE56-DEFA76ED7756}"/>
    <cellStyle name="Percent 3 9 7 4 3 2" xfId="9390" xr:uid="{77D1E6B0-2C65-4A47-9BE2-F5376A0433C4}"/>
    <cellStyle name="Percent 3 9 7 4 4" xfId="9391" xr:uid="{20531D66-1214-4A1E-BD72-90122C1BBCA1}"/>
    <cellStyle name="Percent 3 9 7 5" xfId="9392" xr:uid="{ADDEB696-6157-4215-AAD0-1FDB1122163E}"/>
    <cellStyle name="Percent 3 9 7 5 2" xfId="9393" xr:uid="{F82C3BC9-D838-40C4-856C-30546204F4F7}"/>
    <cellStyle name="Percent 3 9 7 5 2 2" xfId="9394" xr:uid="{663CBA3F-2C0D-4AA2-8D4D-D56C88EF67E5}"/>
    <cellStyle name="Percent 3 9 7 5 3" xfId="9395" xr:uid="{8C47378B-FCCE-4C57-B094-F69B0C79AAD4}"/>
    <cellStyle name="Percent 3 9 7 5 3 2" xfId="9396" xr:uid="{0D56D251-865D-43F1-B8B9-BE47FBEB8A58}"/>
    <cellStyle name="Percent 3 9 7 5 4" xfId="9397" xr:uid="{D809545B-EB9A-48AE-BAF7-B911AF3D3D0C}"/>
    <cellStyle name="Percent 3 9 7 5 4 2" xfId="9398" xr:uid="{BA97A5B0-81B8-415F-BB01-8F0DE0035246}"/>
    <cellStyle name="Percent 3 9 7 5 5" xfId="9399" xr:uid="{3DF894B8-C59B-4310-B7B3-500FA91CA631}"/>
    <cellStyle name="Percent 3 9 7 6" xfId="9400" xr:uid="{D3ECFA5C-F8A3-4448-99C1-FE0365BEF2FC}"/>
    <cellStyle name="Percent 3 9 7 6 2" xfId="9401" xr:uid="{84769F25-399F-4510-BEB5-252C8DBD4347}"/>
    <cellStyle name="Percent 3 9 7 6 2 2" xfId="9402" xr:uid="{55AAAA15-0A7F-43DF-8973-C7C530F760FC}"/>
    <cellStyle name="Percent 3 9 7 6 3" xfId="9403" xr:uid="{446353FF-6950-43BD-A733-9A0240000E9C}"/>
    <cellStyle name="Percent 3 9 7 6 3 2" xfId="9404" xr:uid="{82064F04-97AC-4486-BD04-1ACCDD2FA08F}"/>
    <cellStyle name="Percent 3 9 7 6 4" xfId="9405" xr:uid="{C3782140-EC84-46E0-AEEF-52A8E03BCC0F}"/>
    <cellStyle name="Percent 3 9 7 7" xfId="9406" xr:uid="{11E3E4CB-31D9-44A8-93A2-4E5C91E87F79}"/>
    <cellStyle name="Percent 3 9 7 7 2" xfId="9407" xr:uid="{B9524A79-F2A7-4197-9B6A-75C6084CBB8B}"/>
    <cellStyle name="Percent 3 9 7 8" xfId="9408" xr:uid="{48F59095-B7E7-43E0-B83C-37651E48EA27}"/>
    <cellStyle name="Percent 3 9 7 8 2" xfId="9409" xr:uid="{CB963E88-74B6-4028-866D-3CB6BE509C95}"/>
    <cellStyle name="Percent 3 9 7 9" xfId="9410" xr:uid="{671BD341-A77A-4D6F-86D6-8A5A0069D3F7}"/>
    <cellStyle name="Percent 3 9 7 9 2" xfId="9411" xr:uid="{7D78D956-5979-4669-BFCC-E945B14BAB1D}"/>
    <cellStyle name="Percent 3 9 8" xfId="2975" xr:uid="{0ABFA91F-3AF1-4B04-8E15-DB305AB60F81}"/>
    <cellStyle name="Percent 3 9 8 10" xfId="9413" xr:uid="{76D9F5F0-01C8-499A-A7B4-F543C2BFA318}"/>
    <cellStyle name="Percent 3 9 8 11" xfId="9414" xr:uid="{48EB7C01-AD4D-43D5-BA9E-77D42C2E973E}"/>
    <cellStyle name="Percent 3 9 8 12" xfId="9412" xr:uid="{3D94E7E6-17A7-44EF-9AF9-32A86246733A}"/>
    <cellStyle name="Percent 3 9 8 2" xfId="9415" xr:uid="{A0B92BA8-AF7B-4086-8D30-FF065151428A}"/>
    <cellStyle name="Percent 3 9 8 2 2" xfId="9416" xr:uid="{FF433B6D-D800-4238-85E8-005D9BEA8E0B}"/>
    <cellStyle name="Percent 3 9 8 2 2 2" xfId="9417" xr:uid="{16027C9D-1DD2-407F-AF78-E4DB0F787524}"/>
    <cellStyle name="Percent 3 9 8 2 3" xfId="9418" xr:uid="{6A462621-2A6F-4A60-9632-7BAF8157739D}"/>
    <cellStyle name="Percent 3 9 8 2 3 2" xfId="9419" xr:uid="{07E6666D-380E-41C3-B053-5D4AC091F2D7}"/>
    <cellStyle name="Percent 3 9 8 2 4" xfId="9420" xr:uid="{2C24DEBA-CE0E-47C5-B6D5-2F22A4CAE3D9}"/>
    <cellStyle name="Percent 3 9 8 2 5" xfId="9421" xr:uid="{3354BB5F-222B-4D77-9D3A-55888619C6DB}"/>
    <cellStyle name="Percent 3 9 8 3" xfId="9422" xr:uid="{5B4438A5-2555-48AD-8903-9D1D9528D035}"/>
    <cellStyle name="Percent 3 9 8 3 2" xfId="9423" xr:uid="{CB3168C0-5FCA-4A10-A328-8EA649D720B0}"/>
    <cellStyle name="Percent 3 9 8 3 2 2" xfId="9424" xr:uid="{CC3A3214-5DD9-4373-A90A-F1075B9B1675}"/>
    <cellStyle name="Percent 3 9 8 3 3" xfId="9425" xr:uid="{15B0FBD5-C118-4499-B392-1A56C65AE602}"/>
    <cellStyle name="Percent 3 9 8 3 3 2" xfId="9426" xr:uid="{08DFC256-505E-4DAC-ADD9-0AE4BDC03CC1}"/>
    <cellStyle name="Percent 3 9 8 3 4" xfId="9427" xr:uid="{3ED785BA-609E-478A-B537-84E7BB2FB175}"/>
    <cellStyle name="Percent 3 9 8 4" xfId="9428" xr:uid="{3391DE35-F737-465E-A5E2-D214901553AA}"/>
    <cellStyle name="Percent 3 9 8 4 2" xfId="9429" xr:uid="{C69DC92E-438A-4714-B27D-45269C5245E7}"/>
    <cellStyle name="Percent 3 9 8 4 2 2" xfId="9430" xr:uid="{4F2727D7-F461-43D1-9E1F-9D28279342FE}"/>
    <cellStyle name="Percent 3 9 8 4 3" xfId="9431" xr:uid="{C2782DA4-A433-4774-890F-E948ED495AB0}"/>
    <cellStyle name="Percent 3 9 8 4 3 2" xfId="9432" xr:uid="{EDC4F23F-B85F-4140-B383-138881A9E581}"/>
    <cellStyle name="Percent 3 9 8 4 4" xfId="9433" xr:uid="{4EA674F9-BF28-45C1-8DDE-E769DEBF8874}"/>
    <cellStyle name="Percent 3 9 8 5" xfId="9434" xr:uid="{A8CE2562-65A7-4754-9BC9-419C8FF74352}"/>
    <cellStyle name="Percent 3 9 8 5 2" xfId="9435" xr:uid="{699A3B26-D84D-4964-A637-A9092A83D999}"/>
    <cellStyle name="Percent 3 9 8 5 2 2" xfId="9436" xr:uid="{88760507-3191-454C-A1C0-E47944CBFB55}"/>
    <cellStyle name="Percent 3 9 8 5 3" xfId="9437" xr:uid="{28DD1868-76C3-4D21-A1F7-3B6214EBEFFD}"/>
    <cellStyle name="Percent 3 9 8 5 3 2" xfId="9438" xr:uid="{42A0EF15-18B4-4481-805A-A304A34C11F0}"/>
    <cellStyle name="Percent 3 9 8 5 4" xfId="9439" xr:uid="{B7416B01-214B-4A0C-BA41-B07D43385F55}"/>
    <cellStyle name="Percent 3 9 8 5 4 2" xfId="9440" xr:uid="{B654C00A-8243-4691-9448-9012309AFC3D}"/>
    <cellStyle name="Percent 3 9 8 5 5" xfId="9441" xr:uid="{A6ADEE67-B10B-420B-BF8E-C3CD7C79FFCB}"/>
    <cellStyle name="Percent 3 9 8 6" xfId="9442" xr:uid="{BF671326-6C97-4677-9B20-0348F6A06F3F}"/>
    <cellStyle name="Percent 3 9 8 6 2" xfId="9443" xr:uid="{4FB795FB-F18A-4A96-BD85-AB0865E5F1F9}"/>
    <cellStyle name="Percent 3 9 8 6 2 2" xfId="9444" xr:uid="{2499A278-F0CC-4213-8A33-BB8A90B6FFE7}"/>
    <cellStyle name="Percent 3 9 8 6 3" xfId="9445" xr:uid="{EDCD5196-EF01-45BA-8B14-3E6C89BA0851}"/>
    <cellStyle name="Percent 3 9 8 6 3 2" xfId="9446" xr:uid="{F48598E2-0980-45BE-AFB7-E225F8073344}"/>
    <cellStyle name="Percent 3 9 8 6 4" xfId="9447" xr:uid="{580D6A94-7C63-4EA7-9D58-BD3B14D2DDD2}"/>
    <cellStyle name="Percent 3 9 8 7" xfId="9448" xr:uid="{DDC5F7C1-F90F-4513-A2EE-8D3972632FBA}"/>
    <cellStyle name="Percent 3 9 8 7 2" xfId="9449" xr:uid="{CAC8F757-6FBC-4D0A-A089-B9A1091CC677}"/>
    <cellStyle name="Percent 3 9 8 8" xfId="9450" xr:uid="{19951D6F-669F-45A9-85D5-2627D1C50466}"/>
    <cellStyle name="Percent 3 9 8 8 2" xfId="9451" xr:uid="{CE657A00-F903-4630-BAB6-97F0AD8775C9}"/>
    <cellStyle name="Percent 3 9 8 9" xfId="9452" xr:uid="{7014E3E2-CE6C-4155-88A3-8D2CB11D7794}"/>
    <cellStyle name="Percent 3 9 8 9 2" xfId="9453" xr:uid="{40D9E236-1CCB-40E6-899B-89345BA4D1CF}"/>
    <cellStyle name="Percent 3 9 9" xfId="2976" xr:uid="{F45057AC-06B9-4E6A-B8CE-B3F3859873DF}"/>
    <cellStyle name="Percent 3 9 9 10" xfId="9455" xr:uid="{ACBBC6CA-BEA4-460E-B980-20E56E61FC3E}"/>
    <cellStyle name="Percent 3 9 9 11" xfId="9456" xr:uid="{5F3C61DB-1437-451A-868A-085F9337A568}"/>
    <cellStyle name="Percent 3 9 9 12" xfId="9454" xr:uid="{2FFEFAFA-E42C-4BC0-969E-D903E1E1487B}"/>
    <cellStyle name="Percent 3 9 9 2" xfId="9457" xr:uid="{2AF8C836-F622-438E-A349-E2446F7EF6DD}"/>
    <cellStyle name="Percent 3 9 9 2 2" xfId="9458" xr:uid="{6C7049D5-2EAD-40C7-B948-DDEB9F0BACC2}"/>
    <cellStyle name="Percent 3 9 9 2 2 2" xfId="9459" xr:uid="{AA5FFC01-434D-44B1-B608-A3C7A49A08FE}"/>
    <cellStyle name="Percent 3 9 9 2 3" xfId="9460" xr:uid="{F2EE7302-6AC1-4C81-B004-3BA8D1DFBA99}"/>
    <cellStyle name="Percent 3 9 9 2 3 2" xfId="9461" xr:uid="{B91C3422-EA81-402D-AFEF-3E8F7F484E71}"/>
    <cellStyle name="Percent 3 9 9 2 4" xfId="9462" xr:uid="{5470EA61-C109-4F96-A18B-245A4F8BFF4F}"/>
    <cellStyle name="Percent 3 9 9 2 5" xfId="9463" xr:uid="{4163F0A9-C309-4661-90DE-8DBE2E7931B3}"/>
    <cellStyle name="Percent 3 9 9 3" xfId="9464" xr:uid="{F0174175-B409-46DA-AF42-5DCDACD2B836}"/>
    <cellStyle name="Percent 3 9 9 3 2" xfId="9465" xr:uid="{9C213812-36ED-44A1-8987-36C40BDD8E9E}"/>
    <cellStyle name="Percent 3 9 9 3 2 2" xfId="9466" xr:uid="{D5B3C958-5669-4D0D-9C47-0A33254AF1E8}"/>
    <cellStyle name="Percent 3 9 9 3 3" xfId="9467" xr:uid="{7C2DEECF-6973-4A21-9D87-E8D971270D1C}"/>
    <cellStyle name="Percent 3 9 9 3 3 2" xfId="9468" xr:uid="{77734E07-5365-4B93-BBD7-63AB01B884D4}"/>
    <cellStyle name="Percent 3 9 9 3 4" xfId="9469" xr:uid="{32F9691A-5D04-4C55-9EA8-0635DC3EBBAC}"/>
    <cellStyle name="Percent 3 9 9 4" xfId="9470" xr:uid="{B02E06F0-3E49-4DE9-A9D1-33DB1BCD2A3E}"/>
    <cellStyle name="Percent 3 9 9 4 2" xfId="9471" xr:uid="{B9F276D0-59E3-4A57-B5BD-850F9510B661}"/>
    <cellStyle name="Percent 3 9 9 4 2 2" xfId="9472" xr:uid="{CD756865-23CF-4415-AE57-B2BB5E21B99C}"/>
    <cellStyle name="Percent 3 9 9 4 3" xfId="9473" xr:uid="{5EB97B20-AF51-4AF5-A9CE-AF12983DAEE2}"/>
    <cellStyle name="Percent 3 9 9 4 3 2" xfId="9474" xr:uid="{2DC0B316-060C-4271-AE9B-D1F657036B02}"/>
    <cellStyle name="Percent 3 9 9 4 4" xfId="9475" xr:uid="{70EFFC2E-C434-401F-A2F4-430A516AA897}"/>
    <cellStyle name="Percent 3 9 9 5" xfId="9476" xr:uid="{A364DF91-2247-47D9-9E5D-5E5AFFF4F4E6}"/>
    <cellStyle name="Percent 3 9 9 5 2" xfId="9477" xr:uid="{4BBB5144-72EB-4D88-88D1-77FAB8D7A475}"/>
    <cellStyle name="Percent 3 9 9 5 2 2" xfId="9478" xr:uid="{2100FA74-F03E-44E1-B789-5C06CB54DEE4}"/>
    <cellStyle name="Percent 3 9 9 5 3" xfId="9479" xr:uid="{745065B1-8224-4004-8A99-A36EBDA34B2D}"/>
    <cellStyle name="Percent 3 9 9 5 3 2" xfId="9480" xr:uid="{F008A68B-45E4-4B2B-AB9A-7FB1C645C02D}"/>
    <cellStyle name="Percent 3 9 9 5 4" xfId="9481" xr:uid="{8D06C811-6661-4A28-A820-FAD905FDE134}"/>
    <cellStyle name="Percent 3 9 9 5 4 2" xfId="9482" xr:uid="{D43735C4-47DD-4413-8E02-453D0382EF99}"/>
    <cellStyle name="Percent 3 9 9 5 5" xfId="9483" xr:uid="{AFDF983B-3FA4-4FE1-8769-737A1950DA3F}"/>
    <cellStyle name="Percent 3 9 9 6" xfId="9484" xr:uid="{4FFE2D4A-E467-4ED1-8425-BF3F1EF002C4}"/>
    <cellStyle name="Percent 3 9 9 6 2" xfId="9485" xr:uid="{37DF0469-1957-426E-9134-1760BFDADBE5}"/>
    <cellStyle name="Percent 3 9 9 6 2 2" xfId="9486" xr:uid="{3189F588-9BD7-4410-8D72-93C65A1F6E4A}"/>
    <cellStyle name="Percent 3 9 9 6 3" xfId="9487" xr:uid="{ACB1DB4F-B7F3-4E13-841C-2F14ED8C5B49}"/>
    <cellStyle name="Percent 3 9 9 6 3 2" xfId="9488" xr:uid="{6AC47CB3-815A-4177-8F06-046A38C86A78}"/>
    <cellStyle name="Percent 3 9 9 6 4" xfId="9489" xr:uid="{EC8CC56D-BB55-4DD9-8E7C-B811CC508902}"/>
    <cellStyle name="Percent 3 9 9 7" xfId="9490" xr:uid="{48B91155-71D5-4552-82BA-4169FE218F9E}"/>
    <cellStyle name="Percent 3 9 9 7 2" xfId="9491" xr:uid="{2E778644-7570-4C64-B0B1-05B82DE49019}"/>
    <cellStyle name="Percent 3 9 9 8" xfId="9492" xr:uid="{76BCAF07-B3D4-4CAB-8006-184929CCF5B6}"/>
    <cellStyle name="Percent 3 9 9 8 2" xfId="9493" xr:uid="{D4533B10-F86F-46FF-A4AB-0FB208575AAF}"/>
    <cellStyle name="Percent 3 9 9 9" xfId="9494" xr:uid="{5E270B24-658E-4D1E-B427-5FDF86242985}"/>
    <cellStyle name="Percent 3 9 9 9 2" xfId="9495" xr:uid="{9FC81A27-589F-462F-BCE8-02CDE3744913}"/>
    <cellStyle name="Percent 31" xfId="2977" xr:uid="{9A5DFCE4-85CC-4359-BA00-16CA312268D0}"/>
    <cellStyle name="Percent 31 10" xfId="9497" xr:uid="{78B8E583-69FA-4B14-A9D8-F22BC81C759D}"/>
    <cellStyle name="Percent 31 11" xfId="9498" xr:uid="{B15C54F8-6EF7-4FB7-9C21-ACBB771227A1}"/>
    <cellStyle name="Percent 31 12" xfId="9496" xr:uid="{0CC8958A-C99F-485B-A4CC-E0008B9FD571}"/>
    <cellStyle name="Percent 31 2" xfId="9499" xr:uid="{9D67525D-FF81-4AA5-8A93-C63386BBA9D7}"/>
    <cellStyle name="Percent 31 2 2" xfId="9500" xr:uid="{8800CCC4-9B84-4AB7-969D-7A0AF6226C77}"/>
    <cellStyle name="Percent 31 2 2 2" xfId="9501" xr:uid="{B94B697C-66FB-48FE-80D6-7086472A1B91}"/>
    <cellStyle name="Percent 31 2 3" xfId="9502" xr:uid="{B4DCCB2F-6205-4090-8FB9-44FB22CA9E19}"/>
    <cellStyle name="Percent 31 2 3 2" xfId="9503" xr:uid="{F66D89A9-6344-401B-A81F-371283DEF0BA}"/>
    <cellStyle name="Percent 31 2 4" xfId="9504" xr:uid="{34F3CCF6-1344-4041-BA6C-6A07DBC15E2A}"/>
    <cellStyle name="Percent 31 2 5" xfId="9505" xr:uid="{8FABE570-8673-439F-823A-49557C0DB066}"/>
    <cellStyle name="Percent 31 3" xfId="9506" xr:uid="{B5409341-190B-44E9-956A-94C2CE85F610}"/>
    <cellStyle name="Percent 31 3 2" xfId="9507" xr:uid="{0F3EA610-E182-438A-996C-2767E3379648}"/>
    <cellStyle name="Percent 31 3 2 2" xfId="9508" xr:uid="{CFBE6A41-CDFC-4FEA-912C-17B54C640872}"/>
    <cellStyle name="Percent 31 3 3" xfId="9509" xr:uid="{8EEF51D8-FD6F-4450-A385-4AE64A79579F}"/>
    <cellStyle name="Percent 31 3 3 2" xfId="9510" xr:uid="{1C8ACAED-C637-4043-8C11-0CA7EB4BEC18}"/>
    <cellStyle name="Percent 31 3 4" xfId="9511" xr:uid="{982409D6-1840-47B6-B187-D77498073624}"/>
    <cellStyle name="Percent 31 4" xfId="9512" xr:uid="{0CB89EBA-AF15-4642-90F6-B37334393898}"/>
    <cellStyle name="Percent 31 4 2" xfId="9513" xr:uid="{A9D3D831-49B4-445E-B769-B61C16E4D1EF}"/>
    <cellStyle name="Percent 31 4 2 2" xfId="9514" xr:uid="{07FC605A-A8EF-458F-9F78-B2E9C7DFC3DB}"/>
    <cellStyle name="Percent 31 4 3" xfId="9515" xr:uid="{CB18F772-4963-47F5-8801-010B4F655790}"/>
    <cellStyle name="Percent 31 4 3 2" xfId="9516" xr:uid="{33D77BBC-1698-4FF9-A9C0-0FC44863E75F}"/>
    <cellStyle name="Percent 31 4 4" xfId="9517" xr:uid="{8B7638D2-BBC0-4B85-9A4A-4834BB561451}"/>
    <cellStyle name="Percent 31 5" xfId="9518" xr:uid="{C45D9F44-90A3-4FB1-BD1A-56671F04E8D2}"/>
    <cellStyle name="Percent 31 5 2" xfId="9519" xr:uid="{6D9937BE-897B-4803-BFD3-151772AB7043}"/>
    <cellStyle name="Percent 31 5 2 2" xfId="9520" xr:uid="{89F75159-C9A3-488D-AF2E-FD13E4EB2AC9}"/>
    <cellStyle name="Percent 31 5 3" xfId="9521" xr:uid="{4B8B9C21-1518-4637-B37A-776E4DD1AD36}"/>
    <cellStyle name="Percent 31 5 3 2" xfId="9522" xr:uid="{0EBD24FD-3350-480E-8B39-41295719A66B}"/>
    <cellStyle name="Percent 31 5 4" xfId="9523" xr:uid="{7155CCF8-0906-433E-98C1-4A7BA029C4C5}"/>
    <cellStyle name="Percent 31 5 4 2" xfId="9524" xr:uid="{36DFFC1D-5A15-4E1E-979E-5102CB769B9B}"/>
    <cellStyle name="Percent 31 5 5" xfId="9525" xr:uid="{4074EC16-5410-4575-AE0A-A01F5B6B1E03}"/>
    <cellStyle name="Percent 31 6" xfId="9526" xr:uid="{9B2CEF39-DD20-4301-9993-3C1EE1DC8DA7}"/>
    <cellStyle name="Percent 31 6 2" xfId="9527" xr:uid="{844DD86D-B88F-475D-BBD9-BDAA383D3F4E}"/>
    <cellStyle name="Percent 31 6 2 2" xfId="9528" xr:uid="{803842A7-7C8C-4BAA-A20F-F503BD08BFC6}"/>
    <cellStyle name="Percent 31 6 3" xfId="9529" xr:uid="{ACD0F578-C812-41BF-9F72-BC567F68341E}"/>
    <cellStyle name="Percent 31 6 3 2" xfId="9530" xr:uid="{3309A3E2-3BA4-491B-9D73-45312A21A6A2}"/>
    <cellStyle name="Percent 31 6 4" xfId="9531" xr:uid="{49CF836A-9B26-4124-852B-746663B9AA27}"/>
    <cellStyle name="Percent 31 7" xfId="9532" xr:uid="{64A52BD1-1844-4CB9-A5A7-C47990AD9F52}"/>
    <cellStyle name="Percent 31 7 2" xfId="9533" xr:uid="{71A490E3-D13C-44AE-8D3E-109671180021}"/>
    <cellStyle name="Percent 31 8" xfId="9534" xr:uid="{94408686-79CF-4F9A-BC7A-748CAF5AE017}"/>
    <cellStyle name="Percent 31 8 2" xfId="9535" xr:uid="{B325B401-8457-420D-9E32-E80BD68E02A5}"/>
    <cellStyle name="Percent 31 9" xfId="9536" xr:uid="{AC4EA533-25EE-4F62-B0AC-9A4D7F341A5C}"/>
    <cellStyle name="Percent 31 9 2" xfId="9537" xr:uid="{0A6D5689-36E8-4E14-B73F-AD2AA92B9D79}"/>
    <cellStyle name="Percent 4" xfId="295" xr:uid="{3700B0D1-CD71-4596-9F08-3DC4E8D04107}"/>
    <cellStyle name="Percent 4 10" xfId="2979" xr:uid="{1FAED2FA-EB00-49C2-AA8B-67C85A536B66}"/>
    <cellStyle name="Percent 4 10 10" xfId="9540" xr:uid="{348EA1B6-87B7-43DB-AE46-0B8FD677B548}"/>
    <cellStyle name="Percent 4 10 11" xfId="9541" xr:uid="{780FB7FB-F3C9-462F-9BD6-3E6881BEAFBA}"/>
    <cellStyle name="Percent 4 10 12" xfId="9539" xr:uid="{046CABCB-A810-4432-9AE2-30F4F6B04FA7}"/>
    <cellStyle name="Percent 4 10 2" xfId="9542" xr:uid="{5158CBFB-5ACF-4D83-9038-637EAA917CAC}"/>
    <cellStyle name="Percent 4 10 2 2" xfId="9543" xr:uid="{DBC0844D-3713-439A-A005-3877528DEF84}"/>
    <cellStyle name="Percent 4 10 2 2 2" xfId="9544" xr:uid="{B5961252-21E1-4AE9-AD64-DBA08FA77235}"/>
    <cellStyle name="Percent 4 10 2 3" xfId="9545" xr:uid="{7D2C853F-1F48-490A-BFA1-F54F19E70E08}"/>
    <cellStyle name="Percent 4 10 2 3 2" xfId="9546" xr:uid="{D4697DC8-C311-4B1E-B602-F8D7AB91BD8E}"/>
    <cellStyle name="Percent 4 10 2 4" xfId="9547" xr:uid="{58AC6570-36D6-4343-99F3-227E3A433587}"/>
    <cellStyle name="Percent 4 10 2 5" xfId="9548" xr:uid="{6712A39C-39F3-46BA-A7D3-4BF6E1241D4E}"/>
    <cellStyle name="Percent 4 10 3" xfId="9549" xr:uid="{97FDE7B9-0C1D-47B7-9C51-CCFA47371817}"/>
    <cellStyle name="Percent 4 10 3 2" xfId="9550" xr:uid="{2724D711-215D-43D1-BAFE-1C83E5D2A96D}"/>
    <cellStyle name="Percent 4 10 3 2 2" xfId="9551" xr:uid="{04412753-8E7A-4175-8C9A-72BD0E7EEF92}"/>
    <cellStyle name="Percent 4 10 3 3" xfId="9552" xr:uid="{ECE923C1-4C56-4D71-B2CD-A74C35C9FDC1}"/>
    <cellStyle name="Percent 4 10 3 3 2" xfId="9553" xr:uid="{4A08AC50-21D8-4549-A1EA-514C442EF657}"/>
    <cellStyle name="Percent 4 10 3 4" xfId="9554" xr:uid="{A0C6313D-10E9-4673-92AF-0F6A2D4FB37B}"/>
    <cellStyle name="Percent 4 10 4" xfId="9555" xr:uid="{CA67D32C-7BDE-47F1-9604-1DF9ABD839E8}"/>
    <cellStyle name="Percent 4 10 4 2" xfId="9556" xr:uid="{7608FD76-8282-498B-B2BF-6ECC750D54C5}"/>
    <cellStyle name="Percent 4 10 4 2 2" xfId="9557" xr:uid="{9DF4871E-C47D-45AB-858F-713FCDB85297}"/>
    <cellStyle name="Percent 4 10 4 3" xfId="9558" xr:uid="{7E14F052-F6E0-445E-B518-868001479AE0}"/>
    <cellStyle name="Percent 4 10 4 3 2" xfId="9559" xr:uid="{73C84C1E-0F30-441D-8AED-091DBD788606}"/>
    <cellStyle name="Percent 4 10 4 4" xfId="9560" xr:uid="{65FD6E8B-5630-4F6C-AB3F-D51276AB09B9}"/>
    <cellStyle name="Percent 4 10 5" xfId="9561" xr:uid="{8E529045-1735-45ED-BBBA-049B33CA20A4}"/>
    <cellStyle name="Percent 4 10 5 2" xfId="9562" xr:uid="{02A9D510-6A35-402D-A294-5454F75E0500}"/>
    <cellStyle name="Percent 4 10 5 2 2" xfId="9563" xr:uid="{74624C23-42B5-4A00-8650-85CCF3D9FAB7}"/>
    <cellStyle name="Percent 4 10 5 3" xfId="9564" xr:uid="{30F08BF8-B500-48FF-9EB9-9F45D4C3A591}"/>
    <cellStyle name="Percent 4 10 5 3 2" xfId="9565" xr:uid="{EC139C3A-4856-4408-AD46-6DAB437A3ED8}"/>
    <cellStyle name="Percent 4 10 5 4" xfId="9566" xr:uid="{5D7BE0ED-06AD-4BB1-B44C-DD7AF92D79A1}"/>
    <cellStyle name="Percent 4 10 5 4 2" xfId="9567" xr:uid="{69E78DF0-DD1A-4A4F-B075-CAD11049F605}"/>
    <cellStyle name="Percent 4 10 5 5" xfId="9568" xr:uid="{55370029-1239-4E32-941B-7ED1E2555CF8}"/>
    <cellStyle name="Percent 4 10 6" xfId="9569" xr:uid="{AF84DFF9-9BEF-4F56-9235-F3B007F1CEF3}"/>
    <cellStyle name="Percent 4 10 6 2" xfId="9570" xr:uid="{DF4174E6-D065-4462-845B-DB3D43A3E59C}"/>
    <cellStyle name="Percent 4 10 6 2 2" xfId="9571" xr:uid="{F652155E-FF6D-4F89-ABA3-EA70E2A431B2}"/>
    <cellStyle name="Percent 4 10 6 3" xfId="9572" xr:uid="{B0B9A5DF-4DD1-4591-A5CB-5410B2A36CEE}"/>
    <cellStyle name="Percent 4 10 6 3 2" xfId="9573" xr:uid="{03004706-A928-4F79-8BE9-2FEC93EAA8F8}"/>
    <cellStyle name="Percent 4 10 6 4" xfId="9574" xr:uid="{81E130B6-D9D3-454F-A1D8-AC0575FCD07D}"/>
    <cellStyle name="Percent 4 10 7" xfId="9575" xr:uid="{262366C8-4DA3-49F5-ADCB-736CA6081A18}"/>
    <cellStyle name="Percent 4 10 7 2" xfId="9576" xr:uid="{8C8AD768-FB4A-4931-A834-9BBF5AD6C4AA}"/>
    <cellStyle name="Percent 4 10 8" xfId="9577" xr:uid="{328B8AD4-B489-4C71-9EE4-40A86BE42C3A}"/>
    <cellStyle name="Percent 4 10 8 2" xfId="9578" xr:uid="{A7C1AD20-93CD-4BF1-9A5F-A4420F462DDF}"/>
    <cellStyle name="Percent 4 10 9" xfId="9579" xr:uid="{AB60FC25-4EDD-44C6-8B7E-1CF943F70A43}"/>
    <cellStyle name="Percent 4 10 9 2" xfId="9580" xr:uid="{E02DB2FE-883A-4D0A-B666-C92ADEF4BE6C}"/>
    <cellStyle name="Percent 4 11" xfId="2980" xr:uid="{5FB16232-625A-4446-AD84-921D23953F9D}"/>
    <cellStyle name="Percent 4 11 10" xfId="9582" xr:uid="{2AD654EE-FBFB-49D4-BD20-5B9FF5F10539}"/>
    <cellStyle name="Percent 4 11 11" xfId="9583" xr:uid="{0CFE3CA2-CD21-40E1-8DC1-A977730E0042}"/>
    <cellStyle name="Percent 4 11 12" xfId="9581" xr:uid="{4CD8C7F4-4DC7-416A-A0A8-0E93C3E84A9A}"/>
    <cellStyle name="Percent 4 11 2" xfId="9584" xr:uid="{12A9D16A-6807-4E0D-812D-36F41BECF737}"/>
    <cellStyle name="Percent 4 11 2 2" xfId="9585" xr:uid="{D33603DD-591E-48E3-9C7D-01DF42D0EE42}"/>
    <cellStyle name="Percent 4 11 2 2 2" xfId="9586" xr:uid="{91FEE860-2211-4D02-83CE-46DF654C3C81}"/>
    <cellStyle name="Percent 4 11 2 3" xfId="9587" xr:uid="{3E8DA764-8833-4131-89EF-3C8DF9728AB6}"/>
    <cellStyle name="Percent 4 11 2 3 2" xfId="9588" xr:uid="{8ECFA959-7FAC-4AD3-BA7C-A441E8141D92}"/>
    <cellStyle name="Percent 4 11 2 4" xfId="9589" xr:uid="{7237B0CF-4DAC-48EB-B573-C091E679A6C9}"/>
    <cellStyle name="Percent 4 11 2 5" xfId="9590" xr:uid="{716E7671-F935-46CA-805B-21201022E2C5}"/>
    <cellStyle name="Percent 4 11 3" xfId="9591" xr:uid="{F3484855-6750-4336-8B18-C9245ECC2AA2}"/>
    <cellStyle name="Percent 4 11 3 2" xfId="9592" xr:uid="{3A6A2BE0-CD03-4E88-8AAC-575BEE64A14E}"/>
    <cellStyle name="Percent 4 11 3 2 2" xfId="9593" xr:uid="{2B2BEDF1-B847-45CB-9DAB-54E20E7A2F61}"/>
    <cellStyle name="Percent 4 11 3 3" xfId="9594" xr:uid="{2AA9C08D-AC02-416F-9847-044A18316368}"/>
    <cellStyle name="Percent 4 11 3 3 2" xfId="9595" xr:uid="{5D1CE1A0-B87B-46D7-8F80-F226AD847489}"/>
    <cellStyle name="Percent 4 11 3 4" xfId="9596" xr:uid="{87CC3CE7-89E4-469F-A1D9-B156F2F0D031}"/>
    <cellStyle name="Percent 4 11 4" xfId="9597" xr:uid="{A2BAFD75-DCBA-42C2-82A7-6BDFE72F0096}"/>
    <cellStyle name="Percent 4 11 4 2" xfId="9598" xr:uid="{77624CE1-A039-430B-AED3-999B4A27C962}"/>
    <cellStyle name="Percent 4 11 4 2 2" xfId="9599" xr:uid="{5DBF5A55-AFF9-4707-A2BA-FFF9C9537167}"/>
    <cellStyle name="Percent 4 11 4 3" xfId="9600" xr:uid="{BADA5FD5-36B1-47B8-AF69-CA86ED03C6A2}"/>
    <cellStyle name="Percent 4 11 4 3 2" xfId="9601" xr:uid="{7E1D3D0C-1916-42DE-B223-5D990CCDDBF3}"/>
    <cellStyle name="Percent 4 11 4 4" xfId="9602" xr:uid="{50F71DC8-1254-444F-951D-5BFED4C96ADD}"/>
    <cellStyle name="Percent 4 11 5" xfId="9603" xr:uid="{766F90A4-28BA-4C53-9D3B-BFD9425749A1}"/>
    <cellStyle name="Percent 4 11 5 2" xfId="9604" xr:uid="{8916C2B5-327B-4A00-953B-8BA4D72D4A6F}"/>
    <cellStyle name="Percent 4 11 5 2 2" xfId="9605" xr:uid="{8DF377F3-713E-4346-B2E6-40C35B83363B}"/>
    <cellStyle name="Percent 4 11 5 3" xfId="9606" xr:uid="{21F7D0B1-57E8-4FB6-AFC7-20F8675E97EE}"/>
    <cellStyle name="Percent 4 11 5 3 2" xfId="9607" xr:uid="{93418D1D-EA84-442C-B51E-5CDEAE45407D}"/>
    <cellStyle name="Percent 4 11 5 4" xfId="9608" xr:uid="{9F14677B-300D-4B66-8EBC-A35BC6DF5F77}"/>
    <cellStyle name="Percent 4 11 5 4 2" xfId="9609" xr:uid="{6620642C-4F80-4532-B86D-AC34FF3151C2}"/>
    <cellStyle name="Percent 4 11 5 5" xfId="9610" xr:uid="{FE016741-5868-485C-B5BB-C518637D6D21}"/>
    <cellStyle name="Percent 4 11 6" xfId="9611" xr:uid="{C782E260-2D9B-4F00-BB37-40EFE8C96FB8}"/>
    <cellStyle name="Percent 4 11 6 2" xfId="9612" xr:uid="{1FA46225-0E1F-432F-89A2-CFB5313FF7ED}"/>
    <cellStyle name="Percent 4 11 6 2 2" xfId="9613" xr:uid="{F1E11EDB-6F9D-4BAD-89E4-1D46949290E7}"/>
    <cellStyle name="Percent 4 11 6 3" xfId="9614" xr:uid="{024621FC-012E-4814-BB94-125CC88DE9A6}"/>
    <cellStyle name="Percent 4 11 6 3 2" xfId="9615" xr:uid="{BE811ED2-4A9B-4CB8-95B8-736099651D32}"/>
    <cellStyle name="Percent 4 11 6 4" xfId="9616" xr:uid="{D82F404B-AA57-4F85-A440-70248CEA92EF}"/>
    <cellStyle name="Percent 4 11 7" xfId="9617" xr:uid="{A69821DB-053E-440B-AEB9-91C30A05226B}"/>
    <cellStyle name="Percent 4 11 7 2" xfId="9618" xr:uid="{69052CFC-2551-46DB-B9F2-EE0AE664954A}"/>
    <cellStyle name="Percent 4 11 8" xfId="9619" xr:uid="{C7CFBD3C-B31B-409E-B0AF-903A57159CA5}"/>
    <cellStyle name="Percent 4 11 8 2" xfId="9620" xr:uid="{365F2AC0-14EC-4B20-AE20-79E113D498BC}"/>
    <cellStyle name="Percent 4 11 9" xfId="9621" xr:uid="{8C61A5F5-DE8D-497D-97B5-782EF3D98BCF}"/>
    <cellStyle name="Percent 4 11 9 2" xfId="9622" xr:uid="{144F9121-6140-4AB4-B6F2-B86189DA8954}"/>
    <cellStyle name="Percent 4 12" xfId="2981" xr:uid="{91B1C8D7-7050-4F51-BB55-607C4C6F41F2}"/>
    <cellStyle name="Percent 4 12 10" xfId="9624" xr:uid="{81278FC1-57BE-4289-8B86-90104052C583}"/>
    <cellStyle name="Percent 4 12 11" xfId="9625" xr:uid="{1C39C946-3993-424D-965B-FA3297719E7C}"/>
    <cellStyle name="Percent 4 12 12" xfId="9623" xr:uid="{2146FBE4-8E15-4CFF-9010-31D228FBD666}"/>
    <cellStyle name="Percent 4 12 2" xfId="9626" xr:uid="{B58905C6-52F9-4A61-8774-B7BDCA7B86DD}"/>
    <cellStyle name="Percent 4 12 2 2" xfId="9627" xr:uid="{8B0A505E-C21E-463D-BC82-A23E440627A2}"/>
    <cellStyle name="Percent 4 12 2 2 2" xfId="9628" xr:uid="{E1F87E9E-18A7-4191-9729-8A7131C31041}"/>
    <cellStyle name="Percent 4 12 2 3" xfId="9629" xr:uid="{CD8FD830-2108-4FD2-B452-B0E509A76EF2}"/>
    <cellStyle name="Percent 4 12 2 3 2" xfId="9630" xr:uid="{4DDB7407-5F09-45AB-9363-975227BE8009}"/>
    <cellStyle name="Percent 4 12 2 4" xfId="9631" xr:uid="{9C637B71-65D8-44C2-86D3-068C780D96FA}"/>
    <cellStyle name="Percent 4 12 2 5" xfId="9632" xr:uid="{5CF73DAE-645C-4CF6-94E9-E999BE9B785B}"/>
    <cellStyle name="Percent 4 12 3" xfId="9633" xr:uid="{2ECBB113-9827-4E1A-B988-DDE1934F2915}"/>
    <cellStyle name="Percent 4 12 3 2" xfId="9634" xr:uid="{707D4BC0-9764-4BD3-B4E0-BCBB14EC80C7}"/>
    <cellStyle name="Percent 4 12 3 2 2" xfId="9635" xr:uid="{5BA1672D-9EA7-4110-AEAC-7FE9A9CD9EE1}"/>
    <cellStyle name="Percent 4 12 3 3" xfId="9636" xr:uid="{BDA9EDDF-C20A-4D84-BA15-4082A4B4C494}"/>
    <cellStyle name="Percent 4 12 3 3 2" xfId="9637" xr:uid="{CB28E648-325F-459E-BBC2-999CB3A4FDDD}"/>
    <cellStyle name="Percent 4 12 3 4" xfId="9638" xr:uid="{BC6DAE90-A226-48F6-AE8A-264863B5A278}"/>
    <cellStyle name="Percent 4 12 4" xfId="9639" xr:uid="{FF307423-1A74-4CDD-A36A-80824CF65399}"/>
    <cellStyle name="Percent 4 12 4 2" xfId="9640" xr:uid="{B3C5A064-CB71-4662-B19E-D54C3DF7E3E2}"/>
    <cellStyle name="Percent 4 12 4 2 2" xfId="9641" xr:uid="{6B8C0454-6592-4931-93B9-35F49C375E08}"/>
    <cellStyle name="Percent 4 12 4 3" xfId="9642" xr:uid="{CBD4E688-C25F-407C-BA1B-BA3D5732BF68}"/>
    <cellStyle name="Percent 4 12 4 3 2" xfId="9643" xr:uid="{586250A9-7813-443A-A8D4-75A67B2B9D09}"/>
    <cellStyle name="Percent 4 12 4 4" xfId="9644" xr:uid="{D9DC6BBF-067B-4B37-9D44-9AA861E2ECF2}"/>
    <cellStyle name="Percent 4 12 5" xfId="9645" xr:uid="{77D8218D-B65C-4FF6-AE66-FDE69366DEA3}"/>
    <cellStyle name="Percent 4 12 5 2" xfId="9646" xr:uid="{45DDC83A-96BD-4CE9-9643-FF9EE0165510}"/>
    <cellStyle name="Percent 4 12 5 2 2" xfId="9647" xr:uid="{2D8D29C7-8DF3-4E67-8489-2E47A4AB6734}"/>
    <cellStyle name="Percent 4 12 5 3" xfId="9648" xr:uid="{2BE82E56-063B-4DAC-9F85-278D49697BB6}"/>
    <cellStyle name="Percent 4 12 5 3 2" xfId="9649" xr:uid="{D9CD8F06-7590-4917-B712-76F5D2765E37}"/>
    <cellStyle name="Percent 4 12 5 4" xfId="9650" xr:uid="{B2EC59E9-58D5-4C5E-B796-B9687C4E843C}"/>
    <cellStyle name="Percent 4 12 5 4 2" xfId="9651" xr:uid="{12DB0581-9ADC-4955-9761-267F343142EB}"/>
    <cellStyle name="Percent 4 12 5 5" xfId="9652" xr:uid="{B41795DD-E84A-456B-8653-3A72B2435B2E}"/>
    <cellStyle name="Percent 4 12 6" xfId="9653" xr:uid="{6933F36C-2608-42B6-BA0D-387276D423BE}"/>
    <cellStyle name="Percent 4 12 6 2" xfId="9654" xr:uid="{6ECF748A-89F0-4A98-92A3-8EC319F50A26}"/>
    <cellStyle name="Percent 4 12 6 2 2" xfId="9655" xr:uid="{44AA4771-D7A2-44F9-A2AD-1302B7466E99}"/>
    <cellStyle name="Percent 4 12 6 3" xfId="9656" xr:uid="{D5177978-B89E-47DB-AE35-3F10F5594D07}"/>
    <cellStyle name="Percent 4 12 6 3 2" xfId="9657" xr:uid="{DF68459A-0350-457E-B5CB-1DB4926F3030}"/>
    <cellStyle name="Percent 4 12 6 4" xfId="9658" xr:uid="{5C64F8D7-A791-4E39-A7AE-E1C05AC6BF6B}"/>
    <cellStyle name="Percent 4 12 7" xfId="9659" xr:uid="{398C2CA1-8367-4131-BF7D-75DEC30DFECC}"/>
    <cellStyle name="Percent 4 12 7 2" xfId="9660" xr:uid="{889FB263-A9EB-4EE3-9B4C-F04EA7766355}"/>
    <cellStyle name="Percent 4 12 8" xfId="9661" xr:uid="{AB10DB5C-E6DF-4E5D-BC98-A5EB34BB7180}"/>
    <cellStyle name="Percent 4 12 8 2" xfId="9662" xr:uid="{9DC26D16-9A56-41E3-B27F-6A61066EBC1C}"/>
    <cellStyle name="Percent 4 12 9" xfId="9663" xr:uid="{8D5D26F1-6CF5-4A85-9937-78F929B7FA4C}"/>
    <cellStyle name="Percent 4 12 9 2" xfId="9664" xr:uid="{60E0AC6F-068E-4BF8-A07F-C045BBB3D4F9}"/>
    <cellStyle name="Percent 4 13" xfId="2982" xr:uid="{679BD7DD-827B-4C75-A9E5-4D999D54FFB0}"/>
    <cellStyle name="Percent 4 13 10" xfId="9666" xr:uid="{2767D654-4F14-450E-BA0E-1FFAE6B201D6}"/>
    <cellStyle name="Percent 4 13 11" xfId="9667" xr:uid="{B9F8B922-7DCA-41A6-B273-C6929CE6C630}"/>
    <cellStyle name="Percent 4 13 12" xfId="9665" xr:uid="{1AD98717-8D3A-4EF2-81F4-4F9ADBAADC6E}"/>
    <cellStyle name="Percent 4 13 2" xfId="9668" xr:uid="{A74CB520-E1F3-415F-BAFB-3CD51F947ABB}"/>
    <cellStyle name="Percent 4 13 2 2" xfId="9669" xr:uid="{359CB26E-0976-468F-8C4A-EB1BE43D55FF}"/>
    <cellStyle name="Percent 4 13 2 2 2" xfId="9670" xr:uid="{95BCFE65-49A9-4538-A3CC-8C47119BB705}"/>
    <cellStyle name="Percent 4 13 2 3" xfId="9671" xr:uid="{80C20C44-B90E-410F-B382-20D62BFB51C8}"/>
    <cellStyle name="Percent 4 13 2 3 2" xfId="9672" xr:uid="{9D4C829E-428C-4FF4-B5D9-498E3CEC1102}"/>
    <cellStyle name="Percent 4 13 2 4" xfId="9673" xr:uid="{C1BE456D-6C4D-4D49-9A21-E90914CFEE8C}"/>
    <cellStyle name="Percent 4 13 2 5" xfId="9674" xr:uid="{450884BA-88E5-46C2-8FB8-61FA239C25B2}"/>
    <cellStyle name="Percent 4 13 3" xfId="9675" xr:uid="{0E1BA335-BC1E-445D-8394-FE788BFBF39E}"/>
    <cellStyle name="Percent 4 13 3 2" xfId="9676" xr:uid="{816520F4-46C8-45A9-8A06-6F3E2E0CACE8}"/>
    <cellStyle name="Percent 4 13 3 2 2" xfId="9677" xr:uid="{A75D4FCD-FEB6-4061-B18D-0B5C70898D21}"/>
    <cellStyle name="Percent 4 13 3 3" xfId="9678" xr:uid="{C3A6B19A-6C4B-471C-9F66-955F4C59BE7D}"/>
    <cellStyle name="Percent 4 13 3 3 2" xfId="9679" xr:uid="{332A3CC5-B66A-4CC0-8940-80A56F2662A4}"/>
    <cellStyle name="Percent 4 13 3 4" xfId="9680" xr:uid="{A1BB68E7-3D15-4BD3-9F1A-B4A83EA5A5B8}"/>
    <cellStyle name="Percent 4 13 4" xfId="9681" xr:uid="{E0D9EFB6-BFDC-4216-A4DB-EF591B18A4E4}"/>
    <cellStyle name="Percent 4 13 4 2" xfId="9682" xr:uid="{C46CE72C-36CF-4F29-AE71-2E15DC78E693}"/>
    <cellStyle name="Percent 4 13 4 2 2" xfId="9683" xr:uid="{1B283473-3143-4D4E-9989-6F297E30FE9A}"/>
    <cellStyle name="Percent 4 13 4 3" xfId="9684" xr:uid="{5D20E907-655E-4165-9247-D2411CCB24FC}"/>
    <cellStyle name="Percent 4 13 4 3 2" xfId="9685" xr:uid="{0E6DFEA8-AA62-4CE1-BFA6-23F503D338B0}"/>
    <cellStyle name="Percent 4 13 4 4" xfId="9686" xr:uid="{CE8EDEB1-6C32-4B5F-B12A-19BD663D9707}"/>
    <cellStyle name="Percent 4 13 5" xfId="9687" xr:uid="{796EEBE9-0A0B-4BF1-BA74-0EAEB070810B}"/>
    <cellStyle name="Percent 4 13 5 2" xfId="9688" xr:uid="{4D5DCB0F-D2AA-4F8D-8354-DD8BDA79CCAC}"/>
    <cellStyle name="Percent 4 13 5 2 2" xfId="9689" xr:uid="{A4D7945D-6E4D-408B-AF34-6431333AC717}"/>
    <cellStyle name="Percent 4 13 5 3" xfId="9690" xr:uid="{32DFE3B9-754A-4E17-8EB1-3293E6B6E0A9}"/>
    <cellStyle name="Percent 4 13 5 3 2" xfId="9691" xr:uid="{F907D1B5-3F05-42EA-9A52-C851C29AD57E}"/>
    <cellStyle name="Percent 4 13 5 4" xfId="9692" xr:uid="{EB6AA300-E171-47B4-9CD1-8BC7A835F954}"/>
    <cellStyle name="Percent 4 13 5 4 2" xfId="9693" xr:uid="{BECF1244-03C9-4EF5-B5F2-D1D37A592B0D}"/>
    <cellStyle name="Percent 4 13 5 5" xfId="9694" xr:uid="{47BD2754-37A0-481F-A6CB-9495C3F4DCBE}"/>
    <cellStyle name="Percent 4 13 6" xfId="9695" xr:uid="{9D72AB1C-038C-4A7D-A9F7-E4892586289D}"/>
    <cellStyle name="Percent 4 13 6 2" xfId="9696" xr:uid="{A80EF2D9-BEB2-4676-91C2-B252F1A02749}"/>
    <cellStyle name="Percent 4 13 6 2 2" xfId="9697" xr:uid="{84AF4F0D-CD0D-4AA9-81B8-60DEF9267AF5}"/>
    <cellStyle name="Percent 4 13 6 3" xfId="9698" xr:uid="{59379FEF-C518-44E5-80B1-6A69C53FC832}"/>
    <cellStyle name="Percent 4 13 6 3 2" xfId="9699" xr:uid="{7FAA11EC-3D44-42AC-BE69-1C306D5071E1}"/>
    <cellStyle name="Percent 4 13 6 4" xfId="9700" xr:uid="{0DA63F7C-D6F0-410D-8E71-54E42E55CB62}"/>
    <cellStyle name="Percent 4 13 7" xfId="9701" xr:uid="{81A4FB12-0612-41F1-ACB6-47C2A4816AD7}"/>
    <cellStyle name="Percent 4 13 7 2" xfId="9702" xr:uid="{08729645-D0DA-40F8-A978-2BFDEFD66E92}"/>
    <cellStyle name="Percent 4 13 8" xfId="9703" xr:uid="{E7C3697F-5240-4939-B9DC-8F697719F784}"/>
    <cellStyle name="Percent 4 13 8 2" xfId="9704" xr:uid="{87680083-54EF-440C-AB45-96530EBC18C1}"/>
    <cellStyle name="Percent 4 13 9" xfId="9705" xr:uid="{4A227B1C-562F-4B84-8AE0-94E96539CD30}"/>
    <cellStyle name="Percent 4 13 9 2" xfId="9706" xr:uid="{C147FA2B-3A75-4DC3-BB27-BBC12EA587A8}"/>
    <cellStyle name="Percent 4 14" xfId="2983" xr:uid="{0BF48213-C2B4-4908-8D22-FBF92C409928}"/>
    <cellStyle name="Percent 4 14 10" xfId="9708" xr:uid="{6800C39C-8B89-4AE5-8E59-AB68EA540055}"/>
    <cellStyle name="Percent 4 14 10 2" xfId="9709" xr:uid="{206866BE-27EE-4BEF-9907-816BB757FE9B}"/>
    <cellStyle name="Percent 4 14 11" xfId="9710" xr:uid="{044EAFE3-D83B-47B2-9435-021BBEBEAAB5}"/>
    <cellStyle name="Percent 4 14 12" xfId="9711" xr:uid="{EF301F23-91C8-4699-A2DF-1ED044B5A0B3}"/>
    <cellStyle name="Percent 4 14 13" xfId="9707" xr:uid="{91274B4A-6F1B-4342-BDDA-415476F0B66E}"/>
    <cellStyle name="Percent 4 14 2" xfId="9712" xr:uid="{09CCB6B9-93CD-435E-90E9-E94144DEDD4D}"/>
    <cellStyle name="Percent 4 14 2 10" xfId="9713" xr:uid="{26E85AD9-8B79-4A21-A648-26116122E5EC}"/>
    <cellStyle name="Percent 4 14 2 2" xfId="9714" xr:uid="{ACC94E80-C4E2-45DA-B9FD-98F33A085B8B}"/>
    <cellStyle name="Percent 4 14 2 2 2" xfId="9715" xr:uid="{81409F8F-8DE3-44D7-9BE5-97487CCC9703}"/>
    <cellStyle name="Percent 4 14 2 2 2 2" xfId="9716" xr:uid="{ACD03BEE-AEE5-41FC-8302-178283AEAF95}"/>
    <cellStyle name="Percent 4 14 2 2 3" xfId="9717" xr:uid="{7B3B0B1D-A5AF-44AB-9059-741E10D8A21A}"/>
    <cellStyle name="Percent 4 14 2 2 3 2" xfId="9718" xr:uid="{407EC0A9-0C91-4184-93C4-0917A1CCBCFE}"/>
    <cellStyle name="Percent 4 14 2 2 4" xfId="9719" xr:uid="{3A7714A3-A619-49CE-AE13-321F23CC5AA7}"/>
    <cellStyle name="Percent 4 14 2 3" xfId="9720" xr:uid="{84A095D4-8337-4E14-B537-4C078C058EF7}"/>
    <cellStyle name="Percent 4 14 2 3 2" xfId="9721" xr:uid="{E9AE8DD0-100A-44C9-8366-D845DA8DD750}"/>
    <cellStyle name="Percent 4 14 2 3 2 2" xfId="9722" xr:uid="{20B52AEB-EAEF-4390-9DB7-D6FC88A4CB10}"/>
    <cellStyle name="Percent 4 14 2 3 3" xfId="9723" xr:uid="{C5885145-6948-4161-9F27-05A9317D5861}"/>
    <cellStyle name="Percent 4 14 2 3 3 2" xfId="9724" xr:uid="{F6F92F7C-C25E-4014-BDA9-7ABF23B4E064}"/>
    <cellStyle name="Percent 4 14 2 3 4" xfId="9725" xr:uid="{43B5D321-B99D-4D38-9FF8-C6A935340F88}"/>
    <cellStyle name="Percent 4 14 2 4" xfId="9726" xr:uid="{D841112E-4CB9-4F86-8DD1-D3814ECE9D12}"/>
    <cellStyle name="Percent 4 14 2 4 2" xfId="9727" xr:uid="{627A3317-7985-4D5E-B925-79DDFEDB31C9}"/>
    <cellStyle name="Percent 4 14 2 4 2 2" xfId="9728" xr:uid="{A9A3A195-9599-4D95-B9F2-D9882C6C9B55}"/>
    <cellStyle name="Percent 4 14 2 4 3" xfId="9729" xr:uid="{158901CC-D4E1-43FE-8172-87934D93497F}"/>
    <cellStyle name="Percent 4 14 2 4 3 2" xfId="9730" xr:uid="{D4910961-1A7D-498F-B2DE-A973C50ADF86}"/>
    <cellStyle name="Percent 4 14 2 4 4" xfId="9731" xr:uid="{ECCC8A14-1918-47D7-B553-64B4F4EEE8C9}"/>
    <cellStyle name="Percent 4 14 2 4 4 2" xfId="9732" xr:uid="{855DA0BD-0A52-4C69-87E7-25AFD4EDF5AC}"/>
    <cellStyle name="Percent 4 14 2 4 5" xfId="9733" xr:uid="{D629FA34-1FF8-4259-87D4-B95591A5B1C7}"/>
    <cellStyle name="Percent 4 14 2 5" xfId="9734" xr:uid="{45C51FC6-365C-4E8D-B389-3AABF905834B}"/>
    <cellStyle name="Percent 4 14 2 5 2" xfId="9735" xr:uid="{A5B72D77-DB91-494C-ACEE-2D4F0442A011}"/>
    <cellStyle name="Percent 4 14 2 5 2 2" xfId="9736" xr:uid="{7344B2EC-5CF8-4883-8CCD-04A432595E62}"/>
    <cellStyle name="Percent 4 14 2 5 3" xfId="9737" xr:uid="{F24065A4-7292-425B-A05F-B7E5D27F03CE}"/>
    <cellStyle name="Percent 4 14 2 5 3 2" xfId="9738" xr:uid="{B696CC57-AC25-4CC6-B996-04AC174402BF}"/>
    <cellStyle name="Percent 4 14 2 5 4" xfId="9739" xr:uid="{F8C10BF6-BB36-40E8-B7FD-0A214F9C5525}"/>
    <cellStyle name="Percent 4 14 2 6" xfId="9740" xr:uid="{88B78BF4-E5B6-4373-A5ED-3D5226EE7351}"/>
    <cellStyle name="Percent 4 14 2 6 2" xfId="9741" xr:uid="{10BBC235-7D69-4E56-B576-2C956B0D428D}"/>
    <cellStyle name="Percent 4 14 2 7" xfId="9742" xr:uid="{948BD525-53E4-47EF-A0E7-935567F17C51}"/>
    <cellStyle name="Percent 4 14 2 7 2" xfId="9743" xr:uid="{567DEC03-634D-465B-B73B-58414874630A}"/>
    <cellStyle name="Percent 4 14 2 8" xfId="9744" xr:uid="{1888CB91-3965-43ED-94FD-0673E455979D}"/>
    <cellStyle name="Percent 4 14 2 8 2" xfId="9745" xr:uid="{A9027C28-147C-4ABF-9E2C-6B438C2FC229}"/>
    <cellStyle name="Percent 4 14 2 9" xfId="9746" xr:uid="{762D219A-7134-4693-9A5A-4FEA75A963CA}"/>
    <cellStyle name="Percent 4 14 3" xfId="9747" xr:uid="{B39FC237-110D-43A5-B856-F933C50D7285}"/>
    <cellStyle name="Percent 4 14 3 2" xfId="9748" xr:uid="{28309124-ECC0-42EB-BC96-3A6C4815E807}"/>
    <cellStyle name="Percent 4 14 3 2 2" xfId="9749" xr:uid="{5FA4A326-C42E-42A1-A4D2-87FE39C7231F}"/>
    <cellStyle name="Percent 4 14 3 3" xfId="9750" xr:uid="{E99AFFA9-39DD-44BC-B804-B11CC7A44F32}"/>
    <cellStyle name="Percent 4 14 3 3 2" xfId="9751" xr:uid="{DE488312-A592-42BB-BDAF-836BBE702564}"/>
    <cellStyle name="Percent 4 14 3 4" xfId="9752" xr:uid="{2FFA47A3-0693-49BB-92A0-C7AC37A52DF2}"/>
    <cellStyle name="Percent 4 14 3 5" xfId="9753" xr:uid="{4345173D-AFF1-4DF0-84B5-667995F4E490}"/>
    <cellStyle name="Percent 4 14 4" xfId="9754" xr:uid="{FB7754E5-E168-498C-A272-4E289B787CB7}"/>
    <cellStyle name="Percent 4 14 4 2" xfId="9755" xr:uid="{237A57AA-23BD-4088-8663-FE935A08F914}"/>
    <cellStyle name="Percent 4 14 4 2 2" xfId="9756" xr:uid="{195D6983-650E-4447-A2F3-74747A14B616}"/>
    <cellStyle name="Percent 4 14 4 3" xfId="9757" xr:uid="{29F77EAD-5179-485C-B435-89CBE01FB069}"/>
    <cellStyle name="Percent 4 14 4 3 2" xfId="9758" xr:uid="{AEC26E25-B707-4249-9895-34AE854481BF}"/>
    <cellStyle name="Percent 4 14 4 4" xfId="9759" xr:uid="{A2259B30-0C62-4710-A758-A1A300FBAEAC}"/>
    <cellStyle name="Percent 4 14 5" xfId="9760" xr:uid="{E834DE9E-25E7-45A0-B5B4-88503DB10E59}"/>
    <cellStyle name="Percent 4 14 5 2" xfId="9761" xr:uid="{A0BF5B0F-277F-45A6-AB47-939F5DCF2034}"/>
    <cellStyle name="Percent 4 14 5 2 2" xfId="9762" xr:uid="{CAE785A9-D2D9-4332-B526-D19F43E9A620}"/>
    <cellStyle name="Percent 4 14 5 3" xfId="9763" xr:uid="{C05B2AA1-40F5-46D4-86D4-D4F075E5DB6B}"/>
    <cellStyle name="Percent 4 14 5 3 2" xfId="9764" xr:uid="{1AA0FC8E-6FEA-44F7-991E-39432629CA4F}"/>
    <cellStyle name="Percent 4 14 5 4" xfId="9765" xr:uid="{BB471BF0-26A5-4EB0-8205-D696156E7CDB}"/>
    <cellStyle name="Percent 4 14 6" xfId="9766" xr:uid="{3D588353-EE8A-4885-8A20-F7C467AE78B0}"/>
    <cellStyle name="Percent 4 14 6 2" xfId="9767" xr:uid="{143D1A4D-D5F2-4F1F-8BE8-00C7C6CCEBA7}"/>
    <cellStyle name="Percent 4 14 6 2 2" xfId="9768" xr:uid="{9934DC39-C40E-4BBD-9ED8-B8DCEFAA188A}"/>
    <cellStyle name="Percent 4 14 6 3" xfId="9769" xr:uid="{2745443E-A0E6-41E0-83AE-4D25056FE2FA}"/>
    <cellStyle name="Percent 4 14 6 3 2" xfId="9770" xr:uid="{6C5C5834-864E-4FDD-A966-A9E43AEF01F1}"/>
    <cellStyle name="Percent 4 14 6 4" xfId="9771" xr:uid="{705838B7-FB2F-4C9E-A4B8-CEB89A0F1972}"/>
    <cellStyle name="Percent 4 14 6 4 2" xfId="9772" xr:uid="{2DD7524E-1C7C-4AD2-99AF-D3BD70623F4B}"/>
    <cellStyle name="Percent 4 14 6 5" xfId="9773" xr:uid="{B9D794C6-A6C1-4E52-AB76-1CDCF356F563}"/>
    <cellStyle name="Percent 4 14 7" xfId="9774" xr:uid="{896B346B-EDBC-4E96-A9DB-52739264CBCF}"/>
    <cellStyle name="Percent 4 14 7 2" xfId="9775" xr:uid="{2B9F7E80-18D2-417C-890D-5264E2879DB9}"/>
    <cellStyle name="Percent 4 14 7 2 2" xfId="9776" xr:uid="{7C62629B-41C0-4559-8DEB-E5181277C1B0}"/>
    <cellStyle name="Percent 4 14 7 3" xfId="9777" xr:uid="{47A213EA-4AFD-4C0A-AAD8-A68458097175}"/>
    <cellStyle name="Percent 4 14 7 3 2" xfId="9778" xr:uid="{483384CF-956A-4296-9524-C4E10642B66D}"/>
    <cellStyle name="Percent 4 14 7 4" xfId="9779" xr:uid="{43580CFB-EFF5-467E-B89F-3B00C9E52D5A}"/>
    <cellStyle name="Percent 4 14 8" xfId="9780" xr:uid="{1482ACD3-7946-4A96-9FB3-0D9C236916CA}"/>
    <cellStyle name="Percent 4 14 8 2" xfId="9781" xr:uid="{260D9268-1443-4B7C-B6C9-B0C1A7FE163D}"/>
    <cellStyle name="Percent 4 14 9" xfId="9782" xr:uid="{17B480A1-5DB7-40F5-B74F-73C4636AE74A}"/>
    <cellStyle name="Percent 4 14 9 2" xfId="9783" xr:uid="{D20A4CEE-AD91-4B4A-A4ED-07D8F28C521E}"/>
    <cellStyle name="Percent 4 15" xfId="2984" xr:uid="{D3A90E5A-7A79-4C68-83B0-246C2377E572}"/>
    <cellStyle name="Percent 4 15 10" xfId="9785" xr:uid="{B9C9438A-6FCC-4211-BE24-831941EA434B}"/>
    <cellStyle name="Percent 4 15 11" xfId="9786" xr:uid="{1B07169A-7367-49D6-8C0E-D92D0E4C3478}"/>
    <cellStyle name="Percent 4 15 12" xfId="9784" xr:uid="{0E8B1B3A-E72A-4613-82D6-153117AE0428}"/>
    <cellStyle name="Percent 4 15 2" xfId="9787" xr:uid="{F229FFDD-354E-410A-A1B3-6C1B59263017}"/>
    <cellStyle name="Percent 4 15 2 2" xfId="9788" xr:uid="{7BB4D95A-7E98-45EB-972B-14029597BC5F}"/>
    <cellStyle name="Percent 4 15 2 2 2" xfId="9789" xr:uid="{5D7DC1AC-88AD-4DE9-AB5E-8A2152BCFC9C}"/>
    <cellStyle name="Percent 4 15 2 3" xfId="9790" xr:uid="{52360FED-AEA7-4CAD-B902-73E2F255750D}"/>
    <cellStyle name="Percent 4 15 2 3 2" xfId="9791" xr:uid="{73C4136E-073C-489D-853A-E9E5485FFF4F}"/>
    <cellStyle name="Percent 4 15 2 4" xfId="9792" xr:uid="{A91B1AB8-9768-4DE4-9AB5-727A01AD59D1}"/>
    <cellStyle name="Percent 4 15 2 5" xfId="9793" xr:uid="{F34DA2FE-3565-4AAF-8556-423B0136BE7B}"/>
    <cellStyle name="Percent 4 15 3" xfId="9794" xr:uid="{6458E5C9-6123-4C2F-9C68-A3988A86D30D}"/>
    <cellStyle name="Percent 4 15 3 2" xfId="9795" xr:uid="{58EF7F34-1A7E-4206-893F-70514107176C}"/>
    <cellStyle name="Percent 4 15 3 2 2" xfId="9796" xr:uid="{C72496BF-1FCE-4C3C-8C14-0F33808D3F89}"/>
    <cellStyle name="Percent 4 15 3 3" xfId="9797" xr:uid="{4EA36C81-5FE4-4664-9F48-B037C8D9CBB4}"/>
    <cellStyle name="Percent 4 15 3 3 2" xfId="9798" xr:uid="{3306C052-8D6F-4DD9-8909-630DBD0B2C21}"/>
    <cellStyle name="Percent 4 15 3 4" xfId="9799" xr:uid="{7D4DEDB9-1F6B-4989-9E99-637C3B2CE18B}"/>
    <cellStyle name="Percent 4 15 4" xfId="9800" xr:uid="{00AA8C01-5ADB-4B56-8B85-7E923DEDA796}"/>
    <cellStyle name="Percent 4 15 4 2" xfId="9801" xr:uid="{EF8859E1-D82B-4AE2-BD07-F78963CF97D3}"/>
    <cellStyle name="Percent 4 15 4 2 2" xfId="9802" xr:uid="{B4931E52-51D6-42A6-B00E-321121B9B984}"/>
    <cellStyle name="Percent 4 15 4 3" xfId="9803" xr:uid="{7C7709E7-8CC8-42CB-A0D7-4C11E461D254}"/>
    <cellStyle name="Percent 4 15 4 3 2" xfId="9804" xr:uid="{EBB73EB0-B63B-4DED-9501-8BBAAC907D2D}"/>
    <cellStyle name="Percent 4 15 4 4" xfId="9805" xr:uid="{AC1CA538-1136-4F2D-96D0-62727FA796BB}"/>
    <cellStyle name="Percent 4 15 5" xfId="9806" xr:uid="{8861931D-D393-4CBE-AAAE-B4EFA64ABFE2}"/>
    <cellStyle name="Percent 4 15 5 2" xfId="9807" xr:uid="{EC029398-6335-4892-B48D-5342F07E82DF}"/>
    <cellStyle name="Percent 4 15 5 2 2" xfId="9808" xr:uid="{AAFAF766-20B3-497B-A553-106F1D63B46C}"/>
    <cellStyle name="Percent 4 15 5 3" xfId="9809" xr:uid="{BAA449CA-7F4F-4B5B-81EA-42376B9D27E4}"/>
    <cellStyle name="Percent 4 15 5 3 2" xfId="9810" xr:uid="{22EF6BF3-BB2C-4556-B9F7-B4D9FB7F4EE5}"/>
    <cellStyle name="Percent 4 15 5 4" xfId="9811" xr:uid="{BEEA8B56-2078-4ACE-A23D-49913C33FE75}"/>
    <cellStyle name="Percent 4 15 5 4 2" xfId="9812" xr:uid="{DCF085F8-3689-485C-B275-B1638AE433AD}"/>
    <cellStyle name="Percent 4 15 5 5" xfId="9813" xr:uid="{F1EB2489-3AE0-4CA6-964E-651B904431C8}"/>
    <cellStyle name="Percent 4 15 6" xfId="9814" xr:uid="{D1749799-6E26-4393-AEC9-45E5F2895D1B}"/>
    <cellStyle name="Percent 4 15 6 2" xfId="9815" xr:uid="{7DB31032-8B1C-4FA2-BB52-A02F8F63AD8B}"/>
    <cellStyle name="Percent 4 15 6 2 2" xfId="9816" xr:uid="{749850EC-ABD9-4FCA-8504-9BC8AA22E16D}"/>
    <cellStyle name="Percent 4 15 6 3" xfId="9817" xr:uid="{DD83EBF8-44FD-4D26-965F-19B60E51A9D5}"/>
    <cellStyle name="Percent 4 15 6 3 2" xfId="9818" xr:uid="{5D00A6CB-C7F2-4FFF-A4D3-A8C81962AEA8}"/>
    <cellStyle name="Percent 4 15 6 4" xfId="9819" xr:uid="{12CE9AF6-D2D1-48FC-8667-C215FB88AA3A}"/>
    <cellStyle name="Percent 4 15 7" xfId="9820" xr:uid="{1414232C-CBF9-49DA-B31B-D80E9A6BD0FA}"/>
    <cellStyle name="Percent 4 15 7 2" xfId="9821" xr:uid="{AADA837E-108C-4879-8399-EE7813CCA3DC}"/>
    <cellStyle name="Percent 4 15 8" xfId="9822" xr:uid="{1F82C953-C70F-474B-958B-82ED40020C42}"/>
    <cellStyle name="Percent 4 15 8 2" xfId="9823" xr:uid="{D3A28320-1F4C-415D-98AC-81025AC84711}"/>
    <cellStyle name="Percent 4 15 9" xfId="9824" xr:uid="{F111BCC3-A4B2-42AB-839C-682A2D0F4EDE}"/>
    <cellStyle name="Percent 4 15 9 2" xfId="9825" xr:uid="{73A5B51E-2D58-4B4D-B650-FDBE807B6D71}"/>
    <cellStyle name="Percent 4 16" xfId="2985" xr:uid="{D1CC504E-C298-4CDA-A856-1C724F31490C}"/>
    <cellStyle name="Percent 4 16 10" xfId="9827" xr:uid="{7F1B11C9-A59D-48BA-90D4-BFE8BEC20B98}"/>
    <cellStyle name="Percent 4 16 11" xfId="9828" xr:uid="{0F0246A7-7EB0-4B27-A84C-8CB2DE3976CA}"/>
    <cellStyle name="Percent 4 16 12" xfId="9826" xr:uid="{B25B3B1E-2A9B-4FAD-9EE7-817CC38AE898}"/>
    <cellStyle name="Percent 4 16 2" xfId="4738" xr:uid="{287F7C04-FA2C-472B-8ACC-19A97BC6F340}"/>
    <cellStyle name="Percent 4 16 2 2" xfId="9830" xr:uid="{0371898F-5124-41C2-A05D-A2C9F0530D27}"/>
    <cellStyle name="Percent 4 16 2 2 2" xfId="9831" xr:uid="{1998777E-5C5C-4228-A1EB-AB5B771A3252}"/>
    <cellStyle name="Percent 4 16 2 3" xfId="9832" xr:uid="{3465B43E-9E52-4E8F-8A35-A40AC91856AE}"/>
    <cellStyle name="Percent 4 16 2 3 2" xfId="9833" xr:uid="{FC69A5EE-BAE5-45B9-AF4C-6C1115DE7963}"/>
    <cellStyle name="Percent 4 16 2 4" xfId="9834" xr:uid="{767B9CD7-EF11-49D4-8FE2-7E80AB279214}"/>
    <cellStyle name="Percent 4 16 2 5" xfId="9835" xr:uid="{A179A049-68CC-4984-BBB8-EB5AF16D44A7}"/>
    <cellStyle name="Percent 4 16 2 6" xfId="9829" xr:uid="{A8715D6B-4F4E-4832-BCF2-1CAF0142F589}"/>
    <cellStyle name="Percent 4 16 3" xfId="9836" xr:uid="{A9B75063-CBF8-4760-BC53-4A9C3F9EC5EB}"/>
    <cellStyle name="Percent 4 16 3 2" xfId="9837" xr:uid="{F311AD84-E071-40AD-A087-543129C99793}"/>
    <cellStyle name="Percent 4 16 3 2 2" xfId="9838" xr:uid="{7D09174C-BBF1-4FF4-BC0B-49EA9FF0480E}"/>
    <cellStyle name="Percent 4 16 3 3" xfId="9839" xr:uid="{8DFC06EA-76F2-4495-8A23-6363F56943C1}"/>
    <cellStyle name="Percent 4 16 3 3 2" xfId="9840" xr:uid="{EC28C55C-4B2D-4227-8B15-7DE501A1BA97}"/>
    <cellStyle name="Percent 4 16 3 4" xfId="9841" xr:uid="{97E96C6E-7D40-4BE8-9C62-E85FCD25A4FA}"/>
    <cellStyle name="Percent 4 16 4" xfId="9842" xr:uid="{E009A702-A81A-41FC-9CAF-F596278F3C2A}"/>
    <cellStyle name="Percent 4 16 4 2" xfId="9843" xr:uid="{5D7E4FA6-56F6-41AF-867B-FE1EB6A8AEBC}"/>
    <cellStyle name="Percent 4 16 4 2 2" xfId="9844" xr:uid="{345227C6-FEFB-4C2D-873F-CD972B80DD79}"/>
    <cellStyle name="Percent 4 16 4 3" xfId="9845" xr:uid="{6BF31B08-EA8F-40BE-B211-6AF4B318A93F}"/>
    <cellStyle name="Percent 4 16 4 3 2" xfId="9846" xr:uid="{1EE7F629-9068-4B05-9268-4CCF2EA6A478}"/>
    <cellStyle name="Percent 4 16 4 4" xfId="9847" xr:uid="{21D5CA36-A689-4941-AC36-8B5D03514B13}"/>
    <cellStyle name="Percent 4 16 5" xfId="9848" xr:uid="{AF5C57EE-E55E-48BF-822D-602D008B1812}"/>
    <cellStyle name="Percent 4 16 5 2" xfId="9849" xr:uid="{886FCCF0-CF8B-4DD6-A031-0D4C9916E8A7}"/>
    <cellStyle name="Percent 4 16 5 2 2" xfId="9850" xr:uid="{F107EEB2-C613-4EB0-97C9-F365CA75627C}"/>
    <cellStyle name="Percent 4 16 5 3" xfId="9851" xr:uid="{96AE2F2F-4B8E-4F79-9976-055209CA406D}"/>
    <cellStyle name="Percent 4 16 5 3 2" xfId="9852" xr:uid="{480BD6FA-5334-40C4-A308-AFA17FAF4F16}"/>
    <cellStyle name="Percent 4 16 5 4" xfId="9853" xr:uid="{8A6600C6-3FCF-447D-8139-19140CC40F17}"/>
    <cellStyle name="Percent 4 16 5 4 2" xfId="9854" xr:uid="{1AA0389E-7FD9-4DB9-8EE0-095A198FAA83}"/>
    <cellStyle name="Percent 4 16 5 5" xfId="9855" xr:uid="{A630EFB4-B509-46DD-995E-E99E0A358750}"/>
    <cellStyle name="Percent 4 16 6" xfId="9856" xr:uid="{B4792521-3700-4D9C-8569-03155978D947}"/>
    <cellStyle name="Percent 4 16 6 2" xfId="9857" xr:uid="{CA5EF385-3CC3-4E82-921D-57B64C7601D3}"/>
    <cellStyle name="Percent 4 16 6 2 2" xfId="9858" xr:uid="{80A31CDB-AEF7-4FE7-9443-EFFF3CAD9E07}"/>
    <cellStyle name="Percent 4 16 6 3" xfId="9859" xr:uid="{A68E4BC5-FCF8-44A2-B73A-3BB8A63AD482}"/>
    <cellStyle name="Percent 4 16 6 3 2" xfId="9860" xr:uid="{A56712F1-20B5-4501-A474-4A990382E518}"/>
    <cellStyle name="Percent 4 16 6 4" xfId="9861" xr:uid="{2E553999-BB5C-4E26-975B-D5B55577286E}"/>
    <cellStyle name="Percent 4 16 7" xfId="9862" xr:uid="{8535FCB7-25F7-4316-9FAE-ADE44349EA28}"/>
    <cellStyle name="Percent 4 16 7 2" xfId="9863" xr:uid="{48E1097C-F1DF-4C2F-AF70-2A38E24ABA3E}"/>
    <cellStyle name="Percent 4 16 8" xfId="9864" xr:uid="{E309B9FC-6FD6-4624-9CDC-8926E3335CF2}"/>
    <cellStyle name="Percent 4 16 8 2" xfId="9865" xr:uid="{5E29A5F8-1877-4EB6-BAE3-28ED80C2D0AA}"/>
    <cellStyle name="Percent 4 16 9" xfId="9866" xr:uid="{6B3CE574-C77A-47E0-B26C-F3D68E210679}"/>
    <cellStyle name="Percent 4 16 9 2" xfId="9867" xr:uid="{F664AAA8-7AAA-4C61-A390-4FDAF8ED58AD}"/>
    <cellStyle name="Percent 4 17" xfId="2986" xr:uid="{9133F19B-0C37-44F2-A734-43CEFBF05D6B}"/>
    <cellStyle name="Percent 4 17 10" xfId="9869" xr:uid="{AD5922FF-3DEA-47CD-8D98-A6AB58546158}"/>
    <cellStyle name="Percent 4 17 11" xfId="9870" xr:uid="{A7C32564-71AA-448E-B7C7-BBC42609B202}"/>
    <cellStyle name="Percent 4 17 12" xfId="9868" xr:uid="{36C3AA8D-53C8-4F8E-8589-5F8AB503919E}"/>
    <cellStyle name="Percent 4 17 2" xfId="9871" xr:uid="{32E287C9-A5DD-4086-8F49-FFF245482195}"/>
    <cellStyle name="Percent 4 17 2 2" xfId="9872" xr:uid="{2D8F5E7B-417F-488A-8C8B-23AB7567FE08}"/>
    <cellStyle name="Percent 4 17 2 2 2" xfId="9873" xr:uid="{6B854903-37F2-4050-B642-0702095B69BA}"/>
    <cellStyle name="Percent 4 17 2 3" xfId="9874" xr:uid="{8CB07CF6-6852-41BE-9DD0-F6760F5B46D0}"/>
    <cellStyle name="Percent 4 17 2 3 2" xfId="9875" xr:uid="{5D1FDF87-9E91-407A-967A-6C6B594B7E45}"/>
    <cellStyle name="Percent 4 17 2 4" xfId="9876" xr:uid="{E34EE868-CB41-4D50-9CE6-A33E745A7812}"/>
    <cellStyle name="Percent 4 17 2 5" xfId="9877" xr:uid="{3F21FBFF-881E-495E-ADE0-743B8ABCABED}"/>
    <cellStyle name="Percent 4 17 3" xfId="9878" xr:uid="{9672E29A-9E8A-42D1-B2F0-B970577409B7}"/>
    <cellStyle name="Percent 4 17 3 2" xfId="9879" xr:uid="{E855D8FE-031B-438C-B621-BC98952F95DA}"/>
    <cellStyle name="Percent 4 17 3 2 2" xfId="9880" xr:uid="{351C5E98-DF19-4E3F-8149-C056205E5D4A}"/>
    <cellStyle name="Percent 4 17 3 3" xfId="9881" xr:uid="{B2EE836E-3986-4929-8F7D-C2107DD0619C}"/>
    <cellStyle name="Percent 4 17 3 3 2" xfId="9882" xr:uid="{057001FB-D03F-4A3E-A90E-ECBA9A250EFE}"/>
    <cellStyle name="Percent 4 17 3 4" xfId="9883" xr:uid="{A2E672C8-9DF4-4981-A5B7-F66D160261E0}"/>
    <cellStyle name="Percent 4 17 4" xfId="9884" xr:uid="{7E6A4DFA-1AC5-4062-88EE-2F21DD23318A}"/>
    <cellStyle name="Percent 4 17 4 2" xfId="9885" xr:uid="{936CD474-06AA-4A58-9EA5-4DEA1FA7B87D}"/>
    <cellStyle name="Percent 4 17 4 2 2" xfId="9886" xr:uid="{962D5F72-76B0-429A-A702-7323EC0490ED}"/>
    <cellStyle name="Percent 4 17 4 3" xfId="9887" xr:uid="{2EBAAF8F-B5E0-471B-B5BC-9FBDDE19094D}"/>
    <cellStyle name="Percent 4 17 4 3 2" xfId="9888" xr:uid="{DD3DA50D-A778-4BB5-90AE-DB640EE5414D}"/>
    <cellStyle name="Percent 4 17 4 4" xfId="9889" xr:uid="{3EDEFC28-6A8D-473D-9A39-DD0CE1663355}"/>
    <cellStyle name="Percent 4 17 5" xfId="9890" xr:uid="{BA5AB9DC-A138-48EA-B810-A857A96E4877}"/>
    <cellStyle name="Percent 4 17 5 2" xfId="9891" xr:uid="{6CDABF0C-707C-48EF-A9A4-2A402093355C}"/>
    <cellStyle name="Percent 4 17 5 2 2" xfId="9892" xr:uid="{0880BC63-E796-41ED-83BC-646F86FB67CB}"/>
    <cellStyle name="Percent 4 17 5 3" xfId="9893" xr:uid="{2A50ED23-3FB1-4167-9BAB-0411F2D971F8}"/>
    <cellStyle name="Percent 4 17 5 3 2" xfId="9894" xr:uid="{F58DFE20-970D-4CCE-8951-48091B50CCEE}"/>
    <cellStyle name="Percent 4 17 5 4" xfId="9895" xr:uid="{BFABFBEA-D138-455D-8A00-894314B60B1D}"/>
    <cellStyle name="Percent 4 17 5 4 2" xfId="9896" xr:uid="{B0094F27-381E-4248-BF4B-030811AE05A6}"/>
    <cellStyle name="Percent 4 17 5 5" xfId="9897" xr:uid="{4F847D8E-6980-44FA-BCE7-D8CE686F1A18}"/>
    <cellStyle name="Percent 4 17 6" xfId="9898" xr:uid="{F6B7FF4D-71C2-4476-9CAD-DA7EA7D020A3}"/>
    <cellStyle name="Percent 4 17 6 2" xfId="9899" xr:uid="{34760009-4873-4966-9157-FC5EA76E27BF}"/>
    <cellStyle name="Percent 4 17 6 2 2" xfId="9900" xr:uid="{23518CFC-4B6E-42C0-AF2F-27D7011E86C4}"/>
    <cellStyle name="Percent 4 17 6 3" xfId="9901" xr:uid="{B11B1F8E-F6B3-483A-B9D9-0262713349A2}"/>
    <cellStyle name="Percent 4 17 6 3 2" xfId="9902" xr:uid="{B055445B-5841-4F89-B055-FB4E90806956}"/>
    <cellStyle name="Percent 4 17 6 4" xfId="9903" xr:uid="{49A5B588-B2FF-4C18-ACAE-13215DE2F66C}"/>
    <cellStyle name="Percent 4 17 7" xfId="9904" xr:uid="{56A3A42B-BAC6-4156-AB30-50B66C8AF58C}"/>
    <cellStyle name="Percent 4 17 7 2" xfId="9905" xr:uid="{6BDB43F0-4902-4786-81C0-C42209E8FA36}"/>
    <cellStyle name="Percent 4 17 8" xfId="9906" xr:uid="{7F3B4467-A46E-431B-9F20-45F1FC19EA7E}"/>
    <cellStyle name="Percent 4 17 8 2" xfId="9907" xr:uid="{3810FCB7-6F9D-461D-A34E-D0C8E47AE306}"/>
    <cellStyle name="Percent 4 17 9" xfId="9908" xr:uid="{778B7EBA-6C4A-4C29-BBBF-63783ED7BEE3}"/>
    <cellStyle name="Percent 4 17 9 2" xfId="9909" xr:uid="{08455B14-A3FB-4B43-96F9-F09918B5B064}"/>
    <cellStyle name="Percent 4 18" xfId="2987" xr:uid="{20016E13-6A0D-45B1-8CA8-4513C249AC5C}"/>
    <cellStyle name="Percent 4 18 10" xfId="9911" xr:uid="{F1191433-C89E-4E10-A816-846C94F1FFF0}"/>
    <cellStyle name="Percent 4 18 11" xfId="9912" xr:uid="{0B39CFD3-33FE-4AC2-9519-FF5FC76F5CBB}"/>
    <cellStyle name="Percent 4 18 12" xfId="9910" xr:uid="{AA036970-8805-4382-B947-59E732B9A5CF}"/>
    <cellStyle name="Percent 4 18 2" xfId="9913" xr:uid="{B81E912D-1263-4FCC-836F-8B0F3637763B}"/>
    <cellStyle name="Percent 4 18 2 2" xfId="9914" xr:uid="{9E0E2D83-39D5-47D4-AA41-4D67894B259D}"/>
    <cellStyle name="Percent 4 18 2 2 2" xfId="9915" xr:uid="{6FA74015-569E-416C-8DCE-318498A328BD}"/>
    <cellStyle name="Percent 4 18 2 3" xfId="9916" xr:uid="{19440274-2DB1-4D7B-A64A-EECC5745CB13}"/>
    <cellStyle name="Percent 4 18 2 3 2" xfId="9917" xr:uid="{E64B1AFD-3CAE-4208-83B7-E9208F3D8810}"/>
    <cellStyle name="Percent 4 18 2 4" xfId="9918" xr:uid="{C6C2240C-5DF9-4D65-8425-EB08F304EAAF}"/>
    <cellStyle name="Percent 4 18 2 5" xfId="9919" xr:uid="{5B2C0565-C015-48D2-AA8E-13C433D672DC}"/>
    <cellStyle name="Percent 4 18 3" xfId="9920" xr:uid="{E37BACAA-7B10-49AD-91CB-119BB53CEEEF}"/>
    <cellStyle name="Percent 4 18 3 2" xfId="9921" xr:uid="{8E6DF801-3D9F-4600-B133-474D06C8CEA1}"/>
    <cellStyle name="Percent 4 18 3 2 2" xfId="9922" xr:uid="{2E227E0C-E82C-431C-B594-729AAFBEBBDB}"/>
    <cellStyle name="Percent 4 18 3 3" xfId="9923" xr:uid="{2D0BD53C-8A3C-4C30-B74D-5F4E26FA97F8}"/>
    <cellStyle name="Percent 4 18 3 3 2" xfId="9924" xr:uid="{F7C2F3BE-43E0-473E-B968-2C39F8FF0626}"/>
    <cellStyle name="Percent 4 18 3 4" xfId="9925" xr:uid="{8E2CDAFB-BFED-442A-8039-772DFDC1B8C9}"/>
    <cellStyle name="Percent 4 18 4" xfId="9926" xr:uid="{8DC7FB15-B8D4-4E55-953D-069A324B729B}"/>
    <cellStyle name="Percent 4 18 4 2" xfId="9927" xr:uid="{15A76A50-6781-4F1F-9E16-F487D7D7832B}"/>
    <cellStyle name="Percent 4 18 4 2 2" xfId="9928" xr:uid="{412FBBF2-F22B-4749-871A-8EFED7233ADD}"/>
    <cellStyle name="Percent 4 18 4 3" xfId="9929" xr:uid="{42AF2129-E631-4DBF-A0D7-23622DC15743}"/>
    <cellStyle name="Percent 4 18 4 3 2" xfId="9930" xr:uid="{B5E84823-6928-414C-AA10-560A4759302E}"/>
    <cellStyle name="Percent 4 18 4 4" xfId="9931" xr:uid="{531F89BF-B87F-4C7F-9759-1752B4A2311B}"/>
    <cellStyle name="Percent 4 18 5" xfId="9932" xr:uid="{8AF525BA-05FA-459D-A5DD-E4F3CDA5EFB9}"/>
    <cellStyle name="Percent 4 18 5 2" xfId="9933" xr:uid="{15E449EC-39D4-4679-82A1-D6089671683B}"/>
    <cellStyle name="Percent 4 18 5 2 2" xfId="9934" xr:uid="{5F5D46D3-36F3-41C3-B115-AC25D4A09376}"/>
    <cellStyle name="Percent 4 18 5 3" xfId="9935" xr:uid="{0A072BD4-3E30-4929-BD12-56B67D8E6F6B}"/>
    <cellStyle name="Percent 4 18 5 3 2" xfId="9936" xr:uid="{1E2202F9-5130-4447-BCBB-4BD6AF4D0FDF}"/>
    <cellStyle name="Percent 4 18 5 4" xfId="9937" xr:uid="{1691C5A7-3611-4B3B-BDB5-9B821CD3F475}"/>
    <cellStyle name="Percent 4 18 5 4 2" xfId="9938" xr:uid="{D0E74452-2097-43EF-A7E2-C280ACC9D52E}"/>
    <cellStyle name="Percent 4 18 5 5" xfId="9939" xr:uid="{79881F79-7180-4B5A-A379-E5D6929E4DB4}"/>
    <cellStyle name="Percent 4 18 6" xfId="9940" xr:uid="{B8A696ED-6CA9-4087-B544-D38BA6A8876A}"/>
    <cellStyle name="Percent 4 18 6 2" xfId="9941" xr:uid="{82E2E1DD-516F-40A2-B1E7-FB8D485B59B1}"/>
    <cellStyle name="Percent 4 18 6 2 2" xfId="9942" xr:uid="{BA01182D-8D01-40BB-8FF5-4BD682CAE37D}"/>
    <cellStyle name="Percent 4 18 6 3" xfId="9943" xr:uid="{8047ACC8-26C8-4FC1-9F61-836470F2B23D}"/>
    <cellStyle name="Percent 4 18 6 3 2" xfId="9944" xr:uid="{07120717-FF07-4688-8EA5-2F1BBF653A4A}"/>
    <cellStyle name="Percent 4 18 6 4" xfId="9945" xr:uid="{A32A92C6-E346-460F-A81E-373F6F5086A0}"/>
    <cellStyle name="Percent 4 18 7" xfId="9946" xr:uid="{828F382C-C715-4798-A83A-A4EF4CE86D1F}"/>
    <cellStyle name="Percent 4 18 7 2" xfId="9947" xr:uid="{C96DC007-2B29-417A-AA0C-BA2720ECA2F9}"/>
    <cellStyle name="Percent 4 18 8" xfId="9948" xr:uid="{7164DFB9-BDB0-4F0E-9D97-02EB143D758E}"/>
    <cellStyle name="Percent 4 18 8 2" xfId="9949" xr:uid="{9EC18779-66B0-4C10-9D1D-7F6BAABDE69A}"/>
    <cellStyle name="Percent 4 18 9" xfId="9950" xr:uid="{C3FEC8C7-DE93-46C1-96E3-2A16E0ED2BF7}"/>
    <cellStyle name="Percent 4 18 9 2" xfId="9951" xr:uid="{0E79177F-9F3C-43A6-9BF6-4D5183088F6B}"/>
    <cellStyle name="Percent 4 19" xfId="2988" xr:uid="{1F42B3BD-F8A6-4D2F-B900-E689F41D8941}"/>
    <cellStyle name="Percent 4 19 10" xfId="9953" xr:uid="{7E264B3C-2BBC-4C20-BCCB-08E5A416A00A}"/>
    <cellStyle name="Percent 4 19 11" xfId="9954" xr:uid="{6BD58D89-3903-4F89-8777-6430DC015CEE}"/>
    <cellStyle name="Percent 4 19 12" xfId="9952" xr:uid="{C1629663-38F6-40C3-B717-B5B727CFC064}"/>
    <cellStyle name="Percent 4 19 2" xfId="9955" xr:uid="{28D03A0A-F82F-471E-8B33-721E6EDD8546}"/>
    <cellStyle name="Percent 4 19 2 2" xfId="9956" xr:uid="{EB7EEA8E-4005-4950-AD00-AF22B5A79C5A}"/>
    <cellStyle name="Percent 4 19 2 2 2" xfId="9957" xr:uid="{371720C8-B450-4248-BA7A-599B7D87FF8E}"/>
    <cellStyle name="Percent 4 19 2 3" xfId="9958" xr:uid="{625D6B0A-7187-4C0F-8A37-3332FA6D1D30}"/>
    <cellStyle name="Percent 4 19 2 3 2" xfId="9959" xr:uid="{D5BB30A4-3CDE-4F68-8084-DFB9CF590E19}"/>
    <cellStyle name="Percent 4 19 2 4" xfId="9960" xr:uid="{D9FC508A-B1CE-41E4-8EAD-FC11EEFC81FB}"/>
    <cellStyle name="Percent 4 19 2 5" xfId="9961" xr:uid="{456C38EE-6A5A-46D3-9AF9-30F848AF3DD1}"/>
    <cellStyle name="Percent 4 19 3" xfId="9962" xr:uid="{A7B788D0-DC81-46FD-8889-0768D3D05691}"/>
    <cellStyle name="Percent 4 19 3 2" xfId="9963" xr:uid="{A0FC6C14-F366-4892-9413-CCABED844BCD}"/>
    <cellStyle name="Percent 4 19 3 2 2" xfId="9964" xr:uid="{806B3978-7755-426F-A8EB-9EEBDBFCF191}"/>
    <cellStyle name="Percent 4 19 3 3" xfId="9965" xr:uid="{1CAFEBBD-B8F6-4705-AAAA-1C2FF9ABB480}"/>
    <cellStyle name="Percent 4 19 3 3 2" xfId="9966" xr:uid="{951356FA-EBCE-4B29-AD9E-FC5BB53386B3}"/>
    <cellStyle name="Percent 4 19 3 4" xfId="9967" xr:uid="{F29B6B04-BBDB-4E8E-A0ED-92BA767BA9A8}"/>
    <cellStyle name="Percent 4 19 4" xfId="9968" xr:uid="{99FF11DA-ACA1-48C1-A808-D889E6A1EEC9}"/>
    <cellStyle name="Percent 4 19 4 2" xfId="9969" xr:uid="{67118E00-285E-4A8D-8C7A-6F3E5E22B094}"/>
    <cellStyle name="Percent 4 19 4 2 2" xfId="9970" xr:uid="{10AF182C-C8C5-42CB-BB41-00A15A10066B}"/>
    <cellStyle name="Percent 4 19 4 3" xfId="9971" xr:uid="{756117F4-6FBE-43F1-871E-0B2E6D8F4E74}"/>
    <cellStyle name="Percent 4 19 4 3 2" xfId="9972" xr:uid="{53B96ED6-D538-4408-B4CB-8AE4038A3A0E}"/>
    <cellStyle name="Percent 4 19 4 4" xfId="9973" xr:uid="{5B258059-6C31-4D2B-AF49-37B9D415226E}"/>
    <cellStyle name="Percent 4 19 5" xfId="9974" xr:uid="{A42FB793-56C1-4009-9DCA-9895709C7B69}"/>
    <cellStyle name="Percent 4 19 5 2" xfId="9975" xr:uid="{4B1E9366-00F5-46A7-A079-5EB0DE11BA3F}"/>
    <cellStyle name="Percent 4 19 5 2 2" xfId="9976" xr:uid="{61C40731-57DF-4740-8526-EA16A3E78978}"/>
    <cellStyle name="Percent 4 19 5 3" xfId="9977" xr:uid="{E19EEBD6-B7E7-473F-BCA1-503C02F1E0B3}"/>
    <cellStyle name="Percent 4 19 5 3 2" xfId="9978" xr:uid="{28FEDE8A-C23F-4EA1-B56B-84E3101A1306}"/>
    <cellStyle name="Percent 4 19 5 4" xfId="9979" xr:uid="{CF24A3C2-D5C9-4943-8B6E-2F5D5D9205BC}"/>
    <cellStyle name="Percent 4 19 5 4 2" xfId="9980" xr:uid="{7976D72D-4149-4868-918C-4495CE04FEC9}"/>
    <cellStyle name="Percent 4 19 5 5" xfId="9981" xr:uid="{81C9C767-1E11-4409-A966-1E40D8564597}"/>
    <cellStyle name="Percent 4 19 6" xfId="9982" xr:uid="{0E3F6DC5-02ED-491D-9C80-465B4482561A}"/>
    <cellStyle name="Percent 4 19 6 2" xfId="9983" xr:uid="{AA6D886B-34B3-45A3-AE58-472AE3D5C844}"/>
    <cellStyle name="Percent 4 19 6 2 2" xfId="9984" xr:uid="{893AF430-92C2-4DFC-8885-CEC7D26FDC72}"/>
    <cellStyle name="Percent 4 19 6 3" xfId="9985" xr:uid="{63E73CD8-410D-4C56-9F12-2FAC56F5C9C0}"/>
    <cellStyle name="Percent 4 19 6 3 2" xfId="9986" xr:uid="{8AE4194E-3F76-4146-A167-34A38F1D837E}"/>
    <cellStyle name="Percent 4 19 6 4" xfId="9987" xr:uid="{40BD27AE-90C6-427F-A3A4-78760ACC21D6}"/>
    <cellStyle name="Percent 4 19 7" xfId="9988" xr:uid="{4C213D1A-1F86-48D3-9A84-13FEB585F905}"/>
    <cellStyle name="Percent 4 19 7 2" xfId="9989" xr:uid="{6BBBE891-7BB3-45A4-9DCA-DBA01611245F}"/>
    <cellStyle name="Percent 4 19 8" xfId="9990" xr:uid="{53BE5B9A-1D1F-4093-82E3-610327B3E5DD}"/>
    <cellStyle name="Percent 4 19 8 2" xfId="9991" xr:uid="{49CC261B-5573-4F45-BC42-5A0026C634AA}"/>
    <cellStyle name="Percent 4 19 9" xfId="9992" xr:uid="{09EEA6B8-6B3B-4CD4-BA91-254EBA9EB798}"/>
    <cellStyle name="Percent 4 19 9 2" xfId="9993" xr:uid="{E862106E-9124-44BC-B270-F9A019E1CF94}"/>
    <cellStyle name="Percent 4 2" xfId="296" xr:uid="{787052D4-B706-47B5-A56A-420170992502}"/>
    <cellStyle name="Percent 4 2 10" xfId="9995" xr:uid="{F46DADD3-372D-44C7-97AA-20844C62C522}"/>
    <cellStyle name="Percent 4 2 10 2" xfId="9996" xr:uid="{99991B3C-C544-4A4C-A179-C545EA172E3D}"/>
    <cellStyle name="Percent 4 2 10 2 2" xfId="9997" xr:uid="{FEDDF8F0-9CFD-40E7-B39F-3A21AD042609}"/>
    <cellStyle name="Percent 4 2 10 3" xfId="9998" xr:uid="{DD9F22BE-685F-46E5-B106-B67D65698516}"/>
    <cellStyle name="Percent 4 2 10 3 2" xfId="9999" xr:uid="{4E24A5DB-BBCB-4CFF-952C-12CE5AE29022}"/>
    <cellStyle name="Percent 4 2 10 4" xfId="10000" xr:uid="{B8C34C97-E39B-4017-A938-AD64A81C2D59}"/>
    <cellStyle name="Percent 4 2 11" xfId="10001" xr:uid="{2CC9A7CD-A3EA-4D3E-9123-CCAB71D67269}"/>
    <cellStyle name="Percent 4 2 11 2" xfId="10002" xr:uid="{91CA9D86-6FD4-4B94-B4E2-D07EDEB8BDB3}"/>
    <cellStyle name="Percent 4 2 11 2 2" xfId="10003" xr:uid="{49427216-35BF-4C96-BE58-F2B4264EAA09}"/>
    <cellStyle name="Percent 4 2 11 3" xfId="10004" xr:uid="{C78E3411-4586-4665-965A-42C748779075}"/>
    <cellStyle name="Percent 4 2 11 3 2" xfId="10005" xr:uid="{BC012F81-BB3A-4111-89D4-9B6FB3752E24}"/>
    <cellStyle name="Percent 4 2 11 4" xfId="10006" xr:uid="{26E8B218-769F-4053-A6CC-BB82C5CC5460}"/>
    <cellStyle name="Percent 4 2 12" xfId="10007" xr:uid="{756DF088-49B6-4DCD-B5DF-949426548EF3}"/>
    <cellStyle name="Percent 4 2 12 2" xfId="10008" xr:uid="{29F03E5A-DCE3-4608-8EE5-21FC9EC9A22A}"/>
    <cellStyle name="Percent 4 2 12 2 2" xfId="10009" xr:uid="{053CEB4F-54DC-4D48-95A6-EA4C8979C287}"/>
    <cellStyle name="Percent 4 2 12 3" xfId="10010" xr:uid="{E4170577-A6F4-4ECF-99F5-0149E99101A5}"/>
    <cellStyle name="Percent 4 2 12 3 2" xfId="10011" xr:uid="{D8363878-254D-4A89-91BE-415A69735F7C}"/>
    <cellStyle name="Percent 4 2 12 4" xfId="10012" xr:uid="{C21DB947-8955-4303-9E80-83A597698E50}"/>
    <cellStyle name="Percent 4 2 12 4 2" xfId="10013" xr:uid="{4A8DE3C2-A5FB-47B9-A9FC-1D0B84E138A8}"/>
    <cellStyle name="Percent 4 2 12 5" xfId="10014" xr:uid="{29C37032-017C-4C0E-BCBF-9288563AE7B8}"/>
    <cellStyle name="Percent 4 2 13" xfId="10015" xr:uid="{14054C53-AD87-4CF8-AB8E-B4D4D3E02CC4}"/>
    <cellStyle name="Percent 4 2 13 2" xfId="10016" xr:uid="{1A157E31-27C9-4ACC-9254-1EB675A7C461}"/>
    <cellStyle name="Percent 4 2 13 2 2" xfId="10017" xr:uid="{C2CE9013-4809-424E-B48D-C4852A7AD238}"/>
    <cellStyle name="Percent 4 2 13 3" xfId="10018" xr:uid="{928B33F1-0ADF-4A4C-AE4E-C42EDD805C88}"/>
    <cellStyle name="Percent 4 2 13 3 2" xfId="10019" xr:uid="{A3E94A52-1480-4614-B70F-78319AE5FE0E}"/>
    <cellStyle name="Percent 4 2 13 4" xfId="10020" xr:uid="{5B6E862C-97E6-4612-ABA3-6B1E4DB455E0}"/>
    <cellStyle name="Percent 4 2 14" xfId="10021" xr:uid="{0ADD5AF3-9BB1-442D-9AB4-C417D5D0D7F8}"/>
    <cellStyle name="Percent 4 2 14 2" xfId="10022" xr:uid="{5DD85D46-AACA-46DB-9A89-9E45EEDE1D88}"/>
    <cellStyle name="Percent 4 2 15" xfId="10023" xr:uid="{AEA38BAB-F6CD-47A7-AA98-2B786BAA7121}"/>
    <cellStyle name="Percent 4 2 15 2" xfId="10024" xr:uid="{09F032BE-9B09-48EA-9442-39239A265A0C}"/>
    <cellStyle name="Percent 4 2 16" xfId="10025" xr:uid="{85FE31B7-FF1F-4EB7-BD99-973EAE2993A2}"/>
    <cellStyle name="Percent 4 2 16 2" xfId="10026" xr:uid="{24CABB36-0EFA-439E-97A1-B5D3359F384A}"/>
    <cellStyle name="Percent 4 2 17" xfId="10027" xr:uid="{521DD6F3-0256-4FB9-9F9D-D2FE8A28A6D8}"/>
    <cellStyle name="Percent 4 2 18" xfId="10028" xr:uid="{7A051073-4CF6-463E-A3F8-AD2EBD635DAB}"/>
    <cellStyle name="Percent 4 2 19" xfId="9994" xr:uid="{3E2EC779-ACDA-4ACC-B8C7-43C8EB492C90}"/>
    <cellStyle name="Percent 4 2 2" xfId="297" xr:uid="{B54937C5-83D4-45EB-AFD0-8A529EC70195}"/>
    <cellStyle name="Percent 4 2 2 10" xfId="10030" xr:uid="{E9B66033-A070-4395-AFB7-8F320CC6EB28}"/>
    <cellStyle name="Percent 4 2 2 11" xfId="10029" xr:uid="{A3B1D45C-EF94-46FB-BE6B-B488FA88FD7C}"/>
    <cellStyle name="Percent 4 2 2 2" xfId="10031" xr:uid="{EC9694DF-CBC4-4909-9506-2893BBCFD2B4}"/>
    <cellStyle name="Percent 4 2 2 2 2" xfId="10032" xr:uid="{DD640B1B-8C97-4CE8-8351-A1A3C606EF49}"/>
    <cellStyle name="Percent 4 2 2 2 2 2" xfId="10033" xr:uid="{F205E441-20A9-4430-97A9-7D4438FBEF4F}"/>
    <cellStyle name="Percent 4 2 2 2 3" xfId="10034" xr:uid="{8D38CFA8-5EFA-4C99-AED4-B2662E08950D}"/>
    <cellStyle name="Percent 4 2 2 2 3 2" xfId="10035" xr:uid="{27646F98-7CF5-4F97-AEE3-607900E6AB75}"/>
    <cellStyle name="Percent 4 2 2 2 4" xfId="10036" xr:uid="{59955C6A-EEBB-4190-A07E-DCEB44E47D22}"/>
    <cellStyle name="Percent 4 2 2 2 5" xfId="10037" xr:uid="{298EDBF6-7FCB-4257-8188-34D7A8D6AB33}"/>
    <cellStyle name="Percent 4 2 2 3" xfId="10038" xr:uid="{1018B7F3-D8F0-429C-8196-BD6CB70038EC}"/>
    <cellStyle name="Percent 4 2 2 3 2" xfId="10039" xr:uid="{89116C51-E1C9-4E39-9980-CCF954DBA018}"/>
    <cellStyle name="Percent 4 2 2 3 2 2" xfId="10040" xr:uid="{C2A0D7B6-B0CD-4D01-A8A7-76EBC7BD8CFE}"/>
    <cellStyle name="Percent 4 2 2 3 3" xfId="10041" xr:uid="{AB9018CB-E6CA-4B22-970F-53669572CA82}"/>
    <cellStyle name="Percent 4 2 2 3 3 2" xfId="10042" xr:uid="{19CEFD85-5E22-479D-BC9D-599053F00145}"/>
    <cellStyle name="Percent 4 2 2 3 4" xfId="10043" xr:uid="{4C002501-AB72-4D14-A4F8-273867E7C129}"/>
    <cellStyle name="Percent 4 2 2 4" xfId="10044" xr:uid="{9DDB1BE3-1A4B-476A-A232-D3C62437B0D3}"/>
    <cellStyle name="Percent 4 2 2 4 2" xfId="10045" xr:uid="{B4A21A83-B4FA-408A-94DE-07FF84721E9E}"/>
    <cellStyle name="Percent 4 2 2 4 2 2" xfId="10046" xr:uid="{635E9E6C-9A08-41F0-B7A1-B3F20312BC3F}"/>
    <cellStyle name="Percent 4 2 2 4 3" xfId="10047" xr:uid="{E64B49BA-5B9C-44CE-91A0-BF5F8F9D6801}"/>
    <cellStyle name="Percent 4 2 2 4 3 2" xfId="10048" xr:uid="{ABA102AB-75D9-48BB-9873-36520600B7DB}"/>
    <cellStyle name="Percent 4 2 2 4 4" xfId="10049" xr:uid="{6ED979F2-65D9-4FDA-9429-96E6AAB215C0}"/>
    <cellStyle name="Percent 4 2 2 4 4 2" xfId="10050" xr:uid="{E7365A49-0D8C-426C-81F4-9636D85EA650}"/>
    <cellStyle name="Percent 4 2 2 4 5" xfId="10051" xr:uid="{156F8F88-A07F-413D-B2EA-F09FC6616E53}"/>
    <cellStyle name="Percent 4 2 2 5" xfId="10052" xr:uid="{BB250DAE-1CBE-4431-A841-40A26D04B938}"/>
    <cellStyle name="Percent 4 2 2 5 2" xfId="10053" xr:uid="{9215BEE9-F260-42E1-A09E-03D58EB7E863}"/>
    <cellStyle name="Percent 4 2 2 5 2 2" xfId="10054" xr:uid="{2CF13EC2-6CAB-4105-A072-B71058DC65B1}"/>
    <cellStyle name="Percent 4 2 2 5 3" xfId="10055" xr:uid="{6FB4A7E2-F836-4163-A490-9252612768DB}"/>
    <cellStyle name="Percent 4 2 2 5 3 2" xfId="10056" xr:uid="{B302CDA5-1844-4C76-BB66-031E4E606714}"/>
    <cellStyle name="Percent 4 2 2 5 4" xfId="10057" xr:uid="{EF3002E7-F399-4549-BBC3-D4B7B0CCD22E}"/>
    <cellStyle name="Percent 4 2 2 6" xfId="10058" xr:uid="{11EDBE7F-6E20-4FCA-B535-2825004AD227}"/>
    <cellStyle name="Percent 4 2 2 6 2" xfId="10059" xr:uid="{80ACEAFB-606E-432E-9BBF-F47A0EC87D62}"/>
    <cellStyle name="Percent 4 2 2 7" xfId="10060" xr:uid="{683EB629-8415-4BA0-8749-BCAA5F513F2D}"/>
    <cellStyle name="Percent 4 2 2 7 2" xfId="10061" xr:uid="{6981692F-F642-458F-9B1C-F377210D59E3}"/>
    <cellStyle name="Percent 4 2 2 8" xfId="10062" xr:uid="{D6116C02-470E-4253-A349-AD76A779DF99}"/>
    <cellStyle name="Percent 4 2 2 8 2" xfId="10063" xr:uid="{896D468C-17B3-499C-ADD5-8A9FCB2DDB11}"/>
    <cellStyle name="Percent 4 2 2 9" xfId="10064" xr:uid="{5F86139A-7A29-4692-833E-318EBD380A46}"/>
    <cellStyle name="Percent 4 2 3" xfId="298" xr:uid="{C438B41F-A017-4D6D-9CC1-56CEA364A56B}"/>
    <cellStyle name="Percent 4 2 3 10" xfId="10066" xr:uid="{2AF20C10-AC1D-4C79-9461-FC98F31C6462}"/>
    <cellStyle name="Percent 4 2 3 11" xfId="10065" xr:uid="{F2201506-A753-4B91-91B9-6A4DA28E047F}"/>
    <cellStyle name="Percent 4 2 3 2" xfId="10067" xr:uid="{4ACA26FB-AF73-4D71-A1F3-4D28EF4D9D41}"/>
    <cellStyle name="Percent 4 2 3 2 2" xfId="10068" xr:uid="{432F00A7-6282-49F6-9207-688057D78475}"/>
    <cellStyle name="Percent 4 2 3 2 2 2" xfId="10069" xr:uid="{B42F2173-C128-4A5C-A4DF-408F7A1DF692}"/>
    <cellStyle name="Percent 4 2 3 2 3" xfId="10070" xr:uid="{502F62CD-C523-4829-9D0A-55B3A4E04DCF}"/>
    <cellStyle name="Percent 4 2 3 2 3 2" xfId="10071" xr:uid="{DC4F49DF-C999-4377-AE56-5BD80642C19C}"/>
    <cellStyle name="Percent 4 2 3 2 4" xfId="10072" xr:uid="{1ACE8E80-76F6-4233-AD0C-3CC15370AA70}"/>
    <cellStyle name="Percent 4 2 3 2 5" xfId="10073" xr:uid="{B73EA58D-1AEF-4992-9393-E4CDF184F8FA}"/>
    <cellStyle name="Percent 4 2 3 3" xfId="10074" xr:uid="{DB5F872F-73CC-41C0-BB87-67E88597979A}"/>
    <cellStyle name="Percent 4 2 3 3 2" xfId="10075" xr:uid="{9EAC2BD0-A6C1-4DAE-B89C-F6AEECE095FE}"/>
    <cellStyle name="Percent 4 2 3 3 2 2" xfId="10076" xr:uid="{EB97C6D8-893E-4876-A95A-FEE921A73858}"/>
    <cellStyle name="Percent 4 2 3 3 3" xfId="10077" xr:uid="{8C24719C-83B3-4670-9A5F-FF881452449E}"/>
    <cellStyle name="Percent 4 2 3 3 3 2" xfId="10078" xr:uid="{FDE43044-6B52-4ED6-80ED-BF1FEFF6D5F2}"/>
    <cellStyle name="Percent 4 2 3 3 4" xfId="10079" xr:uid="{267F78FA-FA6C-48CF-B374-55F3ECC30AF7}"/>
    <cellStyle name="Percent 4 2 3 4" xfId="10080" xr:uid="{E93D938C-2B63-4E23-9C05-48620FEFB7D9}"/>
    <cellStyle name="Percent 4 2 3 4 2" xfId="10081" xr:uid="{CFECA598-4832-48C2-8E70-60A6AD0B6184}"/>
    <cellStyle name="Percent 4 2 3 4 2 2" xfId="10082" xr:uid="{165FFC50-8DAE-44C5-BD3C-4CDF0F0900F7}"/>
    <cellStyle name="Percent 4 2 3 4 3" xfId="10083" xr:uid="{F3179013-E707-486F-8AAE-2ACB388D92F4}"/>
    <cellStyle name="Percent 4 2 3 4 3 2" xfId="10084" xr:uid="{4E0F7B4A-8550-4BA8-8E3C-D8FE911557CF}"/>
    <cellStyle name="Percent 4 2 3 4 4" xfId="10085" xr:uid="{6CF0E1C7-B9D1-4F0E-8A96-932F177F2731}"/>
    <cellStyle name="Percent 4 2 3 4 4 2" xfId="10086" xr:uid="{AD9ABCD6-8518-4CB8-892A-1E171BD62824}"/>
    <cellStyle name="Percent 4 2 3 4 5" xfId="10087" xr:uid="{3D4723D9-495A-4D15-ACD3-F5606FF3C3DD}"/>
    <cellStyle name="Percent 4 2 3 5" xfId="10088" xr:uid="{262AEB0E-7519-4D0D-9386-4322FC36E0E3}"/>
    <cellStyle name="Percent 4 2 3 5 2" xfId="10089" xr:uid="{AAC1588E-7537-451F-9BF4-809D7AC4304F}"/>
    <cellStyle name="Percent 4 2 3 5 2 2" xfId="10090" xr:uid="{5D1F8243-C710-47DD-ADCF-E928F32D323F}"/>
    <cellStyle name="Percent 4 2 3 5 3" xfId="10091" xr:uid="{584DFFB7-110E-4304-BAC9-5543DC0C0D1C}"/>
    <cellStyle name="Percent 4 2 3 5 3 2" xfId="10092" xr:uid="{027FEEC5-9257-4334-9F04-6379BE5F08DE}"/>
    <cellStyle name="Percent 4 2 3 5 4" xfId="10093" xr:uid="{EC7AF1C9-9E02-4D79-B4A7-D10F7DEED605}"/>
    <cellStyle name="Percent 4 2 3 6" xfId="10094" xr:uid="{ED1E3068-66E3-4D0F-9690-2A355783680C}"/>
    <cellStyle name="Percent 4 2 3 6 2" xfId="10095" xr:uid="{395E7E9F-FD75-45F0-ABDF-AB4AE3921C74}"/>
    <cellStyle name="Percent 4 2 3 7" xfId="10096" xr:uid="{67F04B7B-FE7B-4036-B499-4F08D0652B84}"/>
    <cellStyle name="Percent 4 2 3 7 2" xfId="10097" xr:uid="{5F4133BB-FF71-4748-ACF2-DF53A5000C71}"/>
    <cellStyle name="Percent 4 2 3 8" xfId="10098" xr:uid="{FF0C91FD-1491-49BA-B401-3B64D83E75DA}"/>
    <cellStyle name="Percent 4 2 3 8 2" xfId="10099" xr:uid="{9C0CBC11-AA9D-4345-8150-F10706BD979B}"/>
    <cellStyle name="Percent 4 2 3 9" xfId="10100" xr:uid="{81CEEFF4-E511-40D0-9A8E-13451A091029}"/>
    <cellStyle name="Percent 4 2 4" xfId="393" xr:uid="{67430521-D483-47CD-8067-51B5D188E7BE}"/>
    <cellStyle name="Percent 4 2 4 10" xfId="10102" xr:uid="{6637CAC7-5D79-4602-ABF7-538C1FCD3F17}"/>
    <cellStyle name="Percent 4 2 4 11" xfId="10101" xr:uid="{A19AAD25-4BFB-48EB-8538-BF8046436ECF}"/>
    <cellStyle name="Percent 4 2 4 2" xfId="2990" xr:uid="{5888CE7F-78A8-4B6D-AFFF-50ABF058A7CF}"/>
    <cellStyle name="Percent 4 2 4 2 2" xfId="10104" xr:uid="{F66BDEBE-4193-4D03-91E4-6290092D5E18}"/>
    <cellStyle name="Percent 4 2 4 2 2 2" xfId="10105" xr:uid="{047478A4-8626-4CAA-9DEE-B0BE6034115E}"/>
    <cellStyle name="Percent 4 2 4 2 3" xfId="10106" xr:uid="{6EA3F122-4ADE-4BB8-8380-29E0814F3E64}"/>
    <cellStyle name="Percent 4 2 4 2 3 2" xfId="10107" xr:uid="{7FAAD2E7-4B0A-4826-B124-F8DA02C2D6E7}"/>
    <cellStyle name="Percent 4 2 4 2 4" xfId="10108" xr:uid="{5DF08A69-B940-46F8-9D9F-5B5C839369A8}"/>
    <cellStyle name="Percent 4 2 4 2 5" xfId="10109" xr:uid="{55E8DA7E-708A-4EFC-BFC4-63AF8191D6F4}"/>
    <cellStyle name="Percent 4 2 4 2 6" xfId="10103" xr:uid="{DD7834D6-CF8C-497B-84F7-086E1D767556}"/>
    <cellStyle name="Percent 4 2 4 3" xfId="4739" xr:uid="{A566595B-2FCF-46B5-B82A-375E5F380DB8}"/>
    <cellStyle name="Percent 4 2 4 3 2" xfId="10111" xr:uid="{B7B27925-F8CF-4684-9690-C3637403E8DE}"/>
    <cellStyle name="Percent 4 2 4 3 2 2" xfId="10112" xr:uid="{09064F53-44C8-4F31-8B6E-46F975C7BE4B}"/>
    <cellStyle name="Percent 4 2 4 3 3" xfId="10113" xr:uid="{4497D2C2-AF00-460D-8CFC-508F346756E3}"/>
    <cellStyle name="Percent 4 2 4 3 3 2" xfId="10114" xr:uid="{3C3E71AF-67BB-4E06-84CE-25CC4518629B}"/>
    <cellStyle name="Percent 4 2 4 3 4" xfId="10115" xr:uid="{51594468-3565-4CC8-A5C3-7766ABC78AAF}"/>
    <cellStyle name="Percent 4 2 4 3 5" xfId="10110" xr:uid="{4B3A8EF1-D831-4244-8825-C099771E939D}"/>
    <cellStyle name="Percent 4 2 4 4" xfId="10116" xr:uid="{81D496EB-CBF5-40B6-AC10-2AB7C6271A68}"/>
    <cellStyle name="Percent 4 2 4 4 2" xfId="10117" xr:uid="{33657750-5E1D-4AA9-82B8-E5599939016F}"/>
    <cellStyle name="Percent 4 2 4 4 2 2" xfId="10118" xr:uid="{DBEF6091-3B26-46DC-B110-5DC4AE4DFF63}"/>
    <cellStyle name="Percent 4 2 4 4 3" xfId="10119" xr:uid="{0BC979FB-0A05-4975-8784-761B6CF38930}"/>
    <cellStyle name="Percent 4 2 4 4 3 2" xfId="10120" xr:uid="{69039ED0-BBC6-490D-BE1E-CA5A914F9681}"/>
    <cellStyle name="Percent 4 2 4 4 4" xfId="10121" xr:uid="{970E0719-7CBD-4B2F-B166-46BC78C06508}"/>
    <cellStyle name="Percent 4 2 4 4 4 2" xfId="10122" xr:uid="{D157255D-32C5-4BC7-8E33-6D70A2F51EB8}"/>
    <cellStyle name="Percent 4 2 4 4 5" xfId="10123" xr:uid="{07BE48A6-D1B6-4B69-A907-0EA129DEE6A3}"/>
    <cellStyle name="Percent 4 2 4 5" xfId="10124" xr:uid="{8B47B2BF-354F-4F50-86FE-3232628FCEDE}"/>
    <cellStyle name="Percent 4 2 4 5 2" xfId="10125" xr:uid="{2DC2301A-D161-40FA-8716-CDB62DB29A79}"/>
    <cellStyle name="Percent 4 2 4 5 2 2" xfId="10126" xr:uid="{3FC3FFA8-13AF-4D70-A88C-B73B83D32A79}"/>
    <cellStyle name="Percent 4 2 4 5 3" xfId="10127" xr:uid="{696CA103-7837-4B3A-90F9-A750BCF6CA91}"/>
    <cellStyle name="Percent 4 2 4 5 3 2" xfId="10128" xr:uid="{94DAF4CA-C96D-485D-9494-F80B56061F48}"/>
    <cellStyle name="Percent 4 2 4 5 4" xfId="10129" xr:uid="{D40B036C-90AC-4B51-8488-958ABDFEFCB9}"/>
    <cellStyle name="Percent 4 2 4 6" xfId="10130" xr:uid="{DD96CA54-8D14-4935-9D26-7536668599D3}"/>
    <cellStyle name="Percent 4 2 4 6 2" xfId="10131" xr:uid="{78D5C14E-963A-4E8E-853B-85A91A68C598}"/>
    <cellStyle name="Percent 4 2 4 7" xfId="10132" xr:uid="{E6844C49-DDDC-4AC1-A2E2-C2A7148E4ABF}"/>
    <cellStyle name="Percent 4 2 4 7 2" xfId="10133" xr:uid="{81E85529-0273-4297-A6AB-B22D2DEF3452}"/>
    <cellStyle name="Percent 4 2 4 8" xfId="10134" xr:uid="{209C083F-E0C0-46F8-B751-EDB249FA374F}"/>
    <cellStyle name="Percent 4 2 4 8 2" xfId="10135" xr:uid="{CEA0D0E3-EEB0-4972-AED7-64EDF1B2F467}"/>
    <cellStyle name="Percent 4 2 4 9" xfId="10136" xr:uid="{E16FB5AD-1908-44A3-B637-866880774D7C}"/>
    <cellStyle name="Percent 4 2 5" xfId="2991" xr:uid="{BB23C7CC-55B7-4537-B509-A2C142DACC9E}"/>
    <cellStyle name="Percent 4 2 5 10" xfId="10138" xr:uid="{276F1E78-551B-485C-9DE1-5CF9F9179BCF}"/>
    <cellStyle name="Percent 4 2 5 11" xfId="10137" xr:uid="{57DACE9B-14A2-4C30-8604-925C3C63DD0C}"/>
    <cellStyle name="Percent 4 2 5 2" xfId="10139" xr:uid="{525A7366-3DBC-48EB-92CF-6F57E8A59957}"/>
    <cellStyle name="Percent 4 2 5 2 2" xfId="10140" xr:uid="{034DF483-A3A6-4F29-B248-1978AA4F222F}"/>
    <cellStyle name="Percent 4 2 5 2 2 2" xfId="10141" xr:uid="{B21FC962-6D37-42F1-BCE5-0C565333C523}"/>
    <cellStyle name="Percent 4 2 5 2 3" xfId="10142" xr:uid="{DB1E540A-6715-4856-BF79-F2BDD9DF1A8B}"/>
    <cellStyle name="Percent 4 2 5 2 3 2" xfId="10143" xr:uid="{001CF3D0-35B1-4520-8908-E61BCEE9A024}"/>
    <cellStyle name="Percent 4 2 5 2 4" xfId="10144" xr:uid="{C5F76A83-A75A-4A7C-8E31-CBB3A7D7A974}"/>
    <cellStyle name="Percent 4 2 5 3" xfId="10145" xr:uid="{7477D147-6CAC-4693-B74E-DAA27AC740CF}"/>
    <cellStyle name="Percent 4 2 5 3 2" xfId="10146" xr:uid="{40BD475B-DE8C-4667-AA9E-7E6C6A3A5050}"/>
    <cellStyle name="Percent 4 2 5 3 2 2" xfId="10147" xr:uid="{54BE686B-625C-4AE1-90F6-71272FA6F69D}"/>
    <cellStyle name="Percent 4 2 5 3 3" xfId="10148" xr:uid="{847A9238-2D92-4876-BB4E-E0B044F23430}"/>
    <cellStyle name="Percent 4 2 5 3 3 2" xfId="10149" xr:uid="{4FD15DC4-80F5-4A67-9C8A-22550F96F977}"/>
    <cellStyle name="Percent 4 2 5 3 4" xfId="10150" xr:uid="{47089B5A-FD7A-4EFD-A7C6-4C0C1F8A733C}"/>
    <cellStyle name="Percent 4 2 5 4" xfId="10151" xr:uid="{3DF70D01-D6B7-42EA-8DA2-B7B1384157AB}"/>
    <cellStyle name="Percent 4 2 5 4 2" xfId="10152" xr:uid="{F5646822-0E98-4893-A5FF-0B72558A4AAC}"/>
    <cellStyle name="Percent 4 2 5 4 2 2" xfId="10153" xr:uid="{D8F518FB-0C19-49AF-8350-FCC2E868CCFF}"/>
    <cellStyle name="Percent 4 2 5 4 3" xfId="10154" xr:uid="{491E7E43-3BAC-4D11-A062-99024B39E6F1}"/>
    <cellStyle name="Percent 4 2 5 4 3 2" xfId="10155" xr:uid="{EEBF793D-B5F5-488C-8B03-2F881D2988D7}"/>
    <cellStyle name="Percent 4 2 5 4 4" xfId="10156" xr:uid="{4E7C8B6D-C393-4D61-A00F-ED6EC32B100D}"/>
    <cellStyle name="Percent 4 2 5 4 4 2" xfId="10157" xr:uid="{188B7F4D-6ABD-4B7F-8A95-FD4399DF84CF}"/>
    <cellStyle name="Percent 4 2 5 4 5" xfId="10158" xr:uid="{7CF0791C-E458-41EA-B709-3C693A68F776}"/>
    <cellStyle name="Percent 4 2 5 5" xfId="10159" xr:uid="{6D390BD8-9001-4DA9-AA35-62A8DC171FE3}"/>
    <cellStyle name="Percent 4 2 5 5 2" xfId="10160" xr:uid="{252C2D2F-F9CB-4CB6-9A3A-CA85CAD14A02}"/>
    <cellStyle name="Percent 4 2 5 5 2 2" xfId="10161" xr:uid="{670B23EF-4FCA-4AC5-B06A-C2F831D37F7E}"/>
    <cellStyle name="Percent 4 2 5 5 3" xfId="10162" xr:uid="{A3424FC7-2E82-4782-9408-9B3D2BC9AC2E}"/>
    <cellStyle name="Percent 4 2 5 5 3 2" xfId="10163" xr:uid="{0C177C19-E74B-4A93-8F51-9783354FCC98}"/>
    <cellStyle name="Percent 4 2 5 5 4" xfId="10164" xr:uid="{28016387-13D8-4D16-8815-3FD580C0EF5F}"/>
    <cellStyle name="Percent 4 2 5 6" xfId="10165" xr:uid="{E787FCEA-67E0-4107-AA38-68A0B129A758}"/>
    <cellStyle name="Percent 4 2 5 6 2" xfId="10166" xr:uid="{97E69258-9BCC-4543-B9C7-107C0EF87B14}"/>
    <cellStyle name="Percent 4 2 5 7" xfId="10167" xr:uid="{F710AFE0-4EE6-4180-AD18-873010C45A3B}"/>
    <cellStyle name="Percent 4 2 5 7 2" xfId="10168" xr:uid="{7F5240F4-977A-4EF7-B6C9-E576EE242589}"/>
    <cellStyle name="Percent 4 2 5 8" xfId="10169" xr:uid="{F557F578-2270-48CC-AD8D-4C669749B365}"/>
    <cellStyle name="Percent 4 2 5 8 2" xfId="10170" xr:uid="{478709E2-8A14-4C19-9AA1-FD08682946A7}"/>
    <cellStyle name="Percent 4 2 5 9" xfId="10171" xr:uid="{683CC896-A7E5-46AD-8FBD-6081BCFBA21A}"/>
    <cellStyle name="Percent 4 2 6" xfId="2989" xr:uid="{028A3D24-B5B9-4F33-93E2-C26EAE3FC4A9}"/>
    <cellStyle name="Percent 4 2 6 10" xfId="10173" xr:uid="{8D91A761-4A23-4597-95EE-FCF724853433}"/>
    <cellStyle name="Percent 4 2 6 11" xfId="10172" xr:uid="{FA0E7559-93F7-4A25-8221-CFE82D6C7372}"/>
    <cellStyle name="Percent 4 2 6 2" xfId="4740" xr:uid="{20C308F9-3E4F-4883-ADFC-B48300BBA37D}"/>
    <cellStyle name="Percent 4 2 6 2 2" xfId="10175" xr:uid="{80C12CD5-A2E8-4819-AD52-B4BAA3DD7E12}"/>
    <cellStyle name="Percent 4 2 6 2 2 2" xfId="10176" xr:uid="{D9125D4A-FB37-4C58-A4EE-C17A5D26FB66}"/>
    <cellStyle name="Percent 4 2 6 2 3" xfId="10177" xr:uid="{A57C98F4-CDBB-4432-AA3C-CF354467A7B0}"/>
    <cellStyle name="Percent 4 2 6 2 3 2" xfId="10178" xr:uid="{3671E089-C728-48F6-8EC2-890DB0EAD4BF}"/>
    <cellStyle name="Percent 4 2 6 2 4" xfId="10179" xr:uid="{243BF614-AB0D-46FC-83C5-FD622CA686BC}"/>
    <cellStyle name="Percent 4 2 6 2 5" xfId="10174" xr:uid="{68C7C9C5-1961-4CD6-8926-CA4BDBECBB0A}"/>
    <cellStyle name="Percent 4 2 6 3" xfId="10180" xr:uid="{60EBBBFF-8E85-4626-B972-14F9F8620F1D}"/>
    <cellStyle name="Percent 4 2 6 3 2" xfId="10181" xr:uid="{81521C57-95E4-4AB9-8E98-DB48D6417809}"/>
    <cellStyle name="Percent 4 2 6 3 2 2" xfId="10182" xr:uid="{791F81E3-617D-4A29-9C7F-B9A74C9B1DC7}"/>
    <cellStyle name="Percent 4 2 6 3 3" xfId="10183" xr:uid="{00B4628A-0873-4072-AD58-47B4C5DCA19A}"/>
    <cellStyle name="Percent 4 2 6 3 3 2" xfId="10184" xr:uid="{E203A834-6538-4C79-A525-D085EAEB7D78}"/>
    <cellStyle name="Percent 4 2 6 3 4" xfId="10185" xr:uid="{6C68C91E-303D-40A5-BF41-0C17CBA703BD}"/>
    <cellStyle name="Percent 4 2 6 4" xfId="10186" xr:uid="{6B27C362-6DAE-43FC-A374-95A2B4B4C03E}"/>
    <cellStyle name="Percent 4 2 6 4 2" xfId="10187" xr:uid="{52C159EB-55B5-456B-8996-55078BFCA94A}"/>
    <cellStyle name="Percent 4 2 6 4 2 2" xfId="10188" xr:uid="{66938DC7-2B64-4A18-BACC-AEC59588A03F}"/>
    <cellStyle name="Percent 4 2 6 4 3" xfId="10189" xr:uid="{85D29E79-0B67-4120-A949-82B5372623F7}"/>
    <cellStyle name="Percent 4 2 6 4 3 2" xfId="10190" xr:uid="{62313050-F4B9-4CE1-A7EE-F0BCD5940225}"/>
    <cellStyle name="Percent 4 2 6 4 4" xfId="10191" xr:uid="{ED6D97E3-27A3-4F2B-81A7-0D4CE0A3EB91}"/>
    <cellStyle name="Percent 4 2 6 4 4 2" xfId="10192" xr:uid="{15D52C96-80D9-4CD8-90F7-D2CC5FFAA645}"/>
    <cellStyle name="Percent 4 2 6 4 5" xfId="10193" xr:uid="{6BC9CAA1-8A88-4C33-B7EE-8D0AA18BC5F1}"/>
    <cellStyle name="Percent 4 2 6 5" xfId="10194" xr:uid="{CC2B4024-3EFC-405F-8CE3-15492522CD47}"/>
    <cellStyle name="Percent 4 2 6 5 2" xfId="10195" xr:uid="{9FBFE8EF-EB26-4E0F-814D-466D7B4DC335}"/>
    <cellStyle name="Percent 4 2 6 5 2 2" xfId="10196" xr:uid="{D9A8E02D-8B8C-4B36-9725-4E9FB85BA1E9}"/>
    <cellStyle name="Percent 4 2 6 5 3" xfId="10197" xr:uid="{0101FEBC-2928-4F86-A31A-A6F3763CD848}"/>
    <cellStyle name="Percent 4 2 6 5 3 2" xfId="10198" xr:uid="{9A44B9CD-36CC-4848-A4C7-8740BA8B8CE5}"/>
    <cellStyle name="Percent 4 2 6 5 4" xfId="10199" xr:uid="{BE7B1A15-5F9A-4E89-8A41-E77913A7DF34}"/>
    <cellStyle name="Percent 4 2 6 6" xfId="10200" xr:uid="{6CB93D21-E4AD-40A0-8BFC-850BD2E71EFE}"/>
    <cellStyle name="Percent 4 2 6 6 2" xfId="10201" xr:uid="{5F2F0B18-4D47-42C0-AC5E-B12FB51D4965}"/>
    <cellStyle name="Percent 4 2 6 7" xfId="10202" xr:uid="{1738AC8C-885D-4D16-B880-259B237D352D}"/>
    <cellStyle name="Percent 4 2 6 7 2" xfId="10203" xr:uid="{C7E246C8-AFC5-40A7-8D7F-7007F3390453}"/>
    <cellStyle name="Percent 4 2 6 8" xfId="10204" xr:uid="{4B899A21-96CF-4825-8697-9B43DCDA979F}"/>
    <cellStyle name="Percent 4 2 6 8 2" xfId="10205" xr:uid="{B76CB8BC-397A-4293-B6C6-0CA547E5C963}"/>
    <cellStyle name="Percent 4 2 6 9" xfId="10206" xr:uid="{5FDD8426-FD72-44CB-9E63-38CAD8ADAFFF}"/>
    <cellStyle name="Percent 4 2 7" xfId="4741" xr:uid="{EB7CE3D6-9AA9-467F-9D30-05232A5F6520}"/>
    <cellStyle name="Percent 4 2 7 10" xfId="10208" xr:uid="{19637B5D-F406-4BF3-AD96-16993BBE33CF}"/>
    <cellStyle name="Percent 4 2 7 11" xfId="10207" xr:uid="{C9D79CF3-C095-402B-853E-578A155DC1EB}"/>
    <cellStyle name="Percent 4 2 7 2" xfId="10209" xr:uid="{DA07E18D-9BA3-4700-AF7E-C1EC9A9734D7}"/>
    <cellStyle name="Percent 4 2 7 2 2" xfId="10210" xr:uid="{F8C89B8B-8A21-4EE8-86A8-630CC518539A}"/>
    <cellStyle name="Percent 4 2 7 2 2 2" xfId="10211" xr:uid="{C7CDC102-E27A-449B-AAA7-FB749BBF4608}"/>
    <cellStyle name="Percent 4 2 7 2 3" xfId="10212" xr:uid="{2450658C-7CBC-41C9-9F4B-BC9A4FA0B6E9}"/>
    <cellStyle name="Percent 4 2 7 2 3 2" xfId="10213" xr:uid="{469397E2-B0C6-410D-BCE6-7C6DFD8BCAEE}"/>
    <cellStyle name="Percent 4 2 7 2 4" xfId="10214" xr:uid="{1DF33FBE-6D17-436D-8296-7204B8D79A2C}"/>
    <cellStyle name="Percent 4 2 7 3" xfId="10215" xr:uid="{548249D8-E426-4CA0-9D26-CD0C5A14EFC6}"/>
    <cellStyle name="Percent 4 2 7 3 2" xfId="10216" xr:uid="{1BAF8CF2-EA61-422A-BB95-7AF0DED32865}"/>
    <cellStyle name="Percent 4 2 7 3 2 2" xfId="10217" xr:uid="{CED85E5D-B882-40B3-BAE1-E41281F1B0BB}"/>
    <cellStyle name="Percent 4 2 7 3 3" xfId="10218" xr:uid="{092251C1-B8DF-4AE8-A311-783008C1A0BC}"/>
    <cellStyle name="Percent 4 2 7 3 3 2" xfId="10219" xr:uid="{7E3D3969-3B42-4A48-B49A-1E7DFE72FDBC}"/>
    <cellStyle name="Percent 4 2 7 3 4" xfId="10220" xr:uid="{E76D4600-352B-407D-BEC4-50DDFF62B832}"/>
    <cellStyle name="Percent 4 2 7 4" xfId="10221" xr:uid="{3AC825AB-7ECF-450F-872C-45869F90C3B3}"/>
    <cellStyle name="Percent 4 2 7 4 2" xfId="10222" xr:uid="{334BD904-D226-4AAF-8ED3-2E3974F9124E}"/>
    <cellStyle name="Percent 4 2 7 4 2 2" xfId="10223" xr:uid="{063DFB54-2869-466B-ACDA-640264ECFBF2}"/>
    <cellStyle name="Percent 4 2 7 4 3" xfId="10224" xr:uid="{B8E9C7DE-5F98-4F22-9404-2152EF7FAD19}"/>
    <cellStyle name="Percent 4 2 7 4 3 2" xfId="10225" xr:uid="{08FEBB55-3D22-47A9-B968-B87256E7A10B}"/>
    <cellStyle name="Percent 4 2 7 4 4" xfId="10226" xr:uid="{E00180F5-C997-486B-BA1A-ADB2DBBD5827}"/>
    <cellStyle name="Percent 4 2 7 4 4 2" xfId="10227" xr:uid="{C6F5731A-A78D-400C-9E79-AA8816F08FD7}"/>
    <cellStyle name="Percent 4 2 7 4 5" xfId="10228" xr:uid="{52FB11CA-A37E-4DE8-A3E1-F3A476E5D993}"/>
    <cellStyle name="Percent 4 2 7 5" xfId="10229" xr:uid="{AE4AC807-C06B-4F22-A100-BD89D8DC80A4}"/>
    <cellStyle name="Percent 4 2 7 5 2" xfId="10230" xr:uid="{EEC3D319-85C6-4E39-B5AB-46C63A25C907}"/>
    <cellStyle name="Percent 4 2 7 5 2 2" xfId="10231" xr:uid="{4415573E-947C-4A8B-9071-D268C1F3C99C}"/>
    <cellStyle name="Percent 4 2 7 5 3" xfId="10232" xr:uid="{2DD8529B-10AE-4CCE-996F-1F3F3ACC0AF9}"/>
    <cellStyle name="Percent 4 2 7 5 3 2" xfId="10233" xr:uid="{928CE51F-25FB-471C-AA39-FEBB8EDAABB3}"/>
    <cellStyle name="Percent 4 2 7 5 4" xfId="10234" xr:uid="{9CCA744C-7D40-4280-8BB2-6A7404784743}"/>
    <cellStyle name="Percent 4 2 7 6" xfId="10235" xr:uid="{29FE175D-28BB-45C0-B119-4BA824FDCDD0}"/>
    <cellStyle name="Percent 4 2 7 6 2" xfId="10236" xr:uid="{5FDDFD0D-9665-4477-9C58-84CE4CEC6D56}"/>
    <cellStyle name="Percent 4 2 7 7" xfId="10237" xr:uid="{C12BCCDC-0C0F-4935-BAC9-CD267505001A}"/>
    <cellStyle name="Percent 4 2 7 7 2" xfId="10238" xr:uid="{9831CB9A-6356-44F6-A031-DFDF87E2737F}"/>
    <cellStyle name="Percent 4 2 7 8" xfId="10239" xr:uid="{29073992-F4A4-496B-8BB8-5126C6668895}"/>
    <cellStyle name="Percent 4 2 7 8 2" xfId="10240" xr:uid="{9A298293-EC12-497A-8BF3-9DBB05B2453B}"/>
    <cellStyle name="Percent 4 2 7 9" xfId="10241" xr:uid="{B6506BFF-5C47-4741-A339-55243AF0AD0C}"/>
    <cellStyle name="Percent 4 2 8" xfId="4742" xr:uid="{A696956C-6D21-420F-BCDA-F407CFCB0E01}"/>
    <cellStyle name="Percent 4 2 8 10" xfId="10243" xr:uid="{CA63F3B8-151C-43B0-91A7-A0478B1AB95F}"/>
    <cellStyle name="Percent 4 2 8 11" xfId="10242" xr:uid="{4D291619-8705-4C56-A48B-A519E04C3EA6}"/>
    <cellStyle name="Percent 4 2 8 2" xfId="10244" xr:uid="{33F10490-13F9-4F95-9FDB-16E64AADD31F}"/>
    <cellStyle name="Percent 4 2 8 2 2" xfId="10245" xr:uid="{805464AF-6F9F-403E-8890-34DD37D18528}"/>
    <cellStyle name="Percent 4 2 8 2 2 2" xfId="10246" xr:uid="{571D8CAA-025E-4A42-8EBD-923D7AFC55F6}"/>
    <cellStyle name="Percent 4 2 8 2 3" xfId="10247" xr:uid="{FD64B4B8-80BB-4DFD-A6E2-DB0B34D29B47}"/>
    <cellStyle name="Percent 4 2 8 2 3 2" xfId="10248" xr:uid="{CC93E601-F611-452E-8DCE-D921C4D45E3B}"/>
    <cellStyle name="Percent 4 2 8 2 4" xfId="10249" xr:uid="{8DF62B73-73F1-45A6-8A24-2C2B915ACD17}"/>
    <cellStyle name="Percent 4 2 8 3" xfId="10250" xr:uid="{4C39CD61-9B88-45E9-BE22-808900A941DB}"/>
    <cellStyle name="Percent 4 2 8 3 2" xfId="10251" xr:uid="{B02C3D0B-0E9B-4C67-836F-F157A5B540C2}"/>
    <cellStyle name="Percent 4 2 8 3 2 2" xfId="10252" xr:uid="{7C5D78AC-7F06-40E3-9A94-39382A084EED}"/>
    <cellStyle name="Percent 4 2 8 3 3" xfId="10253" xr:uid="{A515E4C0-CFC5-4ED2-9A5D-BA986FA094DE}"/>
    <cellStyle name="Percent 4 2 8 3 3 2" xfId="10254" xr:uid="{FC289E05-2B34-4C24-AB92-D2248AD3FDD6}"/>
    <cellStyle name="Percent 4 2 8 3 4" xfId="10255" xr:uid="{2FAC686B-75B1-41F7-811A-1CCE54E52E56}"/>
    <cellStyle name="Percent 4 2 8 4" xfId="10256" xr:uid="{4162D697-E538-4905-A015-22A09D6638E2}"/>
    <cellStyle name="Percent 4 2 8 4 2" xfId="10257" xr:uid="{B2DB2063-240A-46ED-B3BE-09E3B3BF9D35}"/>
    <cellStyle name="Percent 4 2 8 4 2 2" xfId="10258" xr:uid="{BBED07CB-97FF-4349-B720-FE182A296421}"/>
    <cellStyle name="Percent 4 2 8 4 3" xfId="10259" xr:uid="{481BEE57-2F6E-468C-BE6F-6E81985151CA}"/>
    <cellStyle name="Percent 4 2 8 4 3 2" xfId="10260" xr:uid="{EFF09D90-53FD-4A3A-9314-D2D840695281}"/>
    <cellStyle name="Percent 4 2 8 4 4" xfId="10261" xr:uid="{F2460CB6-39F6-48A0-8C2C-D85C1D6C8E3E}"/>
    <cellStyle name="Percent 4 2 8 4 4 2" xfId="10262" xr:uid="{7B4FCF6A-EC9A-4B9B-9052-A6A43EAE5037}"/>
    <cellStyle name="Percent 4 2 8 4 5" xfId="10263" xr:uid="{D7D79F00-2E97-43FA-988A-AE903F26D140}"/>
    <cellStyle name="Percent 4 2 8 5" xfId="10264" xr:uid="{65224833-1710-4C93-9EED-0E159C2B05F5}"/>
    <cellStyle name="Percent 4 2 8 5 2" xfId="10265" xr:uid="{6006C345-1B83-415F-8CDB-9C45A844F519}"/>
    <cellStyle name="Percent 4 2 8 5 2 2" xfId="10266" xr:uid="{156EFB0A-4558-494B-AD51-769AEBEC3168}"/>
    <cellStyle name="Percent 4 2 8 5 3" xfId="10267" xr:uid="{69CD9C82-C3D4-4214-BC8B-5F3CB3B3F13C}"/>
    <cellStyle name="Percent 4 2 8 5 3 2" xfId="10268" xr:uid="{10D2EF3F-97F3-47F1-8DCE-0D23879195A0}"/>
    <cellStyle name="Percent 4 2 8 5 4" xfId="10269" xr:uid="{0E791D6D-01B8-4F6D-8BA9-15ED8AE06D9C}"/>
    <cellStyle name="Percent 4 2 8 6" xfId="10270" xr:uid="{F35D6DE4-9363-47DD-BDD7-E8668BB36D7C}"/>
    <cellStyle name="Percent 4 2 8 6 2" xfId="10271" xr:uid="{081275E8-6C48-47D1-8249-49BCD9824501}"/>
    <cellStyle name="Percent 4 2 8 7" xfId="10272" xr:uid="{FA7314EB-959C-4B11-A06E-7EBC376790BE}"/>
    <cellStyle name="Percent 4 2 8 7 2" xfId="10273" xr:uid="{150F4CB6-BA37-4DB7-A86E-D42742757262}"/>
    <cellStyle name="Percent 4 2 8 8" xfId="10274" xr:uid="{B41CD0DA-11E3-4784-98AE-0C5937596001}"/>
    <cellStyle name="Percent 4 2 8 8 2" xfId="10275" xr:uid="{E679FEDC-D135-402E-B96A-DAC9899835A9}"/>
    <cellStyle name="Percent 4 2 8 9" xfId="10276" xr:uid="{67A04B73-A873-4C10-A3F6-394C044DD95F}"/>
    <cellStyle name="Percent 4 2 9" xfId="4743" xr:uid="{08D6571F-D6D5-44C3-B17D-0CA952965B1D}"/>
    <cellStyle name="Percent 4 2 9 2" xfId="10278" xr:uid="{8ABC5B60-59CF-4402-BA8E-4BB667834930}"/>
    <cellStyle name="Percent 4 2 9 2 2" xfId="10279" xr:uid="{FDE358BC-37B1-4180-A13F-9DEE160C1593}"/>
    <cellStyle name="Percent 4 2 9 3" xfId="10280" xr:uid="{9AFC212F-27E5-4378-87C9-F6E3DC66DDFF}"/>
    <cellStyle name="Percent 4 2 9 3 2" xfId="10281" xr:uid="{F70C8135-605A-4285-A82F-288E105A83A0}"/>
    <cellStyle name="Percent 4 2 9 4" xfId="10282" xr:uid="{FEB440AE-7B46-4516-AF99-4A1AF1F13A72}"/>
    <cellStyle name="Percent 4 2 9 5" xfId="10283" xr:uid="{58390E23-7A80-4F1F-8810-05656CE0E7CB}"/>
    <cellStyle name="Percent 4 2 9 6" xfId="10277" xr:uid="{9B799312-8BA2-42C2-930C-9C82535E825D}"/>
    <cellStyle name="Percent 4 20" xfId="2992" xr:uid="{2D68C5AD-F391-4046-870C-8E0825BD0A6F}"/>
    <cellStyle name="Percent 4 20 10" xfId="10285" xr:uid="{860C85E7-787F-464B-84B2-C62F9AA66609}"/>
    <cellStyle name="Percent 4 20 11" xfId="10286" xr:uid="{DDC6FF34-3B6F-43C1-ADAB-5F93306C1093}"/>
    <cellStyle name="Percent 4 20 12" xfId="10284" xr:uid="{E2062E8A-6B80-44AE-82F1-6FB3FB5570AB}"/>
    <cellStyle name="Percent 4 20 2" xfId="10287" xr:uid="{FE9BD458-02D6-48A8-9B5B-6882E265AF31}"/>
    <cellStyle name="Percent 4 20 2 2" xfId="10288" xr:uid="{F481903A-C999-49A3-910A-8181EA096E86}"/>
    <cellStyle name="Percent 4 20 2 2 2" xfId="10289" xr:uid="{46154056-D83A-418A-B85F-9F2F3D69FD3F}"/>
    <cellStyle name="Percent 4 20 2 3" xfId="10290" xr:uid="{B825788A-1CF0-45E6-81EA-5C5D4965490C}"/>
    <cellStyle name="Percent 4 20 2 3 2" xfId="10291" xr:uid="{A7016C01-84A3-4C76-871B-E7D79155E3A8}"/>
    <cellStyle name="Percent 4 20 2 4" xfId="10292" xr:uid="{AC8A86BD-E0C1-4F85-ABA8-6BD9A75C6502}"/>
    <cellStyle name="Percent 4 20 2 5" xfId="10293" xr:uid="{090BBC22-5A44-4346-B754-0FAE12D46919}"/>
    <cellStyle name="Percent 4 20 3" xfId="10294" xr:uid="{6415BA70-2508-4C0A-9BCA-41CD4AF03A4B}"/>
    <cellStyle name="Percent 4 20 3 2" xfId="10295" xr:uid="{3109CA10-2399-47AA-8B40-CFBE9703A3E0}"/>
    <cellStyle name="Percent 4 20 3 2 2" xfId="10296" xr:uid="{20FC6483-9F6F-4416-AFBB-063BC5E32329}"/>
    <cellStyle name="Percent 4 20 3 3" xfId="10297" xr:uid="{7482992C-2D96-48C1-94AB-7961BA63E79E}"/>
    <cellStyle name="Percent 4 20 3 3 2" xfId="10298" xr:uid="{0E4D3D81-ACE8-49B1-A943-C7D8DB562912}"/>
    <cellStyle name="Percent 4 20 3 4" xfId="10299" xr:uid="{48013D52-F0FE-4C7B-A0AB-665F5637E371}"/>
    <cellStyle name="Percent 4 20 4" xfId="10300" xr:uid="{E869124A-8543-4393-BF81-3F140F5968FA}"/>
    <cellStyle name="Percent 4 20 4 2" xfId="10301" xr:uid="{60E9813F-5EDD-4EBE-A4EC-9746BDF97266}"/>
    <cellStyle name="Percent 4 20 4 2 2" xfId="10302" xr:uid="{4F3D90B2-04C4-49E1-B157-A82BB191F6C8}"/>
    <cellStyle name="Percent 4 20 4 3" xfId="10303" xr:uid="{B5AFB25E-5255-4206-9375-68943DCA55B0}"/>
    <cellStyle name="Percent 4 20 4 3 2" xfId="10304" xr:uid="{9CB46C59-F659-4B13-B903-0029936D07CC}"/>
    <cellStyle name="Percent 4 20 4 4" xfId="10305" xr:uid="{C10C1FC8-C2A4-4247-8DCC-11D5E9CEB7DB}"/>
    <cellStyle name="Percent 4 20 5" xfId="10306" xr:uid="{558C4984-394E-4CF9-9C85-31B658642A09}"/>
    <cellStyle name="Percent 4 20 5 2" xfId="10307" xr:uid="{1DE2B5D4-6F2D-4718-A33E-1BEBF90C30FB}"/>
    <cellStyle name="Percent 4 20 5 2 2" xfId="10308" xr:uid="{0FAC7C84-6BF5-4D8C-A469-018325D80009}"/>
    <cellStyle name="Percent 4 20 5 3" xfId="10309" xr:uid="{9E5CCF79-EBB4-4473-8088-7077BCA77341}"/>
    <cellStyle name="Percent 4 20 5 3 2" xfId="10310" xr:uid="{F1F79931-2191-4DE8-B051-4D45EB4799C6}"/>
    <cellStyle name="Percent 4 20 5 4" xfId="10311" xr:uid="{A8036FBA-A929-47C3-A4DB-EA22EEDD9C6A}"/>
    <cellStyle name="Percent 4 20 5 4 2" xfId="10312" xr:uid="{6442064A-4101-4EE0-B2EC-5D14BD3FC7A7}"/>
    <cellStyle name="Percent 4 20 5 5" xfId="10313" xr:uid="{09101068-80F3-4CAE-AAC7-280C9DB79FA0}"/>
    <cellStyle name="Percent 4 20 6" xfId="10314" xr:uid="{1CE1149C-6E37-4273-9772-45AA8BC2E3B0}"/>
    <cellStyle name="Percent 4 20 6 2" xfId="10315" xr:uid="{4204674E-E61F-4176-A807-B13747423E1A}"/>
    <cellStyle name="Percent 4 20 6 2 2" xfId="10316" xr:uid="{FE4605CC-3E64-424C-A620-ACC2CF53B968}"/>
    <cellStyle name="Percent 4 20 6 3" xfId="10317" xr:uid="{CF76F76E-A9D1-4958-AB2A-245AC9AE29AF}"/>
    <cellStyle name="Percent 4 20 6 3 2" xfId="10318" xr:uid="{8FC4920C-4500-490D-995D-408165325345}"/>
    <cellStyle name="Percent 4 20 6 4" xfId="10319" xr:uid="{ECC0B57A-C918-4DCA-B369-7D8E9743FD00}"/>
    <cellStyle name="Percent 4 20 7" xfId="10320" xr:uid="{321981FE-ACDB-49B4-A728-DE2FE509E159}"/>
    <cellStyle name="Percent 4 20 7 2" xfId="10321" xr:uid="{8BA29635-0DCC-4C78-A6CF-AA7F25A79FD8}"/>
    <cellStyle name="Percent 4 20 8" xfId="10322" xr:uid="{4BDCA371-F847-4060-9168-BA214E8F71B1}"/>
    <cellStyle name="Percent 4 20 8 2" xfId="10323" xr:uid="{CB28D97B-1C04-41FA-8CDC-EDC2DA0259B7}"/>
    <cellStyle name="Percent 4 20 9" xfId="10324" xr:uid="{B01C443D-5933-45D6-85F6-62684E26EDDC}"/>
    <cellStyle name="Percent 4 20 9 2" xfId="10325" xr:uid="{5B8DFB69-07B0-45A5-8F48-20C6576500A0}"/>
    <cellStyle name="Percent 4 21" xfId="2993" xr:uid="{D0C52806-A066-438C-941F-B917C745ADC7}"/>
    <cellStyle name="Percent 4 21 10" xfId="10327" xr:uid="{1A978AC9-A06C-41F7-B290-0937B72F6A8C}"/>
    <cellStyle name="Percent 4 21 11" xfId="10328" xr:uid="{51ABBCEF-2E9F-4454-B340-F1697F6F576F}"/>
    <cellStyle name="Percent 4 21 12" xfId="10326" xr:uid="{EC7BB7C1-83D1-413B-BB94-101F492276A0}"/>
    <cellStyle name="Percent 4 21 2" xfId="10329" xr:uid="{6941BA19-7F8D-405D-83A2-5DC21095EA91}"/>
    <cellStyle name="Percent 4 21 2 2" xfId="10330" xr:uid="{B47AB305-1965-436D-9A59-A3E9363369F0}"/>
    <cellStyle name="Percent 4 21 2 2 2" xfId="10331" xr:uid="{07C1A386-DD98-4DC6-8242-A7A861FF523B}"/>
    <cellStyle name="Percent 4 21 2 3" xfId="10332" xr:uid="{19687304-03AF-4747-88DE-61857045E364}"/>
    <cellStyle name="Percent 4 21 2 3 2" xfId="10333" xr:uid="{DD2AB03E-039A-4977-9985-D12833B329A1}"/>
    <cellStyle name="Percent 4 21 2 4" xfId="10334" xr:uid="{A27B2738-9682-417D-9FB2-81C278890D35}"/>
    <cellStyle name="Percent 4 21 2 5" xfId="10335" xr:uid="{8F69D1F3-47D1-48AC-ABA4-5B577021226F}"/>
    <cellStyle name="Percent 4 21 3" xfId="10336" xr:uid="{F7AFE747-CC11-4E29-841C-E9A5AC8447D5}"/>
    <cellStyle name="Percent 4 21 3 2" xfId="10337" xr:uid="{E928418E-E11B-4024-ACEB-E720B1873131}"/>
    <cellStyle name="Percent 4 21 3 2 2" xfId="10338" xr:uid="{E98621DB-C234-4313-BDB2-0E7EE1C11F55}"/>
    <cellStyle name="Percent 4 21 3 3" xfId="10339" xr:uid="{4B1BE079-1630-4DC8-AFAD-EC640BA7B19C}"/>
    <cellStyle name="Percent 4 21 3 3 2" xfId="10340" xr:uid="{AF3D42E5-BAEE-4A6A-85EA-57D12C27BDB4}"/>
    <cellStyle name="Percent 4 21 3 4" xfId="10341" xr:uid="{C08ED9BC-8FB2-48BF-80A3-918BF21AE393}"/>
    <cellStyle name="Percent 4 21 4" xfId="10342" xr:uid="{B8624C12-A392-4D66-9BE1-B3835DBE9426}"/>
    <cellStyle name="Percent 4 21 4 2" xfId="10343" xr:uid="{BCB1CF3B-53DA-412C-828D-276804438B8B}"/>
    <cellStyle name="Percent 4 21 4 2 2" xfId="10344" xr:uid="{21A78546-2E83-4A15-837B-6ADD2BB9B583}"/>
    <cellStyle name="Percent 4 21 4 3" xfId="10345" xr:uid="{7CFE5DF1-F421-4ED3-8295-37D295E33704}"/>
    <cellStyle name="Percent 4 21 4 3 2" xfId="10346" xr:uid="{F2AFB709-9736-4EFC-B24D-2A871006704C}"/>
    <cellStyle name="Percent 4 21 4 4" xfId="10347" xr:uid="{888C98FF-A71B-4A1F-83E0-10EA5FBB0650}"/>
    <cellStyle name="Percent 4 21 5" xfId="10348" xr:uid="{43A914A8-E4B9-4862-B8EB-19E4FE4A4998}"/>
    <cellStyle name="Percent 4 21 5 2" xfId="10349" xr:uid="{F13E5F22-7D07-4581-880C-37A5762E58C5}"/>
    <cellStyle name="Percent 4 21 5 2 2" xfId="10350" xr:uid="{C7EA5CB7-1E13-4B48-9C97-7FBE8E702E75}"/>
    <cellStyle name="Percent 4 21 5 3" xfId="10351" xr:uid="{C302FEEF-2CBB-4033-9E72-A1D0E5A2829C}"/>
    <cellStyle name="Percent 4 21 5 3 2" xfId="10352" xr:uid="{A4D8C40B-04BE-4E6C-9D72-D7232FDA547D}"/>
    <cellStyle name="Percent 4 21 5 4" xfId="10353" xr:uid="{37CEA499-837A-4AB6-A939-FDB795B89A32}"/>
    <cellStyle name="Percent 4 21 5 4 2" xfId="10354" xr:uid="{194D490F-277E-4290-9759-1767D0452550}"/>
    <cellStyle name="Percent 4 21 5 5" xfId="10355" xr:uid="{559F589E-949E-4520-A286-127F3F953A1C}"/>
    <cellStyle name="Percent 4 21 6" xfId="10356" xr:uid="{99EA7595-BB1E-4A5A-B868-4D482B438746}"/>
    <cellStyle name="Percent 4 21 6 2" xfId="10357" xr:uid="{D214FDA2-E955-4729-A61E-B68FAA9B1679}"/>
    <cellStyle name="Percent 4 21 6 2 2" xfId="10358" xr:uid="{1546E8BF-69AB-408C-A58C-6AFF98B8CEF0}"/>
    <cellStyle name="Percent 4 21 6 3" xfId="10359" xr:uid="{AE0AA716-8400-4E8E-95C9-F72DD8DD611A}"/>
    <cellStyle name="Percent 4 21 6 3 2" xfId="10360" xr:uid="{48E42BA0-FBD0-4B3B-A0CC-37DCD3ED66DE}"/>
    <cellStyle name="Percent 4 21 6 4" xfId="10361" xr:uid="{6AFA20F6-51A4-4866-8448-BFD925E515A3}"/>
    <cellStyle name="Percent 4 21 7" xfId="10362" xr:uid="{90B491DB-6ED4-4066-A49D-D815C7116909}"/>
    <cellStyle name="Percent 4 21 7 2" xfId="10363" xr:uid="{078DBB4F-5D13-49E0-BAFA-C047FE88D8D4}"/>
    <cellStyle name="Percent 4 21 8" xfId="10364" xr:uid="{815E8950-36B0-484A-B5A2-8FE28D699AC2}"/>
    <cellStyle name="Percent 4 21 8 2" xfId="10365" xr:uid="{047A35EF-151D-4591-AE51-9D7A4F132EA4}"/>
    <cellStyle name="Percent 4 21 9" xfId="10366" xr:uid="{C4782AD4-6EFC-428C-B961-2002CA7C21A1}"/>
    <cellStyle name="Percent 4 21 9 2" xfId="10367" xr:uid="{A137CF07-39B8-4E62-BAD4-3932A085C39C}"/>
    <cellStyle name="Percent 4 22" xfId="2994" xr:uid="{B82F2880-F653-494E-8AAD-A9708D50AAC2}"/>
    <cellStyle name="Percent 4 22 10" xfId="10369" xr:uid="{AC1C9CC4-ADA3-4CE4-BC79-C0EA770619FA}"/>
    <cellStyle name="Percent 4 22 11" xfId="10370" xr:uid="{96B00332-FBB1-47BF-834F-AFF5A92A0FFE}"/>
    <cellStyle name="Percent 4 22 12" xfId="10368" xr:uid="{E00B6BED-C378-42DD-868A-BD42A201C6B2}"/>
    <cellStyle name="Percent 4 22 2" xfId="10371" xr:uid="{EC290D5A-C642-40EE-B306-883BDC716CDF}"/>
    <cellStyle name="Percent 4 22 2 2" xfId="10372" xr:uid="{7D33668E-7B05-4950-B720-54FB57F8FF80}"/>
    <cellStyle name="Percent 4 22 2 2 2" xfId="10373" xr:uid="{A2FC487D-1605-428E-97DC-B87BDFD1D01D}"/>
    <cellStyle name="Percent 4 22 2 3" xfId="10374" xr:uid="{BBBF2238-0415-4244-A0DE-76CF0D1E4B65}"/>
    <cellStyle name="Percent 4 22 2 3 2" xfId="10375" xr:uid="{6CC33901-FBCB-4461-98E7-83AB011E7427}"/>
    <cellStyle name="Percent 4 22 2 4" xfId="10376" xr:uid="{A2C44353-7F24-44BF-841A-71A6719FA500}"/>
    <cellStyle name="Percent 4 22 2 5" xfId="10377" xr:uid="{77990DF4-FCEF-4494-8687-022874F40CFE}"/>
    <cellStyle name="Percent 4 22 3" xfId="10378" xr:uid="{6F8EA3B2-9A05-4F9F-AB90-596E402A3DF0}"/>
    <cellStyle name="Percent 4 22 3 2" xfId="10379" xr:uid="{B64C3DED-CC9A-4B34-AD8C-6AE934F56962}"/>
    <cellStyle name="Percent 4 22 3 2 2" xfId="10380" xr:uid="{16C0E46E-6279-45C6-A92E-51F18EB7F724}"/>
    <cellStyle name="Percent 4 22 3 3" xfId="10381" xr:uid="{E1899A69-CE62-44E0-8E9E-A29366356955}"/>
    <cellStyle name="Percent 4 22 3 3 2" xfId="10382" xr:uid="{8124CCAD-26B3-4C38-B221-D58FD43C17AE}"/>
    <cellStyle name="Percent 4 22 3 4" xfId="10383" xr:uid="{574DDC2B-0FBC-439E-BC0B-063B3211A417}"/>
    <cellStyle name="Percent 4 22 4" xfId="10384" xr:uid="{1D9125C1-01DD-4B3A-9259-B5B2E6B3D840}"/>
    <cellStyle name="Percent 4 22 4 2" xfId="10385" xr:uid="{3EDC4DE9-5601-4036-95B1-F01BF2BF21F6}"/>
    <cellStyle name="Percent 4 22 4 2 2" xfId="10386" xr:uid="{BDA8F9FC-B0FA-42A4-B273-EF223552BDCE}"/>
    <cellStyle name="Percent 4 22 4 3" xfId="10387" xr:uid="{F5A96C49-F26C-4638-968B-1CF798BA3FD8}"/>
    <cellStyle name="Percent 4 22 4 3 2" xfId="10388" xr:uid="{BCC795DC-0528-4491-A7D5-9F87E5A754FE}"/>
    <cellStyle name="Percent 4 22 4 4" xfId="10389" xr:uid="{26272198-2FEE-43C1-A1F1-22F06CA04F59}"/>
    <cellStyle name="Percent 4 22 5" xfId="10390" xr:uid="{8B3F5A30-86DA-496F-9019-E12725D03443}"/>
    <cellStyle name="Percent 4 22 5 2" xfId="10391" xr:uid="{99D25A55-8C2C-4621-A2EA-5E00D5A60CE3}"/>
    <cellStyle name="Percent 4 22 5 2 2" xfId="10392" xr:uid="{7092515B-06EE-4191-B054-42C9CF62BCE8}"/>
    <cellStyle name="Percent 4 22 5 3" xfId="10393" xr:uid="{141A135D-49B2-4F47-B0F4-0D82D41D4086}"/>
    <cellStyle name="Percent 4 22 5 3 2" xfId="10394" xr:uid="{F421F14C-543D-4A3F-AE53-B901C8DD8315}"/>
    <cellStyle name="Percent 4 22 5 4" xfId="10395" xr:uid="{FA3C2908-733A-493C-B081-3E100D30C799}"/>
    <cellStyle name="Percent 4 22 5 4 2" xfId="10396" xr:uid="{58355F8C-9862-49C3-9813-E5D903F1CD07}"/>
    <cellStyle name="Percent 4 22 5 5" xfId="10397" xr:uid="{6BDC13CB-D0D8-4AF1-A138-CEF8DB5D1D13}"/>
    <cellStyle name="Percent 4 22 6" xfId="10398" xr:uid="{4F573943-B618-4A7C-907C-7959E6AA5C5C}"/>
    <cellStyle name="Percent 4 22 6 2" xfId="10399" xr:uid="{DFE46353-5C7C-43FE-AB19-B86FB9402510}"/>
    <cellStyle name="Percent 4 22 6 2 2" xfId="10400" xr:uid="{12CF4FD4-0B2C-4596-94FC-4ECE4B286916}"/>
    <cellStyle name="Percent 4 22 6 3" xfId="10401" xr:uid="{BBE691C1-510A-4CFF-8A7D-7C7BB3B24193}"/>
    <cellStyle name="Percent 4 22 6 3 2" xfId="10402" xr:uid="{CA0EB0E2-5B17-4E03-AA99-57B00128323D}"/>
    <cellStyle name="Percent 4 22 6 4" xfId="10403" xr:uid="{767CFF34-F4E6-40F9-A5BC-5F977C7302EA}"/>
    <cellStyle name="Percent 4 22 7" xfId="10404" xr:uid="{CB056237-55A3-4971-95A6-46EC6E313FA2}"/>
    <cellStyle name="Percent 4 22 7 2" xfId="10405" xr:uid="{2213701D-9C13-429B-9F32-3BF9E8147A1D}"/>
    <cellStyle name="Percent 4 22 8" xfId="10406" xr:uid="{D3016CF8-2B57-4E4F-8104-8253936A3B85}"/>
    <cellStyle name="Percent 4 22 8 2" xfId="10407" xr:uid="{1A6E85EC-04D3-4C1F-A18F-5E58A082D70F}"/>
    <cellStyle name="Percent 4 22 9" xfId="10408" xr:uid="{19C050BB-5128-4E4E-867F-03602B4FFCF9}"/>
    <cellStyle name="Percent 4 22 9 2" xfId="10409" xr:uid="{7C6269B9-BA39-4E05-B3B5-F6F183A1F07E}"/>
    <cellStyle name="Percent 4 23" xfId="2995" xr:uid="{58B134B9-9D4B-4B5B-A64D-D48BBEDFC834}"/>
    <cellStyle name="Percent 4 23 10" xfId="10411" xr:uid="{B0D0DDD4-059A-49B7-8D0E-BEAED493A4B6}"/>
    <cellStyle name="Percent 4 23 11" xfId="10412" xr:uid="{514C8F35-F78C-4FD4-B528-F8D535014228}"/>
    <cellStyle name="Percent 4 23 12" xfId="10410" xr:uid="{981B8798-90F2-4E20-91AA-D37FD6163FB9}"/>
    <cellStyle name="Percent 4 23 2" xfId="10413" xr:uid="{304AC689-64FB-47EF-AEA2-797F9A4619C9}"/>
    <cellStyle name="Percent 4 23 2 2" xfId="10414" xr:uid="{FCEC3F42-7B54-417D-AB25-8F22360E84D3}"/>
    <cellStyle name="Percent 4 23 2 2 2" xfId="10415" xr:uid="{B18EDD71-A321-4F6C-8136-EB8CC1937E7B}"/>
    <cellStyle name="Percent 4 23 2 3" xfId="10416" xr:uid="{ECF5A6E7-60A0-4407-880C-33B951598929}"/>
    <cellStyle name="Percent 4 23 2 3 2" xfId="10417" xr:uid="{1A07AEA3-714E-4E75-81C4-D7547845229C}"/>
    <cellStyle name="Percent 4 23 2 4" xfId="10418" xr:uid="{57607D50-D61F-49B8-9CF3-4641AD7122F5}"/>
    <cellStyle name="Percent 4 23 2 5" xfId="10419" xr:uid="{11B66643-9818-4B95-9E3A-FEC2FEE4A5AF}"/>
    <cellStyle name="Percent 4 23 3" xfId="10420" xr:uid="{666311F4-E790-45AD-A9F0-BE0419FF02E8}"/>
    <cellStyle name="Percent 4 23 3 2" xfId="10421" xr:uid="{50822428-4FD8-47AB-9226-0FB10B17E2DB}"/>
    <cellStyle name="Percent 4 23 3 2 2" xfId="10422" xr:uid="{B5966449-5FC7-41A8-B33A-128A37F3CF70}"/>
    <cellStyle name="Percent 4 23 3 3" xfId="10423" xr:uid="{14D87F84-F42F-49CE-A456-6C0D67ABE754}"/>
    <cellStyle name="Percent 4 23 3 3 2" xfId="10424" xr:uid="{0AF5E972-7172-4CF6-8C8A-24BC6B3FAAE6}"/>
    <cellStyle name="Percent 4 23 3 4" xfId="10425" xr:uid="{2CCF2ECF-D5DF-4AA0-88E0-BC79119B7F3E}"/>
    <cellStyle name="Percent 4 23 4" xfId="10426" xr:uid="{85B8EA32-1D9D-4D84-BB30-AFCD627920E1}"/>
    <cellStyle name="Percent 4 23 4 2" xfId="10427" xr:uid="{79812BEE-F525-4143-AB18-3AFC96DDA916}"/>
    <cellStyle name="Percent 4 23 4 2 2" xfId="10428" xr:uid="{0462D58D-6585-404E-9DEF-B69311C1A5E6}"/>
    <cellStyle name="Percent 4 23 4 3" xfId="10429" xr:uid="{FAB8E5A3-B927-4D24-BA9B-E9DF0A969DC8}"/>
    <cellStyle name="Percent 4 23 4 3 2" xfId="10430" xr:uid="{8BE2F00B-FD30-420D-B748-1D59D58BB69B}"/>
    <cellStyle name="Percent 4 23 4 4" xfId="10431" xr:uid="{1F7BCAC0-FB71-4DAD-8AB4-E7E2C1C046DC}"/>
    <cellStyle name="Percent 4 23 5" xfId="10432" xr:uid="{04C9F8A8-5519-482F-A952-38E8AE04F4B1}"/>
    <cellStyle name="Percent 4 23 5 2" xfId="10433" xr:uid="{552309A9-2EA9-4EBB-A4D8-4E3870573B71}"/>
    <cellStyle name="Percent 4 23 5 2 2" xfId="10434" xr:uid="{2AD0285A-E488-4E26-B81B-7CFEA02D99A1}"/>
    <cellStyle name="Percent 4 23 5 3" xfId="10435" xr:uid="{7750846F-081E-465F-8EED-3A2574FD8C6D}"/>
    <cellStyle name="Percent 4 23 5 3 2" xfId="10436" xr:uid="{AC603B7C-B83B-4C91-8F95-297763864D97}"/>
    <cellStyle name="Percent 4 23 5 4" xfId="10437" xr:uid="{F05E0B45-C3ED-4DDC-BA88-2345F5DDB147}"/>
    <cellStyle name="Percent 4 23 5 4 2" xfId="10438" xr:uid="{C3A92D42-504C-4E53-B7E9-0DBDFDBDB0E7}"/>
    <cellStyle name="Percent 4 23 5 5" xfId="10439" xr:uid="{E06EB808-8470-4F22-9E38-A928227B23AD}"/>
    <cellStyle name="Percent 4 23 6" xfId="10440" xr:uid="{9BF208EA-93EB-45D0-8C0D-54228E67BC21}"/>
    <cellStyle name="Percent 4 23 6 2" xfId="10441" xr:uid="{946B8D62-8EF9-4052-A0C9-1E984BAB0559}"/>
    <cellStyle name="Percent 4 23 6 2 2" xfId="10442" xr:uid="{760B2657-DEAB-43EE-8FE6-DEC300EC14E8}"/>
    <cellStyle name="Percent 4 23 6 3" xfId="10443" xr:uid="{E5B689BA-F5F7-413B-8AFF-74DEC368D68E}"/>
    <cellStyle name="Percent 4 23 6 3 2" xfId="10444" xr:uid="{A89E30BB-002A-443B-AB5B-7A877FEE3A44}"/>
    <cellStyle name="Percent 4 23 6 4" xfId="10445" xr:uid="{4B7B36D3-C9AF-48D9-AE26-0C5EAF4EBB89}"/>
    <cellStyle name="Percent 4 23 7" xfId="10446" xr:uid="{44B83E38-FC37-4B4E-811D-8F3A1140DD04}"/>
    <cellStyle name="Percent 4 23 7 2" xfId="10447" xr:uid="{A9313F53-F625-4109-BC5F-71A32206A888}"/>
    <cellStyle name="Percent 4 23 8" xfId="10448" xr:uid="{BF2370F4-5323-44BA-9483-F05AB4C7863F}"/>
    <cellStyle name="Percent 4 23 8 2" xfId="10449" xr:uid="{7E0C27C5-FEE2-4FA7-A250-1B6CC9C61B2B}"/>
    <cellStyle name="Percent 4 23 9" xfId="10450" xr:uid="{FD2B8479-9563-46E9-9C3F-0EB7B7BF1741}"/>
    <cellStyle name="Percent 4 23 9 2" xfId="10451" xr:uid="{F50BDFC0-DAED-4449-8891-6DBF7E56A63C}"/>
    <cellStyle name="Percent 4 24" xfId="2996" xr:uid="{517DBE22-368B-4280-9850-E9BA49DB40BA}"/>
    <cellStyle name="Percent 4 24 10" xfId="10453" xr:uid="{C2D61E1C-721C-4F0A-9901-ED8A9F0C7223}"/>
    <cellStyle name="Percent 4 24 11" xfId="10454" xr:uid="{7AC17342-29AA-4C3A-A42C-A985E5372C84}"/>
    <cellStyle name="Percent 4 24 12" xfId="10452" xr:uid="{7CE34BCC-EC33-4E76-ABD0-FC4BD2B493F2}"/>
    <cellStyle name="Percent 4 24 2" xfId="10455" xr:uid="{2F36FEA4-226C-440F-BA5C-DF76F30BDACA}"/>
    <cellStyle name="Percent 4 24 2 2" xfId="10456" xr:uid="{BF252369-1699-4E3D-8CB6-A2F872E41F4B}"/>
    <cellStyle name="Percent 4 24 2 2 2" xfId="10457" xr:uid="{152F852D-F28D-411A-AF4F-73BFE81BD220}"/>
    <cellStyle name="Percent 4 24 2 3" xfId="10458" xr:uid="{42783C54-7938-454E-B0F7-35029D731283}"/>
    <cellStyle name="Percent 4 24 2 3 2" xfId="10459" xr:uid="{633589E9-FCD4-48A7-8A93-493A0997BD34}"/>
    <cellStyle name="Percent 4 24 2 4" xfId="10460" xr:uid="{3CE9BE4F-0721-4AE9-858E-780BC3E94958}"/>
    <cellStyle name="Percent 4 24 2 5" xfId="10461" xr:uid="{87429062-AD9B-4E00-9476-8D99D5589BFD}"/>
    <cellStyle name="Percent 4 24 3" xfId="10462" xr:uid="{DDCD6295-DBC9-4A34-AA2B-1C7D988CF369}"/>
    <cellStyle name="Percent 4 24 3 2" xfId="10463" xr:uid="{B46BC099-DED6-4FE7-8F33-A4BAD911C15B}"/>
    <cellStyle name="Percent 4 24 3 2 2" xfId="10464" xr:uid="{FD789FB4-29CD-4189-BCF7-18C1C93E2768}"/>
    <cellStyle name="Percent 4 24 3 3" xfId="10465" xr:uid="{DD7E5017-04BE-4031-AF08-85AA8430EBDF}"/>
    <cellStyle name="Percent 4 24 3 3 2" xfId="10466" xr:uid="{EBD9FDD9-07FB-4441-87E5-F3E397023985}"/>
    <cellStyle name="Percent 4 24 3 4" xfId="10467" xr:uid="{9D609FBC-B839-44C6-87C0-E024A0DFA1DA}"/>
    <cellStyle name="Percent 4 24 4" xfId="10468" xr:uid="{010D44EB-7D3F-4D52-A040-EA37AA66FAF9}"/>
    <cellStyle name="Percent 4 24 4 2" xfId="10469" xr:uid="{904EB839-EC3B-4E4F-BAC0-72775186DE36}"/>
    <cellStyle name="Percent 4 24 4 2 2" xfId="10470" xr:uid="{7F823607-548B-49D0-AD97-11CE57F9B69C}"/>
    <cellStyle name="Percent 4 24 4 3" xfId="10471" xr:uid="{C7109652-482B-49CE-90C4-A0F642DEC854}"/>
    <cellStyle name="Percent 4 24 4 3 2" xfId="10472" xr:uid="{F84ABF6D-2F45-4A02-A763-5C19AB092FF6}"/>
    <cellStyle name="Percent 4 24 4 4" xfId="10473" xr:uid="{015CC67B-4802-4AA4-A4EB-A9CBB00CA1F2}"/>
    <cellStyle name="Percent 4 24 5" xfId="10474" xr:uid="{044856D0-A1A8-414B-BBBF-A346223CF76A}"/>
    <cellStyle name="Percent 4 24 5 2" xfId="10475" xr:uid="{913EC5BD-8B7E-4F46-8348-7AD7C68189B9}"/>
    <cellStyle name="Percent 4 24 5 2 2" xfId="10476" xr:uid="{8370B5AE-BCA8-477A-83C6-1197419A7804}"/>
    <cellStyle name="Percent 4 24 5 3" xfId="10477" xr:uid="{42A1BFBB-6086-42D9-A313-47CFED153614}"/>
    <cellStyle name="Percent 4 24 5 3 2" xfId="10478" xr:uid="{D0001077-D286-47B6-BE63-1F113F537194}"/>
    <cellStyle name="Percent 4 24 5 4" xfId="10479" xr:uid="{09BB5885-53B2-44F0-A671-1452C2D7C02C}"/>
    <cellStyle name="Percent 4 24 5 4 2" xfId="10480" xr:uid="{AB3D5877-018F-42D3-ABE6-65FAEE016B2B}"/>
    <cellStyle name="Percent 4 24 5 5" xfId="10481" xr:uid="{C9179CD7-8772-4BEA-A300-6E6D8C3C1775}"/>
    <cellStyle name="Percent 4 24 6" xfId="10482" xr:uid="{ACBF6932-68CF-4216-9D9D-0E28C611B115}"/>
    <cellStyle name="Percent 4 24 6 2" xfId="10483" xr:uid="{51C3CDA4-69CE-471C-9D47-94A12C25F238}"/>
    <cellStyle name="Percent 4 24 6 2 2" xfId="10484" xr:uid="{E2A46822-3AC2-4D6B-AA70-799021C9DB2C}"/>
    <cellStyle name="Percent 4 24 6 3" xfId="10485" xr:uid="{943586E1-4B20-458D-AC97-39863FF80802}"/>
    <cellStyle name="Percent 4 24 6 3 2" xfId="10486" xr:uid="{11B8E9F8-7288-4E2E-87A6-5B0A395AD4D3}"/>
    <cellStyle name="Percent 4 24 6 4" xfId="10487" xr:uid="{33D7B49D-6D35-4735-88DE-4709FA9813F9}"/>
    <cellStyle name="Percent 4 24 7" xfId="10488" xr:uid="{81ECEEC6-DF06-46B4-9C57-ED1B08C171ED}"/>
    <cellStyle name="Percent 4 24 7 2" xfId="10489" xr:uid="{00CC1174-A70C-4A48-826E-69A98173B6A9}"/>
    <cellStyle name="Percent 4 24 8" xfId="10490" xr:uid="{8E496949-D547-484C-9E01-13550FB6B908}"/>
    <cellStyle name="Percent 4 24 8 2" xfId="10491" xr:uid="{FCE200EA-FF36-4B8E-9D12-E424E7471389}"/>
    <cellStyle name="Percent 4 24 9" xfId="10492" xr:uid="{D669ECEF-B189-4F50-A884-3F98CC18A5DE}"/>
    <cellStyle name="Percent 4 24 9 2" xfId="10493" xr:uid="{C7F56915-6B7B-4900-8B17-8C3CAB189DB3}"/>
    <cellStyle name="Percent 4 25" xfId="2997" xr:uid="{367E6E8C-CB11-49FA-AE6C-12CD7C15D619}"/>
    <cellStyle name="Percent 4 25 10" xfId="10495" xr:uid="{EBD9759C-9382-4E3C-8048-B7A1D91D2227}"/>
    <cellStyle name="Percent 4 25 11" xfId="10496" xr:uid="{90A38F3E-3670-4D95-BA87-DAB0541ED9FF}"/>
    <cellStyle name="Percent 4 25 12" xfId="10494" xr:uid="{0379858F-D2EA-43D0-9D78-FB554C77CDA4}"/>
    <cellStyle name="Percent 4 25 2" xfId="10497" xr:uid="{76455BFB-8803-40A3-A0BD-49245BD8BD37}"/>
    <cellStyle name="Percent 4 25 2 2" xfId="10498" xr:uid="{6CB95688-F4C9-4DB8-8074-13DA708F7FD7}"/>
    <cellStyle name="Percent 4 25 2 2 2" xfId="10499" xr:uid="{C2F7D89A-74FA-42F9-805F-0BD8137C4061}"/>
    <cellStyle name="Percent 4 25 2 3" xfId="10500" xr:uid="{373451DB-DFDE-4294-A294-C2BF62FA1A06}"/>
    <cellStyle name="Percent 4 25 2 3 2" xfId="10501" xr:uid="{61A1525A-7069-4BFD-A399-8A930C07F645}"/>
    <cellStyle name="Percent 4 25 2 4" xfId="10502" xr:uid="{37AB349C-CEDC-493C-BCAB-0715C0B18706}"/>
    <cellStyle name="Percent 4 25 2 5" xfId="10503" xr:uid="{C12635A5-5402-45F3-AB71-48481D966525}"/>
    <cellStyle name="Percent 4 25 3" xfId="10504" xr:uid="{F372A98C-F5E1-4999-AAD5-A6DDDAB3B957}"/>
    <cellStyle name="Percent 4 25 3 2" xfId="10505" xr:uid="{06222805-46E8-4BE0-915C-0E5392FEEDF6}"/>
    <cellStyle name="Percent 4 25 3 2 2" xfId="10506" xr:uid="{85826704-197F-4E32-8A6B-27D305DA1F57}"/>
    <cellStyle name="Percent 4 25 3 3" xfId="10507" xr:uid="{A17F7897-D7CE-42C2-98AA-FA400AC50494}"/>
    <cellStyle name="Percent 4 25 3 3 2" xfId="10508" xr:uid="{A74B7A80-8DBC-45E6-BF94-ACC7DD4E495E}"/>
    <cellStyle name="Percent 4 25 3 4" xfId="10509" xr:uid="{31C0111E-78CD-4CE3-897D-09E99A43F2A2}"/>
    <cellStyle name="Percent 4 25 4" xfId="10510" xr:uid="{4BC35CC6-09A9-445D-815B-426C5C22F30A}"/>
    <cellStyle name="Percent 4 25 4 2" xfId="10511" xr:uid="{09C1E918-D217-43F6-AA5A-4A1DB76A958F}"/>
    <cellStyle name="Percent 4 25 4 2 2" xfId="10512" xr:uid="{51347AE7-041D-4368-BBD9-55FD052D24F0}"/>
    <cellStyle name="Percent 4 25 4 3" xfId="10513" xr:uid="{BB4749B4-223B-4161-ADA6-E9E19A1AB45B}"/>
    <cellStyle name="Percent 4 25 4 3 2" xfId="10514" xr:uid="{FDC16AD7-5B73-4DD3-915B-716A88260C76}"/>
    <cellStyle name="Percent 4 25 4 4" xfId="10515" xr:uid="{FC99B605-BA1D-4AE4-9A28-B6350B663418}"/>
    <cellStyle name="Percent 4 25 5" xfId="10516" xr:uid="{6386E33C-223D-4D01-A6FD-C2E4BF7FD005}"/>
    <cellStyle name="Percent 4 25 5 2" xfId="10517" xr:uid="{E84C0F88-47F3-46E8-9889-5213AB5BD64C}"/>
    <cellStyle name="Percent 4 25 5 2 2" xfId="10518" xr:uid="{D5AB4638-5E4A-4709-85DF-A36F10C69F87}"/>
    <cellStyle name="Percent 4 25 5 3" xfId="10519" xr:uid="{1D2EC848-CF8D-43D1-86F5-B9BC16279228}"/>
    <cellStyle name="Percent 4 25 5 3 2" xfId="10520" xr:uid="{D7E8C4B1-A604-4867-A776-1004EE125E1C}"/>
    <cellStyle name="Percent 4 25 5 4" xfId="10521" xr:uid="{337A0BB2-E56D-47FC-A5E1-C7928007E4EE}"/>
    <cellStyle name="Percent 4 25 5 4 2" xfId="10522" xr:uid="{5DDAD5EA-FC15-4101-B95C-2D441375E11A}"/>
    <cellStyle name="Percent 4 25 5 5" xfId="10523" xr:uid="{FB72E069-BC13-4A6D-8C52-F9BFE009973D}"/>
    <cellStyle name="Percent 4 25 6" xfId="10524" xr:uid="{FC9ECCB2-9AA9-458F-AEEF-5359A2AE85DD}"/>
    <cellStyle name="Percent 4 25 6 2" xfId="10525" xr:uid="{FD469BDC-14EE-411C-ACC7-26E5B605B159}"/>
    <cellStyle name="Percent 4 25 6 2 2" xfId="10526" xr:uid="{63F4609A-8110-4E88-AC73-D76E61A66413}"/>
    <cellStyle name="Percent 4 25 6 3" xfId="10527" xr:uid="{B10BAFD6-B070-4D3A-88CC-F235F74F2274}"/>
    <cellStyle name="Percent 4 25 6 3 2" xfId="10528" xr:uid="{224BD2A5-D67B-4E0F-AB0A-7174C851AF95}"/>
    <cellStyle name="Percent 4 25 6 4" xfId="10529" xr:uid="{CD569FCB-92AD-4C1E-B717-402E6FE6A6AA}"/>
    <cellStyle name="Percent 4 25 7" xfId="10530" xr:uid="{C8F9B046-EEEA-4FCA-91CB-7258B163738E}"/>
    <cellStyle name="Percent 4 25 7 2" xfId="10531" xr:uid="{88BB276A-ACA5-4D81-9DEE-E747DD9F6433}"/>
    <cellStyle name="Percent 4 25 8" xfId="10532" xr:uid="{DE377605-573D-4B3F-A2E8-1C1965FA3993}"/>
    <cellStyle name="Percent 4 25 8 2" xfId="10533" xr:uid="{1F588EB1-822B-49C7-8A30-B446A8F5C230}"/>
    <cellStyle name="Percent 4 25 9" xfId="10534" xr:uid="{EF468990-7B0D-4A8C-AA74-1DD41641E5E8}"/>
    <cellStyle name="Percent 4 25 9 2" xfId="10535" xr:uid="{9C38499A-1501-40A9-B447-CADAE61B19B2}"/>
    <cellStyle name="Percent 4 26" xfId="2998" xr:uid="{FFA2096B-2264-494E-8E7D-CBD01897A3B7}"/>
    <cellStyle name="Percent 4 26 10" xfId="10537" xr:uid="{3C73E801-2BE2-4772-BDE6-D3CF8432C0D0}"/>
    <cellStyle name="Percent 4 26 11" xfId="10538" xr:uid="{FAC28574-76F9-4133-8E6E-452AAE6E4D02}"/>
    <cellStyle name="Percent 4 26 12" xfId="10536" xr:uid="{D4DA40D3-532F-4210-8DD0-1F7FDA52F069}"/>
    <cellStyle name="Percent 4 26 2" xfId="10539" xr:uid="{B2578DCD-D2CA-49DC-995C-376C1C96115E}"/>
    <cellStyle name="Percent 4 26 2 2" xfId="10540" xr:uid="{81722629-1523-4569-98F2-710B127F2321}"/>
    <cellStyle name="Percent 4 26 2 2 2" xfId="10541" xr:uid="{5BA65BF0-22E9-4D13-86AD-80DD8A01F121}"/>
    <cellStyle name="Percent 4 26 2 3" xfId="10542" xr:uid="{11326F58-8616-42DF-9FBC-F3C6269AD38A}"/>
    <cellStyle name="Percent 4 26 2 3 2" xfId="10543" xr:uid="{7FA01792-7675-48A0-BC58-A41C3536D32A}"/>
    <cellStyle name="Percent 4 26 2 4" xfId="10544" xr:uid="{1D4A26EC-A204-4B1C-B41A-EB3BC2792E7C}"/>
    <cellStyle name="Percent 4 26 2 5" xfId="10545" xr:uid="{FF0355B8-01ED-4B0C-9BDF-188E1343FA6A}"/>
    <cellStyle name="Percent 4 26 3" xfId="10546" xr:uid="{45547AF4-245C-47FD-A363-054A03D46D7D}"/>
    <cellStyle name="Percent 4 26 3 2" xfId="10547" xr:uid="{D0FCFA9A-FC38-435C-AEE7-6382BD8DCE30}"/>
    <cellStyle name="Percent 4 26 3 2 2" xfId="10548" xr:uid="{3C435250-A7A4-46A1-87DF-583E8039AA2E}"/>
    <cellStyle name="Percent 4 26 3 3" xfId="10549" xr:uid="{0BD4D538-6F97-4DD0-881A-A5AEC5510FC6}"/>
    <cellStyle name="Percent 4 26 3 3 2" xfId="10550" xr:uid="{D551B9A9-1671-4963-AA1D-A2BF783C1ACD}"/>
    <cellStyle name="Percent 4 26 3 4" xfId="10551" xr:uid="{FA9BB16B-E1E7-43C6-9376-9FB855CCA127}"/>
    <cellStyle name="Percent 4 26 4" xfId="10552" xr:uid="{4F552631-6100-4705-AD47-B04C2DD939A1}"/>
    <cellStyle name="Percent 4 26 4 2" xfId="10553" xr:uid="{854FB7DE-1F15-4545-953D-3B258B652B08}"/>
    <cellStyle name="Percent 4 26 4 2 2" xfId="10554" xr:uid="{4149D751-2409-468B-B208-A19E29FBD5A8}"/>
    <cellStyle name="Percent 4 26 4 3" xfId="10555" xr:uid="{D2908458-7A4F-4C0F-998C-D6C099DB70D0}"/>
    <cellStyle name="Percent 4 26 4 3 2" xfId="10556" xr:uid="{3C6C0917-735A-4914-AC7B-860867EFF0B0}"/>
    <cellStyle name="Percent 4 26 4 4" xfId="10557" xr:uid="{54650502-940F-476B-BA86-E912C3C2A05E}"/>
    <cellStyle name="Percent 4 26 5" xfId="10558" xr:uid="{5E594A5B-78BA-47EA-8A3E-B7A2D70F6FD1}"/>
    <cellStyle name="Percent 4 26 5 2" xfId="10559" xr:uid="{C4E7AA79-79FD-4C62-B491-05F2025271CD}"/>
    <cellStyle name="Percent 4 26 5 2 2" xfId="10560" xr:uid="{B5EC55D6-3CFF-481E-8973-794C7DE4F66D}"/>
    <cellStyle name="Percent 4 26 5 3" xfId="10561" xr:uid="{D2E8A14B-B31B-49ED-A606-72D3055AAE75}"/>
    <cellStyle name="Percent 4 26 5 3 2" xfId="10562" xr:uid="{94C50B55-2D0F-4389-9BDB-BFA783714E12}"/>
    <cellStyle name="Percent 4 26 5 4" xfId="10563" xr:uid="{2F72AC46-B555-4F9C-A220-35F04A6AF61D}"/>
    <cellStyle name="Percent 4 26 5 4 2" xfId="10564" xr:uid="{C97CA8F0-5E7F-46A8-9AB2-E817B2D1C5E5}"/>
    <cellStyle name="Percent 4 26 5 5" xfId="10565" xr:uid="{F0B9B70E-6E34-41BE-842D-1679B6016825}"/>
    <cellStyle name="Percent 4 26 6" xfId="10566" xr:uid="{81FEC589-D50A-4E1A-9B35-F25FCC7A3FEF}"/>
    <cellStyle name="Percent 4 26 6 2" xfId="10567" xr:uid="{BE5600FA-B393-4E4D-8004-3B9071BAFC09}"/>
    <cellStyle name="Percent 4 26 6 2 2" xfId="10568" xr:uid="{85FA7062-17C6-42CF-A528-C1B1903A4B0D}"/>
    <cellStyle name="Percent 4 26 6 3" xfId="10569" xr:uid="{DCC0BF0E-F52E-4EAB-B371-B84CD1FC5F9F}"/>
    <cellStyle name="Percent 4 26 6 3 2" xfId="10570" xr:uid="{B1F60246-1B38-4388-8284-B6F6F93BE9EA}"/>
    <cellStyle name="Percent 4 26 6 4" xfId="10571" xr:uid="{28A2C254-7966-431A-B7C2-EE0ADCF7E531}"/>
    <cellStyle name="Percent 4 26 7" xfId="10572" xr:uid="{E37CBEDD-8B35-40BC-909E-7B33FFBF8DFA}"/>
    <cellStyle name="Percent 4 26 7 2" xfId="10573" xr:uid="{0EE31B61-518D-47BB-AC3A-288CAFFD0CF7}"/>
    <cellStyle name="Percent 4 26 8" xfId="10574" xr:uid="{4DC19418-5515-4E21-ADBC-0E24AF650A86}"/>
    <cellStyle name="Percent 4 26 8 2" xfId="10575" xr:uid="{1C284590-CB76-43ED-B0FA-1E138B0649E7}"/>
    <cellStyle name="Percent 4 26 9" xfId="10576" xr:uid="{D53C04ED-6054-4ECD-8E3D-285FDF12BDD0}"/>
    <cellStyle name="Percent 4 26 9 2" xfId="10577" xr:uid="{9949FD0D-522F-41A4-9146-6395307EE524}"/>
    <cellStyle name="Percent 4 27" xfId="2999" xr:uid="{B1E16860-EFF6-4404-9D39-FFA93D437CB8}"/>
    <cellStyle name="Percent 4 27 10" xfId="10579" xr:uid="{E22355A3-D4BF-4357-9C1C-83582CB893CD}"/>
    <cellStyle name="Percent 4 27 11" xfId="10580" xr:uid="{92A28D10-F106-4623-B7AE-28982D6C0225}"/>
    <cellStyle name="Percent 4 27 12" xfId="10578" xr:uid="{84C92806-05B5-4D82-A1EF-AE293582E450}"/>
    <cellStyle name="Percent 4 27 2" xfId="10581" xr:uid="{D1A77001-D9CC-41D3-884C-5DD8FA218C39}"/>
    <cellStyle name="Percent 4 27 2 2" xfId="10582" xr:uid="{C0089EC6-50F0-4CF1-8B1B-B886D3D93E5A}"/>
    <cellStyle name="Percent 4 27 2 2 2" xfId="10583" xr:uid="{0CA18CEA-D388-49E9-940C-22FD342E7E96}"/>
    <cellStyle name="Percent 4 27 2 3" xfId="10584" xr:uid="{9C5EE3A5-FE53-4349-A23C-B05450B82084}"/>
    <cellStyle name="Percent 4 27 2 3 2" xfId="10585" xr:uid="{654CA1AF-5B0F-437D-BE7C-4756AB5CDF70}"/>
    <cellStyle name="Percent 4 27 2 4" xfId="10586" xr:uid="{A6132FB1-8245-4A8B-916A-436103314631}"/>
    <cellStyle name="Percent 4 27 2 5" xfId="10587" xr:uid="{ADC09856-4B06-428F-8768-AE769996656F}"/>
    <cellStyle name="Percent 4 27 3" xfId="10588" xr:uid="{EF30BF95-E883-44A6-B20E-F17C52F3BE34}"/>
    <cellStyle name="Percent 4 27 3 2" xfId="10589" xr:uid="{E05280FD-46F2-4AD2-ACC3-3BDDE567B35D}"/>
    <cellStyle name="Percent 4 27 3 2 2" xfId="10590" xr:uid="{1939B045-1F0C-4ACD-8F38-D90A4316D687}"/>
    <cellStyle name="Percent 4 27 3 3" xfId="10591" xr:uid="{541E3FDB-07EE-40F8-939B-93176601FCAE}"/>
    <cellStyle name="Percent 4 27 3 3 2" xfId="10592" xr:uid="{76DBEFF4-2A4F-4C83-B41E-4C92FCFFC1FE}"/>
    <cellStyle name="Percent 4 27 3 4" xfId="10593" xr:uid="{029156D2-C9FB-4D68-B4BA-A105B57CE8CC}"/>
    <cellStyle name="Percent 4 27 4" xfId="10594" xr:uid="{0895190F-09C0-4759-8E75-F874C04B3597}"/>
    <cellStyle name="Percent 4 27 4 2" xfId="10595" xr:uid="{FFD0D3C3-3284-4745-A196-EB042A8F04F9}"/>
    <cellStyle name="Percent 4 27 4 2 2" xfId="10596" xr:uid="{7E5EA268-1D62-4907-B7F2-1487E35B1B70}"/>
    <cellStyle name="Percent 4 27 4 3" xfId="10597" xr:uid="{2B1BEB94-5650-41AD-9D2C-F2B5E8213ABF}"/>
    <cellStyle name="Percent 4 27 4 3 2" xfId="10598" xr:uid="{1F8E216F-D6FA-46D6-897A-55DB87ADA001}"/>
    <cellStyle name="Percent 4 27 4 4" xfId="10599" xr:uid="{EF96F1F1-5520-4281-8AE2-16599AFCD2D4}"/>
    <cellStyle name="Percent 4 27 5" xfId="10600" xr:uid="{D084C996-E51A-47F5-A2D3-598D8B62C8EA}"/>
    <cellStyle name="Percent 4 27 5 2" xfId="10601" xr:uid="{F959B686-DAFE-4A61-A734-4326A4AA6BF7}"/>
    <cellStyle name="Percent 4 27 5 2 2" xfId="10602" xr:uid="{67E84773-A3FB-4DFD-9801-00A94881A0C3}"/>
    <cellStyle name="Percent 4 27 5 3" xfId="10603" xr:uid="{3F6F170F-1659-4D5F-9110-A880FECB1F16}"/>
    <cellStyle name="Percent 4 27 5 3 2" xfId="10604" xr:uid="{D40CE73E-DB2E-48E0-9B1A-C54FCC91F486}"/>
    <cellStyle name="Percent 4 27 5 4" xfId="10605" xr:uid="{51A6DDA2-6368-425C-949D-796AAFFF6D9A}"/>
    <cellStyle name="Percent 4 27 5 4 2" xfId="10606" xr:uid="{B2962140-BFCC-4042-B64F-2F913BC535AF}"/>
    <cellStyle name="Percent 4 27 5 5" xfId="10607" xr:uid="{5028E9FF-B62C-49BF-84D9-25D88DBE047A}"/>
    <cellStyle name="Percent 4 27 6" xfId="10608" xr:uid="{2083FF98-CD1E-426C-9767-A8021C43631A}"/>
    <cellStyle name="Percent 4 27 6 2" xfId="10609" xr:uid="{691732E4-ADC4-42D2-A395-6ECC279A6555}"/>
    <cellStyle name="Percent 4 27 6 2 2" xfId="10610" xr:uid="{2F9355E8-8240-455E-8BD7-77A2B2A0D082}"/>
    <cellStyle name="Percent 4 27 6 3" xfId="10611" xr:uid="{3DD81700-0AFA-46EF-BBA4-D6BB43B61333}"/>
    <cellStyle name="Percent 4 27 6 3 2" xfId="10612" xr:uid="{F3819D27-395B-4FC3-8EE3-A5BF7DC70522}"/>
    <cellStyle name="Percent 4 27 6 4" xfId="10613" xr:uid="{2FBD75C9-93F7-4FB5-A6A8-155D0AD62508}"/>
    <cellStyle name="Percent 4 27 7" xfId="10614" xr:uid="{371B3DFE-CBA9-4827-966C-DC7EBDD349D7}"/>
    <cellStyle name="Percent 4 27 7 2" xfId="10615" xr:uid="{DD87C241-33FC-4CE7-9185-D13F5E8BB360}"/>
    <cellStyle name="Percent 4 27 8" xfId="10616" xr:uid="{FB080531-BA6D-412B-A381-4D7DD00AAE49}"/>
    <cellStyle name="Percent 4 27 8 2" xfId="10617" xr:uid="{9D549ED6-CCA3-4AF5-BAE2-C09AA4049D3D}"/>
    <cellStyle name="Percent 4 27 9" xfId="10618" xr:uid="{1BEDF2C7-6A5C-428E-826B-EFFBA189D13B}"/>
    <cellStyle name="Percent 4 27 9 2" xfId="10619" xr:uid="{05233ED6-5AD4-43EC-97AF-830872454D1E}"/>
    <cellStyle name="Percent 4 28" xfId="3000" xr:uid="{92093A4C-49A8-4773-93E8-D8C9A1A2BB59}"/>
    <cellStyle name="Percent 4 28 10" xfId="10621" xr:uid="{69B4E471-523E-4331-A727-802EC547EAF8}"/>
    <cellStyle name="Percent 4 28 11" xfId="10622" xr:uid="{9BF8592A-B99B-485F-A08A-8E1A7BF52475}"/>
    <cellStyle name="Percent 4 28 12" xfId="10620" xr:uid="{2859901E-9A1C-49C4-8D5E-B16E12F08663}"/>
    <cellStyle name="Percent 4 28 2" xfId="10623" xr:uid="{8B81F12A-EEEA-4081-AC69-AA94EE138C5B}"/>
    <cellStyle name="Percent 4 28 2 2" xfId="10624" xr:uid="{E5B5B5D4-F920-45C6-8213-706BBA483348}"/>
    <cellStyle name="Percent 4 28 2 2 2" xfId="10625" xr:uid="{8E6A3C39-3D93-46DF-883D-420508EA23AA}"/>
    <cellStyle name="Percent 4 28 2 3" xfId="10626" xr:uid="{F6985349-16C2-43AA-BF95-F24D4D1DABEA}"/>
    <cellStyle name="Percent 4 28 2 3 2" xfId="10627" xr:uid="{E1C8C42B-293E-4008-AA0A-4327EA339DD0}"/>
    <cellStyle name="Percent 4 28 2 4" xfId="10628" xr:uid="{877976FB-63A9-4805-97C8-4BD0B972704A}"/>
    <cellStyle name="Percent 4 28 2 5" xfId="10629" xr:uid="{2D058A86-EEF5-4B32-819C-06A5351AD16D}"/>
    <cellStyle name="Percent 4 28 3" xfId="10630" xr:uid="{D9550A88-3BC6-4467-BCAE-0C6EEBD3E973}"/>
    <cellStyle name="Percent 4 28 3 2" xfId="10631" xr:uid="{79C98650-3FEB-475D-9472-83A50FA5AA75}"/>
    <cellStyle name="Percent 4 28 3 2 2" xfId="10632" xr:uid="{A9793520-0318-4459-908E-359D98BC5892}"/>
    <cellStyle name="Percent 4 28 3 3" xfId="10633" xr:uid="{DE91F384-63A6-4AA8-8361-E1BDAAEE4BD9}"/>
    <cellStyle name="Percent 4 28 3 3 2" xfId="10634" xr:uid="{9BDBC821-0B86-4E0D-BD4F-3D95AD037F16}"/>
    <cellStyle name="Percent 4 28 3 4" xfId="10635" xr:uid="{6EA72A76-6D11-4DE6-9B2D-5730DE3D72AF}"/>
    <cellStyle name="Percent 4 28 4" xfId="10636" xr:uid="{C6954799-3C7F-4A1D-B588-D943D82D6821}"/>
    <cellStyle name="Percent 4 28 4 2" xfId="10637" xr:uid="{B4D9E230-B958-49E4-9268-693D4D7D5486}"/>
    <cellStyle name="Percent 4 28 4 2 2" xfId="10638" xr:uid="{155FD5EB-EEB5-4492-BB89-70DA350CA18C}"/>
    <cellStyle name="Percent 4 28 4 3" xfId="10639" xr:uid="{05338FD2-5C35-4583-ADBB-72847A1FAD4E}"/>
    <cellStyle name="Percent 4 28 4 3 2" xfId="10640" xr:uid="{ADCA757C-ECD1-4C90-B311-9E4C05C46F1E}"/>
    <cellStyle name="Percent 4 28 4 4" xfId="10641" xr:uid="{AF91BC20-DB1E-4B82-A64D-BABD67DB1330}"/>
    <cellStyle name="Percent 4 28 5" xfId="10642" xr:uid="{28A6B9B6-4B17-434C-A169-E8894CC54993}"/>
    <cellStyle name="Percent 4 28 5 2" xfId="10643" xr:uid="{16E65D88-15FF-40CD-8C8D-963D56CF500E}"/>
    <cellStyle name="Percent 4 28 5 2 2" xfId="10644" xr:uid="{DA05005A-4840-4D0B-AF76-1D3F5FDB6881}"/>
    <cellStyle name="Percent 4 28 5 3" xfId="10645" xr:uid="{B04EE886-0749-476A-A89B-D23B81C7019A}"/>
    <cellStyle name="Percent 4 28 5 3 2" xfId="10646" xr:uid="{8730FC46-8AFA-4AA9-87F0-C232E53653F2}"/>
    <cellStyle name="Percent 4 28 5 4" xfId="10647" xr:uid="{31F0DB8E-C916-4672-9D00-C57A2D853FC1}"/>
    <cellStyle name="Percent 4 28 5 4 2" xfId="10648" xr:uid="{D2A9000C-89F9-412F-9427-A3A81558A9EF}"/>
    <cellStyle name="Percent 4 28 5 5" xfId="10649" xr:uid="{087E2679-F10B-400D-B4B0-F73A510E41E0}"/>
    <cellStyle name="Percent 4 28 6" xfId="10650" xr:uid="{C5E798E6-C775-4836-931B-6A50B1C3659D}"/>
    <cellStyle name="Percent 4 28 6 2" xfId="10651" xr:uid="{E1A69DE8-F741-4FC7-9FA7-6FFF94D2CBDA}"/>
    <cellStyle name="Percent 4 28 6 2 2" xfId="10652" xr:uid="{2722606D-3D7A-45A2-A2E6-2C49E5B3D59B}"/>
    <cellStyle name="Percent 4 28 6 3" xfId="10653" xr:uid="{CEBEF3A3-D354-42A0-A3D6-4BA6544C949E}"/>
    <cellStyle name="Percent 4 28 6 3 2" xfId="10654" xr:uid="{B19804B5-B7F4-4FF5-B41E-102E37E9B5BA}"/>
    <cellStyle name="Percent 4 28 6 4" xfId="10655" xr:uid="{E5CC6B32-B587-4232-8E79-6281CDBD443F}"/>
    <cellStyle name="Percent 4 28 7" xfId="10656" xr:uid="{BD88EFBD-B2A8-40B9-96B3-CECA636CC444}"/>
    <cellStyle name="Percent 4 28 7 2" xfId="10657" xr:uid="{1A67DBC1-5CA8-4DB9-83D9-4EE4FDD8EA16}"/>
    <cellStyle name="Percent 4 28 8" xfId="10658" xr:uid="{2B0773D0-A6EB-4161-8D85-379E9B467B57}"/>
    <cellStyle name="Percent 4 28 8 2" xfId="10659" xr:uid="{5A46A9D0-40B7-4008-86F7-DB2D17BF109D}"/>
    <cellStyle name="Percent 4 28 9" xfId="10660" xr:uid="{BEF4E16B-15CE-4851-BD20-526B931AB4FA}"/>
    <cellStyle name="Percent 4 28 9 2" xfId="10661" xr:uid="{9016DC3E-AF6A-4D1F-B5EA-5259643FC8C4}"/>
    <cellStyle name="Percent 4 29" xfId="3001" xr:uid="{7A56F655-CE40-4FCE-9A4E-2437980A6E62}"/>
    <cellStyle name="Percent 4 29 10" xfId="10663" xr:uid="{DF688AB6-5116-4C3A-9E03-902A1925A27A}"/>
    <cellStyle name="Percent 4 29 11" xfId="10664" xr:uid="{86AA3818-EF7A-47E1-AECE-B91E902D4F7D}"/>
    <cellStyle name="Percent 4 29 12" xfId="10662" xr:uid="{CFF91773-B4C2-4A7D-941B-4AA4AA710595}"/>
    <cellStyle name="Percent 4 29 2" xfId="3002" xr:uid="{ECED362F-A90B-42A1-8F2F-121ABD5AA447}"/>
    <cellStyle name="Percent 4 29 2 2" xfId="10666" xr:uid="{B5C53B8A-40B0-4722-AE8D-F6B5F8F0F2C0}"/>
    <cellStyle name="Percent 4 29 2 2 2" xfId="10667" xr:uid="{B7AFF0DD-45FE-4DDB-9FAD-D014C4A8A108}"/>
    <cellStyle name="Percent 4 29 2 2 3" xfId="10668" xr:uid="{1917E6CA-2921-431D-A79E-D355898E603E}"/>
    <cellStyle name="Percent 4 29 2 3" xfId="10669" xr:uid="{E26D4564-F763-4D84-A9DC-94B62F44EBDD}"/>
    <cellStyle name="Percent 4 29 2 3 2" xfId="10670" xr:uid="{D9440C1D-F790-4B6F-8D02-A954743E3C65}"/>
    <cellStyle name="Percent 4 29 2 4" xfId="10671" xr:uid="{D90F585A-AC17-49D7-81B5-C1C2AA0678E1}"/>
    <cellStyle name="Percent 4 29 2 5" xfId="10672" xr:uid="{7F3379F4-D173-4FDA-B2CB-124E3DB395A8}"/>
    <cellStyle name="Percent 4 29 2 6" xfId="10665" xr:uid="{64E90E54-BB43-4AEF-A097-1FF18031A2CD}"/>
    <cellStyle name="Percent 4 29 3" xfId="10673" xr:uid="{5B08041B-A3D5-4E59-AF74-A20F7F49C9BE}"/>
    <cellStyle name="Percent 4 29 3 2" xfId="10674" xr:uid="{78FA664A-DDE3-41B1-BFBB-1B1839BD3867}"/>
    <cellStyle name="Percent 4 29 3 2 2" xfId="10675" xr:uid="{3FE27175-7912-49DE-AB45-D89B943E3EE6}"/>
    <cellStyle name="Percent 4 29 3 3" xfId="10676" xr:uid="{3DCCCF2A-534D-42C9-AD40-877186332E42}"/>
    <cellStyle name="Percent 4 29 3 3 2" xfId="10677" xr:uid="{34CBCD3B-C759-4F3A-B233-59A966EC3EFB}"/>
    <cellStyle name="Percent 4 29 3 4" xfId="10678" xr:uid="{D25CA7E1-BEA6-4439-8315-695DA0204699}"/>
    <cellStyle name="Percent 4 29 3 5" xfId="10679" xr:uid="{328418CF-3AE9-4948-B379-67E4F3C9CFC3}"/>
    <cellStyle name="Percent 4 29 4" xfId="10680" xr:uid="{F86FE2D2-E6A5-4F78-BAF6-9BC6FA4B7E9F}"/>
    <cellStyle name="Percent 4 29 4 2" xfId="10681" xr:uid="{0F448A99-76E0-4674-8D46-47637C43EC10}"/>
    <cellStyle name="Percent 4 29 4 2 2" xfId="10682" xr:uid="{CC1B5C35-7718-494C-9BBE-A1029F4B357F}"/>
    <cellStyle name="Percent 4 29 4 3" xfId="10683" xr:uid="{DDA066ED-B5F4-42E7-A5E6-9E27C76BC0C3}"/>
    <cellStyle name="Percent 4 29 4 3 2" xfId="10684" xr:uid="{6F78A02A-970F-4C01-BE32-437EF16949B7}"/>
    <cellStyle name="Percent 4 29 4 4" xfId="10685" xr:uid="{1EB141A0-0553-401E-AB8A-17B53E9E8D0F}"/>
    <cellStyle name="Percent 4 29 4 5" xfId="10686" xr:uid="{121C1C3F-C765-484B-8240-CDAB70B916F5}"/>
    <cellStyle name="Percent 4 29 5" xfId="10687" xr:uid="{BC2D7D82-49D2-472D-A392-D5C4F8DB0575}"/>
    <cellStyle name="Percent 4 29 5 2" xfId="10688" xr:uid="{6CABB543-A9F4-4250-87BB-C95E102AB929}"/>
    <cellStyle name="Percent 4 29 5 2 2" xfId="10689" xr:uid="{698290CA-D290-4135-94EF-3789D206DEA6}"/>
    <cellStyle name="Percent 4 29 5 3" xfId="10690" xr:uid="{0B023DC7-FA7C-4741-85E2-0DB06B5FD8E5}"/>
    <cellStyle name="Percent 4 29 5 3 2" xfId="10691" xr:uid="{4394BA61-5A1A-4ADB-9F8E-539643DA6E22}"/>
    <cellStyle name="Percent 4 29 5 4" xfId="10692" xr:uid="{9C272407-598A-44D5-BEC2-18043E816E09}"/>
    <cellStyle name="Percent 4 29 5 4 2" xfId="10693" xr:uid="{2BE5687A-31B4-4ED2-9A2E-D17257658262}"/>
    <cellStyle name="Percent 4 29 5 5" xfId="10694" xr:uid="{98C9DBF6-A2F3-4169-910C-4C7B82B4F25D}"/>
    <cellStyle name="Percent 4 29 6" xfId="10695" xr:uid="{91BADBC2-4AC8-4AC2-B5CA-A92AAD693D19}"/>
    <cellStyle name="Percent 4 29 6 2" xfId="10696" xr:uid="{2093C6B2-4335-4D80-B278-5B29C87C6C6F}"/>
    <cellStyle name="Percent 4 29 6 2 2" xfId="10697" xr:uid="{3FF3DD09-5918-47E0-80D8-C40B6E5528B5}"/>
    <cellStyle name="Percent 4 29 6 3" xfId="10698" xr:uid="{F8DF91A2-72C8-4D94-90D1-15EDA1A3F756}"/>
    <cellStyle name="Percent 4 29 6 3 2" xfId="10699" xr:uid="{C0C3CDBA-CC34-486D-9AC7-66FBCA67EA4B}"/>
    <cellStyle name="Percent 4 29 6 4" xfId="10700" xr:uid="{BBBED5FC-25E7-40B6-A456-5C4241A08161}"/>
    <cellStyle name="Percent 4 29 7" xfId="10701" xr:uid="{8C9FE4D6-07F6-4A67-8A9E-DD5AF84963D7}"/>
    <cellStyle name="Percent 4 29 7 2" xfId="10702" xr:uid="{514C88FF-0F95-4710-BC75-116F6BC57E69}"/>
    <cellStyle name="Percent 4 29 8" xfId="10703" xr:uid="{BB1F439E-3ABB-4E58-A275-0FEEB6C425C6}"/>
    <cellStyle name="Percent 4 29 8 2" xfId="10704" xr:uid="{FB5829AC-996D-454C-9227-4D8BC87DC5FE}"/>
    <cellStyle name="Percent 4 29 9" xfId="10705" xr:uid="{CBFF03D2-D6DA-41EE-A748-389D9E7C336B}"/>
    <cellStyle name="Percent 4 29 9 2" xfId="10706" xr:uid="{503A3736-3A28-46AD-83A3-6C64957412D8}"/>
    <cellStyle name="Percent 4 3" xfId="299" xr:uid="{9C33B6EF-6B1D-4B83-8FB6-0E7E73FFF6C0}"/>
    <cellStyle name="Percent 4 3 10" xfId="10708" xr:uid="{F90EC3A3-1556-4920-AD23-C7B90DC1976E}"/>
    <cellStyle name="Percent 4 3 10 2" xfId="10709" xr:uid="{6A321503-DD6C-4B9A-B0E7-00D8B880C5B9}"/>
    <cellStyle name="Percent 4 3 10 2 2" xfId="10710" xr:uid="{7877377A-BFFA-4CFD-8ED7-7339DE61869D}"/>
    <cellStyle name="Percent 4 3 10 3" xfId="10711" xr:uid="{876DAE51-EE15-4718-ADD1-C7D122DBC257}"/>
    <cellStyle name="Percent 4 3 10 3 2" xfId="10712" xr:uid="{5ABF2884-D8EE-460F-B2D9-13DF40C0A659}"/>
    <cellStyle name="Percent 4 3 10 4" xfId="10713" xr:uid="{5864EA79-86FF-4D4C-B871-23E6B798E0D0}"/>
    <cellStyle name="Percent 4 3 11" xfId="10714" xr:uid="{810E613F-A1E1-40CF-A2FF-6173B10BA495}"/>
    <cellStyle name="Percent 4 3 11 2" xfId="10715" xr:uid="{1D15B149-1A5F-49A7-A673-1B9740B1ECA8}"/>
    <cellStyle name="Percent 4 3 11 2 2" xfId="10716" xr:uid="{95B2F344-CBF3-41B8-B3D1-A78F0BFC7F12}"/>
    <cellStyle name="Percent 4 3 11 3" xfId="10717" xr:uid="{675F1AF5-B088-4119-AA02-DC544CCF2382}"/>
    <cellStyle name="Percent 4 3 11 3 2" xfId="10718" xr:uid="{758791B7-7462-4AAB-A59A-F34C6811C176}"/>
    <cellStyle name="Percent 4 3 11 4" xfId="10719" xr:uid="{F797DA49-77B8-4DA8-8E9E-0B91703CE0C1}"/>
    <cellStyle name="Percent 4 3 12" xfId="10720" xr:uid="{742ED75F-2D15-43E0-96FA-CA479554CFFD}"/>
    <cellStyle name="Percent 4 3 12 2" xfId="10721" xr:uid="{0E2AA849-8679-43E8-9321-B63DECB36954}"/>
    <cellStyle name="Percent 4 3 12 2 2" xfId="10722" xr:uid="{D3C373B2-1753-4C0B-B7FA-EC0D0AF6375A}"/>
    <cellStyle name="Percent 4 3 12 3" xfId="10723" xr:uid="{9D1E836C-BBC0-4322-9B55-97B8F4D7B1EF}"/>
    <cellStyle name="Percent 4 3 12 3 2" xfId="10724" xr:uid="{5641AD64-1E8F-4E9D-AFD8-F6951EBDB758}"/>
    <cellStyle name="Percent 4 3 12 4" xfId="10725" xr:uid="{1CFD901F-17AD-4D12-9C56-AA7B840FCC57}"/>
    <cellStyle name="Percent 4 3 12 4 2" xfId="10726" xr:uid="{2BC8A2A6-C553-4AE0-9231-20325DAD640F}"/>
    <cellStyle name="Percent 4 3 12 5" xfId="10727" xr:uid="{B90595F4-C577-4CF9-B15A-479A00830C38}"/>
    <cellStyle name="Percent 4 3 13" xfId="10728" xr:uid="{B362FCF4-2FD2-4A40-B4E4-97C158FD71D8}"/>
    <cellStyle name="Percent 4 3 13 2" xfId="10729" xr:uid="{BEAE0DC3-1872-4012-B3E8-322AB347AB3C}"/>
    <cellStyle name="Percent 4 3 13 2 2" xfId="10730" xr:uid="{C8D4C9D4-7327-4801-A6DA-595650576FDC}"/>
    <cellStyle name="Percent 4 3 13 3" xfId="10731" xr:uid="{681E19EA-9BEC-4A80-975F-6E7FE0EA510B}"/>
    <cellStyle name="Percent 4 3 13 3 2" xfId="10732" xr:uid="{3AB1971D-0EE5-49F6-A0C3-05E4B33209AC}"/>
    <cellStyle name="Percent 4 3 13 4" xfId="10733" xr:uid="{3D2EEF3D-F4EB-407B-93C6-8EA2A62F0909}"/>
    <cellStyle name="Percent 4 3 14" xfId="10734" xr:uid="{323D4CF9-B9B9-4B20-BC54-6A3C57C0C226}"/>
    <cellStyle name="Percent 4 3 14 2" xfId="10735" xr:uid="{CDE807E9-0CF9-46E9-AB8E-6FDB24075AB5}"/>
    <cellStyle name="Percent 4 3 15" xfId="10736" xr:uid="{67182DFF-2FB5-4318-A2E1-3A4D7ADA9302}"/>
    <cellStyle name="Percent 4 3 15 2" xfId="10737" xr:uid="{164572BD-2706-4A70-B8CB-973A0A2413EF}"/>
    <cellStyle name="Percent 4 3 16" xfId="10738" xr:uid="{1F8C4800-4F24-4E3F-B821-C6967874C769}"/>
    <cellStyle name="Percent 4 3 16 2" xfId="10739" xr:uid="{D512F740-896E-4126-B341-9438E581DF38}"/>
    <cellStyle name="Percent 4 3 17" xfId="10740" xr:uid="{13E3FA59-6EB3-4094-AFE2-D10DB24F28D8}"/>
    <cellStyle name="Percent 4 3 18" xfId="10741" xr:uid="{6011F88D-FC29-4EB8-8F2B-CDFD7D5268B5}"/>
    <cellStyle name="Percent 4 3 19" xfId="10707" xr:uid="{EA0DC697-6489-4B5F-B3F9-704CF4C4CE0A}"/>
    <cellStyle name="Percent 4 3 2" xfId="4744" xr:uid="{568105B2-5F8D-4FC7-BD09-A5E6EF92FEA4}"/>
    <cellStyle name="Percent 4 3 2 10" xfId="10743" xr:uid="{6107A880-8913-4D10-BD65-D4C03745DC7C}"/>
    <cellStyle name="Percent 4 3 2 11" xfId="10742" xr:uid="{9B7CA301-F70F-4BDB-BFEF-0E72C6CD9389}"/>
    <cellStyle name="Percent 4 3 2 2" xfId="10744" xr:uid="{A3BEBBF6-72CD-49E0-AC40-50B07C26FDC9}"/>
    <cellStyle name="Percent 4 3 2 2 2" xfId="10745" xr:uid="{0C152616-7B19-406F-82D9-486D7AFBBC7F}"/>
    <cellStyle name="Percent 4 3 2 2 2 2" xfId="10746" xr:uid="{D8DB825B-4929-4FDA-A6B6-A72DD553FDF7}"/>
    <cellStyle name="Percent 4 3 2 2 3" xfId="10747" xr:uid="{1F5F8792-75A5-4236-A7E9-00AD72737D19}"/>
    <cellStyle name="Percent 4 3 2 2 3 2" xfId="10748" xr:uid="{E0E77CE7-157F-43C4-A21E-359220DCA4DE}"/>
    <cellStyle name="Percent 4 3 2 2 4" xfId="10749" xr:uid="{111F2A70-F8E1-41BB-B2E5-637F355E0FE3}"/>
    <cellStyle name="Percent 4 3 2 3" xfId="10750" xr:uid="{AB403A39-71CD-41CE-AD82-796C3B759A2F}"/>
    <cellStyle name="Percent 4 3 2 3 2" xfId="10751" xr:uid="{5B0341AC-B5DE-4B50-AD5D-F0FB2EB09213}"/>
    <cellStyle name="Percent 4 3 2 3 2 2" xfId="10752" xr:uid="{13AAAF30-CCB4-4CE0-8077-2DC7AFA0D494}"/>
    <cellStyle name="Percent 4 3 2 3 3" xfId="10753" xr:uid="{848065DC-6623-40ED-906C-8DCBCB867460}"/>
    <cellStyle name="Percent 4 3 2 3 3 2" xfId="10754" xr:uid="{BC34EE2F-6F52-42D7-A4D5-DD15653BB5FF}"/>
    <cellStyle name="Percent 4 3 2 3 4" xfId="10755" xr:uid="{B716A931-F7DF-4FBE-BA23-6A42A40F310C}"/>
    <cellStyle name="Percent 4 3 2 4" xfId="10756" xr:uid="{3DDAEF72-3E88-4AB0-A18E-730A381883D7}"/>
    <cellStyle name="Percent 4 3 2 4 2" xfId="10757" xr:uid="{235D80D0-A10F-4D1F-83F2-6085C71DBAE3}"/>
    <cellStyle name="Percent 4 3 2 4 2 2" xfId="10758" xr:uid="{B9F82641-0E25-47DB-86DD-AD3671BDFD37}"/>
    <cellStyle name="Percent 4 3 2 4 3" xfId="10759" xr:uid="{EA8B2583-CEBC-46FB-855F-88CC179957DE}"/>
    <cellStyle name="Percent 4 3 2 4 3 2" xfId="10760" xr:uid="{4ADDF61B-F4AD-4F01-8B91-C577E16B0F9C}"/>
    <cellStyle name="Percent 4 3 2 4 4" xfId="10761" xr:uid="{D085FBD4-1D01-49DF-A91D-2BC0AFCFCA49}"/>
    <cellStyle name="Percent 4 3 2 4 4 2" xfId="10762" xr:uid="{C45D3F3C-27CF-4DCC-826D-E457DC1F6A83}"/>
    <cellStyle name="Percent 4 3 2 4 5" xfId="10763" xr:uid="{55C09FE9-A634-460F-AE56-9DCA4F399FBC}"/>
    <cellStyle name="Percent 4 3 2 5" xfId="10764" xr:uid="{822F7DB8-3FBC-4B34-A409-193DB651030F}"/>
    <cellStyle name="Percent 4 3 2 5 2" xfId="10765" xr:uid="{745402AB-C4D2-4B10-85BA-8E3885D6DF15}"/>
    <cellStyle name="Percent 4 3 2 5 2 2" xfId="10766" xr:uid="{944FA4D3-FFDE-4453-B65E-8E282439AAF2}"/>
    <cellStyle name="Percent 4 3 2 5 3" xfId="10767" xr:uid="{CCB348B0-E213-4504-BBA0-F550266237BB}"/>
    <cellStyle name="Percent 4 3 2 5 3 2" xfId="10768" xr:uid="{757765B0-B3D6-494D-B4F8-F5FE2EAB17DC}"/>
    <cellStyle name="Percent 4 3 2 5 4" xfId="10769" xr:uid="{6B44628E-3114-4445-9390-BD1F59CC4481}"/>
    <cellStyle name="Percent 4 3 2 6" xfId="10770" xr:uid="{A9F4ACC6-90D4-4E20-9408-FF6D038B81B6}"/>
    <cellStyle name="Percent 4 3 2 6 2" xfId="10771" xr:uid="{E5C83D10-BDC2-4C8C-A73D-1320E5D90ECB}"/>
    <cellStyle name="Percent 4 3 2 7" xfId="10772" xr:uid="{5FAFCE17-D78E-45E7-8D07-057189616F24}"/>
    <cellStyle name="Percent 4 3 2 7 2" xfId="10773" xr:uid="{104B1F00-0DBF-4C8C-B7BC-CC748FE45473}"/>
    <cellStyle name="Percent 4 3 2 8" xfId="10774" xr:uid="{1A4892FB-6A53-4F79-9F99-4CC971359AD4}"/>
    <cellStyle name="Percent 4 3 2 8 2" xfId="10775" xr:uid="{249BADD5-C1A8-417B-81F8-0B196BD089DA}"/>
    <cellStyle name="Percent 4 3 2 9" xfId="10776" xr:uid="{461AA29D-FBDD-4D8D-801A-59B91A26B43D}"/>
    <cellStyle name="Percent 4 3 3" xfId="4745" xr:uid="{83A590CA-0B6B-478A-AC51-EF75FD2FAE35}"/>
    <cellStyle name="Percent 4 3 3 10" xfId="10778" xr:uid="{4AC87C8E-9F0C-44F8-B649-E9D73B942E3C}"/>
    <cellStyle name="Percent 4 3 3 11" xfId="10777" xr:uid="{C26EB003-BD6E-41BB-BA7C-01C68A99916F}"/>
    <cellStyle name="Percent 4 3 3 2" xfId="10779" xr:uid="{51482A60-3048-4065-976F-76397881BA00}"/>
    <cellStyle name="Percent 4 3 3 2 2" xfId="10780" xr:uid="{C70D4F04-A4DB-4DAC-827C-E361001021B1}"/>
    <cellStyle name="Percent 4 3 3 2 2 2" xfId="10781" xr:uid="{CC8DA66A-595B-4703-9F8F-09E6858C138D}"/>
    <cellStyle name="Percent 4 3 3 2 3" xfId="10782" xr:uid="{08F560E6-3929-444B-B14F-FF63CBD6B066}"/>
    <cellStyle name="Percent 4 3 3 2 3 2" xfId="10783" xr:uid="{76A78240-3DEA-4EB6-9BF1-B3BC659ABC71}"/>
    <cellStyle name="Percent 4 3 3 2 4" xfId="10784" xr:uid="{9EBF6761-B2E8-4607-8408-F57555B14B28}"/>
    <cellStyle name="Percent 4 3 3 3" xfId="10785" xr:uid="{BAECE007-33C2-4F7F-B4C8-06720B49B485}"/>
    <cellStyle name="Percent 4 3 3 3 2" xfId="10786" xr:uid="{DF2D97CC-7D17-4151-AFEB-7246DC2755EF}"/>
    <cellStyle name="Percent 4 3 3 3 2 2" xfId="10787" xr:uid="{98BD1654-18B9-4BD0-A3B9-EC019C2F3228}"/>
    <cellStyle name="Percent 4 3 3 3 3" xfId="10788" xr:uid="{2D7FA2EB-89F3-4DE0-86B5-65B271D946B3}"/>
    <cellStyle name="Percent 4 3 3 3 3 2" xfId="10789" xr:uid="{FFDE39AD-CDB9-4FB8-9EC1-539BAF01721B}"/>
    <cellStyle name="Percent 4 3 3 3 4" xfId="10790" xr:uid="{EF18287A-07C6-4314-B2B5-B27934298DAF}"/>
    <cellStyle name="Percent 4 3 3 4" xfId="10791" xr:uid="{8245C4BA-582F-4D80-9D9B-EA32310B2755}"/>
    <cellStyle name="Percent 4 3 3 4 2" xfId="10792" xr:uid="{86390D9B-FFE0-41AF-8491-93DDB0F36093}"/>
    <cellStyle name="Percent 4 3 3 4 2 2" xfId="10793" xr:uid="{0AA7B05C-DBA2-4459-994D-69EBBB66F4F3}"/>
    <cellStyle name="Percent 4 3 3 4 3" xfId="10794" xr:uid="{E56C459F-5735-40ED-9F41-882D301E07B0}"/>
    <cellStyle name="Percent 4 3 3 4 3 2" xfId="10795" xr:uid="{328F9201-C7FA-4BA6-8DB9-75A7DC2E349D}"/>
    <cellStyle name="Percent 4 3 3 4 4" xfId="10796" xr:uid="{133E4AC5-C0C5-4788-877C-A06E01BB18ED}"/>
    <cellStyle name="Percent 4 3 3 4 4 2" xfId="10797" xr:uid="{16615FDF-2006-40C1-9CC9-2FB8459431BC}"/>
    <cellStyle name="Percent 4 3 3 4 5" xfId="10798" xr:uid="{0BE5699E-33F5-4ACD-A468-1A279D339322}"/>
    <cellStyle name="Percent 4 3 3 5" xfId="10799" xr:uid="{150572DB-EB7E-4E9A-A61C-162819AF5FBA}"/>
    <cellStyle name="Percent 4 3 3 5 2" xfId="10800" xr:uid="{5638E7E1-D1E5-4321-826B-AF9F56D8988F}"/>
    <cellStyle name="Percent 4 3 3 5 2 2" xfId="10801" xr:uid="{9208BB47-72CD-43C3-AA0D-B1E40C0C42EE}"/>
    <cellStyle name="Percent 4 3 3 5 3" xfId="10802" xr:uid="{0C37D5E6-FF24-4FA2-9DF3-5FA341EF66B9}"/>
    <cellStyle name="Percent 4 3 3 5 3 2" xfId="10803" xr:uid="{FEDF89FA-A78C-4B19-AE97-97FBDCB8B321}"/>
    <cellStyle name="Percent 4 3 3 5 4" xfId="10804" xr:uid="{9D7FB9D0-DD98-44F5-A922-C20FE992B5E8}"/>
    <cellStyle name="Percent 4 3 3 6" xfId="10805" xr:uid="{EBEE7FEF-526C-4A86-A17E-333461BAE961}"/>
    <cellStyle name="Percent 4 3 3 6 2" xfId="10806" xr:uid="{AE580A99-0FF1-4FA1-8888-828C42522E03}"/>
    <cellStyle name="Percent 4 3 3 7" xfId="10807" xr:uid="{D889BEB9-72D2-4B4E-BE47-ECE1EE5880C4}"/>
    <cellStyle name="Percent 4 3 3 7 2" xfId="10808" xr:uid="{EDD20A93-48B2-46EE-B97A-889C84BBF513}"/>
    <cellStyle name="Percent 4 3 3 8" xfId="10809" xr:uid="{2E94AEFA-F070-4980-9539-78487D1F075E}"/>
    <cellStyle name="Percent 4 3 3 8 2" xfId="10810" xr:uid="{1E144A44-7871-4FB0-A227-AB70BE50843E}"/>
    <cellStyle name="Percent 4 3 3 9" xfId="10811" xr:uid="{E1BCA1D3-0E55-4CD9-9827-BBA9E5C1641B}"/>
    <cellStyle name="Percent 4 3 4" xfId="4746" xr:uid="{87E41809-8669-4B09-B5C9-A28B1B5A5E48}"/>
    <cellStyle name="Percent 4 3 4 10" xfId="10813" xr:uid="{907EFEAA-68CC-4803-8ECA-CA922A957E62}"/>
    <cellStyle name="Percent 4 3 4 11" xfId="10812" xr:uid="{EE3E58E9-C555-4915-BD69-EA7C42C93DBB}"/>
    <cellStyle name="Percent 4 3 4 2" xfId="10814" xr:uid="{9861A6A4-4133-4581-B68F-4323BA0E5A4E}"/>
    <cellStyle name="Percent 4 3 4 2 2" xfId="10815" xr:uid="{8EEBC087-BDDD-4D2B-98D0-C67B71B817A3}"/>
    <cellStyle name="Percent 4 3 4 2 2 2" xfId="10816" xr:uid="{E67E4C40-6122-4119-9362-83BE7C9694EC}"/>
    <cellStyle name="Percent 4 3 4 2 3" xfId="10817" xr:uid="{E4EBB8E5-69D2-4613-BB53-340CC6ED58FE}"/>
    <cellStyle name="Percent 4 3 4 2 3 2" xfId="10818" xr:uid="{CB87354A-0902-4D03-9837-A1AAD563F606}"/>
    <cellStyle name="Percent 4 3 4 2 4" xfId="10819" xr:uid="{DEE29958-5D45-4636-81A2-929375BCCFC2}"/>
    <cellStyle name="Percent 4 3 4 3" xfId="10820" xr:uid="{AC45CD43-89A8-44C9-8DCB-4B760E5D2698}"/>
    <cellStyle name="Percent 4 3 4 3 2" xfId="10821" xr:uid="{D7C60F84-A1F2-4D09-AA4D-182454BD57D3}"/>
    <cellStyle name="Percent 4 3 4 3 2 2" xfId="10822" xr:uid="{9BDE6598-F698-4399-8D01-B68BEABB77AF}"/>
    <cellStyle name="Percent 4 3 4 3 3" xfId="10823" xr:uid="{91BB3E6E-F709-4366-9CD3-D09B3AC88527}"/>
    <cellStyle name="Percent 4 3 4 3 3 2" xfId="10824" xr:uid="{ACF2198E-8AB8-48C6-A86E-F50F55DBCC23}"/>
    <cellStyle name="Percent 4 3 4 3 4" xfId="10825" xr:uid="{19519611-6E01-4B30-A324-41741E3E2EB5}"/>
    <cellStyle name="Percent 4 3 4 4" xfId="10826" xr:uid="{5585F497-A683-449E-94F9-305A6425E0E0}"/>
    <cellStyle name="Percent 4 3 4 4 2" xfId="10827" xr:uid="{062A70F2-1A0A-42E6-A0F9-D4308137E967}"/>
    <cellStyle name="Percent 4 3 4 4 2 2" xfId="10828" xr:uid="{BC9FC4DC-F3E0-4BA6-BE84-92F8664DC757}"/>
    <cellStyle name="Percent 4 3 4 4 3" xfId="10829" xr:uid="{FFAF0556-B41A-4184-A68B-4A1788551B44}"/>
    <cellStyle name="Percent 4 3 4 4 3 2" xfId="10830" xr:uid="{BC9AFB51-E8F3-478C-B1EC-4815B26124BB}"/>
    <cellStyle name="Percent 4 3 4 4 4" xfId="10831" xr:uid="{9C579C81-E46A-48AB-93B8-7D6BE98BF61F}"/>
    <cellStyle name="Percent 4 3 4 4 4 2" xfId="10832" xr:uid="{320536B3-6D35-4C54-9449-118966FB7E1C}"/>
    <cellStyle name="Percent 4 3 4 4 5" xfId="10833" xr:uid="{159BB963-E595-4EF1-98F5-B85399D73B07}"/>
    <cellStyle name="Percent 4 3 4 5" xfId="10834" xr:uid="{E3D5943E-C199-4E8C-A7C4-636A168211A9}"/>
    <cellStyle name="Percent 4 3 4 5 2" xfId="10835" xr:uid="{9F8A14C1-ECC1-45E9-9651-DD3D148877A2}"/>
    <cellStyle name="Percent 4 3 4 5 2 2" xfId="10836" xr:uid="{22065FA7-593D-4263-9215-1612A8485ADF}"/>
    <cellStyle name="Percent 4 3 4 5 3" xfId="10837" xr:uid="{A643E741-BAE6-474E-BD92-A7DD57565CB8}"/>
    <cellStyle name="Percent 4 3 4 5 3 2" xfId="10838" xr:uid="{C0043624-8619-4697-85E0-06E597A61C9C}"/>
    <cellStyle name="Percent 4 3 4 5 4" xfId="10839" xr:uid="{D262D0D9-AC71-4C4A-80C6-3CFC59BC07E3}"/>
    <cellStyle name="Percent 4 3 4 6" xfId="10840" xr:uid="{56FF3D9A-AEC2-4937-A01F-1C69B417DE95}"/>
    <cellStyle name="Percent 4 3 4 6 2" xfId="10841" xr:uid="{33EADF05-8916-40E3-A4AD-6D62ED2F219C}"/>
    <cellStyle name="Percent 4 3 4 7" xfId="10842" xr:uid="{EF3800B4-45E8-43BD-A2A0-8100C45FE0AF}"/>
    <cellStyle name="Percent 4 3 4 7 2" xfId="10843" xr:uid="{84D07A8C-EC6E-43BF-94DE-C6E26CB11644}"/>
    <cellStyle name="Percent 4 3 4 8" xfId="10844" xr:uid="{3BC7E127-C2FC-4978-B3EB-FA50374E3AFF}"/>
    <cellStyle name="Percent 4 3 4 8 2" xfId="10845" xr:uid="{8835BB65-A7EF-4E70-B92A-84420A8E7323}"/>
    <cellStyle name="Percent 4 3 4 9" xfId="10846" xr:uid="{C6880948-D9F3-452E-BC2E-640027DD30EE}"/>
    <cellStyle name="Percent 4 3 5" xfId="4747" xr:uid="{BA19F622-249D-48BE-B759-391880B66E25}"/>
    <cellStyle name="Percent 4 3 5 10" xfId="10848" xr:uid="{90648075-D2D5-44DF-AF9E-B62E922C353E}"/>
    <cellStyle name="Percent 4 3 5 11" xfId="10847" xr:uid="{60A9CD8A-252E-4008-93AE-4D84E56FE7D6}"/>
    <cellStyle name="Percent 4 3 5 2" xfId="10849" xr:uid="{03867328-EE07-4B2F-B8DE-5AC073DA680A}"/>
    <cellStyle name="Percent 4 3 5 2 2" xfId="10850" xr:uid="{28269349-383C-4313-AAE3-A1B415802D3B}"/>
    <cellStyle name="Percent 4 3 5 2 2 2" xfId="10851" xr:uid="{69BD5FC5-1A92-49E0-B639-A63202434B02}"/>
    <cellStyle name="Percent 4 3 5 2 3" xfId="10852" xr:uid="{0690F92B-2F3F-4D62-BD5A-51D92828CEDA}"/>
    <cellStyle name="Percent 4 3 5 2 3 2" xfId="10853" xr:uid="{9FE8EF00-3D20-4561-80A0-723C31B3E714}"/>
    <cellStyle name="Percent 4 3 5 2 4" xfId="10854" xr:uid="{7462AE1F-6C56-4899-93D3-8F926BA74A2B}"/>
    <cellStyle name="Percent 4 3 5 3" xfId="10855" xr:uid="{5966FAD1-C517-4873-9A25-CAD0B9413E92}"/>
    <cellStyle name="Percent 4 3 5 3 2" xfId="10856" xr:uid="{588CE20B-F24D-4AC9-9178-371D9303C0CC}"/>
    <cellStyle name="Percent 4 3 5 3 2 2" xfId="10857" xr:uid="{099C39D1-DAF4-4CDE-9DD3-03D7A222DA5A}"/>
    <cellStyle name="Percent 4 3 5 3 3" xfId="10858" xr:uid="{EF481DDC-CD1E-4AC9-8BDD-6DDC3A97B5E0}"/>
    <cellStyle name="Percent 4 3 5 3 3 2" xfId="10859" xr:uid="{D722A433-0D84-4CFB-8A9D-3E99FC3DCE82}"/>
    <cellStyle name="Percent 4 3 5 3 4" xfId="10860" xr:uid="{C493237A-1282-4451-8CE4-CF50A38EC1F4}"/>
    <cellStyle name="Percent 4 3 5 4" xfId="10861" xr:uid="{5BB3E696-31C6-4C23-A3E7-0BB2A04275CE}"/>
    <cellStyle name="Percent 4 3 5 4 2" xfId="10862" xr:uid="{58B131D1-B467-4184-84C9-4CA285543E8B}"/>
    <cellStyle name="Percent 4 3 5 4 2 2" xfId="10863" xr:uid="{4D059FA9-F1DD-4DD2-93EC-18EE1FF18BCB}"/>
    <cellStyle name="Percent 4 3 5 4 3" xfId="10864" xr:uid="{0DC225A8-C518-467E-B94F-0AE07B178D9F}"/>
    <cellStyle name="Percent 4 3 5 4 3 2" xfId="10865" xr:uid="{5E2C779E-5F9E-44DB-B13A-6562AC5CEBEE}"/>
    <cellStyle name="Percent 4 3 5 4 4" xfId="10866" xr:uid="{2B50E96B-70C4-4A0D-AA3B-9816FD3F2978}"/>
    <cellStyle name="Percent 4 3 5 4 4 2" xfId="10867" xr:uid="{6714E194-A71D-4E5F-A28D-4227B3C69017}"/>
    <cellStyle name="Percent 4 3 5 4 5" xfId="10868" xr:uid="{3341D9D9-1383-44F0-88D9-6CDB17ADAB07}"/>
    <cellStyle name="Percent 4 3 5 5" xfId="10869" xr:uid="{B72090A8-AD53-4995-8701-B861CA03BDD9}"/>
    <cellStyle name="Percent 4 3 5 5 2" xfId="10870" xr:uid="{E46FC1CB-6F39-42EC-9F6E-32C7EEDEB752}"/>
    <cellStyle name="Percent 4 3 5 5 2 2" xfId="10871" xr:uid="{9FAE0EB6-8044-4C59-9CD2-A19FC7E8DA80}"/>
    <cellStyle name="Percent 4 3 5 5 3" xfId="10872" xr:uid="{B61D50F0-E718-4721-BA8F-F98F13163F36}"/>
    <cellStyle name="Percent 4 3 5 5 3 2" xfId="10873" xr:uid="{AC39F212-9691-4E2C-8231-3BBB53C21ED5}"/>
    <cellStyle name="Percent 4 3 5 5 4" xfId="10874" xr:uid="{23909E3E-FF29-4666-9B2B-D9F353AFB5D2}"/>
    <cellStyle name="Percent 4 3 5 6" xfId="10875" xr:uid="{44341BA7-5DC8-4931-9178-BF64F30AEBB0}"/>
    <cellStyle name="Percent 4 3 5 6 2" xfId="10876" xr:uid="{3BE8E1C4-E465-429A-8A1E-D2B0F1606331}"/>
    <cellStyle name="Percent 4 3 5 7" xfId="10877" xr:uid="{C62CD0AD-59FD-4F94-BD8C-4079AD4CACEC}"/>
    <cellStyle name="Percent 4 3 5 7 2" xfId="10878" xr:uid="{633BC3BF-81B6-465E-8549-6DDD41168A84}"/>
    <cellStyle name="Percent 4 3 5 8" xfId="10879" xr:uid="{77C86C00-DDCE-4D3B-939A-86DE85C48FC6}"/>
    <cellStyle name="Percent 4 3 5 8 2" xfId="10880" xr:uid="{DC81E2C1-1C16-4068-B690-B02BC60B055C}"/>
    <cellStyle name="Percent 4 3 5 9" xfId="10881" xr:uid="{C21F9225-F117-44EC-A829-59DB4CC97CDE}"/>
    <cellStyle name="Percent 4 3 6" xfId="4748" xr:uid="{DD2CE519-0BD9-44D3-8C76-4C74E12E19B8}"/>
    <cellStyle name="Percent 4 3 6 10" xfId="10883" xr:uid="{BBFDB4A3-8B7B-4BE9-BC3A-C3BE7B7383F6}"/>
    <cellStyle name="Percent 4 3 6 11" xfId="10882" xr:uid="{FE394D6F-7D94-49AB-90D8-AE92A58D0002}"/>
    <cellStyle name="Percent 4 3 6 2" xfId="10884" xr:uid="{F108BF72-553F-425D-B390-954756AA1F5D}"/>
    <cellStyle name="Percent 4 3 6 2 2" xfId="10885" xr:uid="{214E1B07-2AFE-43D7-8137-5B062CEDEB88}"/>
    <cellStyle name="Percent 4 3 6 2 2 2" xfId="10886" xr:uid="{FB22AFA3-8F35-4A5B-9D81-CBF2E53C8EED}"/>
    <cellStyle name="Percent 4 3 6 2 3" xfId="10887" xr:uid="{85BFEF63-EE07-431D-A601-C173D8F18890}"/>
    <cellStyle name="Percent 4 3 6 2 3 2" xfId="10888" xr:uid="{EBC33E7F-C57C-441A-A97E-68ABC1C42CD1}"/>
    <cellStyle name="Percent 4 3 6 2 4" xfId="10889" xr:uid="{5476D2E5-AEBB-4BB6-9A51-71445EEF34C5}"/>
    <cellStyle name="Percent 4 3 6 3" xfId="10890" xr:uid="{BAE150B1-3C20-4748-ADCA-C8C401D7E98D}"/>
    <cellStyle name="Percent 4 3 6 3 2" xfId="10891" xr:uid="{32E03718-8109-4742-8437-D6C4BF89EF4B}"/>
    <cellStyle name="Percent 4 3 6 3 2 2" xfId="10892" xr:uid="{752CCA5E-9BA4-4241-BD89-3C370AD8B6B1}"/>
    <cellStyle name="Percent 4 3 6 3 3" xfId="10893" xr:uid="{E5C726A6-0786-496B-8393-801ABC3B8076}"/>
    <cellStyle name="Percent 4 3 6 3 3 2" xfId="10894" xr:uid="{8E997DBF-CD70-4724-BC6C-3081455A70F2}"/>
    <cellStyle name="Percent 4 3 6 3 4" xfId="10895" xr:uid="{D1253AAB-8B03-4D49-A3D2-BC46D2E503D3}"/>
    <cellStyle name="Percent 4 3 6 4" xfId="10896" xr:uid="{0DBAF64B-2271-4419-98FC-F8AF8FE9C9D6}"/>
    <cellStyle name="Percent 4 3 6 4 2" xfId="10897" xr:uid="{898EC062-FD16-4BF8-811A-AA72C97F5D09}"/>
    <cellStyle name="Percent 4 3 6 4 2 2" xfId="10898" xr:uid="{21FDD14B-3246-4BF5-9B40-B1AFADFB4224}"/>
    <cellStyle name="Percent 4 3 6 4 3" xfId="10899" xr:uid="{3258568F-9432-43C2-AB6A-B74587BF25AB}"/>
    <cellStyle name="Percent 4 3 6 4 3 2" xfId="10900" xr:uid="{15E5A656-9C2F-48FA-9D6A-D6E824FBD76E}"/>
    <cellStyle name="Percent 4 3 6 4 4" xfId="10901" xr:uid="{C373234F-1096-40ED-B89B-8647737F006B}"/>
    <cellStyle name="Percent 4 3 6 4 4 2" xfId="10902" xr:uid="{041C164C-9410-494E-9013-25B4086C0D62}"/>
    <cellStyle name="Percent 4 3 6 4 5" xfId="10903" xr:uid="{D5BE42D6-DA62-4717-A9C4-EBEEBDC8E8E9}"/>
    <cellStyle name="Percent 4 3 6 5" xfId="10904" xr:uid="{C87D42BE-C830-441A-A764-7C007EF2F1B4}"/>
    <cellStyle name="Percent 4 3 6 5 2" xfId="10905" xr:uid="{FB17319F-4566-4AC6-8DFB-64F3F06CE940}"/>
    <cellStyle name="Percent 4 3 6 5 2 2" xfId="10906" xr:uid="{56FA287C-2F0C-4FCE-B8E4-CA4A12D6C1F8}"/>
    <cellStyle name="Percent 4 3 6 5 3" xfId="10907" xr:uid="{00B67320-BACD-4A10-9B57-862C2E307279}"/>
    <cellStyle name="Percent 4 3 6 5 3 2" xfId="10908" xr:uid="{67DC8130-1083-4A72-AEAF-BB44228275C5}"/>
    <cellStyle name="Percent 4 3 6 5 4" xfId="10909" xr:uid="{8419C086-A6E3-4B1F-802F-9CD05DDCE759}"/>
    <cellStyle name="Percent 4 3 6 6" xfId="10910" xr:uid="{3B0C890A-C5D7-4979-B676-BA358C3AB425}"/>
    <cellStyle name="Percent 4 3 6 6 2" xfId="10911" xr:uid="{43E58475-C5ED-4AB4-A36D-0A93C90C92B5}"/>
    <cellStyle name="Percent 4 3 6 7" xfId="10912" xr:uid="{B59781A4-860D-4643-9CFE-A89F3812A18D}"/>
    <cellStyle name="Percent 4 3 6 7 2" xfId="10913" xr:uid="{1990DC5F-CDE5-4347-982A-4759DE77FE3F}"/>
    <cellStyle name="Percent 4 3 6 8" xfId="10914" xr:uid="{5530F090-334C-4B94-A05E-844D377497AB}"/>
    <cellStyle name="Percent 4 3 6 8 2" xfId="10915" xr:uid="{E320007B-4498-435B-B7BE-DBAB53FC3F5B}"/>
    <cellStyle name="Percent 4 3 6 9" xfId="10916" xr:uid="{10D1317E-3FA9-4F3F-BA8D-D86B2CD18551}"/>
    <cellStyle name="Percent 4 3 7" xfId="4749" xr:uid="{512C1768-3508-49BA-858C-ADFD2D82DB16}"/>
    <cellStyle name="Percent 4 3 7 10" xfId="10918" xr:uid="{837DA04B-A152-4019-BCCF-A7FDE867B318}"/>
    <cellStyle name="Percent 4 3 7 11" xfId="10917" xr:uid="{E4E4402D-2945-4C11-99ED-3FD3A82F7890}"/>
    <cellStyle name="Percent 4 3 7 2" xfId="10919" xr:uid="{F0406CB4-68FA-4264-ADB5-554C55E640ED}"/>
    <cellStyle name="Percent 4 3 7 2 2" xfId="10920" xr:uid="{4DAA6F16-7B81-4146-A10C-E02806BAEB49}"/>
    <cellStyle name="Percent 4 3 7 2 2 2" xfId="10921" xr:uid="{8B5605DA-DAA0-4D9D-8781-18B6B4E36E26}"/>
    <cellStyle name="Percent 4 3 7 2 3" xfId="10922" xr:uid="{76C98AFA-70E9-41B9-B1B2-44298098E80E}"/>
    <cellStyle name="Percent 4 3 7 2 3 2" xfId="10923" xr:uid="{76C71C80-2AF1-4BF1-8868-949169E28B00}"/>
    <cellStyle name="Percent 4 3 7 2 4" xfId="10924" xr:uid="{478DB102-4F97-4BCE-A1E2-F2B9A07A2A64}"/>
    <cellStyle name="Percent 4 3 7 3" xfId="10925" xr:uid="{A3124478-79D6-4359-BC58-0FF836CE25BC}"/>
    <cellStyle name="Percent 4 3 7 3 2" xfId="10926" xr:uid="{99308912-884A-4BEC-8B42-696AFD8CEE70}"/>
    <cellStyle name="Percent 4 3 7 3 2 2" xfId="10927" xr:uid="{1843ACF6-DFA5-4562-AC39-D8EAA2D9F363}"/>
    <cellStyle name="Percent 4 3 7 3 3" xfId="10928" xr:uid="{2B82BDBC-363D-4BF4-BADC-CE565A351CFD}"/>
    <cellStyle name="Percent 4 3 7 3 3 2" xfId="10929" xr:uid="{0310C77C-28DB-4C3C-9FCB-24181058626E}"/>
    <cellStyle name="Percent 4 3 7 3 4" xfId="10930" xr:uid="{18698635-396C-4B5E-BD56-2B15B6FB1AEB}"/>
    <cellStyle name="Percent 4 3 7 4" xfId="10931" xr:uid="{21916041-8274-4C53-9333-FA384A184E16}"/>
    <cellStyle name="Percent 4 3 7 4 2" xfId="10932" xr:uid="{B5378C52-7AA7-45D7-A5A9-89354DDA7BCA}"/>
    <cellStyle name="Percent 4 3 7 4 2 2" xfId="10933" xr:uid="{ABA6F1AE-5F75-41D3-A08E-B5331B41C16B}"/>
    <cellStyle name="Percent 4 3 7 4 3" xfId="10934" xr:uid="{E8541E9E-5DAC-43C1-AC7F-6235F83930E7}"/>
    <cellStyle name="Percent 4 3 7 4 3 2" xfId="10935" xr:uid="{0996FCDC-3D6E-4D5F-82A0-7B9B6899FE4C}"/>
    <cellStyle name="Percent 4 3 7 4 4" xfId="10936" xr:uid="{36AD4ACA-AB6B-4DCA-B30C-6D1F97FCECD6}"/>
    <cellStyle name="Percent 4 3 7 4 4 2" xfId="10937" xr:uid="{A8C6F926-1DAE-45CF-9C29-D83F86F96CB0}"/>
    <cellStyle name="Percent 4 3 7 4 5" xfId="10938" xr:uid="{E0742330-1020-4BAC-9184-B14A4ED67DC7}"/>
    <cellStyle name="Percent 4 3 7 5" xfId="10939" xr:uid="{A4BBC520-BB04-4277-A4F6-F1E35E8C7912}"/>
    <cellStyle name="Percent 4 3 7 5 2" xfId="10940" xr:uid="{A32C5B2E-9B9D-41BD-B139-13870D1EFF42}"/>
    <cellStyle name="Percent 4 3 7 5 2 2" xfId="10941" xr:uid="{C2F6F0B0-915C-4A30-A5CE-026544809395}"/>
    <cellStyle name="Percent 4 3 7 5 3" xfId="10942" xr:uid="{3EC44548-959B-45D6-BB1C-6379A260AA81}"/>
    <cellStyle name="Percent 4 3 7 5 3 2" xfId="10943" xr:uid="{AF9DDF1B-9F3D-4DAF-85E7-75FDC28F5FB5}"/>
    <cellStyle name="Percent 4 3 7 5 4" xfId="10944" xr:uid="{783AC309-C8F4-4EE7-8E83-F0E436E4ECA2}"/>
    <cellStyle name="Percent 4 3 7 6" xfId="10945" xr:uid="{506FCCD1-8779-43F3-BF98-E1AEC8404598}"/>
    <cellStyle name="Percent 4 3 7 6 2" xfId="10946" xr:uid="{AC2A5806-87AD-43C1-9BF3-53498DF1C00D}"/>
    <cellStyle name="Percent 4 3 7 7" xfId="10947" xr:uid="{B65D1663-0550-4F74-AC47-E65D91369697}"/>
    <cellStyle name="Percent 4 3 7 7 2" xfId="10948" xr:uid="{611F9FC9-BA4F-43A5-956A-C46603646F3B}"/>
    <cellStyle name="Percent 4 3 7 8" xfId="10949" xr:uid="{77950216-7AFB-4661-A99D-6C76D5F69B79}"/>
    <cellStyle name="Percent 4 3 7 8 2" xfId="10950" xr:uid="{7C9EF53B-571F-4FD2-94A5-446D6FA68DD2}"/>
    <cellStyle name="Percent 4 3 7 9" xfId="10951" xr:uid="{425F8BE7-457B-4CC9-B434-A82896C82E42}"/>
    <cellStyle name="Percent 4 3 8" xfId="4750" xr:uid="{44AB514E-B58C-4A1F-A631-19361FA0286B}"/>
    <cellStyle name="Percent 4 3 8 10" xfId="10953" xr:uid="{9036BA11-87D8-4625-BD3E-AFDE1B087E2A}"/>
    <cellStyle name="Percent 4 3 8 11" xfId="10952" xr:uid="{BD37D8EA-FD0F-46C5-BED1-A5B751BD86E9}"/>
    <cellStyle name="Percent 4 3 8 2" xfId="10954" xr:uid="{1848C337-3D99-4DB6-9D87-EC6028145E0A}"/>
    <cellStyle name="Percent 4 3 8 2 2" xfId="10955" xr:uid="{10DCE550-51FB-4670-8BAF-FF2914B2E5A5}"/>
    <cellStyle name="Percent 4 3 8 2 2 2" xfId="10956" xr:uid="{4661B00D-91B5-464C-AD30-4E6CB8B158D5}"/>
    <cellStyle name="Percent 4 3 8 2 3" xfId="10957" xr:uid="{D3CC52A8-3C3D-42BD-BCA7-C222384539F8}"/>
    <cellStyle name="Percent 4 3 8 2 3 2" xfId="10958" xr:uid="{1DADA0D0-DE70-4852-ACB1-45531A8BA464}"/>
    <cellStyle name="Percent 4 3 8 2 4" xfId="10959" xr:uid="{E4C0E5BF-E6DE-45A5-89DE-DC97CE558150}"/>
    <cellStyle name="Percent 4 3 8 3" xfId="10960" xr:uid="{4A72755D-4439-4678-85DF-66712B6DB95E}"/>
    <cellStyle name="Percent 4 3 8 3 2" xfId="10961" xr:uid="{FACDC1D3-0187-4ABF-81E7-2DC79E416FD0}"/>
    <cellStyle name="Percent 4 3 8 3 2 2" xfId="10962" xr:uid="{B032608A-2240-4707-B352-D48B086D9091}"/>
    <cellStyle name="Percent 4 3 8 3 3" xfId="10963" xr:uid="{7307685C-6B26-45A9-B0C1-1FCD871F4CC6}"/>
    <cellStyle name="Percent 4 3 8 3 3 2" xfId="10964" xr:uid="{F401833B-321D-4B77-A89E-21950E12286B}"/>
    <cellStyle name="Percent 4 3 8 3 4" xfId="10965" xr:uid="{E6210D15-3152-4997-BEC2-FAE44E9DC08D}"/>
    <cellStyle name="Percent 4 3 8 4" xfId="10966" xr:uid="{2C4B9A7E-B08E-489D-BD91-177708025EE9}"/>
    <cellStyle name="Percent 4 3 8 4 2" xfId="10967" xr:uid="{BD003B19-1F20-40E6-B896-4F8D44D4C529}"/>
    <cellStyle name="Percent 4 3 8 4 2 2" xfId="10968" xr:uid="{D4C1D9DF-B376-4D9B-8645-782859878A2D}"/>
    <cellStyle name="Percent 4 3 8 4 3" xfId="10969" xr:uid="{F0CFDFE6-32C3-46B2-9886-4713F0D55690}"/>
    <cellStyle name="Percent 4 3 8 4 3 2" xfId="10970" xr:uid="{F7E319C1-E352-48C8-8D6E-823557AB1CC4}"/>
    <cellStyle name="Percent 4 3 8 4 4" xfId="10971" xr:uid="{033179F3-180F-411F-8127-36545E61D71C}"/>
    <cellStyle name="Percent 4 3 8 4 4 2" xfId="10972" xr:uid="{E3BCCFF6-BD7F-44BA-BFE1-642E162FF91B}"/>
    <cellStyle name="Percent 4 3 8 4 5" xfId="10973" xr:uid="{F27A2BAA-DFF6-4EF9-A580-8707B99CA25B}"/>
    <cellStyle name="Percent 4 3 8 5" xfId="10974" xr:uid="{8F6935C1-2C0D-4FCF-B199-25D4C7CF069F}"/>
    <cellStyle name="Percent 4 3 8 5 2" xfId="10975" xr:uid="{96507AF4-5D8C-4A1F-9AFF-3B26632FD5A4}"/>
    <cellStyle name="Percent 4 3 8 5 2 2" xfId="10976" xr:uid="{8DDCD60A-CE20-4239-896D-5EAF83372C97}"/>
    <cellStyle name="Percent 4 3 8 5 3" xfId="10977" xr:uid="{EE80998F-8098-42C6-BFBA-7C775D343D1A}"/>
    <cellStyle name="Percent 4 3 8 5 3 2" xfId="10978" xr:uid="{78209C6F-57DB-4C44-A9C9-7509B793E095}"/>
    <cellStyle name="Percent 4 3 8 5 4" xfId="10979" xr:uid="{7B579909-05AA-4B8F-9F8B-13BD58EB3360}"/>
    <cellStyle name="Percent 4 3 8 6" xfId="10980" xr:uid="{D086A43E-0FDE-40EF-BFF8-66C34D9606A9}"/>
    <cellStyle name="Percent 4 3 8 6 2" xfId="10981" xr:uid="{9C125E52-3CA1-48BB-8EC9-E328F8D82DD0}"/>
    <cellStyle name="Percent 4 3 8 7" xfId="10982" xr:uid="{86AFE695-1E1D-464E-AB51-D66F18C81A7D}"/>
    <cellStyle name="Percent 4 3 8 7 2" xfId="10983" xr:uid="{D24627A7-FE40-4EA3-9302-BDB9E66F2F34}"/>
    <cellStyle name="Percent 4 3 8 8" xfId="10984" xr:uid="{9462F398-DD54-4BA4-B912-65A407225E6A}"/>
    <cellStyle name="Percent 4 3 8 8 2" xfId="10985" xr:uid="{90C9364B-D92A-44DC-B85A-5A8291C88419}"/>
    <cellStyle name="Percent 4 3 8 9" xfId="10986" xr:uid="{40EBB133-F4C5-4768-B48A-0FABBA011062}"/>
    <cellStyle name="Percent 4 3 9" xfId="10987" xr:uid="{644285EF-DE13-4A9E-8AEE-9DC23B3D869D}"/>
    <cellStyle name="Percent 4 3 9 2" xfId="10988" xr:uid="{D8D9EE2D-91E3-495F-99F2-1EA79F4C005F}"/>
    <cellStyle name="Percent 4 3 9 2 2" xfId="10989" xr:uid="{3F21C44E-28CB-449F-98C5-CCE66724171D}"/>
    <cellStyle name="Percent 4 3 9 3" xfId="10990" xr:uid="{75BE687E-D72F-4674-AAFE-1D3843605EFF}"/>
    <cellStyle name="Percent 4 3 9 3 2" xfId="10991" xr:uid="{E5F0ED59-FCF2-4CBF-B16B-0E5606DD5657}"/>
    <cellStyle name="Percent 4 3 9 4" xfId="10992" xr:uid="{414387C6-E0A0-478C-8BBC-9978CE4B675A}"/>
    <cellStyle name="Percent 4 3 9 5" xfId="10993" xr:uid="{955E2F47-285C-438C-BDCF-A6367E327AA1}"/>
    <cellStyle name="Percent 4 30" xfId="2978" xr:uid="{FDAFFD7D-6EA6-416C-AB14-C253F848BD41}"/>
    <cellStyle name="Percent 4 30 2" xfId="10995" xr:uid="{4B9D27D0-F388-43BB-9C7F-89F9F3E2B46C}"/>
    <cellStyle name="Percent 4 30 2 2" xfId="10996" xr:uid="{BC573A4C-376D-4E65-9102-90AFF6220C52}"/>
    <cellStyle name="Percent 4 30 3" xfId="10997" xr:uid="{BE197AEB-8F8B-4397-A166-11A2D8400EF5}"/>
    <cellStyle name="Percent 4 30 3 2" xfId="10998" xr:uid="{DCDAC920-3370-4AE4-8ABD-9C694FD0B893}"/>
    <cellStyle name="Percent 4 30 4" xfId="10999" xr:uid="{000AB678-F18A-4C27-949F-2088598E39E3}"/>
    <cellStyle name="Percent 4 30 5" xfId="11000" xr:uid="{27591EED-B5E9-4556-9051-F696810E212C}"/>
    <cellStyle name="Percent 4 30 6" xfId="10994" xr:uid="{6D7BBAAE-EC53-4654-A407-CE450CD32472}"/>
    <cellStyle name="Percent 4 31" xfId="11001" xr:uid="{63A3FA4C-C3BD-40A6-A89F-5577894D95E9}"/>
    <cellStyle name="Percent 4 31 2" xfId="11002" xr:uid="{D902A08B-9B60-46EA-BAF4-CDA8BD17AB08}"/>
    <cellStyle name="Percent 4 31 2 2" xfId="11003" xr:uid="{523DD58D-275F-463E-901E-C5E4592A81AF}"/>
    <cellStyle name="Percent 4 31 3" xfId="11004" xr:uid="{DDA0C8FD-EE1A-4FDC-BAD9-48AA26785B21}"/>
    <cellStyle name="Percent 4 31 3 2" xfId="11005" xr:uid="{16CE402E-92ED-4858-B2E3-E5E2DF0B376A}"/>
    <cellStyle name="Percent 4 31 4" xfId="11006" xr:uid="{E5BD5E64-F27C-41EE-ABE1-F94D0E35DF83}"/>
    <cellStyle name="Percent 4 31 5" xfId="11007" xr:uid="{DE4C412C-FFEC-434F-BEF7-1FAA7FC7072A}"/>
    <cellStyle name="Percent 4 32" xfId="11008" xr:uid="{E20B1D97-C7AD-4C2E-953C-24C0E3DA0B67}"/>
    <cellStyle name="Percent 4 32 2" xfId="11009" xr:uid="{AA3AC7E3-3B73-4C69-88A7-DC44FCC7116B}"/>
    <cellStyle name="Percent 4 32 2 2" xfId="11010" xr:uid="{A523351F-6DF9-4628-984B-4028058FEB02}"/>
    <cellStyle name="Percent 4 32 3" xfId="11011" xr:uid="{E1BFB78C-0AAC-4AB9-8ADB-1C37A75D96F6}"/>
    <cellStyle name="Percent 4 32 3 2" xfId="11012" xr:uid="{F36A7C57-221D-4F51-AFEE-BEA87FC3B4E9}"/>
    <cellStyle name="Percent 4 32 4" xfId="11013" xr:uid="{37AEAD37-C95A-45A3-A37D-F4D00F6C98CC}"/>
    <cellStyle name="Percent 4 33" xfId="11014" xr:uid="{6B607163-39C8-418E-B087-46AE1C86E16B}"/>
    <cellStyle name="Percent 4 33 2" xfId="11015" xr:uid="{E45B1020-8A4B-47C0-B8B9-676754D67DB2}"/>
    <cellStyle name="Percent 4 33 2 2" xfId="11016" xr:uid="{E1FD0121-15E9-48DB-9980-D696F230C235}"/>
    <cellStyle name="Percent 4 33 3" xfId="11017" xr:uid="{D1B561C6-5260-473B-B3AC-CD57AF9B8D61}"/>
    <cellStyle name="Percent 4 33 3 2" xfId="11018" xr:uid="{2C4D3C76-EEA7-470A-89AD-8D11C487C57F}"/>
    <cellStyle name="Percent 4 33 4" xfId="11019" xr:uid="{02D277B1-83EA-400C-A069-C4576CCDCC27}"/>
    <cellStyle name="Percent 4 33 4 2" xfId="11020" xr:uid="{0E0D87CA-E344-4072-92E6-846F63A34BEE}"/>
    <cellStyle name="Percent 4 33 5" xfId="11021" xr:uid="{A8F5C4AD-117F-4316-BD11-6021E067D6C0}"/>
    <cellStyle name="Percent 4 34" xfId="11022" xr:uid="{3717FB2B-D1CB-41F1-8317-CADCF26D07F6}"/>
    <cellStyle name="Percent 4 34 2" xfId="11023" xr:uid="{D79F1B14-DA4E-4754-B8C6-6E6A824E7A48}"/>
    <cellStyle name="Percent 4 34 2 2" xfId="11024" xr:uid="{8B5D5389-0012-4EAF-91DB-6A2B1DC0E918}"/>
    <cellStyle name="Percent 4 34 3" xfId="11025" xr:uid="{7C59727A-4949-414A-81AA-A1939A2E9D4C}"/>
    <cellStyle name="Percent 4 34 3 2" xfId="11026" xr:uid="{3452E212-8CE5-400E-87CC-5B12F31A1DF3}"/>
    <cellStyle name="Percent 4 34 4" xfId="11027" xr:uid="{D4ED79E7-BEFF-42A9-AB1F-C2E83D9E9FD8}"/>
    <cellStyle name="Percent 4 35" xfId="11028" xr:uid="{15FA4605-3239-47BF-B81F-ADFB7E964095}"/>
    <cellStyle name="Percent 4 35 2" xfId="11029" xr:uid="{ED1426D9-D53B-4D35-AFDE-FCAB4C8787E0}"/>
    <cellStyle name="Percent 4 36" xfId="11030" xr:uid="{49524D18-C6F4-43E2-A554-6DA8166ECAB7}"/>
    <cellStyle name="Percent 4 36 2" xfId="11031" xr:uid="{539B8A89-014A-4894-97E2-CEAD26D7C023}"/>
    <cellStyle name="Percent 4 37" xfId="11032" xr:uid="{9419019C-BA0E-4593-BDD5-8D835A1C02CB}"/>
    <cellStyle name="Percent 4 37 2" xfId="11033" xr:uid="{8F325ECD-1ED8-4A0E-991C-BAC3605D7D27}"/>
    <cellStyle name="Percent 4 38" xfId="11034" xr:uid="{2861B049-5B5E-46DE-9B9C-79F242730FDF}"/>
    <cellStyle name="Percent 4 39" xfId="11035" xr:uid="{DE519132-3237-46E8-B06E-38D39B1C6CAE}"/>
    <cellStyle name="Percent 4 4" xfId="300" xr:uid="{8A1382C8-D876-45F1-83D0-2F97997CFBE6}"/>
    <cellStyle name="Percent 4 4 10" xfId="11037" xr:uid="{C8D71A21-CA77-488C-BB5A-B2970968F0F4}"/>
    <cellStyle name="Percent 4 4 10 2" xfId="11038" xr:uid="{B5653925-BF71-4C9B-8ACE-ACEB3AA5266D}"/>
    <cellStyle name="Percent 4 4 10 2 2" xfId="11039" xr:uid="{33FE9DEF-9DD2-43CC-9699-4BEE0BEE4208}"/>
    <cellStyle name="Percent 4 4 10 3" xfId="11040" xr:uid="{8C4D5255-D9AD-4B25-B2E2-F2B57A87A2B9}"/>
    <cellStyle name="Percent 4 4 10 3 2" xfId="11041" xr:uid="{F18DAF3E-33A0-44DC-81A8-10FE0DF5DB24}"/>
    <cellStyle name="Percent 4 4 10 4" xfId="11042" xr:uid="{E9D6D511-6E1D-4167-9419-F0ED96EF7C60}"/>
    <cellStyle name="Percent 4 4 11" xfId="11043" xr:uid="{8CB18B90-406F-4F05-903D-D15112C88AF6}"/>
    <cellStyle name="Percent 4 4 11 2" xfId="11044" xr:uid="{820A82CA-367F-48C3-80ED-6FBFEE0F6915}"/>
    <cellStyle name="Percent 4 4 11 2 2" xfId="11045" xr:uid="{FDD6C755-5B89-4912-85C1-CFCECD5FAF65}"/>
    <cellStyle name="Percent 4 4 11 3" xfId="11046" xr:uid="{8A8166C5-9906-429E-87D6-24ACDB5DEEDD}"/>
    <cellStyle name="Percent 4 4 11 3 2" xfId="11047" xr:uid="{BA40B99C-7F52-4CC1-B50D-69944BAD9113}"/>
    <cellStyle name="Percent 4 4 11 4" xfId="11048" xr:uid="{D4306078-F850-4A2E-8CE0-EE10C5CA2E39}"/>
    <cellStyle name="Percent 4 4 12" xfId="11049" xr:uid="{B5624D3C-F602-49D6-BC32-296B00E10D11}"/>
    <cellStyle name="Percent 4 4 12 2" xfId="11050" xr:uid="{B5D9BC7C-E708-44DD-8E12-7109DA22506F}"/>
    <cellStyle name="Percent 4 4 12 2 2" xfId="11051" xr:uid="{004E3457-6200-4D0F-8342-682828C3D382}"/>
    <cellStyle name="Percent 4 4 12 3" xfId="11052" xr:uid="{1C52396F-7E0E-4291-BBC3-5D208EDB288D}"/>
    <cellStyle name="Percent 4 4 12 3 2" xfId="11053" xr:uid="{13918338-3D6C-4CEF-BE41-1D87C3B970E7}"/>
    <cellStyle name="Percent 4 4 12 4" xfId="11054" xr:uid="{1D963604-94A1-4266-BEB2-CE05C30A363E}"/>
    <cellStyle name="Percent 4 4 12 4 2" xfId="11055" xr:uid="{5B32D840-D2B2-46D1-80D3-EBC593DD91C1}"/>
    <cellStyle name="Percent 4 4 12 5" xfId="11056" xr:uid="{EA36CA4E-A7E3-41F3-B4BF-D07F5DF31A6C}"/>
    <cellStyle name="Percent 4 4 13" xfId="11057" xr:uid="{196F0B1A-371C-4CD8-9050-86425833FEF4}"/>
    <cellStyle name="Percent 4 4 13 2" xfId="11058" xr:uid="{88D0832E-D879-40DC-BEDA-C34A98F930A8}"/>
    <cellStyle name="Percent 4 4 13 2 2" xfId="11059" xr:uid="{3E494588-AD1C-4324-9FE1-079249B14C16}"/>
    <cellStyle name="Percent 4 4 13 3" xfId="11060" xr:uid="{DB9402A0-38A7-40A8-AD41-FB953E81A602}"/>
    <cellStyle name="Percent 4 4 13 3 2" xfId="11061" xr:uid="{511128CC-EB3F-43D4-A2A5-02F42C3B8672}"/>
    <cellStyle name="Percent 4 4 13 4" xfId="11062" xr:uid="{B54EE6B7-FBB1-4D65-9352-47AB0C51FB82}"/>
    <cellStyle name="Percent 4 4 14" xfId="11063" xr:uid="{F7C9DD2D-91A5-4EB8-97A8-915939817E1F}"/>
    <cellStyle name="Percent 4 4 14 2" xfId="11064" xr:uid="{25F1E41E-022E-486E-8848-25E1631A3A63}"/>
    <cellStyle name="Percent 4 4 15" xfId="11065" xr:uid="{BB83BA44-21BA-41B3-9057-8164C4EF87A3}"/>
    <cellStyle name="Percent 4 4 15 2" xfId="11066" xr:uid="{3B6265AD-BB77-4350-AF0B-5BF94A59DD26}"/>
    <cellStyle name="Percent 4 4 16" xfId="11067" xr:uid="{CDE07FBB-1AC5-4E56-AA2B-7D98493397AB}"/>
    <cellStyle name="Percent 4 4 16 2" xfId="11068" xr:uid="{DF5D3A28-5C95-4236-BA3B-9863FE8A0DAC}"/>
    <cellStyle name="Percent 4 4 17" xfId="11069" xr:uid="{8DC7339F-D0D9-4B4D-A403-0622DC6C0627}"/>
    <cellStyle name="Percent 4 4 18" xfId="11070" xr:uid="{5EF560F9-088C-46FD-B446-2E1F8892620F}"/>
    <cellStyle name="Percent 4 4 19" xfId="11036" xr:uid="{911FCFE1-CF47-4815-A53B-AFAF7547DB16}"/>
    <cellStyle name="Percent 4 4 2" xfId="3003" xr:uid="{6550FF80-B985-4A0F-921C-D0EF975E6A6A}"/>
    <cellStyle name="Percent 4 4 2 10" xfId="11072" xr:uid="{0F5299E8-03AC-4E8A-8233-81BD015471D1}"/>
    <cellStyle name="Percent 4 4 2 11" xfId="11071" xr:uid="{3512B087-CD7B-4227-9AEF-9092B8E537AC}"/>
    <cellStyle name="Percent 4 4 2 2" xfId="11073" xr:uid="{4D409503-E574-414C-910A-2643D8FB9C61}"/>
    <cellStyle name="Percent 4 4 2 2 2" xfId="11074" xr:uid="{19E19712-D02F-48CD-9192-059B72499A72}"/>
    <cellStyle name="Percent 4 4 2 2 2 2" xfId="11075" xr:uid="{BED6C485-0B37-469A-A656-4B548C1EF6E2}"/>
    <cellStyle name="Percent 4 4 2 2 3" xfId="11076" xr:uid="{A8E2CCD3-A8F9-4EB1-963C-4DFE0457A647}"/>
    <cellStyle name="Percent 4 4 2 2 3 2" xfId="11077" xr:uid="{CDF78036-81E9-4208-ABCF-FAC1875ACFBE}"/>
    <cellStyle name="Percent 4 4 2 2 4" xfId="11078" xr:uid="{208D0F3B-8D14-475A-8A29-57A73626528E}"/>
    <cellStyle name="Percent 4 4 2 2 5" xfId="11079" xr:uid="{F4DDBABA-91A2-461C-BF9A-66EFE8FA884D}"/>
    <cellStyle name="Percent 4 4 2 3" xfId="11080" xr:uid="{C5E8F0BC-DDCE-44EF-8A67-9FE2641A36C2}"/>
    <cellStyle name="Percent 4 4 2 3 2" xfId="11081" xr:uid="{CA49FAD9-E868-4A36-BEC8-2005DD0ED18F}"/>
    <cellStyle name="Percent 4 4 2 3 2 2" xfId="11082" xr:uid="{03857B1D-9102-451F-B163-6B31C143AA22}"/>
    <cellStyle name="Percent 4 4 2 3 3" xfId="11083" xr:uid="{9E7236FE-F669-4DC4-B491-51F22D67BE6E}"/>
    <cellStyle name="Percent 4 4 2 3 3 2" xfId="11084" xr:uid="{ACD6E4D0-40DC-40CC-A29D-06A74D04964F}"/>
    <cellStyle name="Percent 4 4 2 3 4" xfId="11085" xr:uid="{E91E1D78-E06F-48F3-8834-276904785E1F}"/>
    <cellStyle name="Percent 4 4 2 4" xfId="11086" xr:uid="{2BAD09C1-7ED1-4E51-9661-6970E5E18D35}"/>
    <cellStyle name="Percent 4 4 2 4 2" xfId="11087" xr:uid="{7C563E1D-8E29-421C-8A1B-7D1340821E76}"/>
    <cellStyle name="Percent 4 4 2 4 2 2" xfId="11088" xr:uid="{B6B1B2D1-0D15-47C0-8E0C-2EDA0342896A}"/>
    <cellStyle name="Percent 4 4 2 4 3" xfId="11089" xr:uid="{E760E749-D741-4D7C-B9AA-804BBBDF7656}"/>
    <cellStyle name="Percent 4 4 2 4 3 2" xfId="11090" xr:uid="{BBAA2EB6-2DDD-4030-854D-609689DDE4E4}"/>
    <cellStyle name="Percent 4 4 2 4 4" xfId="11091" xr:uid="{CA9641F7-AB79-466E-BB39-35D9B78F272E}"/>
    <cellStyle name="Percent 4 4 2 4 4 2" xfId="11092" xr:uid="{A67C692B-A488-4452-9B58-DE635D421661}"/>
    <cellStyle name="Percent 4 4 2 4 5" xfId="11093" xr:uid="{33AB41EE-2506-4051-A68D-0AD092B92F25}"/>
    <cellStyle name="Percent 4 4 2 5" xfId="11094" xr:uid="{7F70B526-0621-4822-96DD-320F8861FAEA}"/>
    <cellStyle name="Percent 4 4 2 5 2" xfId="11095" xr:uid="{CF739586-DC5A-4844-A954-D7283F31A8F5}"/>
    <cellStyle name="Percent 4 4 2 5 2 2" xfId="11096" xr:uid="{B779B490-20AC-464B-8CDC-7CBB3C349C81}"/>
    <cellStyle name="Percent 4 4 2 5 3" xfId="11097" xr:uid="{35F3BE34-6338-4F1A-A891-88FCEEAC28D4}"/>
    <cellStyle name="Percent 4 4 2 5 3 2" xfId="11098" xr:uid="{1B4CC08E-D2E3-49E1-8D35-8509C5E96AA8}"/>
    <cellStyle name="Percent 4 4 2 5 4" xfId="11099" xr:uid="{BC3C5ECB-AE55-42D5-9560-82D850BBF64F}"/>
    <cellStyle name="Percent 4 4 2 6" xfId="11100" xr:uid="{4A5D29DB-94B7-4D89-89CC-E501E807A458}"/>
    <cellStyle name="Percent 4 4 2 6 2" xfId="11101" xr:uid="{D73E91ED-5170-4556-B7F5-2B402C6FCE3E}"/>
    <cellStyle name="Percent 4 4 2 7" xfId="11102" xr:uid="{6E73BDAF-05C4-4B59-8825-3FB21348877E}"/>
    <cellStyle name="Percent 4 4 2 7 2" xfId="11103" xr:uid="{89AD1720-C991-4081-A1A4-AD027BE54F7A}"/>
    <cellStyle name="Percent 4 4 2 8" xfId="11104" xr:uid="{889A64AF-17A1-447A-A211-97479B81E130}"/>
    <cellStyle name="Percent 4 4 2 8 2" xfId="11105" xr:uid="{E80AE390-26E7-40B3-9597-6789AF856B4F}"/>
    <cellStyle name="Percent 4 4 2 9" xfId="11106" xr:uid="{22DBDD9C-B7CB-4C0D-9941-17C74C65690F}"/>
    <cellStyle name="Percent 4 4 3" xfId="4751" xr:uid="{EF5B0503-D4D4-413B-BCFF-CBF20433ED1E}"/>
    <cellStyle name="Percent 4 4 3 10" xfId="11108" xr:uid="{0F42D139-2C58-4F9F-AFFD-E1C198FC8F36}"/>
    <cellStyle name="Percent 4 4 3 11" xfId="11107" xr:uid="{37FD38FD-B361-4E68-AB4E-8A5FA6A045F0}"/>
    <cellStyle name="Percent 4 4 3 2" xfId="11109" xr:uid="{25AEF820-EB50-43E3-9BAE-3892E2D12D45}"/>
    <cellStyle name="Percent 4 4 3 2 2" xfId="11110" xr:uid="{A47E9CA1-04DA-4EFB-81DF-841BAC568F4C}"/>
    <cellStyle name="Percent 4 4 3 2 2 2" xfId="11111" xr:uid="{1A9911BE-75B4-4A0D-AA33-FFC6B1F9C81C}"/>
    <cellStyle name="Percent 4 4 3 2 3" xfId="11112" xr:uid="{AA942389-E476-4295-9B27-0C5BA6D5C894}"/>
    <cellStyle name="Percent 4 4 3 2 3 2" xfId="11113" xr:uid="{2F76146C-BDD5-45BF-BC64-87BB6F233F6E}"/>
    <cellStyle name="Percent 4 4 3 2 4" xfId="11114" xr:uid="{A9C92F3F-E3B1-46D5-8994-C6E6B7A2A121}"/>
    <cellStyle name="Percent 4 4 3 3" xfId="11115" xr:uid="{59E746C6-2603-4B1C-B184-8E1FBB8DF855}"/>
    <cellStyle name="Percent 4 4 3 3 2" xfId="11116" xr:uid="{48871A81-E676-4103-A265-4FEE946044BD}"/>
    <cellStyle name="Percent 4 4 3 3 2 2" xfId="11117" xr:uid="{CA822729-A783-4876-97E6-8936B3A26505}"/>
    <cellStyle name="Percent 4 4 3 3 3" xfId="11118" xr:uid="{141DC1B0-F85A-4DD3-8D61-28F26598A93A}"/>
    <cellStyle name="Percent 4 4 3 3 3 2" xfId="11119" xr:uid="{93F6D0A2-85BC-4FCB-93A6-91ADDD90FECF}"/>
    <cellStyle name="Percent 4 4 3 3 4" xfId="11120" xr:uid="{3BB19BF0-62ED-483C-AFD1-30E419E08417}"/>
    <cellStyle name="Percent 4 4 3 4" xfId="11121" xr:uid="{F43FBCD4-B836-4682-8A9E-E21C406E7D1F}"/>
    <cellStyle name="Percent 4 4 3 4 2" xfId="11122" xr:uid="{CFA80C83-0FC2-4E12-A5E8-51263DB5338C}"/>
    <cellStyle name="Percent 4 4 3 4 2 2" xfId="11123" xr:uid="{29E863AD-FC43-4D3B-8300-413F909B5D98}"/>
    <cellStyle name="Percent 4 4 3 4 3" xfId="11124" xr:uid="{689CC7D2-E03D-4478-92DF-CACC0B3901DB}"/>
    <cellStyle name="Percent 4 4 3 4 3 2" xfId="11125" xr:uid="{D40C2E0D-683D-4FE3-92F7-D6DE558304D8}"/>
    <cellStyle name="Percent 4 4 3 4 4" xfId="11126" xr:uid="{21B72061-9EAA-424B-924A-7EF1A5D13D54}"/>
    <cellStyle name="Percent 4 4 3 4 4 2" xfId="11127" xr:uid="{73EACE0F-7C92-4DDD-B27A-5F21CC70F973}"/>
    <cellStyle name="Percent 4 4 3 4 5" xfId="11128" xr:uid="{161442B2-810A-4619-8AE8-FBF0627F787B}"/>
    <cellStyle name="Percent 4 4 3 5" xfId="11129" xr:uid="{EBCDB185-BC74-4199-B905-1F3438DE6510}"/>
    <cellStyle name="Percent 4 4 3 5 2" xfId="11130" xr:uid="{2CF0F1D0-DE62-469E-98CE-C47FDE7C32A3}"/>
    <cellStyle name="Percent 4 4 3 5 2 2" xfId="11131" xr:uid="{A2FB1F54-F4CF-4696-9EE8-CAD499993098}"/>
    <cellStyle name="Percent 4 4 3 5 3" xfId="11132" xr:uid="{7F97CDCA-75C9-4F85-8CDF-F2D18DC719A6}"/>
    <cellStyle name="Percent 4 4 3 5 3 2" xfId="11133" xr:uid="{2A988529-55A5-42A3-94CA-28BCE9A65748}"/>
    <cellStyle name="Percent 4 4 3 5 4" xfId="11134" xr:uid="{917D199E-DF1B-4264-875E-217E4B9D0ADD}"/>
    <cellStyle name="Percent 4 4 3 6" xfId="11135" xr:uid="{5B442198-81EA-4D0C-9A6A-A894F092E273}"/>
    <cellStyle name="Percent 4 4 3 6 2" xfId="11136" xr:uid="{08468D4D-2CC7-4CC0-A402-3F0B4F92D3E1}"/>
    <cellStyle name="Percent 4 4 3 7" xfId="11137" xr:uid="{0F38703D-28B7-4555-86CB-5B745E1310CD}"/>
    <cellStyle name="Percent 4 4 3 7 2" xfId="11138" xr:uid="{3C92EFCF-8CF9-4115-B707-848EDA21C9C3}"/>
    <cellStyle name="Percent 4 4 3 8" xfId="11139" xr:uid="{67BB3804-D822-4BCF-83F6-D3CC3B51039B}"/>
    <cellStyle name="Percent 4 4 3 8 2" xfId="11140" xr:uid="{BB64FB5D-CFDC-491E-9205-388CDFDF6532}"/>
    <cellStyle name="Percent 4 4 3 9" xfId="11141" xr:uid="{C9286D61-E976-4170-BCDD-7D36C54BDF31}"/>
    <cellStyle name="Percent 4 4 4" xfId="4752" xr:uid="{E3692213-CD76-47D3-B540-12A75AB97211}"/>
    <cellStyle name="Percent 4 4 4 10" xfId="11143" xr:uid="{47C2F260-119E-4436-B647-B5183849DBD5}"/>
    <cellStyle name="Percent 4 4 4 11" xfId="11142" xr:uid="{55A0B149-5FD1-4B02-B376-007F37D9A47C}"/>
    <cellStyle name="Percent 4 4 4 2" xfId="11144" xr:uid="{5A2E6D57-57BA-474E-BA13-A57F169DE041}"/>
    <cellStyle name="Percent 4 4 4 2 2" xfId="11145" xr:uid="{EE31DC19-8B6D-465D-8D16-C77DFD5DDF5C}"/>
    <cellStyle name="Percent 4 4 4 2 2 2" xfId="11146" xr:uid="{10CF3098-D556-4E9D-B762-4FEE0B21E2B1}"/>
    <cellStyle name="Percent 4 4 4 2 3" xfId="11147" xr:uid="{0E9E73E2-02DC-4538-A66A-917446BCDD43}"/>
    <cellStyle name="Percent 4 4 4 2 3 2" xfId="11148" xr:uid="{FF3AB8EA-3EFB-4845-8A0D-DDDC0AB2CC8E}"/>
    <cellStyle name="Percent 4 4 4 2 4" xfId="11149" xr:uid="{F6E53492-29EA-4322-8F3D-40A1015D5C07}"/>
    <cellStyle name="Percent 4 4 4 3" xfId="11150" xr:uid="{FED50ED5-FC78-4632-ACED-AB57E1589AFA}"/>
    <cellStyle name="Percent 4 4 4 3 2" xfId="11151" xr:uid="{E22C51B4-41F7-44B9-8055-984B3DA0387D}"/>
    <cellStyle name="Percent 4 4 4 3 2 2" xfId="11152" xr:uid="{89D024B0-0043-4D0B-BD37-F43268DDBF87}"/>
    <cellStyle name="Percent 4 4 4 3 3" xfId="11153" xr:uid="{F5880C62-6EE4-43BE-A946-B28C0A25E06B}"/>
    <cellStyle name="Percent 4 4 4 3 3 2" xfId="11154" xr:uid="{23EE1CFD-F31D-43E0-A065-175284C574BE}"/>
    <cellStyle name="Percent 4 4 4 3 4" xfId="11155" xr:uid="{6F90099C-3023-41D0-B97E-9CACC2E6678D}"/>
    <cellStyle name="Percent 4 4 4 4" xfId="11156" xr:uid="{ED3204AA-3E82-4778-AD21-25FD17BC7F46}"/>
    <cellStyle name="Percent 4 4 4 4 2" xfId="11157" xr:uid="{70CF906C-D893-4423-AA07-80A11A19A9DA}"/>
    <cellStyle name="Percent 4 4 4 4 2 2" xfId="11158" xr:uid="{A656D15A-4B33-427E-A5A2-08C6EE9A6D71}"/>
    <cellStyle name="Percent 4 4 4 4 3" xfId="11159" xr:uid="{A95B2C2C-71AB-4F71-83AE-1E1324E16C96}"/>
    <cellStyle name="Percent 4 4 4 4 3 2" xfId="11160" xr:uid="{C6D38FAC-C687-461D-AE0D-C36A05FB450B}"/>
    <cellStyle name="Percent 4 4 4 4 4" xfId="11161" xr:uid="{5232A4AB-0C23-4877-B55E-DD23B5D476C0}"/>
    <cellStyle name="Percent 4 4 4 4 4 2" xfId="11162" xr:uid="{4091FF32-425D-49E9-BFA3-15C434886C07}"/>
    <cellStyle name="Percent 4 4 4 4 5" xfId="11163" xr:uid="{E9DFB24E-DB6A-40BC-86C2-3D13ED6EE9DC}"/>
    <cellStyle name="Percent 4 4 4 5" xfId="11164" xr:uid="{3B5FB1F5-73E7-4582-990B-88C04A7765CE}"/>
    <cellStyle name="Percent 4 4 4 5 2" xfId="11165" xr:uid="{87E2F969-16FA-4B85-94C7-74B066DAFD26}"/>
    <cellStyle name="Percent 4 4 4 5 2 2" xfId="11166" xr:uid="{B9575FA2-13CC-42B0-A8BE-C30DDA40887C}"/>
    <cellStyle name="Percent 4 4 4 5 3" xfId="11167" xr:uid="{752A547A-48AD-4104-9266-13E43EA6EA81}"/>
    <cellStyle name="Percent 4 4 4 5 3 2" xfId="11168" xr:uid="{6B198F3B-E679-4C00-BD2A-748005AB914C}"/>
    <cellStyle name="Percent 4 4 4 5 4" xfId="11169" xr:uid="{237B11C2-D3FD-4C2E-AB41-78B57AAD9CA6}"/>
    <cellStyle name="Percent 4 4 4 6" xfId="11170" xr:uid="{FB7896D1-17C8-4B6E-A742-D65CAB7CD0AC}"/>
    <cellStyle name="Percent 4 4 4 6 2" xfId="11171" xr:uid="{94411D24-7011-4C58-BC86-5746E31377F0}"/>
    <cellStyle name="Percent 4 4 4 7" xfId="11172" xr:uid="{B5386593-CE4C-41B2-949C-580F4A488380}"/>
    <cellStyle name="Percent 4 4 4 7 2" xfId="11173" xr:uid="{91782132-D62E-4557-8E48-F3CA1CB0E4E8}"/>
    <cellStyle name="Percent 4 4 4 8" xfId="11174" xr:uid="{38A06A6B-7F6E-4076-8495-62BC381645C2}"/>
    <cellStyle name="Percent 4 4 4 8 2" xfId="11175" xr:uid="{249955BD-D32B-4B14-B0E9-66FBF3E283ED}"/>
    <cellStyle name="Percent 4 4 4 9" xfId="11176" xr:uid="{1000FDD6-25E2-4C99-BE0B-6F0B293387C9}"/>
    <cellStyle name="Percent 4 4 5" xfId="4753" xr:uid="{4944ABE9-14B3-4C24-A842-9EBFBCCB3781}"/>
    <cellStyle name="Percent 4 4 5 10" xfId="11178" xr:uid="{51B9E6BC-EB93-41A7-9504-4748101B8369}"/>
    <cellStyle name="Percent 4 4 5 11" xfId="11177" xr:uid="{51D05ACC-1CEC-4266-AEDF-284EB58138DF}"/>
    <cellStyle name="Percent 4 4 5 2" xfId="11179" xr:uid="{CE951A25-E42E-4D77-A625-028F1782614F}"/>
    <cellStyle name="Percent 4 4 5 2 2" xfId="11180" xr:uid="{F58E5D05-A28C-438D-A6BC-1DA4ED2596F8}"/>
    <cellStyle name="Percent 4 4 5 2 2 2" xfId="11181" xr:uid="{A06BF2AF-9033-413A-80E1-62FE4F66449A}"/>
    <cellStyle name="Percent 4 4 5 2 3" xfId="11182" xr:uid="{0652AF37-F225-441E-BAD6-39C44C93AC9D}"/>
    <cellStyle name="Percent 4 4 5 2 3 2" xfId="11183" xr:uid="{033AF771-9356-4533-AB56-E93D6D7CE2B8}"/>
    <cellStyle name="Percent 4 4 5 2 4" xfId="11184" xr:uid="{102D86E2-F97C-46B1-B1E1-6CA53C567B25}"/>
    <cellStyle name="Percent 4 4 5 3" xfId="11185" xr:uid="{6B37B4C5-9F2B-49ED-B24C-0EB828F572BA}"/>
    <cellStyle name="Percent 4 4 5 3 2" xfId="11186" xr:uid="{0E9606BF-11F9-4ED2-AC6A-421E1560EFAA}"/>
    <cellStyle name="Percent 4 4 5 3 2 2" xfId="11187" xr:uid="{83C7AEA4-83DB-489F-87B4-39F874D49CF9}"/>
    <cellStyle name="Percent 4 4 5 3 3" xfId="11188" xr:uid="{7254FEF3-92B8-4B8A-8B2B-FF84CC7B79FD}"/>
    <cellStyle name="Percent 4 4 5 3 3 2" xfId="11189" xr:uid="{B618FE74-0701-4404-BC5A-FB58AFF5E564}"/>
    <cellStyle name="Percent 4 4 5 3 4" xfId="11190" xr:uid="{BF7CCFED-47F3-4A80-9B44-627A7C973050}"/>
    <cellStyle name="Percent 4 4 5 4" xfId="11191" xr:uid="{5533C4FD-6406-47DA-AE50-001442548707}"/>
    <cellStyle name="Percent 4 4 5 4 2" xfId="11192" xr:uid="{75A2B7BC-43FC-45C0-BAF5-E4542BC54E98}"/>
    <cellStyle name="Percent 4 4 5 4 2 2" xfId="11193" xr:uid="{2F9594AD-DA93-4C12-B840-5E811A854D53}"/>
    <cellStyle name="Percent 4 4 5 4 3" xfId="11194" xr:uid="{0E07AA77-3CE2-435B-8457-894F162DC1BF}"/>
    <cellStyle name="Percent 4 4 5 4 3 2" xfId="11195" xr:uid="{16B8E57B-20A3-47C3-9B1C-41EC19E0A8B9}"/>
    <cellStyle name="Percent 4 4 5 4 4" xfId="11196" xr:uid="{92368371-43CF-40F6-87C8-27B047DFE8C6}"/>
    <cellStyle name="Percent 4 4 5 4 4 2" xfId="11197" xr:uid="{2C781A5B-53E6-4959-B96F-B4DD67D01F7D}"/>
    <cellStyle name="Percent 4 4 5 4 5" xfId="11198" xr:uid="{9BD90AA5-9D5D-434C-B03E-BD8FD22E02C7}"/>
    <cellStyle name="Percent 4 4 5 5" xfId="11199" xr:uid="{52B363E5-440A-46A1-B48A-40B37399085F}"/>
    <cellStyle name="Percent 4 4 5 5 2" xfId="11200" xr:uid="{D02C2CF5-6983-4D08-9B05-5792823F4FD8}"/>
    <cellStyle name="Percent 4 4 5 5 2 2" xfId="11201" xr:uid="{22F8E531-FCFE-4795-B069-ED88C847CED1}"/>
    <cellStyle name="Percent 4 4 5 5 3" xfId="11202" xr:uid="{BA218DE3-BB3A-4CB2-AC32-7E76F1E63087}"/>
    <cellStyle name="Percent 4 4 5 5 3 2" xfId="11203" xr:uid="{8F6DC2B6-FC18-4DD9-8660-54E61E0C6AB3}"/>
    <cellStyle name="Percent 4 4 5 5 4" xfId="11204" xr:uid="{85FD6F3E-78C7-4C38-A4E4-0FF964D6F873}"/>
    <cellStyle name="Percent 4 4 5 6" xfId="11205" xr:uid="{62C845D3-BEBE-4E3D-A419-9F1150A793BC}"/>
    <cellStyle name="Percent 4 4 5 6 2" xfId="11206" xr:uid="{1F4632D8-F963-462E-BC14-7A0537B9ABB5}"/>
    <cellStyle name="Percent 4 4 5 7" xfId="11207" xr:uid="{BD62984F-6A3A-4C18-B669-964778CCFEF9}"/>
    <cellStyle name="Percent 4 4 5 7 2" xfId="11208" xr:uid="{BD09025D-AE3C-474B-980D-173261E39864}"/>
    <cellStyle name="Percent 4 4 5 8" xfId="11209" xr:uid="{46B9D503-9796-4323-88E6-EA5BC2E9CB33}"/>
    <cellStyle name="Percent 4 4 5 8 2" xfId="11210" xr:uid="{594E4269-DF59-4273-AF8C-6847C2D8BBEF}"/>
    <cellStyle name="Percent 4 4 5 9" xfId="11211" xr:uid="{7BCD3920-E567-405E-BC9B-BEFBA9C11CD0}"/>
    <cellStyle name="Percent 4 4 6" xfId="4754" xr:uid="{9091CBD0-451E-4A57-B56F-E0D543EE6569}"/>
    <cellStyle name="Percent 4 4 6 10" xfId="11213" xr:uid="{2BD9F139-37F9-426F-BAF8-C6E18AA5054D}"/>
    <cellStyle name="Percent 4 4 6 11" xfId="11212" xr:uid="{6BB7488A-D39D-4702-A5E6-1C6345C59A02}"/>
    <cellStyle name="Percent 4 4 6 2" xfId="11214" xr:uid="{42DF3C71-8FB0-41D2-B63D-5F8C46066BDA}"/>
    <cellStyle name="Percent 4 4 6 2 2" xfId="11215" xr:uid="{99E9EF5A-617A-4E25-8664-FADBC958FABA}"/>
    <cellStyle name="Percent 4 4 6 2 2 2" xfId="11216" xr:uid="{E7D5A9D4-2B0F-4D61-A5B3-33752F0139E9}"/>
    <cellStyle name="Percent 4 4 6 2 3" xfId="11217" xr:uid="{56302967-0B8C-4292-994A-C719545FC31E}"/>
    <cellStyle name="Percent 4 4 6 2 3 2" xfId="11218" xr:uid="{095E1556-D692-4EDE-BBA4-42AF986638FA}"/>
    <cellStyle name="Percent 4 4 6 2 4" xfId="11219" xr:uid="{1C149872-8892-4F8B-989F-F4D599819B9E}"/>
    <cellStyle name="Percent 4 4 6 3" xfId="11220" xr:uid="{5641D085-FE62-491C-AE89-4298E944A7FF}"/>
    <cellStyle name="Percent 4 4 6 3 2" xfId="11221" xr:uid="{17C5DD84-2F85-4ACF-BE7F-DC22FF2385F8}"/>
    <cellStyle name="Percent 4 4 6 3 2 2" xfId="11222" xr:uid="{5DB767FA-F1C6-4C56-ACF2-AA1E24459A01}"/>
    <cellStyle name="Percent 4 4 6 3 3" xfId="11223" xr:uid="{C8498658-8F52-4EAF-802E-F917BFCC8621}"/>
    <cellStyle name="Percent 4 4 6 3 3 2" xfId="11224" xr:uid="{624A2AF4-F839-4449-873C-E21BFA06DE87}"/>
    <cellStyle name="Percent 4 4 6 3 4" xfId="11225" xr:uid="{9634B40A-259E-46D5-9AD3-7C34AAA6F482}"/>
    <cellStyle name="Percent 4 4 6 4" xfId="11226" xr:uid="{324E4E43-0F0E-4E4E-879C-806A18ECC4FE}"/>
    <cellStyle name="Percent 4 4 6 4 2" xfId="11227" xr:uid="{BC279181-925A-4825-A36C-1BAA05120ACE}"/>
    <cellStyle name="Percent 4 4 6 4 2 2" xfId="11228" xr:uid="{1B61FDDB-FEFA-443D-958D-CAD231E35AF4}"/>
    <cellStyle name="Percent 4 4 6 4 3" xfId="11229" xr:uid="{9BA713A4-F526-49C5-9426-ABB90C8F10E5}"/>
    <cellStyle name="Percent 4 4 6 4 3 2" xfId="11230" xr:uid="{A9331995-48EB-479A-9DD4-62BB6077024D}"/>
    <cellStyle name="Percent 4 4 6 4 4" xfId="11231" xr:uid="{CB65743B-568D-4127-89FF-3C74E7CCFB35}"/>
    <cellStyle name="Percent 4 4 6 4 4 2" xfId="11232" xr:uid="{2407A309-64A5-4AC9-9119-9BAA88FB7A94}"/>
    <cellStyle name="Percent 4 4 6 4 5" xfId="11233" xr:uid="{541F46ED-B5C7-42AC-B52E-B1115F5E241F}"/>
    <cellStyle name="Percent 4 4 6 5" xfId="11234" xr:uid="{789E4D26-590A-44A4-AF4D-1A1375D4A0DA}"/>
    <cellStyle name="Percent 4 4 6 5 2" xfId="11235" xr:uid="{3635456F-5BA7-4180-B554-56B08A780357}"/>
    <cellStyle name="Percent 4 4 6 5 2 2" xfId="11236" xr:uid="{E369CAD2-3D8A-4ADC-BBB1-B4B2AC5F925F}"/>
    <cellStyle name="Percent 4 4 6 5 3" xfId="11237" xr:uid="{E22E3439-CF73-4921-B473-4644532E8F75}"/>
    <cellStyle name="Percent 4 4 6 5 3 2" xfId="11238" xr:uid="{02B9CA64-BC67-43DC-BF7E-7BEB9F376B0D}"/>
    <cellStyle name="Percent 4 4 6 5 4" xfId="11239" xr:uid="{0AC0BF9E-FDF8-46BC-8A19-7E949C3B0C43}"/>
    <cellStyle name="Percent 4 4 6 6" xfId="11240" xr:uid="{5772E416-ED32-4D31-97F3-4DF732FA6FD1}"/>
    <cellStyle name="Percent 4 4 6 6 2" xfId="11241" xr:uid="{86342ED4-DD67-4EAF-A7B5-F28F04B466C4}"/>
    <cellStyle name="Percent 4 4 6 7" xfId="11242" xr:uid="{07397008-D820-48AB-A95E-A94038EA8FB3}"/>
    <cellStyle name="Percent 4 4 6 7 2" xfId="11243" xr:uid="{8831976E-413B-4DFF-9CB1-9A7B7EE05444}"/>
    <cellStyle name="Percent 4 4 6 8" xfId="11244" xr:uid="{4501553A-63EA-4D1C-B3B7-6BD5667842BA}"/>
    <cellStyle name="Percent 4 4 6 8 2" xfId="11245" xr:uid="{53D452C3-ADC6-4FE7-9A15-334900B5B937}"/>
    <cellStyle name="Percent 4 4 6 9" xfId="11246" xr:uid="{5C9BAD34-8DE7-4211-A137-03C35929F205}"/>
    <cellStyle name="Percent 4 4 7" xfId="4755" xr:uid="{DF65B56B-CA47-41A6-9DDC-415DC949645B}"/>
    <cellStyle name="Percent 4 4 7 10" xfId="11248" xr:uid="{FEE2A94C-F8D6-4B6A-A1A6-45BAE77E8131}"/>
    <cellStyle name="Percent 4 4 7 11" xfId="11247" xr:uid="{F2B4FB65-5166-4E1D-A5E8-DA4CC26A8727}"/>
    <cellStyle name="Percent 4 4 7 2" xfId="11249" xr:uid="{4D1A6C10-A153-40EB-B263-4BE1597EA129}"/>
    <cellStyle name="Percent 4 4 7 2 2" xfId="11250" xr:uid="{EA2AEF76-9897-4F67-9EC7-BA69E1D60973}"/>
    <cellStyle name="Percent 4 4 7 2 2 2" xfId="11251" xr:uid="{69EF2E67-FA09-4430-8166-8F60F61206BC}"/>
    <cellStyle name="Percent 4 4 7 2 3" xfId="11252" xr:uid="{71AA7C48-88FE-4228-83B3-3949F2DD4BC8}"/>
    <cellStyle name="Percent 4 4 7 2 3 2" xfId="11253" xr:uid="{767EAFB2-725A-4629-87F9-E78B0475D949}"/>
    <cellStyle name="Percent 4 4 7 2 4" xfId="11254" xr:uid="{7DF630F6-5D48-4070-89E5-9A44D37358A2}"/>
    <cellStyle name="Percent 4 4 7 3" xfId="11255" xr:uid="{4EB4DC4A-1675-46D9-8F78-634775776738}"/>
    <cellStyle name="Percent 4 4 7 3 2" xfId="11256" xr:uid="{37928185-6FE6-440B-AD84-B1DB3E405090}"/>
    <cellStyle name="Percent 4 4 7 3 2 2" xfId="11257" xr:uid="{12A8E503-2A59-4278-AD68-1C014A6E7BA9}"/>
    <cellStyle name="Percent 4 4 7 3 3" xfId="11258" xr:uid="{3C34D88A-FA14-4835-B3E0-DDADBC61C79F}"/>
    <cellStyle name="Percent 4 4 7 3 3 2" xfId="11259" xr:uid="{A716D501-E4CC-416F-9BBA-C3737260ED3E}"/>
    <cellStyle name="Percent 4 4 7 3 4" xfId="11260" xr:uid="{BD101426-0A26-4C24-8D3D-2624BB144453}"/>
    <cellStyle name="Percent 4 4 7 4" xfId="11261" xr:uid="{D31F8AB2-FD8B-4A55-8905-3BD3783975AE}"/>
    <cellStyle name="Percent 4 4 7 4 2" xfId="11262" xr:uid="{05C225B8-1760-4DED-9D55-205BC6747E90}"/>
    <cellStyle name="Percent 4 4 7 4 2 2" xfId="11263" xr:uid="{DDE5EE27-8D92-4601-A1B0-2D79E8778AB2}"/>
    <cellStyle name="Percent 4 4 7 4 3" xfId="11264" xr:uid="{94EFB7A7-B9CF-4289-AD24-4DB107960200}"/>
    <cellStyle name="Percent 4 4 7 4 3 2" xfId="11265" xr:uid="{51DA14DA-4DCC-4E74-BAA3-5405FAA1DC11}"/>
    <cellStyle name="Percent 4 4 7 4 4" xfId="11266" xr:uid="{36622297-01D5-464B-8E73-32B39B6EF9B3}"/>
    <cellStyle name="Percent 4 4 7 4 4 2" xfId="11267" xr:uid="{DD06B7E6-DCD1-4D29-B46D-B17D87EB1E95}"/>
    <cellStyle name="Percent 4 4 7 4 5" xfId="11268" xr:uid="{78C68BE7-89A8-4299-B8B9-6EEE16AC2BFE}"/>
    <cellStyle name="Percent 4 4 7 5" xfId="11269" xr:uid="{D5187FCD-144C-4B4A-B267-285795F1249D}"/>
    <cellStyle name="Percent 4 4 7 5 2" xfId="11270" xr:uid="{C388AA0B-3746-4E55-B0B6-6068961889B8}"/>
    <cellStyle name="Percent 4 4 7 5 2 2" xfId="11271" xr:uid="{BEB604C6-400F-4688-980E-925DD80211BB}"/>
    <cellStyle name="Percent 4 4 7 5 3" xfId="11272" xr:uid="{F06A2313-225C-407C-B73C-FC869C734579}"/>
    <cellStyle name="Percent 4 4 7 5 3 2" xfId="11273" xr:uid="{FCC4C6E2-8D0A-407A-B2E2-0475E701E5C2}"/>
    <cellStyle name="Percent 4 4 7 5 4" xfId="11274" xr:uid="{31A2D156-985C-41E3-88A3-6CDF2D9851DF}"/>
    <cellStyle name="Percent 4 4 7 6" xfId="11275" xr:uid="{9DDDCA60-3365-46F8-B0D9-46C393230A52}"/>
    <cellStyle name="Percent 4 4 7 6 2" xfId="11276" xr:uid="{AF562B01-6A6C-443A-A0D4-C75D51A111C8}"/>
    <cellStyle name="Percent 4 4 7 7" xfId="11277" xr:uid="{C531C965-45D6-4ED9-8FA8-625606D5B1C0}"/>
    <cellStyle name="Percent 4 4 7 7 2" xfId="11278" xr:uid="{B97832A5-ECCD-452F-90E5-C415A688420F}"/>
    <cellStyle name="Percent 4 4 7 8" xfId="11279" xr:uid="{545BBBA5-6DD9-41BD-9209-8DE2318E4CF1}"/>
    <cellStyle name="Percent 4 4 7 8 2" xfId="11280" xr:uid="{05B067D9-F5E1-4D77-A17E-DE8C44888B26}"/>
    <cellStyle name="Percent 4 4 7 9" xfId="11281" xr:uid="{C1A2DBA9-43DC-4C29-938A-E188EB22D375}"/>
    <cellStyle name="Percent 4 4 8" xfId="4756" xr:uid="{34079618-15D1-4637-A509-F23CC4F98C23}"/>
    <cellStyle name="Percent 4 4 8 10" xfId="11283" xr:uid="{5AE62B10-8045-4771-9ADC-D5D2366AC80C}"/>
    <cellStyle name="Percent 4 4 8 11" xfId="11282" xr:uid="{F883F38B-A4BE-49B3-BC8F-167F208F1B2D}"/>
    <cellStyle name="Percent 4 4 8 2" xfId="11284" xr:uid="{A621371B-B128-4296-8174-CFDFD1D5889B}"/>
    <cellStyle name="Percent 4 4 8 2 2" xfId="11285" xr:uid="{3B45C68F-2F28-444D-8AFC-6E6610BFA567}"/>
    <cellStyle name="Percent 4 4 8 2 2 2" xfId="11286" xr:uid="{087450C5-D6D6-4AE5-BF03-AC373E73EE18}"/>
    <cellStyle name="Percent 4 4 8 2 3" xfId="11287" xr:uid="{3B1AE56B-92A8-4464-8F3D-E527AA5C3E0B}"/>
    <cellStyle name="Percent 4 4 8 2 3 2" xfId="11288" xr:uid="{E2487BD7-8E2D-4805-9941-924062A716C9}"/>
    <cellStyle name="Percent 4 4 8 2 4" xfId="11289" xr:uid="{A53B061F-F38F-40FE-808E-3170FC49B8CB}"/>
    <cellStyle name="Percent 4 4 8 3" xfId="11290" xr:uid="{3F7B3B49-38F9-4FA0-A05E-4957CD465EEB}"/>
    <cellStyle name="Percent 4 4 8 3 2" xfId="11291" xr:uid="{CAE7AB45-08E5-4847-B661-1F3D77A3B6DB}"/>
    <cellStyle name="Percent 4 4 8 3 2 2" xfId="11292" xr:uid="{5E733D65-EEF4-4729-B4B9-A1AE20D9F3FC}"/>
    <cellStyle name="Percent 4 4 8 3 3" xfId="11293" xr:uid="{6B43FD59-3978-4FEB-8D26-07AEC8403545}"/>
    <cellStyle name="Percent 4 4 8 3 3 2" xfId="11294" xr:uid="{7052704A-BE55-4B3C-AEB6-4D57F62A40AF}"/>
    <cellStyle name="Percent 4 4 8 3 4" xfId="11295" xr:uid="{15489611-E8EE-4534-9719-B64BEB1F1180}"/>
    <cellStyle name="Percent 4 4 8 4" xfId="11296" xr:uid="{A6388612-330E-4C74-A277-29CEECD8D8F6}"/>
    <cellStyle name="Percent 4 4 8 4 2" xfId="11297" xr:uid="{AE46A950-6431-4DFC-B137-3C8BF4B535DB}"/>
    <cellStyle name="Percent 4 4 8 4 2 2" xfId="11298" xr:uid="{EB97F972-E926-41C0-BFA7-4275967D491B}"/>
    <cellStyle name="Percent 4 4 8 4 3" xfId="11299" xr:uid="{EF3D3D42-EA32-4D57-A9BD-8210895B26CB}"/>
    <cellStyle name="Percent 4 4 8 4 3 2" xfId="11300" xr:uid="{6519B45B-773E-4931-BA91-EEEC7312680F}"/>
    <cellStyle name="Percent 4 4 8 4 4" xfId="11301" xr:uid="{C3B54C26-5FDC-4409-A7E4-7391E58A8669}"/>
    <cellStyle name="Percent 4 4 8 4 4 2" xfId="11302" xr:uid="{EF0F2460-F4AC-4194-81A8-4111B32E6C8F}"/>
    <cellStyle name="Percent 4 4 8 4 5" xfId="11303" xr:uid="{4D2F2620-2FEB-4AD5-B710-7A3BE6F47EF6}"/>
    <cellStyle name="Percent 4 4 8 5" xfId="11304" xr:uid="{C2B5DB18-E784-4273-8126-2E0983B65FA8}"/>
    <cellStyle name="Percent 4 4 8 5 2" xfId="11305" xr:uid="{67DB21C6-1E7C-40AF-8884-B53BBBD859B8}"/>
    <cellStyle name="Percent 4 4 8 5 2 2" xfId="11306" xr:uid="{11DCE87C-D4B5-428D-97A8-ED40C271C0D0}"/>
    <cellStyle name="Percent 4 4 8 5 3" xfId="11307" xr:uid="{486AACE5-F842-438C-B601-BDA58E01892D}"/>
    <cellStyle name="Percent 4 4 8 5 3 2" xfId="11308" xr:uid="{7827C6B4-BE81-4803-9FD2-1856DE1CF6B5}"/>
    <cellStyle name="Percent 4 4 8 5 4" xfId="11309" xr:uid="{941AE53B-24F3-4025-84A4-3554C7A04081}"/>
    <cellStyle name="Percent 4 4 8 6" xfId="11310" xr:uid="{6BC26EE6-3387-4844-B2F6-467B1EBE1021}"/>
    <cellStyle name="Percent 4 4 8 6 2" xfId="11311" xr:uid="{8BA39113-F22F-4D21-BD0D-A97F57035443}"/>
    <cellStyle name="Percent 4 4 8 7" xfId="11312" xr:uid="{E164A061-DD66-4269-BE55-9D7120F25473}"/>
    <cellStyle name="Percent 4 4 8 7 2" xfId="11313" xr:uid="{5BAF73D0-CFC0-437D-B053-BA47E8797DD5}"/>
    <cellStyle name="Percent 4 4 8 8" xfId="11314" xr:uid="{9EEA0544-F0EC-49CD-823A-74BE8B4D7294}"/>
    <cellStyle name="Percent 4 4 8 8 2" xfId="11315" xr:uid="{91938FA5-EFF0-4079-A722-B21C3F870F82}"/>
    <cellStyle name="Percent 4 4 8 9" xfId="11316" xr:uid="{2884DCFA-6653-46EF-AC8B-671E73E2F23D}"/>
    <cellStyle name="Percent 4 4 9" xfId="11317" xr:uid="{872E3E74-E694-464B-AC0B-05FF1099D960}"/>
    <cellStyle name="Percent 4 4 9 2" xfId="11318" xr:uid="{73C98E3E-E5D7-4A3A-88E7-EE7696C082B6}"/>
    <cellStyle name="Percent 4 4 9 2 2" xfId="11319" xr:uid="{4442E1FC-77BA-414C-BF1A-899218237710}"/>
    <cellStyle name="Percent 4 4 9 3" xfId="11320" xr:uid="{EC967798-14DA-432E-872B-D2E44402340D}"/>
    <cellStyle name="Percent 4 4 9 3 2" xfId="11321" xr:uid="{10371BAE-211B-4EC2-814C-256C691D25A2}"/>
    <cellStyle name="Percent 4 4 9 4" xfId="11322" xr:uid="{11110660-B89F-4778-B184-75B6DDC63A0E}"/>
    <cellStyle name="Percent 4 4 9 5" xfId="11323" xr:uid="{4198AF9C-F258-413D-B1A1-3BD541759258}"/>
    <cellStyle name="Percent 4 40" xfId="9538" xr:uid="{FDA7E481-205A-4FCB-B85C-140A94CFD036}"/>
    <cellStyle name="Percent 4 5" xfId="3004" xr:uid="{B974183F-78C1-4CA3-8B1E-8DE3496C69E7}"/>
    <cellStyle name="Percent 4 5 10" xfId="11325" xr:uid="{6D6E8584-05CE-4115-A654-7A05A6366A66}"/>
    <cellStyle name="Percent 4 5 10 2" xfId="11326" xr:uid="{1E86C26B-F4EC-4330-AF0B-172FB4F5C268}"/>
    <cellStyle name="Percent 4 5 10 2 2" xfId="11327" xr:uid="{5A12D00B-1692-41A1-A1EB-D9BBC67A5B5B}"/>
    <cellStyle name="Percent 4 5 10 3" xfId="11328" xr:uid="{ED099309-64DE-4039-B7D5-9878799C16CE}"/>
    <cellStyle name="Percent 4 5 10 3 2" xfId="11329" xr:uid="{ADD237F1-2394-489A-AAED-3F38D797B8E6}"/>
    <cellStyle name="Percent 4 5 10 4" xfId="11330" xr:uid="{ABF64488-21EA-4765-97FD-0792F9A7AD12}"/>
    <cellStyle name="Percent 4 5 11" xfId="11331" xr:uid="{458A199E-A805-4D5F-9384-24414C4FDE73}"/>
    <cellStyle name="Percent 4 5 11 2" xfId="11332" xr:uid="{86A1ED9D-E405-490E-A3F5-D4F24BF0B540}"/>
    <cellStyle name="Percent 4 5 11 2 2" xfId="11333" xr:uid="{27FBDE3E-69A8-4F85-86FB-4A7892B4FA2C}"/>
    <cellStyle name="Percent 4 5 11 3" xfId="11334" xr:uid="{BB26BF72-5FE1-4198-8180-768034F29ECD}"/>
    <cellStyle name="Percent 4 5 11 3 2" xfId="11335" xr:uid="{7958F2E2-8184-4FF1-9447-A7A5DFD7B43D}"/>
    <cellStyle name="Percent 4 5 11 4" xfId="11336" xr:uid="{F9F7758C-0B22-4100-9F5B-C81B88B529EB}"/>
    <cellStyle name="Percent 4 5 12" xfId="11337" xr:uid="{316909E8-8C0D-4EA8-83E7-A55FE9FEFEFC}"/>
    <cellStyle name="Percent 4 5 12 2" xfId="11338" xr:uid="{1EE278A0-1DFF-48B7-980A-96F0D598400C}"/>
    <cellStyle name="Percent 4 5 12 2 2" xfId="11339" xr:uid="{5B424685-6AD1-4A05-97F3-0074DE031DE8}"/>
    <cellStyle name="Percent 4 5 12 3" xfId="11340" xr:uid="{17DA5975-EE65-49A3-ACD9-9A634A8C6A88}"/>
    <cellStyle name="Percent 4 5 12 3 2" xfId="11341" xr:uid="{97E680FC-2BF3-4BA5-BFD2-F3D8B2AFE64E}"/>
    <cellStyle name="Percent 4 5 12 4" xfId="11342" xr:uid="{758085A4-DCA7-4AC8-A540-1C3B3224F556}"/>
    <cellStyle name="Percent 4 5 12 4 2" xfId="11343" xr:uid="{B329A8C7-6BA3-4B89-93DA-D71A7784FB38}"/>
    <cellStyle name="Percent 4 5 12 5" xfId="11344" xr:uid="{2E5E067B-57DE-4E70-A13D-BFCD1DDAD696}"/>
    <cellStyle name="Percent 4 5 13" xfId="11345" xr:uid="{7B581570-6B83-486B-B1C5-4A01E50FDB91}"/>
    <cellStyle name="Percent 4 5 13 2" xfId="11346" xr:uid="{A0505F40-F1B9-4806-A4C5-4F5F8684079E}"/>
    <cellStyle name="Percent 4 5 13 2 2" xfId="11347" xr:uid="{BF0D6DE2-B8D5-4214-8076-FFA1E8A7992F}"/>
    <cellStyle name="Percent 4 5 13 3" xfId="11348" xr:uid="{3DBF3ACF-7B0B-4674-8548-895147B8F2E2}"/>
    <cellStyle name="Percent 4 5 13 3 2" xfId="11349" xr:uid="{4A905D54-9E5C-45BC-8DF3-D4C532D5030C}"/>
    <cellStyle name="Percent 4 5 13 4" xfId="11350" xr:uid="{277D459B-33C3-4B27-85B3-8F81FC12B7F7}"/>
    <cellStyle name="Percent 4 5 14" xfId="11351" xr:uid="{51EBEB6B-761D-4B7C-A448-701F1D29B4BB}"/>
    <cellStyle name="Percent 4 5 14 2" xfId="11352" xr:uid="{FD6A1452-EF9C-4ED0-8311-D1F4CECC9926}"/>
    <cellStyle name="Percent 4 5 15" xfId="11353" xr:uid="{25546625-C6E5-4010-9953-31F06E0C0164}"/>
    <cellStyle name="Percent 4 5 15 2" xfId="11354" xr:uid="{12EEB2A3-4342-4DBB-B2AE-0EDCE17F718F}"/>
    <cellStyle name="Percent 4 5 16" xfId="11355" xr:uid="{D90D329D-29F0-4676-922F-33F439BC67E1}"/>
    <cellStyle name="Percent 4 5 16 2" xfId="11356" xr:uid="{21929A8A-1BA8-490D-A647-27B71DEA28D8}"/>
    <cellStyle name="Percent 4 5 17" xfId="11357" xr:uid="{9DCD4BCE-5FE0-4C7F-9D6A-B7159613B3DC}"/>
    <cellStyle name="Percent 4 5 18" xfId="11358" xr:uid="{BFFD85B6-2EBE-4059-B041-65A9D73EEE4C}"/>
    <cellStyle name="Percent 4 5 19" xfId="11324" xr:uid="{9F2925F5-397E-4F25-ADCD-1F48FFE36618}"/>
    <cellStyle name="Percent 4 5 2" xfId="3005" xr:uid="{88556614-BE9B-417D-8833-4499DB1B7392}"/>
    <cellStyle name="Percent 4 5 2 10" xfId="11360" xr:uid="{B845471C-E8B7-4E6E-8D28-8AB76FFB60B6}"/>
    <cellStyle name="Percent 4 5 2 11" xfId="11359" xr:uid="{0B724383-ACF7-4818-8E8C-D0C959F455D7}"/>
    <cellStyle name="Percent 4 5 2 2" xfId="11361" xr:uid="{D2A216A8-D294-4900-A714-416F30377406}"/>
    <cellStyle name="Percent 4 5 2 2 2" xfId="11362" xr:uid="{AC2C1D97-2445-4BC6-A481-03D020FE6BE0}"/>
    <cellStyle name="Percent 4 5 2 2 2 2" xfId="11363" xr:uid="{53B1E43D-3BF8-46C2-AC4D-E349C9F35C0B}"/>
    <cellStyle name="Percent 4 5 2 2 3" xfId="11364" xr:uid="{D4B4B800-9C94-4B82-AC81-57C01190DBA2}"/>
    <cellStyle name="Percent 4 5 2 2 3 2" xfId="11365" xr:uid="{A37E4994-4D5D-4C79-B3BB-2251533E3F0B}"/>
    <cellStyle name="Percent 4 5 2 2 4" xfId="11366" xr:uid="{C5F092CF-F7C8-48D6-AC93-D428961752B0}"/>
    <cellStyle name="Percent 4 5 2 2 5" xfId="11367" xr:uid="{43BAE525-346D-47C2-AD41-D7997DDBCE3F}"/>
    <cellStyle name="Percent 4 5 2 3" xfId="11368" xr:uid="{67F9975F-02DC-4322-9092-CED2653FB826}"/>
    <cellStyle name="Percent 4 5 2 3 2" xfId="11369" xr:uid="{2EE2C6F5-7DC3-4222-8910-04D2AD4292AD}"/>
    <cellStyle name="Percent 4 5 2 3 2 2" xfId="11370" xr:uid="{AA4EA3FF-4490-47FA-A0B3-6436932D5656}"/>
    <cellStyle name="Percent 4 5 2 3 3" xfId="11371" xr:uid="{ED3B5B4C-7117-4F69-B42F-D5DEDA03E541}"/>
    <cellStyle name="Percent 4 5 2 3 3 2" xfId="11372" xr:uid="{E1ED85E0-C045-4D9C-B1CF-CDA4E68A5E3D}"/>
    <cellStyle name="Percent 4 5 2 3 4" xfId="11373" xr:uid="{BA7870B9-4A20-4153-A5AE-7FA0AF79FFBD}"/>
    <cellStyle name="Percent 4 5 2 4" xfId="11374" xr:uid="{C5FACB64-F37C-4577-81AB-75F191554BF8}"/>
    <cellStyle name="Percent 4 5 2 4 2" xfId="11375" xr:uid="{66F05304-5256-438B-9A8E-4EDFC94DC87C}"/>
    <cellStyle name="Percent 4 5 2 4 2 2" xfId="11376" xr:uid="{2A13E23C-1120-461D-822A-74B511BAD6FE}"/>
    <cellStyle name="Percent 4 5 2 4 3" xfId="11377" xr:uid="{71CECB98-7CE1-40D7-8074-FA54EC773D24}"/>
    <cellStyle name="Percent 4 5 2 4 3 2" xfId="11378" xr:uid="{38AE05DA-0523-4897-8533-A5F76B666704}"/>
    <cellStyle name="Percent 4 5 2 4 4" xfId="11379" xr:uid="{E971FA2D-8E8E-48E0-9EB3-41E44026C3AC}"/>
    <cellStyle name="Percent 4 5 2 4 4 2" xfId="11380" xr:uid="{13B1CC0A-385E-4D18-88B4-66B3567D9D2C}"/>
    <cellStyle name="Percent 4 5 2 4 5" xfId="11381" xr:uid="{32BBE154-3B45-440D-BB1B-B323ACE19D37}"/>
    <cellStyle name="Percent 4 5 2 5" xfId="11382" xr:uid="{3B90628F-7AB1-4F3F-BE6D-0C6733CC479C}"/>
    <cellStyle name="Percent 4 5 2 5 2" xfId="11383" xr:uid="{34414A01-0B3D-486D-BAFA-DD7FB907A38E}"/>
    <cellStyle name="Percent 4 5 2 5 2 2" xfId="11384" xr:uid="{0B9973D7-1EAF-4826-9951-8E406D7E1158}"/>
    <cellStyle name="Percent 4 5 2 5 3" xfId="11385" xr:uid="{6753EAF4-630A-4954-9006-75C8389158F7}"/>
    <cellStyle name="Percent 4 5 2 5 3 2" xfId="11386" xr:uid="{92DC8EEA-C06A-4687-B4C8-02011723B268}"/>
    <cellStyle name="Percent 4 5 2 5 4" xfId="11387" xr:uid="{D90F31B1-F964-4AEB-B8BF-A07D62F457EB}"/>
    <cellStyle name="Percent 4 5 2 6" xfId="11388" xr:uid="{3F73C096-B8C1-447F-8D51-98F8E8F85845}"/>
    <cellStyle name="Percent 4 5 2 6 2" xfId="11389" xr:uid="{E973EB45-94F9-40A3-B83E-F69A15B25F5F}"/>
    <cellStyle name="Percent 4 5 2 7" xfId="11390" xr:uid="{A1F80C03-76FF-40FF-9A80-9E95546F3641}"/>
    <cellStyle name="Percent 4 5 2 7 2" xfId="11391" xr:uid="{3D3E6219-3099-45D2-AFCB-A1B78B5775BA}"/>
    <cellStyle name="Percent 4 5 2 8" xfId="11392" xr:uid="{FABE5373-EF8D-41C2-927A-8DA8258185FE}"/>
    <cellStyle name="Percent 4 5 2 8 2" xfId="11393" xr:uid="{C8E990D9-5BB1-4BF1-9AC2-3AB753B7F310}"/>
    <cellStyle name="Percent 4 5 2 9" xfId="11394" xr:uid="{A6EEE9EF-8D94-4E8B-9969-646338569C16}"/>
    <cellStyle name="Percent 4 5 20" xfId="22566" xr:uid="{2BD31F2A-59A2-4A0F-B82E-1D76661510C3}"/>
    <cellStyle name="Percent 4 5 3" xfId="4757" xr:uid="{C4D55B1C-C367-4EDC-991F-6917D3120C13}"/>
    <cellStyle name="Percent 4 5 3 10" xfId="11396" xr:uid="{193653DA-5C6C-4A26-8A3C-1679DBF29831}"/>
    <cellStyle name="Percent 4 5 3 11" xfId="11395" xr:uid="{C3B14C71-C174-40AA-A132-54F3453AE278}"/>
    <cellStyle name="Percent 4 5 3 2" xfId="11397" xr:uid="{A3238AF6-B658-41B1-B9B3-70D6400A183E}"/>
    <cellStyle name="Percent 4 5 3 2 2" xfId="11398" xr:uid="{EA592115-EE2E-470C-9B7E-554C16F18982}"/>
    <cellStyle name="Percent 4 5 3 2 2 2" xfId="11399" xr:uid="{C6716F26-FE0B-4342-817B-61B1F93FD94C}"/>
    <cellStyle name="Percent 4 5 3 2 3" xfId="11400" xr:uid="{F099E6EE-39EA-4AFE-A7F6-F0FB760549DD}"/>
    <cellStyle name="Percent 4 5 3 2 3 2" xfId="11401" xr:uid="{1C10061D-641A-464A-B1D0-AFA136A3A4C4}"/>
    <cellStyle name="Percent 4 5 3 2 4" xfId="11402" xr:uid="{666670FB-2716-4A84-BD87-E19ADBFB5098}"/>
    <cellStyle name="Percent 4 5 3 2 5" xfId="11403" xr:uid="{0BB16A39-411D-4DE1-88F6-237F3525D08A}"/>
    <cellStyle name="Percent 4 5 3 3" xfId="11404" xr:uid="{54B6AD3F-3985-4778-9CCC-5B69A3921F25}"/>
    <cellStyle name="Percent 4 5 3 3 2" xfId="11405" xr:uid="{C3F0B663-C75A-4335-B217-0A2ADAC8B51A}"/>
    <cellStyle name="Percent 4 5 3 3 2 2" xfId="11406" xr:uid="{E6CCD2D4-937E-4529-817A-BF62F824A088}"/>
    <cellStyle name="Percent 4 5 3 3 3" xfId="11407" xr:uid="{11DA5ACC-357D-4CDA-AE9F-D98402A0F2A7}"/>
    <cellStyle name="Percent 4 5 3 3 3 2" xfId="11408" xr:uid="{D6D201C3-A2CA-4C6B-980F-B82CA5E835D7}"/>
    <cellStyle name="Percent 4 5 3 3 4" xfId="11409" xr:uid="{EFFF199D-5C7E-4F82-98D1-5F3A9CFA8E5F}"/>
    <cellStyle name="Percent 4 5 3 4" xfId="11410" xr:uid="{87E7B12E-2733-4751-ABF6-38A2A07D48BC}"/>
    <cellStyle name="Percent 4 5 3 4 2" xfId="11411" xr:uid="{F9608B82-582E-4E5D-9388-C88702A2D1C5}"/>
    <cellStyle name="Percent 4 5 3 4 2 2" xfId="11412" xr:uid="{F5CCF3FD-B031-4654-9126-E63A2AE23D78}"/>
    <cellStyle name="Percent 4 5 3 4 3" xfId="11413" xr:uid="{9F36297A-E01C-43FA-8EDB-CD9D524DFA92}"/>
    <cellStyle name="Percent 4 5 3 4 3 2" xfId="11414" xr:uid="{C4699903-06A4-44B0-8780-A92577907C94}"/>
    <cellStyle name="Percent 4 5 3 4 4" xfId="11415" xr:uid="{8B265534-31ED-4CB5-8979-730C6FDA9540}"/>
    <cellStyle name="Percent 4 5 3 4 4 2" xfId="11416" xr:uid="{FE6F201C-A328-47E3-918F-48719FB83C4D}"/>
    <cellStyle name="Percent 4 5 3 4 5" xfId="11417" xr:uid="{BB7DEDDF-93BA-4CB5-A2D4-045E8C258CEB}"/>
    <cellStyle name="Percent 4 5 3 5" xfId="11418" xr:uid="{3054CE24-C62A-47BE-82F0-B020885A93B2}"/>
    <cellStyle name="Percent 4 5 3 5 2" xfId="11419" xr:uid="{19A5C6DA-F3CF-4AD2-9691-078B7B9437DB}"/>
    <cellStyle name="Percent 4 5 3 5 2 2" xfId="11420" xr:uid="{B9F5B447-D51C-444E-B9AB-BA7286894882}"/>
    <cellStyle name="Percent 4 5 3 5 3" xfId="11421" xr:uid="{DFEFE0CA-7051-4A27-8C84-C7C649D4ADE8}"/>
    <cellStyle name="Percent 4 5 3 5 3 2" xfId="11422" xr:uid="{54105316-BC39-4C74-AFC0-5671BB9AE522}"/>
    <cellStyle name="Percent 4 5 3 5 4" xfId="11423" xr:uid="{DDF91749-F4CD-4C5D-90D9-A3A3E50A9FA6}"/>
    <cellStyle name="Percent 4 5 3 6" xfId="11424" xr:uid="{6FFCF922-3454-41CC-ACE7-29B72A95D2F7}"/>
    <cellStyle name="Percent 4 5 3 6 2" xfId="11425" xr:uid="{97DFAD7A-62AD-4AF3-962F-BD81A6139332}"/>
    <cellStyle name="Percent 4 5 3 7" xfId="11426" xr:uid="{B45F5E43-3869-4767-B206-F2113FA95113}"/>
    <cellStyle name="Percent 4 5 3 7 2" xfId="11427" xr:uid="{35282808-92E9-4BC2-AD20-5EA2E02E2985}"/>
    <cellStyle name="Percent 4 5 3 8" xfId="11428" xr:uid="{A7A7FCAA-72CC-46B5-AF90-5AD99898433E}"/>
    <cellStyle name="Percent 4 5 3 8 2" xfId="11429" xr:uid="{44CF7FE2-26F3-48A8-AB12-E5189B7D6F88}"/>
    <cellStyle name="Percent 4 5 3 9" xfId="11430" xr:uid="{29BAD2FD-2F41-4EAD-8893-FC9CD449C4A2}"/>
    <cellStyle name="Percent 4 5 4" xfId="4758" xr:uid="{B1A96062-AF91-4D0A-9345-7130430CF8A0}"/>
    <cellStyle name="Percent 4 5 4 10" xfId="11432" xr:uid="{480320A3-AC4B-48DE-B1AE-0056090F1784}"/>
    <cellStyle name="Percent 4 5 4 11" xfId="11431" xr:uid="{BB0BABB2-7972-425F-967A-0878FBE16E94}"/>
    <cellStyle name="Percent 4 5 4 2" xfId="11433" xr:uid="{29EA21E2-92DF-415E-951B-587031A1DB21}"/>
    <cellStyle name="Percent 4 5 4 2 2" xfId="11434" xr:uid="{27A0B5B3-EBA8-4629-944A-1CE777B5BF38}"/>
    <cellStyle name="Percent 4 5 4 2 2 2" xfId="11435" xr:uid="{3A208C2C-DAD5-4481-B124-321FFFA1E248}"/>
    <cellStyle name="Percent 4 5 4 2 3" xfId="11436" xr:uid="{F0E25504-1981-4E2A-A46D-3B61EF7A1856}"/>
    <cellStyle name="Percent 4 5 4 2 3 2" xfId="11437" xr:uid="{D52C0C1C-5EB6-4648-9F82-2DA1E7C9B8C9}"/>
    <cellStyle name="Percent 4 5 4 2 4" xfId="11438" xr:uid="{264471B3-BB4F-4977-AB4F-A592DC270FD4}"/>
    <cellStyle name="Percent 4 5 4 3" xfId="11439" xr:uid="{95E7AA6F-DFF6-4252-AFB3-7177272D7F22}"/>
    <cellStyle name="Percent 4 5 4 3 2" xfId="11440" xr:uid="{8376FA01-0036-4D94-9E7A-B22B4A935880}"/>
    <cellStyle name="Percent 4 5 4 3 2 2" xfId="11441" xr:uid="{9F1BFB02-8E1D-4FAB-9BEB-9347DEE4AEBF}"/>
    <cellStyle name="Percent 4 5 4 3 3" xfId="11442" xr:uid="{E027F2E3-33F2-4568-A2E3-632BFDA5718C}"/>
    <cellStyle name="Percent 4 5 4 3 3 2" xfId="11443" xr:uid="{8BBB574A-726F-4439-B32F-1BC560188EB4}"/>
    <cellStyle name="Percent 4 5 4 3 4" xfId="11444" xr:uid="{31B8FAFA-8BAD-42A7-BE99-8B601246326C}"/>
    <cellStyle name="Percent 4 5 4 4" xfId="11445" xr:uid="{9F1DD469-3AE0-411A-B3F1-0834CCAE6567}"/>
    <cellStyle name="Percent 4 5 4 4 2" xfId="11446" xr:uid="{0B48E0F6-52E7-48C1-B42F-36A11D204C8E}"/>
    <cellStyle name="Percent 4 5 4 4 2 2" xfId="11447" xr:uid="{79747827-3353-49C3-B184-A1E67D3D73F7}"/>
    <cellStyle name="Percent 4 5 4 4 3" xfId="11448" xr:uid="{23435A81-8858-4A52-BD20-70A1B7D85BEA}"/>
    <cellStyle name="Percent 4 5 4 4 3 2" xfId="11449" xr:uid="{5BD43533-B3EF-4A9A-BD1B-AE4DAE9617AF}"/>
    <cellStyle name="Percent 4 5 4 4 4" xfId="11450" xr:uid="{147DBF90-6E14-405E-8E57-4F071872C638}"/>
    <cellStyle name="Percent 4 5 4 4 4 2" xfId="11451" xr:uid="{56DF6B33-7330-4D90-8DCC-DCF18E6FA977}"/>
    <cellStyle name="Percent 4 5 4 4 5" xfId="11452" xr:uid="{4EECD038-D6F8-4982-A0CA-7E4E235BD4F8}"/>
    <cellStyle name="Percent 4 5 4 5" xfId="11453" xr:uid="{CF99D281-E4CE-46D3-9DB7-4E141748BC53}"/>
    <cellStyle name="Percent 4 5 4 5 2" xfId="11454" xr:uid="{7A3D3FCF-4386-4D02-84F3-1B5C5DF46A95}"/>
    <cellStyle name="Percent 4 5 4 5 2 2" xfId="11455" xr:uid="{EF3FAA88-60B7-47DC-9829-27911C4CDD62}"/>
    <cellStyle name="Percent 4 5 4 5 3" xfId="11456" xr:uid="{A299B100-FABF-4EB0-9FB3-1AAB1A859D1A}"/>
    <cellStyle name="Percent 4 5 4 5 3 2" xfId="11457" xr:uid="{69379793-0831-4912-90BB-93C3EBD968AB}"/>
    <cellStyle name="Percent 4 5 4 5 4" xfId="11458" xr:uid="{DF81A7C8-6B4E-462A-B415-A15B5733DD4A}"/>
    <cellStyle name="Percent 4 5 4 6" xfId="11459" xr:uid="{42E10136-5BA2-4FF8-99C0-7AA1A8876B50}"/>
    <cellStyle name="Percent 4 5 4 6 2" xfId="11460" xr:uid="{192D2AAF-F24D-4F35-B032-65E17BF16EAB}"/>
    <cellStyle name="Percent 4 5 4 7" xfId="11461" xr:uid="{2F4ABFFD-810E-4742-B26D-F65326CCF955}"/>
    <cellStyle name="Percent 4 5 4 7 2" xfId="11462" xr:uid="{28660CDB-1272-4479-8281-D0AC86990F66}"/>
    <cellStyle name="Percent 4 5 4 8" xfId="11463" xr:uid="{0ED87CC6-F435-4CA5-A870-4EFC0F2AA68D}"/>
    <cellStyle name="Percent 4 5 4 8 2" xfId="11464" xr:uid="{BCDBCC32-456B-4805-9D0D-042977C02C32}"/>
    <cellStyle name="Percent 4 5 4 9" xfId="11465" xr:uid="{45D2DC0D-C7CD-446B-ADDD-BE60F8E71FC3}"/>
    <cellStyle name="Percent 4 5 5" xfId="4759" xr:uid="{84425C2B-CE47-45E4-8102-7C81AD8D5162}"/>
    <cellStyle name="Percent 4 5 5 10" xfId="11467" xr:uid="{CD9ECF45-8ABF-420E-B401-166E651A1942}"/>
    <cellStyle name="Percent 4 5 5 11" xfId="11466" xr:uid="{5020A84F-74CA-4F68-9FCA-03A7AC65D9D1}"/>
    <cellStyle name="Percent 4 5 5 2" xfId="11468" xr:uid="{2A2B7CF8-726D-4F26-9272-5D9B7B10579B}"/>
    <cellStyle name="Percent 4 5 5 2 2" xfId="11469" xr:uid="{B58F2F23-EE53-4682-8A96-04F137604EC5}"/>
    <cellStyle name="Percent 4 5 5 2 2 2" xfId="11470" xr:uid="{F965DA7A-B9F8-422B-B046-DAADF9179EBE}"/>
    <cellStyle name="Percent 4 5 5 2 3" xfId="11471" xr:uid="{865E7F8F-8458-41A3-B304-FA9DABEE0FF9}"/>
    <cellStyle name="Percent 4 5 5 2 3 2" xfId="11472" xr:uid="{C3460D01-A078-4504-8968-F161709314EB}"/>
    <cellStyle name="Percent 4 5 5 2 4" xfId="11473" xr:uid="{ACB42DC8-A389-42C0-933E-B06ADE2AC091}"/>
    <cellStyle name="Percent 4 5 5 3" xfId="11474" xr:uid="{AE4CC08F-EEAB-48C9-B25E-03D0E2392303}"/>
    <cellStyle name="Percent 4 5 5 3 2" xfId="11475" xr:uid="{717F6E4A-8E2E-4946-96EB-E7598A476B2E}"/>
    <cellStyle name="Percent 4 5 5 3 2 2" xfId="11476" xr:uid="{2997FD72-0C5A-4406-9E55-00B41EB2DEB4}"/>
    <cellStyle name="Percent 4 5 5 3 3" xfId="11477" xr:uid="{CD2AC6C6-B7A4-4F63-A17A-4EEDB52BDA94}"/>
    <cellStyle name="Percent 4 5 5 3 3 2" xfId="11478" xr:uid="{49E2F0E4-1550-45FD-9322-7269B75D3DE6}"/>
    <cellStyle name="Percent 4 5 5 3 4" xfId="11479" xr:uid="{A6133D81-CDD4-407D-84F2-2B03006CF213}"/>
    <cellStyle name="Percent 4 5 5 4" xfId="11480" xr:uid="{CB4273C5-BDC8-46BE-8159-E30CC69708F9}"/>
    <cellStyle name="Percent 4 5 5 4 2" xfId="11481" xr:uid="{320733E1-177B-4C62-B7DC-0F63B80E723F}"/>
    <cellStyle name="Percent 4 5 5 4 2 2" xfId="11482" xr:uid="{3E3D21D8-B5B7-4D0B-AC44-8014F787A2B3}"/>
    <cellStyle name="Percent 4 5 5 4 3" xfId="11483" xr:uid="{65EA731C-C666-4150-ACE4-393B8D275507}"/>
    <cellStyle name="Percent 4 5 5 4 3 2" xfId="11484" xr:uid="{FC1EB30C-74DC-41F2-AFD4-3E12120ECAB9}"/>
    <cellStyle name="Percent 4 5 5 4 4" xfId="11485" xr:uid="{6204CDE7-7B6B-4BEF-ABB3-932208586000}"/>
    <cellStyle name="Percent 4 5 5 4 4 2" xfId="11486" xr:uid="{304EFBE3-2241-42DD-9278-E0C9E329EA06}"/>
    <cellStyle name="Percent 4 5 5 4 5" xfId="11487" xr:uid="{05D20179-F64C-4EAD-9BF7-F9AD87237A18}"/>
    <cellStyle name="Percent 4 5 5 5" xfId="11488" xr:uid="{619C6FE4-5D18-48F2-B141-6F254B9E9985}"/>
    <cellStyle name="Percent 4 5 5 5 2" xfId="11489" xr:uid="{89EEB6BF-C7E0-456E-90A2-8D117817F982}"/>
    <cellStyle name="Percent 4 5 5 5 2 2" xfId="11490" xr:uid="{7D58F07B-676F-42B6-B5C4-C43A4E496F80}"/>
    <cellStyle name="Percent 4 5 5 5 3" xfId="11491" xr:uid="{187C7D9B-A40A-45F0-A303-47B5C2B17811}"/>
    <cellStyle name="Percent 4 5 5 5 3 2" xfId="11492" xr:uid="{AD8B8F63-EB5B-4BBA-A664-8E6A06D10152}"/>
    <cellStyle name="Percent 4 5 5 5 4" xfId="11493" xr:uid="{1FBFEBF8-E2A5-4B69-B628-A51E2098A838}"/>
    <cellStyle name="Percent 4 5 5 6" xfId="11494" xr:uid="{255D3263-5A2A-4945-9B6E-B9B32147B17D}"/>
    <cellStyle name="Percent 4 5 5 6 2" xfId="11495" xr:uid="{60DCB2C3-1690-4D10-A0CC-BCE32B09908A}"/>
    <cellStyle name="Percent 4 5 5 7" xfId="11496" xr:uid="{CD7A2E83-4F6E-4828-8CD3-EB6959B9B923}"/>
    <cellStyle name="Percent 4 5 5 7 2" xfId="11497" xr:uid="{9A308524-3885-4B21-820A-E8E97C00964E}"/>
    <cellStyle name="Percent 4 5 5 8" xfId="11498" xr:uid="{2A1F4432-0B00-43A8-9296-3E264DEA7983}"/>
    <cellStyle name="Percent 4 5 5 8 2" xfId="11499" xr:uid="{DD8F81A1-92F0-4BC6-BF0D-DB920B25A6A8}"/>
    <cellStyle name="Percent 4 5 5 9" xfId="11500" xr:uid="{303A829B-D492-4D58-91A9-60058DEEFE82}"/>
    <cellStyle name="Percent 4 5 6" xfId="4760" xr:uid="{CF895086-3866-4739-B7AC-CA550150E32C}"/>
    <cellStyle name="Percent 4 5 6 10" xfId="11502" xr:uid="{8BF7D351-2525-4DBD-BAA9-6FDD08605B88}"/>
    <cellStyle name="Percent 4 5 6 11" xfId="11501" xr:uid="{B22A378B-BBAF-4FB7-A6B6-0A68EAC6A492}"/>
    <cellStyle name="Percent 4 5 6 2" xfId="11503" xr:uid="{42CAC840-8D63-45F3-B431-1D1188D931DD}"/>
    <cellStyle name="Percent 4 5 6 2 2" xfId="11504" xr:uid="{DB52A267-1829-4421-B917-FC99FA76E549}"/>
    <cellStyle name="Percent 4 5 6 2 2 2" xfId="11505" xr:uid="{3D0BBD99-750D-42A2-AA82-7F8F62EFCC9A}"/>
    <cellStyle name="Percent 4 5 6 2 3" xfId="11506" xr:uid="{5944DE52-60B9-4670-A51D-45BE7A6EA796}"/>
    <cellStyle name="Percent 4 5 6 2 3 2" xfId="11507" xr:uid="{37FAA731-8805-4518-9DBB-9EA77325B4B4}"/>
    <cellStyle name="Percent 4 5 6 2 4" xfId="11508" xr:uid="{9FEEEA23-82E0-4072-ADC4-E1F9E7562287}"/>
    <cellStyle name="Percent 4 5 6 3" xfId="11509" xr:uid="{5ECD9359-760E-49DA-BA7B-16F10A00C405}"/>
    <cellStyle name="Percent 4 5 6 3 2" xfId="11510" xr:uid="{D30BE692-2907-4B9B-BEFB-AF071B6837A9}"/>
    <cellStyle name="Percent 4 5 6 3 2 2" xfId="11511" xr:uid="{096DB031-94B0-4A6F-9603-306CB6A875AA}"/>
    <cellStyle name="Percent 4 5 6 3 3" xfId="11512" xr:uid="{B13813FD-557C-4C0B-B990-7DF2D7909303}"/>
    <cellStyle name="Percent 4 5 6 3 3 2" xfId="11513" xr:uid="{94D5F845-26F5-4CFA-A56A-84B9019001E9}"/>
    <cellStyle name="Percent 4 5 6 3 4" xfId="11514" xr:uid="{E6EE2EBB-A8BB-4839-970B-BF2A4595CBD4}"/>
    <cellStyle name="Percent 4 5 6 4" xfId="11515" xr:uid="{BBE8EA0B-283E-468E-BCDA-2BFE4C3CF606}"/>
    <cellStyle name="Percent 4 5 6 4 2" xfId="11516" xr:uid="{C603F509-8C58-4482-880E-0B5848BD8C3F}"/>
    <cellStyle name="Percent 4 5 6 4 2 2" xfId="11517" xr:uid="{E58F5EA9-414C-412A-8CE0-5A472207E13E}"/>
    <cellStyle name="Percent 4 5 6 4 3" xfId="11518" xr:uid="{3C4F7C83-F158-4D12-8721-D21B5A09BC58}"/>
    <cellStyle name="Percent 4 5 6 4 3 2" xfId="11519" xr:uid="{C4BF7AA1-4AB9-4219-850E-6C7A7DF5DDD9}"/>
    <cellStyle name="Percent 4 5 6 4 4" xfId="11520" xr:uid="{182157D6-9471-428A-B3E6-506EFCB0FDE5}"/>
    <cellStyle name="Percent 4 5 6 4 4 2" xfId="11521" xr:uid="{9A91D705-4B9B-4D9B-914C-3F9B089724C1}"/>
    <cellStyle name="Percent 4 5 6 4 5" xfId="11522" xr:uid="{9CE51F27-CF1D-4985-9BB9-8DFAB4E5FC1B}"/>
    <cellStyle name="Percent 4 5 6 5" xfId="11523" xr:uid="{F7475EE2-1000-4002-82D6-CFE1A3D9D7EA}"/>
    <cellStyle name="Percent 4 5 6 5 2" xfId="11524" xr:uid="{20472702-4D98-4524-B66C-5036B1EF6833}"/>
    <cellStyle name="Percent 4 5 6 5 2 2" xfId="11525" xr:uid="{1E740901-71B1-430D-958A-68B9DD84961A}"/>
    <cellStyle name="Percent 4 5 6 5 3" xfId="11526" xr:uid="{D24FCEAE-DB6F-44CA-940F-DF7779DCF815}"/>
    <cellStyle name="Percent 4 5 6 5 3 2" xfId="11527" xr:uid="{7759086D-11CC-4875-B2DB-E31EFB75AB3E}"/>
    <cellStyle name="Percent 4 5 6 5 4" xfId="11528" xr:uid="{366B82FA-857F-4A3C-943C-4CACEA61573B}"/>
    <cellStyle name="Percent 4 5 6 6" xfId="11529" xr:uid="{1B223C64-D24C-4A74-93F9-A233A96ACC66}"/>
    <cellStyle name="Percent 4 5 6 6 2" xfId="11530" xr:uid="{FC3762ED-935E-4142-8CCC-E2939952FD0D}"/>
    <cellStyle name="Percent 4 5 6 7" xfId="11531" xr:uid="{738F3373-40A5-4430-877D-EFCF9FD5DAEB}"/>
    <cellStyle name="Percent 4 5 6 7 2" xfId="11532" xr:uid="{325C30BD-49EE-4887-B8AF-489CAB555856}"/>
    <cellStyle name="Percent 4 5 6 8" xfId="11533" xr:uid="{EE28B8C6-213E-43DD-BFE3-DE66BE55589A}"/>
    <cellStyle name="Percent 4 5 6 8 2" xfId="11534" xr:uid="{99398A01-C274-48E2-A1F4-412A86B1F3AA}"/>
    <cellStyle name="Percent 4 5 6 9" xfId="11535" xr:uid="{D66556B0-F771-4D43-9D44-A7F922B8518B}"/>
    <cellStyle name="Percent 4 5 7" xfId="4761" xr:uid="{8D0DAD31-C171-48B5-B8BA-EBEE1009F9CE}"/>
    <cellStyle name="Percent 4 5 7 10" xfId="11537" xr:uid="{D4ECB3E4-7FA1-4E3B-BBE0-0B64BA8768F2}"/>
    <cellStyle name="Percent 4 5 7 11" xfId="11536" xr:uid="{E2EDA0A1-CCF9-4670-948F-277DE5CA7FF4}"/>
    <cellStyle name="Percent 4 5 7 2" xfId="11538" xr:uid="{8AC07F9A-E7B0-45C9-8241-6FE55320E0E9}"/>
    <cellStyle name="Percent 4 5 7 2 2" xfId="11539" xr:uid="{F99305BF-D709-4729-965F-5B969185383B}"/>
    <cellStyle name="Percent 4 5 7 2 2 2" xfId="11540" xr:uid="{F478CBE3-FD48-481D-8721-841CAB49FBBC}"/>
    <cellStyle name="Percent 4 5 7 2 3" xfId="11541" xr:uid="{768DB04E-6542-4C6A-966B-F0FE70F62AC6}"/>
    <cellStyle name="Percent 4 5 7 2 3 2" xfId="11542" xr:uid="{E43DA38E-149D-47DA-9DD4-A0FF50FFFAB5}"/>
    <cellStyle name="Percent 4 5 7 2 4" xfId="11543" xr:uid="{D43609CD-3902-4203-865B-7C8D84E6E454}"/>
    <cellStyle name="Percent 4 5 7 3" xfId="11544" xr:uid="{6DDFD732-086E-4444-9F47-23CE67662A4E}"/>
    <cellStyle name="Percent 4 5 7 3 2" xfId="11545" xr:uid="{441CB074-BA43-4964-A609-3B7983A53A4A}"/>
    <cellStyle name="Percent 4 5 7 3 2 2" xfId="11546" xr:uid="{DA294463-DC56-4890-A9ED-170339B08665}"/>
    <cellStyle name="Percent 4 5 7 3 3" xfId="11547" xr:uid="{E1B006A1-679C-4880-AD6C-6402053FACBF}"/>
    <cellStyle name="Percent 4 5 7 3 3 2" xfId="11548" xr:uid="{38AC9EB2-A80E-4E24-9713-40A04B5E97AC}"/>
    <cellStyle name="Percent 4 5 7 3 4" xfId="11549" xr:uid="{16645586-3EA1-4E29-8F2D-18C293368D4A}"/>
    <cellStyle name="Percent 4 5 7 4" xfId="11550" xr:uid="{BDADC4A5-76E9-4885-B949-30E24A4B1B62}"/>
    <cellStyle name="Percent 4 5 7 4 2" xfId="11551" xr:uid="{0F28835E-F3D2-44F4-B22A-5AFF74A7C154}"/>
    <cellStyle name="Percent 4 5 7 4 2 2" xfId="11552" xr:uid="{52C8031B-353B-4CF2-8FFB-62ADB342AB94}"/>
    <cellStyle name="Percent 4 5 7 4 3" xfId="11553" xr:uid="{FD4C0438-37CA-47D0-8981-7E39A4504B3B}"/>
    <cellStyle name="Percent 4 5 7 4 3 2" xfId="11554" xr:uid="{CEEA6423-BC8F-436D-9AA8-74F6677477A3}"/>
    <cellStyle name="Percent 4 5 7 4 4" xfId="11555" xr:uid="{92C586DF-0AD8-4515-81D6-C216FC54C0C1}"/>
    <cellStyle name="Percent 4 5 7 4 4 2" xfId="11556" xr:uid="{BDA7A03D-F85F-4308-AF67-18A14D10B481}"/>
    <cellStyle name="Percent 4 5 7 4 5" xfId="11557" xr:uid="{97E285AD-BD74-46CC-8488-2C42EB0D2658}"/>
    <cellStyle name="Percent 4 5 7 5" xfId="11558" xr:uid="{84FD8049-4DCD-4687-924D-B89C70CA9831}"/>
    <cellStyle name="Percent 4 5 7 5 2" xfId="11559" xr:uid="{522495C2-0F8D-4EE5-8973-682B3A7D0421}"/>
    <cellStyle name="Percent 4 5 7 5 2 2" xfId="11560" xr:uid="{918800FD-9803-4C66-A89A-6D82A161E024}"/>
    <cellStyle name="Percent 4 5 7 5 3" xfId="11561" xr:uid="{65C1DE06-EB8A-4E94-BFE3-6549B0150589}"/>
    <cellStyle name="Percent 4 5 7 5 3 2" xfId="11562" xr:uid="{F68118E1-D5BF-453C-B4D8-69C77F13B2B9}"/>
    <cellStyle name="Percent 4 5 7 5 4" xfId="11563" xr:uid="{ECA59034-EA6D-4CCA-9FDB-C89533FAF318}"/>
    <cellStyle name="Percent 4 5 7 6" xfId="11564" xr:uid="{3FE2EF2B-B142-42B0-8192-63D8A6313B10}"/>
    <cellStyle name="Percent 4 5 7 6 2" xfId="11565" xr:uid="{342B11A0-70F8-4164-A211-C2FEB1E349B7}"/>
    <cellStyle name="Percent 4 5 7 7" xfId="11566" xr:uid="{5169C3DE-1178-4980-8069-BB64528831D9}"/>
    <cellStyle name="Percent 4 5 7 7 2" xfId="11567" xr:uid="{DFC0E050-C3B6-403A-92B8-C2863D6FA8AB}"/>
    <cellStyle name="Percent 4 5 7 8" xfId="11568" xr:uid="{72CAA0A8-66EB-45B5-B5B0-3AEA1D7A8F11}"/>
    <cellStyle name="Percent 4 5 7 8 2" xfId="11569" xr:uid="{172E1380-508F-4ACC-90BC-E2709450CFC2}"/>
    <cellStyle name="Percent 4 5 7 9" xfId="11570" xr:uid="{BE6E8A43-AC7B-41A1-B927-0204AF373837}"/>
    <cellStyle name="Percent 4 5 8" xfId="4762" xr:uid="{F1CEFA11-8652-4AEF-9910-C1807BA6CBBD}"/>
    <cellStyle name="Percent 4 5 8 10" xfId="11572" xr:uid="{1A72079B-B75D-40CB-95C3-5AB48FA8352E}"/>
    <cellStyle name="Percent 4 5 8 11" xfId="11571" xr:uid="{6BC8CBCE-8D20-4B7D-950B-E5694D12B4CF}"/>
    <cellStyle name="Percent 4 5 8 2" xfId="11573" xr:uid="{D32566F7-51D0-43F6-B218-AACE1C9A7405}"/>
    <cellStyle name="Percent 4 5 8 2 2" xfId="11574" xr:uid="{BDD8E86E-11C5-4095-9862-D77DD6716C88}"/>
    <cellStyle name="Percent 4 5 8 2 2 2" xfId="11575" xr:uid="{13C2D091-E85F-4AC2-8775-146788FDC146}"/>
    <cellStyle name="Percent 4 5 8 2 3" xfId="11576" xr:uid="{860752B6-E271-43D7-9BFC-E1D8EEB04D91}"/>
    <cellStyle name="Percent 4 5 8 2 3 2" xfId="11577" xr:uid="{CE3149CB-2518-4356-A4F1-3AF49F01842E}"/>
    <cellStyle name="Percent 4 5 8 2 4" xfId="11578" xr:uid="{D436ECCD-1E2F-495E-958E-C5F661D2F317}"/>
    <cellStyle name="Percent 4 5 8 3" xfId="11579" xr:uid="{D1CADD21-D71B-49A4-8702-45CC59BC3885}"/>
    <cellStyle name="Percent 4 5 8 3 2" xfId="11580" xr:uid="{98A4BD63-68B1-41A5-8A59-7257FA5E1A81}"/>
    <cellStyle name="Percent 4 5 8 3 2 2" xfId="11581" xr:uid="{20F33C74-174D-42D8-AF59-673F1AA617E8}"/>
    <cellStyle name="Percent 4 5 8 3 3" xfId="11582" xr:uid="{3D3BF5E4-D7D6-497F-946D-1001149CF5C4}"/>
    <cellStyle name="Percent 4 5 8 3 3 2" xfId="11583" xr:uid="{2F1B1DBD-19FE-4754-B3BC-0203F26490B8}"/>
    <cellStyle name="Percent 4 5 8 3 4" xfId="11584" xr:uid="{D401DB3E-F56A-41CD-A9FA-4740CA211722}"/>
    <cellStyle name="Percent 4 5 8 4" xfId="11585" xr:uid="{801D9C1B-2544-41AA-B882-82DB1E5F83C6}"/>
    <cellStyle name="Percent 4 5 8 4 2" xfId="11586" xr:uid="{8E5A2415-B2D8-412C-87F6-98637A1F0579}"/>
    <cellStyle name="Percent 4 5 8 4 2 2" xfId="11587" xr:uid="{4EBF43DD-A4EE-49C8-8B67-E210CA785CE2}"/>
    <cellStyle name="Percent 4 5 8 4 3" xfId="11588" xr:uid="{F4066067-CE6B-4EA4-AEF4-A04BB4D369F2}"/>
    <cellStyle name="Percent 4 5 8 4 3 2" xfId="11589" xr:uid="{3B55C3A6-DA49-45BA-99B0-F1435D1AD190}"/>
    <cellStyle name="Percent 4 5 8 4 4" xfId="11590" xr:uid="{1BD49A20-D72E-48B4-A074-BCDD4D9D5BEC}"/>
    <cellStyle name="Percent 4 5 8 4 4 2" xfId="11591" xr:uid="{D06CCB55-37B0-461F-8DDA-65A50443845E}"/>
    <cellStyle name="Percent 4 5 8 4 5" xfId="11592" xr:uid="{D8A318DA-85AF-4C75-AF62-34632363DADA}"/>
    <cellStyle name="Percent 4 5 8 5" xfId="11593" xr:uid="{6FA34980-EA24-4985-A55A-87B96DDE5F6C}"/>
    <cellStyle name="Percent 4 5 8 5 2" xfId="11594" xr:uid="{4F5A8AA0-5077-41CE-86B6-3B2D06B0D794}"/>
    <cellStyle name="Percent 4 5 8 5 2 2" xfId="11595" xr:uid="{23CACECA-C24D-4881-90E4-35DA0DF71DCE}"/>
    <cellStyle name="Percent 4 5 8 5 3" xfId="11596" xr:uid="{7887465F-A630-4F0F-9C6F-96943FE1B703}"/>
    <cellStyle name="Percent 4 5 8 5 3 2" xfId="11597" xr:uid="{B2F9CBF2-5E58-424A-812A-07552F24486A}"/>
    <cellStyle name="Percent 4 5 8 5 4" xfId="11598" xr:uid="{C2A59626-7DE8-413F-B2D3-D0793607E74D}"/>
    <cellStyle name="Percent 4 5 8 6" xfId="11599" xr:uid="{3C3E006C-84A7-420A-A90E-FA4FE80E7E33}"/>
    <cellStyle name="Percent 4 5 8 6 2" xfId="11600" xr:uid="{2C2EBB10-9E52-4C4B-9A1F-45140D69B857}"/>
    <cellStyle name="Percent 4 5 8 7" xfId="11601" xr:uid="{3C33D58D-ED3D-4756-80D5-54F54285D0A1}"/>
    <cellStyle name="Percent 4 5 8 7 2" xfId="11602" xr:uid="{0D444530-0F9C-4F7B-8AAF-74E5CB0286ED}"/>
    <cellStyle name="Percent 4 5 8 8" xfId="11603" xr:uid="{E5CDABCA-C482-4600-9B2E-AFD7FAEA93AA}"/>
    <cellStyle name="Percent 4 5 8 8 2" xfId="11604" xr:uid="{A4307146-970E-4405-B18D-7B804C10EF11}"/>
    <cellStyle name="Percent 4 5 8 9" xfId="11605" xr:uid="{58DD6FD9-C5F2-4F90-8FEE-D93CE80DE8A5}"/>
    <cellStyle name="Percent 4 5 9" xfId="11606" xr:uid="{6DF7B832-4643-4038-ACD2-9B3774C455FB}"/>
    <cellStyle name="Percent 4 5 9 2" xfId="11607" xr:uid="{8786B49D-6461-4EBE-A665-BB0613E8E208}"/>
    <cellStyle name="Percent 4 5 9 2 2" xfId="11608" xr:uid="{BF5D8951-E3DA-422B-8CDC-ABA4743D8B16}"/>
    <cellStyle name="Percent 4 5 9 3" xfId="11609" xr:uid="{D2821049-11F5-4FF4-8AE9-2AC0B14C429F}"/>
    <cellStyle name="Percent 4 5 9 3 2" xfId="11610" xr:uid="{BBAE45F1-3278-4111-91BD-0D2293636F7E}"/>
    <cellStyle name="Percent 4 5 9 4" xfId="11611" xr:uid="{9B4D5BDA-3BFF-4AD5-9613-2E7A450A4A88}"/>
    <cellStyle name="Percent 4 5 9 5" xfId="11612" xr:uid="{5E5CE42F-D326-4D1F-A7D4-8FD18E03064B}"/>
    <cellStyle name="Percent 4 6" xfId="3006" xr:uid="{AA725CD9-1D47-491B-9EEF-468C76C8975D}"/>
    <cellStyle name="Percent 4 6 10" xfId="11614" xr:uid="{29B1C926-55B7-4ED2-9972-87451494C06A}"/>
    <cellStyle name="Percent 4 6 10 2" xfId="11615" xr:uid="{E9ABDEB3-7C8A-412A-B138-002E41207826}"/>
    <cellStyle name="Percent 4 6 10 2 2" xfId="11616" xr:uid="{D5DD0A9B-A4ED-4E61-89B6-1248FD8F4858}"/>
    <cellStyle name="Percent 4 6 10 3" xfId="11617" xr:uid="{91A7DACF-EF0B-4797-BE31-013D622593EA}"/>
    <cellStyle name="Percent 4 6 10 3 2" xfId="11618" xr:uid="{FE509ED6-538F-4CEF-99C7-D20B974B52C7}"/>
    <cellStyle name="Percent 4 6 10 4" xfId="11619" xr:uid="{020C01CB-B312-4973-801D-96BFADE0F841}"/>
    <cellStyle name="Percent 4 6 11" xfId="11620" xr:uid="{3379EACE-02F7-49F9-879A-4D7B1AE4FBCC}"/>
    <cellStyle name="Percent 4 6 11 2" xfId="11621" xr:uid="{8B5E9375-D1AC-42D5-BB1D-9893879AFE47}"/>
    <cellStyle name="Percent 4 6 11 2 2" xfId="11622" xr:uid="{FA0F9B70-021F-4D64-BBC5-4BB6C6461991}"/>
    <cellStyle name="Percent 4 6 11 3" xfId="11623" xr:uid="{B273342A-E2D6-4952-97CB-F4B701E330D7}"/>
    <cellStyle name="Percent 4 6 11 3 2" xfId="11624" xr:uid="{8AAB2076-CB8F-43FE-81CA-AAF2C8AEB017}"/>
    <cellStyle name="Percent 4 6 11 4" xfId="11625" xr:uid="{A7B50C15-F8D4-4EB1-A2BD-3B56C4718FC5}"/>
    <cellStyle name="Percent 4 6 12" xfId="11626" xr:uid="{AC976063-83B3-4FB1-8803-A77841490EA4}"/>
    <cellStyle name="Percent 4 6 12 2" xfId="11627" xr:uid="{24172AF5-4837-426B-8ABB-A3BCE26B76E8}"/>
    <cellStyle name="Percent 4 6 12 2 2" xfId="11628" xr:uid="{4D803CC4-76B3-465C-A72C-01DDB63727B1}"/>
    <cellStyle name="Percent 4 6 12 3" xfId="11629" xr:uid="{833638F6-FC89-49A1-BABB-7F06EC4D799F}"/>
    <cellStyle name="Percent 4 6 12 3 2" xfId="11630" xr:uid="{658DA7F2-74A6-44AB-9C09-803235F432EF}"/>
    <cellStyle name="Percent 4 6 12 4" xfId="11631" xr:uid="{35BE9805-5D84-4491-B657-7442FB27098A}"/>
    <cellStyle name="Percent 4 6 12 4 2" xfId="11632" xr:uid="{16E87B50-984D-4882-9BCD-A346ADE21FDE}"/>
    <cellStyle name="Percent 4 6 12 5" xfId="11633" xr:uid="{EF18A76E-34B1-4D17-8710-36D6E62FE60B}"/>
    <cellStyle name="Percent 4 6 13" xfId="11634" xr:uid="{31DD4341-8B4D-474A-B590-E353B3AF23EE}"/>
    <cellStyle name="Percent 4 6 13 2" xfId="11635" xr:uid="{8BA1072B-159A-4F6C-9EB5-39866E6663D9}"/>
    <cellStyle name="Percent 4 6 13 2 2" xfId="11636" xr:uid="{E46EF3C6-D34E-4BF5-9499-FA6107253F1E}"/>
    <cellStyle name="Percent 4 6 13 3" xfId="11637" xr:uid="{006C61F8-C25B-4048-9912-8AE2A1A2C31A}"/>
    <cellStyle name="Percent 4 6 13 3 2" xfId="11638" xr:uid="{75908B4B-D575-4F55-AD93-144479434772}"/>
    <cellStyle name="Percent 4 6 13 4" xfId="11639" xr:uid="{7D0ADEFE-CB1B-4DD4-856C-E156C7F5E57A}"/>
    <cellStyle name="Percent 4 6 14" xfId="11640" xr:uid="{E796CEC6-2630-4C57-99AE-21182EE8FE6E}"/>
    <cellStyle name="Percent 4 6 14 2" xfId="11641" xr:uid="{B0D7C634-33BF-484F-980D-491FB7570691}"/>
    <cellStyle name="Percent 4 6 15" xfId="11642" xr:uid="{5954D481-79DF-4542-98E2-68C309336510}"/>
    <cellStyle name="Percent 4 6 15 2" xfId="11643" xr:uid="{28DC3E2D-D60A-4FAC-8099-C65DD80A1491}"/>
    <cellStyle name="Percent 4 6 16" xfId="11644" xr:uid="{AC6D0628-80A4-41F6-877D-1D59BD44DF02}"/>
    <cellStyle name="Percent 4 6 16 2" xfId="11645" xr:uid="{BD2A0D21-5D54-4E2C-A2ED-DC145C2B6D52}"/>
    <cellStyle name="Percent 4 6 17" xfId="11646" xr:uid="{FA97126E-4BB0-445C-B672-CEDF21BFECA0}"/>
    <cellStyle name="Percent 4 6 18" xfId="11647" xr:uid="{7E35EE39-C069-49E6-9BE1-0110B5535A16}"/>
    <cellStyle name="Percent 4 6 19" xfId="11613" xr:uid="{CB50EDD3-A648-438F-AB2F-3FA6B2E787F3}"/>
    <cellStyle name="Percent 4 6 2" xfId="4763" xr:uid="{33792C6F-F28D-4DC8-BDA5-43DA80A80034}"/>
    <cellStyle name="Percent 4 6 2 10" xfId="11649" xr:uid="{9B991344-2D12-4540-9054-012D415CBEB2}"/>
    <cellStyle name="Percent 4 6 2 11" xfId="11648" xr:uid="{627F981F-B463-4299-AB3A-93C59F4983F5}"/>
    <cellStyle name="Percent 4 6 2 2" xfId="11650" xr:uid="{59D82171-F12D-46AF-B7FB-9E54813BA3FF}"/>
    <cellStyle name="Percent 4 6 2 2 2" xfId="11651" xr:uid="{F6106FDC-7361-4629-84FA-C59C1B7D4261}"/>
    <cellStyle name="Percent 4 6 2 2 2 2" xfId="11652" xr:uid="{E95FAD60-4B0E-4FFE-A464-A746BF9B46FF}"/>
    <cellStyle name="Percent 4 6 2 2 3" xfId="11653" xr:uid="{6AE19654-8524-4BCA-AD72-A99F84E7CF9F}"/>
    <cellStyle name="Percent 4 6 2 2 3 2" xfId="11654" xr:uid="{27D1D827-FE3E-4B6B-BD8C-0D43739015B7}"/>
    <cellStyle name="Percent 4 6 2 2 4" xfId="11655" xr:uid="{9BBABD5D-418B-467B-B796-68ED531F94E6}"/>
    <cellStyle name="Percent 4 6 2 3" xfId="11656" xr:uid="{59E561D1-1048-4F49-BD00-B91F6074BBE0}"/>
    <cellStyle name="Percent 4 6 2 3 2" xfId="11657" xr:uid="{2175389F-82AE-4C42-A74B-C35775CDBC56}"/>
    <cellStyle name="Percent 4 6 2 3 2 2" xfId="11658" xr:uid="{A34D9732-6CA3-437E-856A-0D2BFEF0D6BA}"/>
    <cellStyle name="Percent 4 6 2 3 3" xfId="11659" xr:uid="{E7504FCC-BDDD-4DC3-BC22-BC2AAF42444A}"/>
    <cellStyle name="Percent 4 6 2 3 3 2" xfId="11660" xr:uid="{0AF351F5-AF99-4AA2-837A-EB5F4AD02FA4}"/>
    <cellStyle name="Percent 4 6 2 3 4" xfId="11661" xr:uid="{758CBC72-B270-4298-9340-E8041F5EC0B1}"/>
    <cellStyle name="Percent 4 6 2 4" xfId="11662" xr:uid="{16AD5B60-7F58-41C8-9A92-C0FEC0BE92CB}"/>
    <cellStyle name="Percent 4 6 2 4 2" xfId="11663" xr:uid="{7CC47969-CEF9-4218-9740-7DADE247840D}"/>
    <cellStyle name="Percent 4 6 2 4 2 2" xfId="11664" xr:uid="{B83D7107-2F5A-49D1-9B33-0351A04D7051}"/>
    <cellStyle name="Percent 4 6 2 4 3" xfId="11665" xr:uid="{C6CF4DF7-529D-448E-BB29-5BC182AC6579}"/>
    <cellStyle name="Percent 4 6 2 4 3 2" xfId="11666" xr:uid="{1B3B3C75-0EDC-4587-BE8F-53BD65B7E3B4}"/>
    <cellStyle name="Percent 4 6 2 4 4" xfId="11667" xr:uid="{99B442F5-6740-4208-ACEA-1BFB73ED6C5F}"/>
    <cellStyle name="Percent 4 6 2 4 4 2" xfId="11668" xr:uid="{BAD284B6-A070-4ADF-A094-E6021142CD07}"/>
    <cellStyle name="Percent 4 6 2 4 5" xfId="11669" xr:uid="{A5609DCC-8FBB-488A-8665-05BFF761DA6E}"/>
    <cellStyle name="Percent 4 6 2 5" xfId="11670" xr:uid="{643EC8A7-E74F-4C4B-B9CC-76B7D770DD6F}"/>
    <cellStyle name="Percent 4 6 2 5 2" xfId="11671" xr:uid="{7F2F5BE4-4FBC-4011-BE82-EBF6337C078B}"/>
    <cellStyle name="Percent 4 6 2 5 2 2" xfId="11672" xr:uid="{81D82850-5C40-4599-B715-2E8D8724C826}"/>
    <cellStyle name="Percent 4 6 2 5 3" xfId="11673" xr:uid="{0B973458-E9EE-458F-9C10-4F2E374B9EE4}"/>
    <cellStyle name="Percent 4 6 2 5 3 2" xfId="11674" xr:uid="{D14569FF-4DBF-453C-9B97-2C3D5C1619B1}"/>
    <cellStyle name="Percent 4 6 2 5 4" xfId="11675" xr:uid="{29D1CEB6-F2BD-44E1-9282-2158091C43C3}"/>
    <cellStyle name="Percent 4 6 2 6" xfId="11676" xr:uid="{1A88B7A7-0239-4DB5-AC38-A6201F10D8AD}"/>
    <cellStyle name="Percent 4 6 2 6 2" xfId="11677" xr:uid="{330F8FEC-B228-411B-B85C-74317573A115}"/>
    <cellStyle name="Percent 4 6 2 7" xfId="11678" xr:uid="{17312C6E-092E-46AB-9B5D-D61AD7514261}"/>
    <cellStyle name="Percent 4 6 2 7 2" xfId="11679" xr:uid="{6C62A99D-C954-4B13-9299-E883A950941B}"/>
    <cellStyle name="Percent 4 6 2 8" xfId="11680" xr:uid="{B42FDFB4-5F91-4D8F-A2BD-A4C8C4B9C4BA}"/>
    <cellStyle name="Percent 4 6 2 8 2" xfId="11681" xr:uid="{DD8253C7-0DD7-4D88-B68E-5D12947AED94}"/>
    <cellStyle name="Percent 4 6 2 9" xfId="11682" xr:uid="{5FDDA3DB-3B0D-4956-B0B4-3E0516AFD3CD}"/>
    <cellStyle name="Percent 4 6 3" xfId="4764" xr:uid="{5E06DFC6-3256-4BE8-8229-F1D45B0FF3A2}"/>
    <cellStyle name="Percent 4 6 3 10" xfId="11684" xr:uid="{4FC5AB1F-6D27-4887-A1B7-DF2D0FFEF0F9}"/>
    <cellStyle name="Percent 4 6 3 11" xfId="11683" xr:uid="{71F9FCDE-1243-4198-BF76-82B136121A17}"/>
    <cellStyle name="Percent 4 6 3 2" xfId="11685" xr:uid="{5A06DA44-598B-4A61-B401-43BA1E24FC50}"/>
    <cellStyle name="Percent 4 6 3 2 2" xfId="11686" xr:uid="{01C36BDC-E6C1-4B3F-944F-F103E2198970}"/>
    <cellStyle name="Percent 4 6 3 2 2 2" xfId="11687" xr:uid="{EBAC3C72-9F9D-4DB1-B168-09D9C6AF0451}"/>
    <cellStyle name="Percent 4 6 3 2 3" xfId="11688" xr:uid="{EBF39A34-A00D-4EB6-9076-C5AA032477A0}"/>
    <cellStyle name="Percent 4 6 3 2 3 2" xfId="11689" xr:uid="{6A37CA2E-D83F-459E-812E-697E798171BF}"/>
    <cellStyle name="Percent 4 6 3 2 4" xfId="11690" xr:uid="{F335AFDD-B68F-4F39-8180-AF31C54B7C48}"/>
    <cellStyle name="Percent 4 6 3 3" xfId="11691" xr:uid="{DAE5C92E-6D63-4FD1-882E-E8B17A32F2B0}"/>
    <cellStyle name="Percent 4 6 3 3 2" xfId="11692" xr:uid="{BA9A0FC1-A6DC-4F93-A35E-CC3B758F2076}"/>
    <cellStyle name="Percent 4 6 3 3 2 2" xfId="11693" xr:uid="{E96D80AD-F9D4-450B-A8E2-DD8A14D711EA}"/>
    <cellStyle name="Percent 4 6 3 3 3" xfId="11694" xr:uid="{35120520-13F5-49CA-9953-9876DBE84C8D}"/>
    <cellStyle name="Percent 4 6 3 3 3 2" xfId="11695" xr:uid="{E67A2AE5-28AC-4D74-8889-8AF582BB37B4}"/>
    <cellStyle name="Percent 4 6 3 3 4" xfId="11696" xr:uid="{CC37581C-1D56-4285-AFD0-834F9D1F37CE}"/>
    <cellStyle name="Percent 4 6 3 4" xfId="11697" xr:uid="{1BE58FBF-B25F-47DD-A4E8-2A99C2D5682F}"/>
    <cellStyle name="Percent 4 6 3 4 2" xfId="11698" xr:uid="{A0BC220D-4626-4F42-A40F-BFB0B8B62844}"/>
    <cellStyle name="Percent 4 6 3 4 2 2" xfId="11699" xr:uid="{57A80D0E-31DD-4FC1-B27F-00C2E8F34967}"/>
    <cellStyle name="Percent 4 6 3 4 3" xfId="11700" xr:uid="{82A61D7B-3CCC-427B-922C-CE66D7198385}"/>
    <cellStyle name="Percent 4 6 3 4 3 2" xfId="11701" xr:uid="{CFB8E01A-B688-45DE-9D1C-24344B44D745}"/>
    <cellStyle name="Percent 4 6 3 4 4" xfId="11702" xr:uid="{9450B2C8-AE61-44EB-B01F-0ACFD8ED6F51}"/>
    <cellStyle name="Percent 4 6 3 4 4 2" xfId="11703" xr:uid="{BDC2E112-EDDF-4C98-8AC6-274A7FCA6170}"/>
    <cellStyle name="Percent 4 6 3 4 5" xfId="11704" xr:uid="{D0EE1C23-A28A-46BA-8D38-463C051BC601}"/>
    <cellStyle name="Percent 4 6 3 5" xfId="11705" xr:uid="{4EE82B66-7C11-4831-90C0-2AADBB81182A}"/>
    <cellStyle name="Percent 4 6 3 5 2" xfId="11706" xr:uid="{33FE263D-6401-41B3-8A5D-59C729D6F735}"/>
    <cellStyle name="Percent 4 6 3 5 2 2" xfId="11707" xr:uid="{FB6CA07A-0DAE-4E72-9D9F-4622DA9CB9CD}"/>
    <cellStyle name="Percent 4 6 3 5 3" xfId="11708" xr:uid="{E85C95A0-0D2A-4F4F-BB24-600058AC961A}"/>
    <cellStyle name="Percent 4 6 3 5 3 2" xfId="11709" xr:uid="{E841BFCA-CC3A-41BF-ACF2-B6220C688272}"/>
    <cellStyle name="Percent 4 6 3 5 4" xfId="11710" xr:uid="{52A1FA9B-1487-4393-9B0A-8E1DBE60AD6E}"/>
    <cellStyle name="Percent 4 6 3 6" xfId="11711" xr:uid="{7295AB1E-9384-4424-ACBA-327747F8A4E6}"/>
    <cellStyle name="Percent 4 6 3 6 2" xfId="11712" xr:uid="{831CAE27-CF1E-4926-B26A-D982C5256D08}"/>
    <cellStyle name="Percent 4 6 3 7" xfId="11713" xr:uid="{C5AC8147-9A6C-4A96-92FB-F9B8FBFF0B49}"/>
    <cellStyle name="Percent 4 6 3 7 2" xfId="11714" xr:uid="{C9C90895-A985-47E7-A75A-7CFC6AD1118F}"/>
    <cellStyle name="Percent 4 6 3 8" xfId="11715" xr:uid="{C43A1E95-ACB6-46F9-907F-1941C3E8983E}"/>
    <cellStyle name="Percent 4 6 3 8 2" xfId="11716" xr:uid="{20D18AFC-68FE-4BEB-8AE8-56E0CEBE4FB3}"/>
    <cellStyle name="Percent 4 6 3 9" xfId="11717" xr:uid="{AA8A72FB-FA7B-42FE-854C-80206D74BF12}"/>
    <cellStyle name="Percent 4 6 4" xfId="4765" xr:uid="{73E92EA4-C97B-4A52-BA61-C63BA9DC4914}"/>
    <cellStyle name="Percent 4 6 4 10" xfId="11719" xr:uid="{BEAA13E6-0FB3-47EB-89BF-EB750F779110}"/>
    <cellStyle name="Percent 4 6 4 11" xfId="11718" xr:uid="{71BA83D9-357C-43C2-9D23-C710F68A2985}"/>
    <cellStyle name="Percent 4 6 4 2" xfId="11720" xr:uid="{6521EADB-0BBA-46F4-8521-2BF447F0DE42}"/>
    <cellStyle name="Percent 4 6 4 2 2" xfId="11721" xr:uid="{9FC5F3C2-AA81-4714-9375-0DC55BF6E575}"/>
    <cellStyle name="Percent 4 6 4 2 2 2" xfId="11722" xr:uid="{3A125C55-8D45-473D-B342-6B29EB9E7035}"/>
    <cellStyle name="Percent 4 6 4 2 3" xfId="11723" xr:uid="{8A407C51-94F4-435E-B45C-18C8A71F252F}"/>
    <cellStyle name="Percent 4 6 4 2 3 2" xfId="11724" xr:uid="{51CDA4B2-6BDF-468F-BD5D-A66B4A2B2E98}"/>
    <cellStyle name="Percent 4 6 4 2 4" xfId="11725" xr:uid="{A8B561F9-8192-4641-BF72-64215BFCA57C}"/>
    <cellStyle name="Percent 4 6 4 3" xfId="11726" xr:uid="{4589AF3D-F31B-48AE-B112-8071D7CBC5F5}"/>
    <cellStyle name="Percent 4 6 4 3 2" xfId="11727" xr:uid="{7602DABC-FE27-4DF7-8072-F2D484A87DCA}"/>
    <cellStyle name="Percent 4 6 4 3 2 2" xfId="11728" xr:uid="{337D10E0-4E6D-486F-81D7-2E6AF1462C9A}"/>
    <cellStyle name="Percent 4 6 4 3 3" xfId="11729" xr:uid="{B4E23E48-6C7B-4B59-8946-5DF02755B03B}"/>
    <cellStyle name="Percent 4 6 4 3 3 2" xfId="11730" xr:uid="{8A5EEAA2-C5EB-4C94-8D40-DAB63F3E320C}"/>
    <cellStyle name="Percent 4 6 4 3 4" xfId="11731" xr:uid="{04983430-0543-4FDC-BA13-14CC1694BB20}"/>
    <cellStyle name="Percent 4 6 4 4" xfId="11732" xr:uid="{B5CFEBE2-2002-4863-8A51-3F76F24FF4F4}"/>
    <cellStyle name="Percent 4 6 4 4 2" xfId="11733" xr:uid="{F5C9210B-6F99-42E3-959D-4765746E1278}"/>
    <cellStyle name="Percent 4 6 4 4 2 2" xfId="11734" xr:uid="{231ABED7-2CEF-4593-8F41-5948C0B99FD4}"/>
    <cellStyle name="Percent 4 6 4 4 3" xfId="11735" xr:uid="{7B6DBB29-9D17-4785-A750-9BEC474EA11D}"/>
    <cellStyle name="Percent 4 6 4 4 3 2" xfId="11736" xr:uid="{E342E4D7-592B-4FA5-BA9F-8F520EA4A6C5}"/>
    <cellStyle name="Percent 4 6 4 4 4" xfId="11737" xr:uid="{CE43904E-A278-4D32-B299-2E1C4AFC7F20}"/>
    <cellStyle name="Percent 4 6 4 4 4 2" xfId="11738" xr:uid="{6DF4A3C7-238B-4CFF-8D89-0C794BCD1E7B}"/>
    <cellStyle name="Percent 4 6 4 4 5" xfId="11739" xr:uid="{A85939C0-5AF6-484C-9C90-608D0D0F51AB}"/>
    <cellStyle name="Percent 4 6 4 5" xfId="11740" xr:uid="{0155A0D2-3AEB-4D5A-BF03-30D453F13EFF}"/>
    <cellStyle name="Percent 4 6 4 5 2" xfId="11741" xr:uid="{5B391ED3-FBC1-4E02-8FAD-90C48194B31F}"/>
    <cellStyle name="Percent 4 6 4 5 2 2" xfId="11742" xr:uid="{96BFDCE4-1AFD-4D05-9CA8-626F39A5610E}"/>
    <cellStyle name="Percent 4 6 4 5 3" xfId="11743" xr:uid="{65B4BD79-0F93-4C26-91F8-6CB84A7C0C94}"/>
    <cellStyle name="Percent 4 6 4 5 3 2" xfId="11744" xr:uid="{FB9FED90-CBE0-46F0-B14F-89AEA96FEF53}"/>
    <cellStyle name="Percent 4 6 4 5 4" xfId="11745" xr:uid="{FDAF1049-CA6D-490E-83A4-C3D4D9282FEB}"/>
    <cellStyle name="Percent 4 6 4 6" xfId="11746" xr:uid="{4BC5B92A-B80F-4390-8CA0-202E9CA312CB}"/>
    <cellStyle name="Percent 4 6 4 6 2" xfId="11747" xr:uid="{8ACEE839-D49B-47DF-A06A-E2CF5087E7C4}"/>
    <cellStyle name="Percent 4 6 4 7" xfId="11748" xr:uid="{7DEC1722-C575-4332-851F-1DC69EFC74DD}"/>
    <cellStyle name="Percent 4 6 4 7 2" xfId="11749" xr:uid="{DD257F75-7C08-4D72-9E92-1EC80A1922A4}"/>
    <cellStyle name="Percent 4 6 4 8" xfId="11750" xr:uid="{54702592-F417-49E5-80E0-BF7BDF1176BF}"/>
    <cellStyle name="Percent 4 6 4 8 2" xfId="11751" xr:uid="{1E118D7E-2089-4570-AA6D-86A10DB86185}"/>
    <cellStyle name="Percent 4 6 4 9" xfId="11752" xr:uid="{39B90257-5DD2-45CE-B8FC-A7DA970EB81D}"/>
    <cellStyle name="Percent 4 6 5" xfId="4766" xr:uid="{CBE21995-9BF6-45D5-AEE1-85FE950D3750}"/>
    <cellStyle name="Percent 4 6 5 10" xfId="11754" xr:uid="{DFAB332F-4234-4A3F-A5B1-68960E8132D8}"/>
    <cellStyle name="Percent 4 6 5 11" xfId="11753" xr:uid="{63E8D6B0-8B7E-424D-A248-A589D50ADC51}"/>
    <cellStyle name="Percent 4 6 5 2" xfId="11755" xr:uid="{2612DA5F-75E7-46E2-99A4-9D9A49681E95}"/>
    <cellStyle name="Percent 4 6 5 2 2" xfId="11756" xr:uid="{B6E14192-D764-42BA-B88F-DD16F178574D}"/>
    <cellStyle name="Percent 4 6 5 2 2 2" xfId="11757" xr:uid="{6E4DBFBA-197A-433C-B2DD-8D18EB508269}"/>
    <cellStyle name="Percent 4 6 5 2 3" xfId="11758" xr:uid="{C9DE358B-3D5E-448E-A497-8300D919D220}"/>
    <cellStyle name="Percent 4 6 5 2 3 2" xfId="11759" xr:uid="{324100BE-753E-4F29-A883-0DAA50F2BE8A}"/>
    <cellStyle name="Percent 4 6 5 2 4" xfId="11760" xr:uid="{F1C1DFD4-342A-4EEC-B3B6-E37EF76953BB}"/>
    <cellStyle name="Percent 4 6 5 3" xfId="11761" xr:uid="{B3306215-4B1C-4C7C-910D-564731D35411}"/>
    <cellStyle name="Percent 4 6 5 3 2" xfId="11762" xr:uid="{14908028-0356-4199-A9D7-B1876FF8C460}"/>
    <cellStyle name="Percent 4 6 5 3 2 2" xfId="11763" xr:uid="{21E911F6-E363-4C73-A38D-72CA45BEDFA8}"/>
    <cellStyle name="Percent 4 6 5 3 3" xfId="11764" xr:uid="{9FE596ED-295B-424F-9249-9649C9244ACE}"/>
    <cellStyle name="Percent 4 6 5 3 3 2" xfId="11765" xr:uid="{2DFF9A5B-7C68-4AB6-B221-46CCD9C9A87D}"/>
    <cellStyle name="Percent 4 6 5 3 4" xfId="11766" xr:uid="{B107C495-AFC6-4D17-B756-B0A9523FD80C}"/>
    <cellStyle name="Percent 4 6 5 4" xfId="11767" xr:uid="{54C495EA-3E30-4D6D-BB3B-308EDBAB1CA3}"/>
    <cellStyle name="Percent 4 6 5 4 2" xfId="11768" xr:uid="{D49368B5-625F-4A07-B743-54A01E545180}"/>
    <cellStyle name="Percent 4 6 5 4 2 2" xfId="11769" xr:uid="{C349EBB4-10E9-45A8-8D91-20CA160806EF}"/>
    <cellStyle name="Percent 4 6 5 4 3" xfId="11770" xr:uid="{D477F4A6-5FE0-4A40-AA28-D6B405E4AB69}"/>
    <cellStyle name="Percent 4 6 5 4 3 2" xfId="11771" xr:uid="{62F106E3-61DA-4FD2-9BF9-B42E19B05545}"/>
    <cellStyle name="Percent 4 6 5 4 4" xfId="11772" xr:uid="{E536DB5D-914C-4685-B74D-CE7FEDF98471}"/>
    <cellStyle name="Percent 4 6 5 4 4 2" xfId="11773" xr:uid="{C51516C2-6391-4410-9452-4BAD043E0CB8}"/>
    <cellStyle name="Percent 4 6 5 4 5" xfId="11774" xr:uid="{1721D4E4-506E-472F-B752-D8DBA7AC6821}"/>
    <cellStyle name="Percent 4 6 5 5" xfId="11775" xr:uid="{2409097E-A9F6-4B00-B4F3-5676D63982C4}"/>
    <cellStyle name="Percent 4 6 5 5 2" xfId="11776" xr:uid="{C92DF80A-5BFB-449C-9BC7-01919BAE3096}"/>
    <cellStyle name="Percent 4 6 5 5 2 2" xfId="11777" xr:uid="{ACB4E28D-14AD-49C6-B861-0B459DBD567D}"/>
    <cellStyle name="Percent 4 6 5 5 3" xfId="11778" xr:uid="{52C470A3-70B4-4290-9544-F78D3487D41C}"/>
    <cellStyle name="Percent 4 6 5 5 3 2" xfId="11779" xr:uid="{2A2BDB2B-D3C3-43AA-AA0B-E9C89564A577}"/>
    <cellStyle name="Percent 4 6 5 5 4" xfId="11780" xr:uid="{C26CE07C-0E62-4954-83B3-1547BBDEDA66}"/>
    <cellStyle name="Percent 4 6 5 6" xfId="11781" xr:uid="{79DDD24D-B51C-4996-AC0D-8036CC3CDE66}"/>
    <cellStyle name="Percent 4 6 5 6 2" xfId="11782" xr:uid="{5ED50D1A-A5C2-4542-905C-41FF2BF2A066}"/>
    <cellStyle name="Percent 4 6 5 7" xfId="11783" xr:uid="{1F7581CD-21E1-4543-BC3F-8F0B1A4FC444}"/>
    <cellStyle name="Percent 4 6 5 7 2" xfId="11784" xr:uid="{87E9C63C-5C08-409F-BD2C-8FE0294A4687}"/>
    <cellStyle name="Percent 4 6 5 8" xfId="11785" xr:uid="{97DB9AB3-60F7-4901-B051-A4B5FDF240EE}"/>
    <cellStyle name="Percent 4 6 5 8 2" xfId="11786" xr:uid="{4CEB992E-F4C3-431E-8990-8F23E4B2678A}"/>
    <cellStyle name="Percent 4 6 5 9" xfId="11787" xr:uid="{0E055E5B-5D2F-4F6C-A229-193CAFDBB93D}"/>
    <cellStyle name="Percent 4 6 6" xfId="4767" xr:uid="{D80EA3ED-617C-48AF-AD21-5033AE38E267}"/>
    <cellStyle name="Percent 4 6 6 10" xfId="11789" xr:uid="{DD260D88-4150-40E7-A482-9D64CAEF6E32}"/>
    <cellStyle name="Percent 4 6 6 11" xfId="11788" xr:uid="{6BCE8C24-41DC-40F1-B0CD-C1DBF251842A}"/>
    <cellStyle name="Percent 4 6 6 2" xfId="11790" xr:uid="{0455482F-9209-48ED-8A65-AB78C7E94A36}"/>
    <cellStyle name="Percent 4 6 6 2 2" xfId="11791" xr:uid="{03318EAA-0049-4160-9AF7-F47520BA7051}"/>
    <cellStyle name="Percent 4 6 6 2 2 2" xfId="11792" xr:uid="{FD470951-D98B-41FB-929D-804024C7545B}"/>
    <cellStyle name="Percent 4 6 6 2 3" xfId="11793" xr:uid="{3B2EF959-0ED5-4771-84EB-12C1ABAAD916}"/>
    <cellStyle name="Percent 4 6 6 2 3 2" xfId="11794" xr:uid="{51F77CB8-11AB-403C-B698-6766A36EE2B0}"/>
    <cellStyle name="Percent 4 6 6 2 4" xfId="11795" xr:uid="{29A79BA4-7867-4ADF-B3CF-0498FE394069}"/>
    <cellStyle name="Percent 4 6 6 3" xfId="11796" xr:uid="{ED950E3F-82A3-461C-831C-1D13F5E49C98}"/>
    <cellStyle name="Percent 4 6 6 3 2" xfId="11797" xr:uid="{F51F62D0-1967-485A-B816-5EB6C1C5D1DE}"/>
    <cellStyle name="Percent 4 6 6 3 2 2" xfId="11798" xr:uid="{C50A4235-236F-4B7D-A725-A470FAC2C487}"/>
    <cellStyle name="Percent 4 6 6 3 3" xfId="11799" xr:uid="{486D8DBB-8304-4C6D-B5EF-5F9A64DBAB5B}"/>
    <cellStyle name="Percent 4 6 6 3 3 2" xfId="11800" xr:uid="{89DCCC94-5373-4379-92F2-9B622F778E55}"/>
    <cellStyle name="Percent 4 6 6 3 4" xfId="11801" xr:uid="{072B7E81-B454-4325-BA6E-EF7A8D3D1720}"/>
    <cellStyle name="Percent 4 6 6 4" xfId="11802" xr:uid="{6964B23D-F37E-4B9F-B917-572399AD9D51}"/>
    <cellStyle name="Percent 4 6 6 4 2" xfId="11803" xr:uid="{40CDCB78-72A8-4607-BB44-3F3EA23E118D}"/>
    <cellStyle name="Percent 4 6 6 4 2 2" xfId="11804" xr:uid="{5BD08085-F30A-4DE5-94E6-247526EB64EE}"/>
    <cellStyle name="Percent 4 6 6 4 3" xfId="11805" xr:uid="{52F5815B-8BCC-4F0F-A12B-043B67DB5F27}"/>
    <cellStyle name="Percent 4 6 6 4 3 2" xfId="11806" xr:uid="{7173A392-11D6-4C74-A19C-F5EC408F17AE}"/>
    <cellStyle name="Percent 4 6 6 4 4" xfId="11807" xr:uid="{269CA42B-8B2A-4737-B24E-9575B24D8B4E}"/>
    <cellStyle name="Percent 4 6 6 4 4 2" xfId="11808" xr:uid="{3114F447-44AA-4EB0-AABE-528D7F0E314E}"/>
    <cellStyle name="Percent 4 6 6 4 5" xfId="11809" xr:uid="{F6B8F2A0-8EBA-476A-B2C9-DEF182A767BC}"/>
    <cellStyle name="Percent 4 6 6 5" xfId="11810" xr:uid="{EBB697CF-3D03-40BB-9FD0-7C8EF9B100E3}"/>
    <cellStyle name="Percent 4 6 6 5 2" xfId="11811" xr:uid="{F5971BB8-C953-46DB-8E45-58D0E441C5BC}"/>
    <cellStyle name="Percent 4 6 6 5 2 2" xfId="11812" xr:uid="{270DE45F-6AAF-4B99-9223-70A5D76173A3}"/>
    <cellStyle name="Percent 4 6 6 5 3" xfId="11813" xr:uid="{DCAB0E87-19E4-4B13-8310-47F72AAC222B}"/>
    <cellStyle name="Percent 4 6 6 5 3 2" xfId="11814" xr:uid="{5EFE1517-8E94-4F59-AD10-C9137AD86848}"/>
    <cellStyle name="Percent 4 6 6 5 4" xfId="11815" xr:uid="{F6CBE6E8-F4A9-43F0-AFD0-E337331670EB}"/>
    <cellStyle name="Percent 4 6 6 6" xfId="11816" xr:uid="{FF069F96-5946-4B57-9448-CC85F82A6494}"/>
    <cellStyle name="Percent 4 6 6 6 2" xfId="11817" xr:uid="{FC2B5859-193D-4790-A91B-8589439D823C}"/>
    <cellStyle name="Percent 4 6 6 7" xfId="11818" xr:uid="{E433FEB8-F7C7-4C47-AFCE-0BEFA8647762}"/>
    <cellStyle name="Percent 4 6 6 7 2" xfId="11819" xr:uid="{4FD3BE36-6E70-48AA-8A23-B70BB5A6A9BF}"/>
    <cellStyle name="Percent 4 6 6 8" xfId="11820" xr:uid="{028924DD-9488-4D3A-9CBB-ABEA53577ACA}"/>
    <cellStyle name="Percent 4 6 6 8 2" xfId="11821" xr:uid="{D55CA4A4-90E4-48B6-AE5C-92336ACE84FF}"/>
    <cellStyle name="Percent 4 6 6 9" xfId="11822" xr:uid="{1AC06D84-395A-41E5-BAE1-0EA2148171DB}"/>
    <cellStyle name="Percent 4 6 7" xfId="4768" xr:uid="{4A30C772-DA95-475A-96F7-24EF32C95B2E}"/>
    <cellStyle name="Percent 4 6 7 10" xfId="11824" xr:uid="{AB8E52BB-ABD5-40B3-87A6-27D4218F4879}"/>
    <cellStyle name="Percent 4 6 7 11" xfId="11823" xr:uid="{1ACB6AA1-0C1C-455B-B481-4C90061E7D28}"/>
    <cellStyle name="Percent 4 6 7 2" xfId="11825" xr:uid="{D2E78D5D-E8F2-48DB-95CA-311405709BE7}"/>
    <cellStyle name="Percent 4 6 7 2 2" xfId="11826" xr:uid="{1E293468-4E3D-4B4D-9FC8-86A53501CF5D}"/>
    <cellStyle name="Percent 4 6 7 2 2 2" xfId="11827" xr:uid="{A7964DBC-96F7-4FD4-8B9C-83879D6CAF8E}"/>
    <cellStyle name="Percent 4 6 7 2 3" xfId="11828" xr:uid="{A624D2F3-9F88-4556-B8DF-6D4EB07E2E3C}"/>
    <cellStyle name="Percent 4 6 7 2 3 2" xfId="11829" xr:uid="{CE927A33-49D2-4231-A1F6-E285A730A441}"/>
    <cellStyle name="Percent 4 6 7 2 4" xfId="11830" xr:uid="{8E63322A-908C-4F0C-ABC0-EDF37093F792}"/>
    <cellStyle name="Percent 4 6 7 3" xfId="11831" xr:uid="{B03E49B3-ECBB-4805-991E-C2CAFB460869}"/>
    <cellStyle name="Percent 4 6 7 3 2" xfId="11832" xr:uid="{FCE67626-AC48-4840-83FE-1163183FAEFE}"/>
    <cellStyle name="Percent 4 6 7 3 2 2" xfId="11833" xr:uid="{5B832CB9-5CD6-4065-90E8-77219F0C7D0F}"/>
    <cellStyle name="Percent 4 6 7 3 3" xfId="11834" xr:uid="{927555D4-7E50-4025-BF42-1BF0ADFE07EA}"/>
    <cellStyle name="Percent 4 6 7 3 3 2" xfId="11835" xr:uid="{DE512E97-1223-4F74-A3EA-DA9A50EA3BB1}"/>
    <cellStyle name="Percent 4 6 7 3 4" xfId="11836" xr:uid="{B5B71162-7479-4E46-BD38-A10FB8180C42}"/>
    <cellStyle name="Percent 4 6 7 4" xfId="11837" xr:uid="{6DF020AE-7619-492F-8254-E76812E9A017}"/>
    <cellStyle name="Percent 4 6 7 4 2" xfId="11838" xr:uid="{C46E5B56-7215-4BF4-AF0B-9E66547FC5CF}"/>
    <cellStyle name="Percent 4 6 7 4 2 2" xfId="11839" xr:uid="{297B5C0A-7C61-413D-B1FB-D4203E177E02}"/>
    <cellStyle name="Percent 4 6 7 4 3" xfId="11840" xr:uid="{747BD13C-7837-48BF-A717-8FA6568336AD}"/>
    <cellStyle name="Percent 4 6 7 4 3 2" xfId="11841" xr:uid="{3CF39B38-D29C-46F9-BAF3-B815E8BDBF7D}"/>
    <cellStyle name="Percent 4 6 7 4 4" xfId="11842" xr:uid="{07E6434E-E723-4E98-9D46-497AC7C6AF30}"/>
    <cellStyle name="Percent 4 6 7 4 4 2" xfId="11843" xr:uid="{0295A556-BBDF-46ED-AEA9-6491CE3AFF11}"/>
    <cellStyle name="Percent 4 6 7 4 5" xfId="11844" xr:uid="{77757AEA-35AE-4F24-AA08-4E709982C484}"/>
    <cellStyle name="Percent 4 6 7 5" xfId="11845" xr:uid="{A921E846-79AA-4C6B-9FDB-9DA0553A6125}"/>
    <cellStyle name="Percent 4 6 7 5 2" xfId="11846" xr:uid="{3E1ADAEC-702D-41EB-85C6-A456B4BF8FF4}"/>
    <cellStyle name="Percent 4 6 7 5 2 2" xfId="11847" xr:uid="{F7445AC2-546C-42B9-BEE5-FDE5A63B4251}"/>
    <cellStyle name="Percent 4 6 7 5 3" xfId="11848" xr:uid="{B6F16EEC-289E-4976-BD46-B8FD9C7FED18}"/>
    <cellStyle name="Percent 4 6 7 5 3 2" xfId="11849" xr:uid="{972CC10D-1415-43F0-A986-F2765377CAA3}"/>
    <cellStyle name="Percent 4 6 7 5 4" xfId="11850" xr:uid="{8D5F3DEE-9174-4144-8C41-534E99293543}"/>
    <cellStyle name="Percent 4 6 7 6" xfId="11851" xr:uid="{BF70A848-8FBF-4F61-94A1-35922BC38DE1}"/>
    <cellStyle name="Percent 4 6 7 6 2" xfId="11852" xr:uid="{22986356-B473-4BA5-9515-268815C83101}"/>
    <cellStyle name="Percent 4 6 7 7" xfId="11853" xr:uid="{5E08A4A0-1759-4286-B756-23FDEF85EC41}"/>
    <cellStyle name="Percent 4 6 7 7 2" xfId="11854" xr:uid="{C8B6575F-C753-4E7E-9E73-A67754453298}"/>
    <cellStyle name="Percent 4 6 7 8" xfId="11855" xr:uid="{078F909B-2C7E-4631-A06A-A5DC3F8549C3}"/>
    <cellStyle name="Percent 4 6 7 8 2" xfId="11856" xr:uid="{7DFE76AB-3B98-41C7-9D72-18DBBD3F730A}"/>
    <cellStyle name="Percent 4 6 7 9" xfId="11857" xr:uid="{BC99956B-4EDD-46A3-B3D5-A266D28130C2}"/>
    <cellStyle name="Percent 4 6 8" xfId="4769" xr:uid="{EC489757-6FD0-46F4-845A-240BACA0B73D}"/>
    <cellStyle name="Percent 4 6 8 10" xfId="11859" xr:uid="{CCE34CDA-2EC5-428C-8FE5-CEF64AD8E72A}"/>
    <cellStyle name="Percent 4 6 8 11" xfId="11858" xr:uid="{1C2612A0-3F0C-4467-A6BE-831040C5BDD8}"/>
    <cellStyle name="Percent 4 6 8 2" xfId="11860" xr:uid="{83149B83-04CF-4140-901A-D94966B57FFB}"/>
    <cellStyle name="Percent 4 6 8 2 2" xfId="11861" xr:uid="{7FA9E9FB-033A-48B9-8652-1EC01FFB8E99}"/>
    <cellStyle name="Percent 4 6 8 2 2 2" xfId="11862" xr:uid="{894DC69E-8FDA-4022-928E-8E1EC280DEFE}"/>
    <cellStyle name="Percent 4 6 8 2 3" xfId="11863" xr:uid="{F92C3BA1-415E-451C-82A0-121AD1728D96}"/>
    <cellStyle name="Percent 4 6 8 2 3 2" xfId="11864" xr:uid="{C891DEED-F45B-489D-893D-A35DA4348967}"/>
    <cellStyle name="Percent 4 6 8 2 4" xfId="11865" xr:uid="{E829D7FD-934D-4281-B0CF-56191290206D}"/>
    <cellStyle name="Percent 4 6 8 3" xfId="11866" xr:uid="{0FB8CB20-36E4-4196-93E5-676175295245}"/>
    <cellStyle name="Percent 4 6 8 3 2" xfId="11867" xr:uid="{E8E82CC8-A42A-4525-AC05-8E7E8E756266}"/>
    <cellStyle name="Percent 4 6 8 3 2 2" xfId="11868" xr:uid="{222FFB7B-9541-4CCF-864B-2F127F4BE2E2}"/>
    <cellStyle name="Percent 4 6 8 3 3" xfId="11869" xr:uid="{5F62094A-4FBC-4D62-8DF1-FD76C129D86E}"/>
    <cellStyle name="Percent 4 6 8 3 3 2" xfId="11870" xr:uid="{D13FBD12-0539-484C-9C15-C704FBEBF9DE}"/>
    <cellStyle name="Percent 4 6 8 3 4" xfId="11871" xr:uid="{13FCCA97-CC18-4213-986A-FF566AC271AA}"/>
    <cellStyle name="Percent 4 6 8 4" xfId="11872" xr:uid="{5B4024DD-336D-4BBC-815C-ACE53625610F}"/>
    <cellStyle name="Percent 4 6 8 4 2" xfId="11873" xr:uid="{BFC7F1B3-AE5F-4EF4-9FAC-FFDA37000AF0}"/>
    <cellStyle name="Percent 4 6 8 4 2 2" xfId="11874" xr:uid="{CEC42771-0F6E-41E6-8803-1BD5942DF232}"/>
    <cellStyle name="Percent 4 6 8 4 3" xfId="11875" xr:uid="{B20355C9-973B-44B8-9E34-66F008000F45}"/>
    <cellStyle name="Percent 4 6 8 4 3 2" xfId="11876" xr:uid="{351CAF7E-EFB0-4CF3-877A-34B9B182CE9D}"/>
    <cellStyle name="Percent 4 6 8 4 4" xfId="11877" xr:uid="{B933A797-51D8-4D09-B466-DC78622C1867}"/>
    <cellStyle name="Percent 4 6 8 4 4 2" xfId="11878" xr:uid="{2BBE57E4-9629-43B4-9EDB-DDC4735C0EF4}"/>
    <cellStyle name="Percent 4 6 8 4 5" xfId="11879" xr:uid="{336AE848-D44B-4667-8D44-E9AEB49D7467}"/>
    <cellStyle name="Percent 4 6 8 5" xfId="11880" xr:uid="{63D962EB-B42F-4455-BB61-1F73B9B4659D}"/>
    <cellStyle name="Percent 4 6 8 5 2" xfId="11881" xr:uid="{D8C82EE8-43D1-4460-BECE-3AD7119D49B0}"/>
    <cellStyle name="Percent 4 6 8 5 2 2" xfId="11882" xr:uid="{1D84FF8E-0CC0-4453-816A-EDB2B9820D2F}"/>
    <cellStyle name="Percent 4 6 8 5 3" xfId="11883" xr:uid="{D43602B8-FEAF-4E01-86C0-ADD2DAF08ABE}"/>
    <cellStyle name="Percent 4 6 8 5 3 2" xfId="11884" xr:uid="{4469EC08-8168-4463-8783-DD8B8A348D66}"/>
    <cellStyle name="Percent 4 6 8 5 4" xfId="11885" xr:uid="{FF348FDA-C438-4736-9944-30B944A981BD}"/>
    <cellStyle name="Percent 4 6 8 6" xfId="11886" xr:uid="{3CA1FFA4-A337-4E52-BD56-F17096451A1A}"/>
    <cellStyle name="Percent 4 6 8 6 2" xfId="11887" xr:uid="{4A812B3A-E867-4077-B2F3-476E4D805CD1}"/>
    <cellStyle name="Percent 4 6 8 7" xfId="11888" xr:uid="{3B442E0E-8B4D-415D-858A-8A77121C28EE}"/>
    <cellStyle name="Percent 4 6 8 7 2" xfId="11889" xr:uid="{371632D3-9D76-4151-B9FE-E72D65E862DD}"/>
    <cellStyle name="Percent 4 6 8 8" xfId="11890" xr:uid="{18D270C5-CAF8-428A-8FE1-AEF7CFF5FC5D}"/>
    <cellStyle name="Percent 4 6 8 8 2" xfId="11891" xr:uid="{82A63BC9-E5AD-4575-AB75-851EB577B337}"/>
    <cellStyle name="Percent 4 6 8 9" xfId="11892" xr:uid="{9FE22F91-5224-4913-9564-01E0EA123C40}"/>
    <cellStyle name="Percent 4 6 9" xfId="11893" xr:uid="{7A5EA0A8-649A-4394-9CCB-224C1A6F520B}"/>
    <cellStyle name="Percent 4 6 9 2" xfId="11894" xr:uid="{A75C3F40-37D3-4CF1-BD55-586CAB0C7083}"/>
    <cellStyle name="Percent 4 6 9 2 2" xfId="11895" xr:uid="{E1E971CF-5615-42BA-B6E4-B610B44945FD}"/>
    <cellStyle name="Percent 4 6 9 3" xfId="11896" xr:uid="{A968FAE9-FC3B-4512-BD13-6131ACBA7DAC}"/>
    <cellStyle name="Percent 4 6 9 3 2" xfId="11897" xr:uid="{48943B94-31A4-4C38-911E-186494565BE3}"/>
    <cellStyle name="Percent 4 6 9 4" xfId="11898" xr:uid="{25B7620A-4E8A-4688-BF53-B3FB9758AFC9}"/>
    <cellStyle name="Percent 4 6 9 5" xfId="11899" xr:uid="{126332F0-05B7-4484-9451-5C7057B02EE7}"/>
    <cellStyle name="Percent 4 7" xfId="3007" xr:uid="{79C74DE8-9F59-4E0A-8AD9-36CCF4A3088D}"/>
    <cellStyle name="Percent 4 7 10" xfId="11901" xr:uid="{79FDB645-7334-411A-A64E-2764D0FA26BD}"/>
    <cellStyle name="Percent 4 7 11" xfId="11902" xr:uid="{5F4827E5-BE39-433B-9F6F-DC8081972811}"/>
    <cellStyle name="Percent 4 7 12" xfId="11900" xr:uid="{92E6281B-0BF5-48F3-AAF9-D1907E82A8C0}"/>
    <cellStyle name="Percent 4 7 2" xfId="11903" xr:uid="{95AA5AE1-277E-443F-8CE5-566EA806CB3D}"/>
    <cellStyle name="Percent 4 7 2 2" xfId="11904" xr:uid="{0416C5EA-CA19-4AB7-9BD8-FC265E49FC6E}"/>
    <cellStyle name="Percent 4 7 2 2 2" xfId="11905" xr:uid="{40211F7D-D236-401F-B119-8337A0E05B61}"/>
    <cellStyle name="Percent 4 7 2 3" xfId="11906" xr:uid="{B16CEC2F-8EE6-4909-9626-F2F86A99EE27}"/>
    <cellStyle name="Percent 4 7 2 3 2" xfId="11907" xr:uid="{0DA6C8B2-555F-4B3B-9258-9F7588CD27BC}"/>
    <cellStyle name="Percent 4 7 2 4" xfId="11908" xr:uid="{CF1A49F7-0248-4D2A-B12F-DD825E6A888E}"/>
    <cellStyle name="Percent 4 7 2 5" xfId="11909" xr:uid="{93A3D23B-C9A3-47B6-9983-DF7688B7101B}"/>
    <cellStyle name="Percent 4 7 3" xfId="11910" xr:uid="{B04C8A90-256F-429E-A987-874CEC48240B}"/>
    <cellStyle name="Percent 4 7 3 2" xfId="11911" xr:uid="{06CA6580-872A-4CFF-9094-9E7F14F54572}"/>
    <cellStyle name="Percent 4 7 3 2 2" xfId="11912" xr:uid="{CAD6EA50-DAF8-4605-8A19-792032DFA920}"/>
    <cellStyle name="Percent 4 7 3 3" xfId="11913" xr:uid="{FDEAC911-10F8-4CD9-B673-9A390D44A97D}"/>
    <cellStyle name="Percent 4 7 3 3 2" xfId="11914" xr:uid="{3CB34F79-63C8-433C-AF30-31DCDABA8946}"/>
    <cellStyle name="Percent 4 7 3 4" xfId="11915" xr:uid="{397E1564-132D-403C-BC16-95CBCD42D764}"/>
    <cellStyle name="Percent 4 7 4" xfId="11916" xr:uid="{5E2247F2-F41C-4196-BC8F-4C71841D2B2D}"/>
    <cellStyle name="Percent 4 7 4 2" xfId="11917" xr:uid="{F39BAE20-B87A-4AAC-AE80-EE5F6B51A976}"/>
    <cellStyle name="Percent 4 7 4 2 2" xfId="11918" xr:uid="{7F7A2DCA-6DBA-45D4-86E0-0B7256FCD09B}"/>
    <cellStyle name="Percent 4 7 4 3" xfId="11919" xr:uid="{B727F3A1-6450-43E9-B7FA-13F751AF789F}"/>
    <cellStyle name="Percent 4 7 4 3 2" xfId="11920" xr:uid="{4BD4571B-03A4-47C4-BE47-A3F2F33AE429}"/>
    <cellStyle name="Percent 4 7 4 4" xfId="11921" xr:uid="{3F1DEFE3-C3FC-44DF-A754-DD9C28505E49}"/>
    <cellStyle name="Percent 4 7 5" xfId="11922" xr:uid="{BB3A1909-6829-4606-BE9C-D11187FCBB16}"/>
    <cellStyle name="Percent 4 7 5 2" xfId="11923" xr:uid="{EC1389FB-9A08-4E0A-9DE6-3C38E30C5948}"/>
    <cellStyle name="Percent 4 7 5 2 2" xfId="11924" xr:uid="{05717DA5-7623-40D2-BCE7-9074B5A8B9C4}"/>
    <cellStyle name="Percent 4 7 5 3" xfId="11925" xr:uid="{8B2E9082-2027-4232-8174-B8FC1921773C}"/>
    <cellStyle name="Percent 4 7 5 3 2" xfId="11926" xr:uid="{DCFB71BD-664E-47A9-92E6-DEBCF87ECC38}"/>
    <cellStyle name="Percent 4 7 5 4" xfId="11927" xr:uid="{F38AA804-5E54-430B-AA69-3353C5EEAD86}"/>
    <cellStyle name="Percent 4 7 5 4 2" xfId="11928" xr:uid="{F9C56903-011C-47A1-93B3-E7B1503911B5}"/>
    <cellStyle name="Percent 4 7 5 5" xfId="11929" xr:uid="{21333532-EF1D-4905-A09D-795BA405438D}"/>
    <cellStyle name="Percent 4 7 6" xfId="11930" xr:uid="{912AB108-AAD5-405A-AA27-B9145302D01A}"/>
    <cellStyle name="Percent 4 7 6 2" xfId="11931" xr:uid="{E7F0770F-2533-4450-8451-382EFD642D30}"/>
    <cellStyle name="Percent 4 7 6 2 2" xfId="11932" xr:uid="{970E5743-B8B4-4121-96BF-B6CFB9E5364D}"/>
    <cellStyle name="Percent 4 7 6 3" xfId="11933" xr:uid="{C8FDBC7F-31B7-4516-B42C-39C59252392A}"/>
    <cellStyle name="Percent 4 7 6 3 2" xfId="11934" xr:uid="{7404BCE7-86BD-4780-904F-1452B80F3F97}"/>
    <cellStyle name="Percent 4 7 6 4" xfId="11935" xr:uid="{0976D825-0359-48A6-BBFF-5533E23E4BB2}"/>
    <cellStyle name="Percent 4 7 7" xfId="11936" xr:uid="{84785838-8583-49E3-A27F-A57BC28BBB86}"/>
    <cellStyle name="Percent 4 7 7 2" xfId="11937" xr:uid="{3EFF43C2-4F82-4E13-8DA7-37E4D906D46F}"/>
    <cellStyle name="Percent 4 7 8" xfId="11938" xr:uid="{4E46D85F-EEF0-495B-9DAD-B8A20425A242}"/>
    <cellStyle name="Percent 4 7 8 2" xfId="11939" xr:uid="{93543802-83E1-4100-9927-A8A26E517E73}"/>
    <cellStyle name="Percent 4 7 9" xfId="11940" xr:uid="{D0CF43D0-542B-4334-91BD-FB6042A99788}"/>
    <cellStyle name="Percent 4 7 9 2" xfId="11941" xr:uid="{DD31AC21-20D9-473A-A4DA-DF1E5BCC3507}"/>
    <cellStyle name="Percent 4 8" xfId="3008" xr:uid="{362AACDB-8A36-40DC-A4D2-56ACA3AB67FD}"/>
    <cellStyle name="Percent 4 8 10" xfId="11943" xr:uid="{CB7CEC9C-6FA9-4271-B962-B1EE6E7C8A46}"/>
    <cellStyle name="Percent 4 8 11" xfId="11944" xr:uid="{7366D0D9-0040-4EB7-B10B-ED17738E7A6D}"/>
    <cellStyle name="Percent 4 8 12" xfId="11942" xr:uid="{008BAD9B-66DB-435D-92EA-6F897D5EE375}"/>
    <cellStyle name="Percent 4 8 2" xfId="11945" xr:uid="{4B7A4CAC-524E-477E-A0B0-2EE8464C4EA5}"/>
    <cellStyle name="Percent 4 8 2 2" xfId="11946" xr:uid="{A845DA73-DE8A-4EC4-A2DA-ECD7CEB62A03}"/>
    <cellStyle name="Percent 4 8 2 2 2" xfId="11947" xr:uid="{52BA558F-AB32-44A7-8904-857FDF54F91E}"/>
    <cellStyle name="Percent 4 8 2 3" xfId="11948" xr:uid="{A3EA6B43-39AD-4E00-B96C-484B6B940993}"/>
    <cellStyle name="Percent 4 8 2 3 2" xfId="11949" xr:uid="{929256BD-37C6-458B-8C10-ECF89888FC84}"/>
    <cellStyle name="Percent 4 8 2 4" xfId="11950" xr:uid="{6980918E-2A8B-4FA7-BBC7-7F9B54DCBFE4}"/>
    <cellStyle name="Percent 4 8 2 5" xfId="11951" xr:uid="{F5D849CA-C422-478F-97E0-D73464077691}"/>
    <cellStyle name="Percent 4 8 3" xfId="11952" xr:uid="{DBE702D9-30C1-4EF3-BF2F-EE5A099A3E94}"/>
    <cellStyle name="Percent 4 8 3 2" xfId="11953" xr:uid="{3FB78A53-D6C2-4F30-866B-C41ED4287365}"/>
    <cellStyle name="Percent 4 8 3 2 2" xfId="11954" xr:uid="{78A3D2E6-BA85-41FA-AE50-7168306BF577}"/>
    <cellStyle name="Percent 4 8 3 3" xfId="11955" xr:uid="{89306A11-5B28-4915-8033-80446933D011}"/>
    <cellStyle name="Percent 4 8 3 3 2" xfId="11956" xr:uid="{DE9C1D54-3B74-4620-BEA4-76F1C837133D}"/>
    <cellStyle name="Percent 4 8 3 4" xfId="11957" xr:uid="{03084DA3-5E71-48A7-A40A-0168EE4754DA}"/>
    <cellStyle name="Percent 4 8 4" xfId="11958" xr:uid="{4EE62B33-F129-445C-B2D6-DB5CEE3FBC67}"/>
    <cellStyle name="Percent 4 8 4 2" xfId="11959" xr:uid="{55F5B822-33FE-4990-BAAD-16C1C9A366BC}"/>
    <cellStyle name="Percent 4 8 4 2 2" xfId="11960" xr:uid="{6D831AED-4D6A-43B3-BA46-F2F14AC8788C}"/>
    <cellStyle name="Percent 4 8 4 3" xfId="11961" xr:uid="{FEC80796-86C0-443B-9F2D-DDD75F50F9F1}"/>
    <cellStyle name="Percent 4 8 4 3 2" xfId="11962" xr:uid="{364F14C8-0663-4DAE-BF4C-47F05C767CFE}"/>
    <cellStyle name="Percent 4 8 4 4" xfId="11963" xr:uid="{15A2739C-F123-4984-AAEA-2F195D137705}"/>
    <cellStyle name="Percent 4 8 5" xfId="11964" xr:uid="{EAB9FDD7-9EC5-4DD7-8310-05EB58EBB39F}"/>
    <cellStyle name="Percent 4 8 5 2" xfId="11965" xr:uid="{D006D313-1BC8-4F4C-A8CA-1DE8D7A10FFE}"/>
    <cellStyle name="Percent 4 8 5 2 2" xfId="11966" xr:uid="{3DA5B478-E1B8-4616-BFB4-E3CC008A9E47}"/>
    <cellStyle name="Percent 4 8 5 3" xfId="11967" xr:uid="{3BF483C1-751E-4FB9-A24C-1C2F4C2A19F6}"/>
    <cellStyle name="Percent 4 8 5 3 2" xfId="11968" xr:uid="{90E920A5-A406-4E69-A9A8-76395A47E254}"/>
    <cellStyle name="Percent 4 8 5 4" xfId="11969" xr:uid="{39F97BAB-A0B4-427E-920B-7A620689555A}"/>
    <cellStyle name="Percent 4 8 5 4 2" xfId="11970" xr:uid="{D7AE7602-C37E-4AB9-AAD5-6F777407C759}"/>
    <cellStyle name="Percent 4 8 5 5" xfId="11971" xr:uid="{375B2D93-C7B0-4169-992D-8FDAFCB6A63E}"/>
    <cellStyle name="Percent 4 8 6" xfId="11972" xr:uid="{E6D5675D-7B83-4654-A4E5-07EAF93D4E7E}"/>
    <cellStyle name="Percent 4 8 6 2" xfId="11973" xr:uid="{64AACDC3-D6E6-451F-9F33-C04F74B10BAA}"/>
    <cellStyle name="Percent 4 8 6 2 2" xfId="11974" xr:uid="{9C0B9C27-E1B7-46F0-96D2-67B2EFBBA7DF}"/>
    <cellStyle name="Percent 4 8 6 3" xfId="11975" xr:uid="{51443D79-FCC5-4059-856A-79D856A069A1}"/>
    <cellStyle name="Percent 4 8 6 3 2" xfId="11976" xr:uid="{775ECB49-17DF-436F-A998-BC5C9BD26256}"/>
    <cellStyle name="Percent 4 8 6 4" xfId="11977" xr:uid="{CAFE72E0-3C59-4ED4-9146-D6CC50B416FC}"/>
    <cellStyle name="Percent 4 8 7" xfId="11978" xr:uid="{3ECA6451-2EFC-4FF9-BADE-BEB93B7026B1}"/>
    <cellStyle name="Percent 4 8 7 2" xfId="11979" xr:uid="{70115675-BA72-4CD4-9600-162BA9EF9C2E}"/>
    <cellStyle name="Percent 4 8 8" xfId="11980" xr:uid="{57B184F4-17C0-45F1-B2B2-38FF449BB51B}"/>
    <cellStyle name="Percent 4 8 8 2" xfId="11981" xr:uid="{CC1756D1-74DF-4FEE-AB23-D96A6DDD3EFC}"/>
    <cellStyle name="Percent 4 8 9" xfId="11982" xr:uid="{02E88B0D-1785-400E-876B-48DCD23E2F09}"/>
    <cellStyle name="Percent 4 8 9 2" xfId="11983" xr:uid="{9810B683-95C1-4A5C-A58A-4B92A5A6DF5C}"/>
    <cellStyle name="Percent 4 9" xfId="3009" xr:uid="{7CF417FB-D2FF-4B06-B67E-58AC58EA22CD}"/>
    <cellStyle name="Percent 4 9 10" xfId="11985" xr:uid="{EDA53325-A455-45A1-A7B8-DD9764A748A9}"/>
    <cellStyle name="Percent 4 9 11" xfId="11986" xr:uid="{FA36D295-A7CE-4EBD-A68D-867F61A22F9C}"/>
    <cellStyle name="Percent 4 9 12" xfId="11984" xr:uid="{B39E99A1-8356-4036-9AE4-C3CFEA59D025}"/>
    <cellStyle name="Percent 4 9 2" xfId="11987" xr:uid="{3C1FB21A-33D3-46EB-964D-1BF07C91DDE6}"/>
    <cellStyle name="Percent 4 9 2 2" xfId="11988" xr:uid="{2BBB8DA7-DB5D-4417-86F5-7F63C5DF4752}"/>
    <cellStyle name="Percent 4 9 2 2 2" xfId="11989" xr:uid="{DA877C53-CEC3-487A-B23D-86585ACA6906}"/>
    <cellStyle name="Percent 4 9 2 3" xfId="11990" xr:uid="{D528A0C1-DC1A-41A2-BB9B-B570140773C7}"/>
    <cellStyle name="Percent 4 9 2 3 2" xfId="11991" xr:uid="{531DCA9E-FD00-4F01-95B7-100BAD2641DB}"/>
    <cellStyle name="Percent 4 9 2 4" xfId="11992" xr:uid="{2DF656B8-9C93-4140-8DF7-D7B7C5425D0F}"/>
    <cellStyle name="Percent 4 9 2 5" xfId="11993" xr:uid="{9B4B012E-5731-453B-AF5E-DEAB713B1787}"/>
    <cellStyle name="Percent 4 9 3" xfId="11994" xr:uid="{9ACFF90F-6D8B-45AF-9C6B-0A4AAA7F98AC}"/>
    <cellStyle name="Percent 4 9 3 2" xfId="11995" xr:uid="{74868DE5-CCE8-4AE0-A25B-472DE61E9368}"/>
    <cellStyle name="Percent 4 9 3 2 2" xfId="11996" xr:uid="{4E503FFA-CC5F-4E04-BCC3-5DB0212F1319}"/>
    <cellStyle name="Percent 4 9 3 3" xfId="11997" xr:uid="{EEDA7FA4-71D8-48E6-B383-26CD88BA010D}"/>
    <cellStyle name="Percent 4 9 3 3 2" xfId="11998" xr:uid="{DF4A5183-9D0C-4F6E-B23C-26E492C7BDE1}"/>
    <cellStyle name="Percent 4 9 3 4" xfId="11999" xr:uid="{8A83AB2A-9004-4026-8A43-ACE60AFCEA8C}"/>
    <cellStyle name="Percent 4 9 4" xfId="12000" xr:uid="{4FA6A599-2695-4232-9120-C048993F4E97}"/>
    <cellStyle name="Percent 4 9 4 2" xfId="12001" xr:uid="{05776BA3-720E-45EF-92CA-C91AF06DA63C}"/>
    <cellStyle name="Percent 4 9 4 2 2" xfId="12002" xr:uid="{8CB1E38C-504D-49B8-AD5C-664738FBD45B}"/>
    <cellStyle name="Percent 4 9 4 3" xfId="12003" xr:uid="{1303E8C9-7D1F-4B95-8C3A-0181FB91D1BF}"/>
    <cellStyle name="Percent 4 9 4 3 2" xfId="12004" xr:uid="{3FD7192F-DCF7-45C2-B78B-B84DD7EB7725}"/>
    <cellStyle name="Percent 4 9 4 4" xfId="12005" xr:uid="{8018A905-FCF5-4488-8235-F1FF4BFC7C37}"/>
    <cellStyle name="Percent 4 9 5" xfId="12006" xr:uid="{A3170353-3446-4BB8-B0FD-9C5BBA39AFED}"/>
    <cellStyle name="Percent 4 9 5 2" xfId="12007" xr:uid="{30A99686-EC6C-44A1-A859-A5B2C4B3D84B}"/>
    <cellStyle name="Percent 4 9 5 2 2" xfId="12008" xr:uid="{2DC11CAB-0D55-42EF-8522-DF53CB910034}"/>
    <cellStyle name="Percent 4 9 5 3" xfId="12009" xr:uid="{9A095A0C-E38F-4E26-B169-CC62D54F09F3}"/>
    <cellStyle name="Percent 4 9 5 3 2" xfId="12010" xr:uid="{072785F4-5809-4DB9-83D9-F987D00B4B88}"/>
    <cellStyle name="Percent 4 9 5 4" xfId="12011" xr:uid="{E7DC77C9-A68D-4F7D-955C-DE4DCBFFC12C}"/>
    <cellStyle name="Percent 4 9 5 4 2" xfId="12012" xr:uid="{4DC3B9B6-8F9F-4A3A-9DB2-01FD9FC2E841}"/>
    <cellStyle name="Percent 4 9 5 5" xfId="12013" xr:uid="{F3E0A8E2-3C91-4634-B09D-BB81265AD9AB}"/>
    <cellStyle name="Percent 4 9 6" xfId="12014" xr:uid="{AAEB47FA-9F68-4771-B531-55AE6236E876}"/>
    <cellStyle name="Percent 4 9 6 2" xfId="12015" xr:uid="{9D3F672A-2EDC-4113-BDB8-9E9CEE6A5AF7}"/>
    <cellStyle name="Percent 4 9 6 2 2" xfId="12016" xr:uid="{E07FF96D-CE77-435B-98F8-2AC003A0C176}"/>
    <cellStyle name="Percent 4 9 6 3" xfId="12017" xr:uid="{8C8F7323-F1C7-4DC7-8ABD-438F9939990E}"/>
    <cellStyle name="Percent 4 9 6 3 2" xfId="12018" xr:uid="{47BB1A84-24D6-45B1-8C76-C2F5B839287F}"/>
    <cellStyle name="Percent 4 9 6 4" xfId="12019" xr:uid="{5D30C00C-FC02-45FA-A289-794B2BB6DA6A}"/>
    <cellStyle name="Percent 4 9 7" xfId="12020" xr:uid="{7A92551A-0BCC-44DF-B948-53002BE3C7B8}"/>
    <cellStyle name="Percent 4 9 7 2" xfId="12021" xr:uid="{E0A999C3-B45C-4AD9-8D3C-23BF6A0BE895}"/>
    <cellStyle name="Percent 4 9 8" xfId="12022" xr:uid="{994BC570-8DB3-430D-A6C0-EA24AB7CE826}"/>
    <cellStyle name="Percent 4 9 8 2" xfId="12023" xr:uid="{F6389840-F729-4FD7-8A2F-2381634F6964}"/>
    <cellStyle name="Percent 4 9 9" xfId="12024" xr:uid="{FCF2FE59-5B84-409E-9329-38C9B99B8B51}"/>
    <cellStyle name="Percent 4 9 9 2" xfId="12025" xr:uid="{C1368576-9B7C-42CA-82DF-5F1F85857627}"/>
    <cellStyle name="Percent 5" xfId="301" xr:uid="{1A0AB5A9-3903-49D5-953A-9F0F4EBBDCDC}"/>
    <cellStyle name="Percent 5 10" xfId="4770" xr:uid="{70A2856D-6B50-4310-9E36-4448DA9CB2F0}"/>
    <cellStyle name="Percent 5 10 2" xfId="12028" xr:uid="{57CE0EA9-A976-4844-8B22-7ACECE95A8E3}"/>
    <cellStyle name="Percent 5 10 2 2" xfId="12029" xr:uid="{15711A18-E709-4B72-A82C-0D1EDDB9A842}"/>
    <cellStyle name="Percent 5 10 3" xfId="12030" xr:uid="{F09A6046-5681-45C8-A912-A3858684E684}"/>
    <cellStyle name="Percent 5 10 3 2" xfId="12031" xr:uid="{3D6DD005-0744-4AAD-B343-28D0042689AB}"/>
    <cellStyle name="Percent 5 10 4" xfId="12032" xr:uid="{87B93BEF-8DCB-483C-9461-BDDEB6CFE065}"/>
    <cellStyle name="Percent 5 10 5" xfId="12033" xr:uid="{BF173790-9FA1-46A2-A5D9-900B5D1D78A0}"/>
    <cellStyle name="Percent 5 10 6" xfId="12027" xr:uid="{501C3B52-2ABD-4DC3-92A1-036E65F9B8CB}"/>
    <cellStyle name="Percent 5 11" xfId="4771" xr:uid="{93E67587-DE1C-430B-8BFC-83209A751CF2}"/>
    <cellStyle name="Percent 5 11 2" xfId="12035" xr:uid="{09287E45-BFA9-44EA-8E3B-1ED5E659F86B}"/>
    <cellStyle name="Percent 5 11 2 2" xfId="12036" xr:uid="{12F38D20-CEC8-4B0A-8D64-FB0076919D9F}"/>
    <cellStyle name="Percent 5 11 3" xfId="12037" xr:uid="{3CA22549-8591-4269-AEBE-5F10FDF68E2C}"/>
    <cellStyle name="Percent 5 11 3 2" xfId="12038" xr:uid="{90B7BBF2-C1F2-47C7-BB20-BFF9B406923D}"/>
    <cellStyle name="Percent 5 11 4" xfId="12039" xr:uid="{6D752561-D198-4F31-B155-1A04F062C335}"/>
    <cellStyle name="Percent 5 11 5" xfId="12040" xr:uid="{582C7F87-7E94-44E7-A953-8DB60BC534CC}"/>
    <cellStyle name="Percent 5 11 6" xfId="12034" xr:uid="{9A37AB52-E45A-4DBA-9A20-461C370FDBE5}"/>
    <cellStyle name="Percent 5 12" xfId="12041" xr:uid="{BA72CCB7-61B9-4B65-AF5A-067535868C19}"/>
    <cellStyle name="Percent 5 12 2" xfId="12042" xr:uid="{E6081445-4FA5-4043-920F-806572FE37C5}"/>
    <cellStyle name="Percent 5 12 2 2" xfId="12043" xr:uid="{25302D42-4924-4048-8A7A-CC511730E125}"/>
    <cellStyle name="Percent 5 12 3" xfId="12044" xr:uid="{BA87A638-E832-49FF-8839-EE373F39BCDA}"/>
    <cellStyle name="Percent 5 12 3 2" xfId="12045" xr:uid="{7CB7CA3F-98D9-4C7E-9894-954DBD61330C}"/>
    <cellStyle name="Percent 5 12 4" xfId="12046" xr:uid="{42E40495-1748-4EA4-B41B-F377D9868493}"/>
    <cellStyle name="Percent 5 13" xfId="12047" xr:uid="{650DFE97-EE7E-427E-A4FE-9D49F0E49D2C}"/>
    <cellStyle name="Percent 5 13 2" xfId="12048" xr:uid="{B769BE28-398A-45D2-A70C-41C9C40A3B5F}"/>
    <cellStyle name="Percent 5 13 2 2" xfId="12049" xr:uid="{7A57EBB3-7DF8-4D66-9829-DD2CF71FD665}"/>
    <cellStyle name="Percent 5 13 3" xfId="12050" xr:uid="{4A96CA01-18D3-4D83-BFAB-044F4B0A1207}"/>
    <cellStyle name="Percent 5 13 3 2" xfId="12051" xr:uid="{012680B6-8832-4A6C-8E37-3A0D7E682051}"/>
    <cellStyle name="Percent 5 13 4" xfId="12052" xr:uid="{EB201A77-E71C-409D-8310-A5C38021DB16}"/>
    <cellStyle name="Percent 5 13 4 2" xfId="12053" xr:uid="{CF8AF765-DAC4-422B-8369-FAA1AE6F0D82}"/>
    <cellStyle name="Percent 5 13 5" xfId="12054" xr:uid="{C74CFFE1-B565-4E7A-93C6-97862829C25F}"/>
    <cellStyle name="Percent 5 14" xfId="12055" xr:uid="{1BE61B45-FA14-4E71-83FD-F07359700FF8}"/>
    <cellStyle name="Percent 5 14 2" xfId="12056" xr:uid="{07B51C89-DFE0-46A4-8E27-9BC7CC18CB6B}"/>
    <cellStyle name="Percent 5 14 2 2" xfId="12057" xr:uid="{5C8A1922-C332-4894-ADC3-F20540222594}"/>
    <cellStyle name="Percent 5 14 3" xfId="12058" xr:uid="{49DA71EA-97FE-497D-BB5A-52F08056DE49}"/>
    <cellStyle name="Percent 5 14 3 2" xfId="12059" xr:uid="{18E6E544-AA72-40AC-BCA7-D2395ECBCD2D}"/>
    <cellStyle name="Percent 5 14 4" xfId="12060" xr:uid="{0386BD06-18B0-4803-AE53-537AA820966E}"/>
    <cellStyle name="Percent 5 15" xfId="12061" xr:uid="{6E825718-4E8D-493F-89AD-5D8ACCA7A6F2}"/>
    <cellStyle name="Percent 5 15 2" xfId="12062" xr:uid="{D25E5E5D-2FFC-4A3F-B2AD-87221B159164}"/>
    <cellStyle name="Percent 5 16" xfId="12063" xr:uid="{2FE36601-1DC7-45B2-A054-A5B4A7441B40}"/>
    <cellStyle name="Percent 5 16 2" xfId="12064" xr:uid="{690C45BF-4DE2-4DFF-8206-5E623E502CBB}"/>
    <cellStyle name="Percent 5 17" xfId="12065" xr:uid="{6A068103-C84B-4310-AFD3-6AA8FDD5D5F8}"/>
    <cellStyle name="Percent 5 17 2" xfId="12066" xr:uid="{8B4E287A-80AA-4C0F-A639-57589AF71280}"/>
    <cellStyle name="Percent 5 18" xfId="12067" xr:uid="{5430AEBC-AAA2-4D6A-ADA9-9942B8291092}"/>
    <cellStyle name="Percent 5 19" xfId="12068" xr:uid="{A3A0AC6B-1F99-438A-9BA6-8D01973D173E}"/>
    <cellStyle name="Percent 5 2" xfId="302" xr:uid="{EFB9D834-E1AC-432F-9B76-494C3B12B077}"/>
    <cellStyle name="Percent 5 2 10" xfId="12070" xr:uid="{7F9996F2-8C28-450C-9A4F-EEE858D0F066}"/>
    <cellStyle name="Percent 5 2 11" xfId="12069" xr:uid="{0AA8EAE2-EA4E-42EE-8969-3210F67192AB}"/>
    <cellStyle name="Percent 5 2 2" xfId="12071" xr:uid="{C3818771-4CE6-4FD0-9B58-91ABE9A661DB}"/>
    <cellStyle name="Percent 5 2 2 2" xfId="12072" xr:uid="{C40AB8F9-DCA8-48EE-8A58-21D5EC920164}"/>
    <cellStyle name="Percent 5 2 2 2 2" xfId="12073" xr:uid="{47B76016-ED68-4BD0-818D-7E5DB109238C}"/>
    <cellStyle name="Percent 5 2 2 3" xfId="12074" xr:uid="{E4941AF0-2341-4238-ACE9-DA1859815090}"/>
    <cellStyle name="Percent 5 2 2 3 2" xfId="12075" xr:uid="{0138B231-EC86-40DB-9179-26C79BC67BE3}"/>
    <cellStyle name="Percent 5 2 2 4" xfId="12076" xr:uid="{439FC301-688E-469D-BB09-D8D9C44B68A7}"/>
    <cellStyle name="Percent 5 2 2 5" xfId="12077" xr:uid="{2E43133A-5EC4-41EA-9461-47B5B6AB9DB2}"/>
    <cellStyle name="Percent 5 2 3" xfId="12078" xr:uid="{0541D7AD-D38E-42C0-8FBF-1166A262BBEB}"/>
    <cellStyle name="Percent 5 2 3 2" xfId="12079" xr:uid="{6D505F9E-C70D-4CA4-B00F-FCA84B6A63D6}"/>
    <cellStyle name="Percent 5 2 3 2 2" xfId="12080" xr:uid="{16EA15C3-9ECD-4E13-9557-AE318C95EE45}"/>
    <cellStyle name="Percent 5 2 3 3" xfId="12081" xr:uid="{C59C2338-46C8-41A3-9281-CE1847F72872}"/>
    <cellStyle name="Percent 5 2 3 3 2" xfId="12082" xr:uid="{D5FB56DE-09F1-45F9-A144-4F2CC1F298C5}"/>
    <cellStyle name="Percent 5 2 3 4" xfId="12083" xr:uid="{579D7683-B847-439D-8E4F-8BBBB20767F8}"/>
    <cellStyle name="Percent 5 2 4" xfId="12084" xr:uid="{C1217926-4A13-4CAB-8A13-D62C488AA204}"/>
    <cellStyle name="Percent 5 2 4 2" xfId="12085" xr:uid="{B35964A4-5113-4359-B12D-C059A4C282A3}"/>
    <cellStyle name="Percent 5 2 4 2 2" xfId="12086" xr:uid="{33D8924D-000A-488D-ADB8-8C4D907A2A9E}"/>
    <cellStyle name="Percent 5 2 4 3" xfId="12087" xr:uid="{A7899501-FDA3-44F8-BC1D-3F17E4B15E71}"/>
    <cellStyle name="Percent 5 2 4 3 2" xfId="12088" xr:uid="{E7F16621-2C9F-49D9-9F62-6533D68417DE}"/>
    <cellStyle name="Percent 5 2 4 4" xfId="12089" xr:uid="{0E1B61EF-6A3F-4C01-8D91-EB5616142AD9}"/>
    <cellStyle name="Percent 5 2 4 4 2" xfId="12090" xr:uid="{356C2369-2634-4184-88D7-1E67597150A8}"/>
    <cellStyle name="Percent 5 2 4 5" xfId="12091" xr:uid="{A9F8E632-511D-4C06-AB88-B3B7B1232F27}"/>
    <cellStyle name="Percent 5 2 5" xfId="12092" xr:uid="{44EF99FA-FA81-434F-A46C-F58CD3813119}"/>
    <cellStyle name="Percent 5 2 5 2" xfId="12093" xr:uid="{D231CD7E-6D09-4BD7-9728-B3DC84D62E6C}"/>
    <cellStyle name="Percent 5 2 5 2 2" xfId="12094" xr:uid="{48074F2B-041C-4C1A-A8D5-18AC89AA4F8A}"/>
    <cellStyle name="Percent 5 2 5 3" xfId="12095" xr:uid="{A513F1EC-B4D9-44EF-AE8F-B4F4195D2643}"/>
    <cellStyle name="Percent 5 2 5 3 2" xfId="12096" xr:uid="{84AB83F8-13D9-4B7A-B5B8-9F3084598B2A}"/>
    <cellStyle name="Percent 5 2 5 4" xfId="12097" xr:uid="{BAC96C67-41C7-4EE4-848E-D7B0BA99E2F8}"/>
    <cellStyle name="Percent 5 2 6" xfId="12098" xr:uid="{1352EA20-FE88-4CBA-B8A4-016C1D2C8B3B}"/>
    <cellStyle name="Percent 5 2 6 2" xfId="12099" xr:uid="{C254231D-F191-4F23-8A16-1BCA89136DC2}"/>
    <cellStyle name="Percent 5 2 7" xfId="12100" xr:uid="{28607406-40CB-4591-9C40-BD306A8E03E7}"/>
    <cellStyle name="Percent 5 2 7 2" xfId="12101" xr:uid="{1A1478A6-ED25-452A-B6C0-C752697D3AC6}"/>
    <cellStyle name="Percent 5 2 8" xfId="12102" xr:uid="{96E20410-3B5A-485A-A343-E263CA2601BA}"/>
    <cellStyle name="Percent 5 2 8 2" xfId="12103" xr:uid="{70A3F0E8-28EF-428F-94BB-245E5FA30B43}"/>
    <cellStyle name="Percent 5 2 9" xfId="12104" xr:uid="{C6D20D07-FF5D-435F-9FDE-7CDDDE282DB6}"/>
    <cellStyle name="Percent 5 20" xfId="12026" xr:uid="{FB7F023B-E254-4535-889C-AD8F1857543E}"/>
    <cellStyle name="Percent 5 3" xfId="303" xr:uid="{569BCF79-651D-49DD-8D99-8C8BDA2F6CA1}"/>
    <cellStyle name="Percent 5 3 10" xfId="12106" xr:uid="{3BAF66BA-75E4-412D-B0CA-055B1EE7EA93}"/>
    <cellStyle name="Percent 5 3 11" xfId="12107" xr:uid="{7F7EE4E4-5E50-4663-918D-D3F87564CE78}"/>
    <cellStyle name="Percent 5 3 12" xfId="12105" xr:uid="{B039A11B-1961-4F8A-95F8-FD1F01751C67}"/>
    <cellStyle name="Percent 5 3 2" xfId="3011" xr:uid="{9804A843-D52A-40DC-A66B-046DE4338A78}"/>
    <cellStyle name="Percent 5 3 2 10" xfId="12109" xr:uid="{0F02C861-08FF-4E55-8D45-EF7BD2A08FF9}"/>
    <cellStyle name="Percent 5 3 2 11" xfId="12108" xr:uid="{DBE6B4E2-70AA-4A9E-80D8-9A036149F1A4}"/>
    <cellStyle name="Percent 5 3 2 2" xfId="12110" xr:uid="{51373FA9-CB36-4696-88FF-E3D128388B77}"/>
    <cellStyle name="Percent 5 3 2 2 2" xfId="12111" xr:uid="{11005030-4D86-482C-B6F2-801E87043F07}"/>
    <cellStyle name="Percent 5 3 2 2 2 2" xfId="12112" xr:uid="{D296BDDA-5B1D-4D9D-BEB7-B30C0EEF2FDB}"/>
    <cellStyle name="Percent 5 3 2 2 3" xfId="12113" xr:uid="{4C79684D-78E1-4BFA-956A-4F5D369B34C0}"/>
    <cellStyle name="Percent 5 3 2 2 3 2" xfId="12114" xr:uid="{102CAA12-79AA-4552-B8CC-02DCFDCBBA6F}"/>
    <cellStyle name="Percent 5 3 2 2 4" xfId="12115" xr:uid="{68072BA3-6A33-41E7-9C52-9E5EB821DF00}"/>
    <cellStyle name="Percent 5 3 2 2 5" xfId="12116" xr:uid="{607DC6EE-7D47-4C19-B3FA-2CEAAA103E14}"/>
    <cellStyle name="Percent 5 3 2 3" xfId="12117" xr:uid="{1BC7C91E-6700-4194-B612-4B53F252CDB6}"/>
    <cellStyle name="Percent 5 3 2 3 2" xfId="12118" xr:uid="{23CE316C-B313-4286-82B8-3E3F427D21FA}"/>
    <cellStyle name="Percent 5 3 2 3 2 2" xfId="12119" xr:uid="{CE4000D5-B3A2-4CBA-8972-20FF37215D77}"/>
    <cellStyle name="Percent 5 3 2 3 3" xfId="12120" xr:uid="{52AB313A-E818-49C9-BFFF-2A9DA054B452}"/>
    <cellStyle name="Percent 5 3 2 3 3 2" xfId="12121" xr:uid="{8CEC8061-71E4-44FD-BC5E-A2FA41173494}"/>
    <cellStyle name="Percent 5 3 2 3 4" xfId="12122" xr:uid="{43FE57BD-87BF-4822-BA43-EE64F72D7D10}"/>
    <cellStyle name="Percent 5 3 2 4" xfId="12123" xr:uid="{1972927D-EDEE-4DB7-92A6-060FBDDAC95F}"/>
    <cellStyle name="Percent 5 3 2 4 2" xfId="12124" xr:uid="{BC69D8E8-514C-44A7-8035-8142E083A782}"/>
    <cellStyle name="Percent 5 3 2 4 2 2" xfId="12125" xr:uid="{767C6B5C-D209-4777-AEA3-FFBC822FE90D}"/>
    <cellStyle name="Percent 5 3 2 4 3" xfId="12126" xr:uid="{2DD38875-E54E-4E52-A077-2B9EBA19860C}"/>
    <cellStyle name="Percent 5 3 2 4 3 2" xfId="12127" xr:uid="{8377FA7F-2DAD-4033-90BB-B36C35A1588A}"/>
    <cellStyle name="Percent 5 3 2 4 4" xfId="12128" xr:uid="{FF3B13F8-A51C-4B4D-892C-1717D58C45FA}"/>
    <cellStyle name="Percent 5 3 2 4 4 2" xfId="12129" xr:uid="{5B4A9C7A-A4AD-43ED-8A6F-2495A1323877}"/>
    <cellStyle name="Percent 5 3 2 4 5" xfId="12130" xr:uid="{084A2C56-DD06-4DBB-AF67-356B293D58C3}"/>
    <cellStyle name="Percent 5 3 2 5" xfId="12131" xr:uid="{B4A02879-C316-4C4C-95EF-C3977BEF0F1D}"/>
    <cellStyle name="Percent 5 3 2 5 2" xfId="12132" xr:uid="{612A94F5-CCDD-4E1C-BB27-87E34D962D75}"/>
    <cellStyle name="Percent 5 3 2 5 2 2" xfId="12133" xr:uid="{7CCD9BF2-7226-4FAC-AE33-F9D5BB637996}"/>
    <cellStyle name="Percent 5 3 2 5 3" xfId="12134" xr:uid="{6558F337-BA8C-4C6C-96A6-4A60B0D0D9A8}"/>
    <cellStyle name="Percent 5 3 2 5 3 2" xfId="12135" xr:uid="{AFC7272E-9DB8-414A-B111-006C1108337F}"/>
    <cellStyle name="Percent 5 3 2 5 4" xfId="12136" xr:uid="{5F6905BC-2214-414D-9785-27A6185C0711}"/>
    <cellStyle name="Percent 5 3 2 6" xfId="12137" xr:uid="{6AB8F5F1-6E67-4F11-8821-9338DCD9DD32}"/>
    <cellStyle name="Percent 5 3 2 6 2" xfId="12138" xr:uid="{66AD85D1-3E9D-4609-A3B0-E96ED0ADE761}"/>
    <cellStyle name="Percent 5 3 2 7" xfId="12139" xr:uid="{C786AB20-1826-47F6-8F0B-0EA8B716C2E7}"/>
    <cellStyle name="Percent 5 3 2 7 2" xfId="12140" xr:uid="{D4F3EC0A-483E-4DA0-A6F3-DDDA636BD9F0}"/>
    <cellStyle name="Percent 5 3 2 8" xfId="12141" xr:uid="{6D3EEBB6-D5D5-42AE-ADA4-C86B7B97E441}"/>
    <cellStyle name="Percent 5 3 2 8 2" xfId="12142" xr:uid="{D995571D-6356-44D0-AE2D-519F995D8F13}"/>
    <cellStyle name="Percent 5 3 2 9" xfId="12143" xr:uid="{18CBA536-A319-4514-B451-E1C51B300CC6}"/>
    <cellStyle name="Percent 5 3 3" xfId="12144" xr:uid="{2858B653-DA7B-424E-89D6-608687A41454}"/>
    <cellStyle name="Percent 5 3 3 2" xfId="12145" xr:uid="{4AD2FEBA-2DD8-4845-8062-D24F9EB03925}"/>
    <cellStyle name="Percent 5 3 3 2 2" xfId="12146" xr:uid="{A3BF6A0B-D0F4-45A7-B332-86179AAC3B30}"/>
    <cellStyle name="Percent 5 3 3 3" xfId="12147" xr:uid="{9BD7278E-7FB6-4CBA-A66A-7E9FDAF57F94}"/>
    <cellStyle name="Percent 5 3 3 3 2" xfId="12148" xr:uid="{7C04B622-1910-4125-AA2C-F0DAF08BE3E6}"/>
    <cellStyle name="Percent 5 3 3 4" xfId="12149" xr:uid="{D6199D4E-94FD-4D01-93B9-6EDB435F57A9}"/>
    <cellStyle name="Percent 5 3 3 5" xfId="12150" xr:uid="{8558E51F-70AF-4FF8-8E80-1E75D1422F8D}"/>
    <cellStyle name="Percent 5 3 4" xfId="12151" xr:uid="{E5206FA5-2DC4-4A43-A973-27A57858C4F6}"/>
    <cellStyle name="Percent 5 3 4 2" xfId="12152" xr:uid="{5630DCB3-A084-428F-AD97-CC3A0E69A593}"/>
    <cellStyle name="Percent 5 3 4 2 2" xfId="12153" xr:uid="{41E3D31F-4994-456B-AE0F-9477C1FB7C23}"/>
    <cellStyle name="Percent 5 3 4 3" xfId="12154" xr:uid="{6FE1ABBB-33FF-4FA1-A067-D0BC1B726525}"/>
    <cellStyle name="Percent 5 3 4 3 2" xfId="12155" xr:uid="{B74B4BEF-CC40-4F7E-85D7-4E288A6577E4}"/>
    <cellStyle name="Percent 5 3 4 4" xfId="12156" xr:uid="{FF3A6E70-8232-4B8D-8A9A-955EB67B3655}"/>
    <cellStyle name="Percent 5 3 5" xfId="12157" xr:uid="{41AF0FD9-B411-4928-A3E1-FE751DED7E33}"/>
    <cellStyle name="Percent 5 3 5 2" xfId="12158" xr:uid="{98AF397E-CF13-4807-A1BB-9A0B6B7640FC}"/>
    <cellStyle name="Percent 5 3 5 2 2" xfId="12159" xr:uid="{3F821440-1106-44EE-B32B-F9E3DEF1BE88}"/>
    <cellStyle name="Percent 5 3 5 3" xfId="12160" xr:uid="{BE51DEA9-C0AA-4018-81D9-A8C663D541EA}"/>
    <cellStyle name="Percent 5 3 5 3 2" xfId="12161" xr:uid="{ED63FB6A-1908-4542-A1BB-D47434484C1B}"/>
    <cellStyle name="Percent 5 3 5 4" xfId="12162" xr:uid="{76D84E13-5309-4E90-862E-CE092403F493}"/>
    <cellStyle name="Percent 5 3 5 4 2" xfId="12163" xr:uid="{ACA5A82E-09C2-4E1F-B57D-49CD71443B28}"/>
    <cellStyle name="Percent 5 3 5 5" xfId="12164" xr:uid="{C55C4790-8860-46EE-A35B-951A143946BB}"/>
    <cellStyle name="Percent 5 3 6" xfId="12165" xr:uid="{D7206D06-2A2D-49DB-B298-C7E67A175AAF}"/>
    <cellStyle name="Percent 5 3 6 2" xfId="12166" xr:uid="{E93A6B5A-4154-4ADD-AD6B-C2E963A3C26A}"/>
    <cellStyle name="Percent 5 3 6 2 2" xfId="12167" xr:uid="{554A47A3-DE60-45F4-890B-5BDDBD733B8B}"/>
    <cellStyle name="Percent 5 3 6 3" xfId="12168" xr:uid="{99A1A559-BFA0-4B18-B5C5-6064E225B7FB}"/>
    <cellStyle name="Percent 5 3 6 3 2" xfId="12169" xr:uid="{55C78776-242A-4AF7-ABFD-3B40A4568849}"/>
    <cellStyle name="Percent 5 3 6 4" xfId="12170" xr:uid="{EC55BB89-90EB-4406-A757-7E15942668BD}"/>
    <cellStyle name="Percent 5 3 7" xfId="12171" xr:uid="{EAA0D989-CE13-49FB-951A-72BB910775F9}"/>
    <cellStyle name="Percent 5 3 7 2" xfId="12172" xr:uid="{9EB604AD-60B9-4493-89DC-4E362C5AB33B}"/>
    <cellStyle name="Percent 5 3 8" xfId="12173" xr:uid="{49DDB1E4-CA9D-4417-949B-5C49E18455AF}"/>
    <cellStyle name="Percent 5 3 8 2" xfId="12174" xr:uid="{50BD9912-1B72-4DE8-B047-B0B237023BFF}"/>
    <cellStyle name="Percent 5 3 9" xfId="12175" xr:uid="{887B48F8-02BA-4CDD-81AE-BF72A8710BD2}"/>
    <cellStyle name="Percent 5 3 9 2" xfId="12176" xr:uid="{5C7B7EB9-E4AF-4546-97AB-35CDED13B602}"/>
    <cellStyle name="Percent 5 4" xfId="394" xr:uid="{A719E95D-FB4C-4DC2-8C04-319361317429}"/>
    <cellStyle name="Percent 5 4 10" xfId="12178" xr:uid="{EC6087F5-3526-4D6F-A2BB-EA6A43675D80}"/>
    <cellStyle name="Percent 5 4 11" xfId="12177" xr:uid="{8A95FEB7-B9C7-49AA-B39C-5BC4B0262017}"/>
    <cellStyle name="Percent 5 4 2" xfId="3012" xr:uid="{B7F62793-6B5E-4D9F-88B6-A4948B3B4905}"/>
    <cellStyle name="Percent 5 4 2 2" xfId="12180" xr:uid="{D65A2C93-F0F5-470E-8436-76025BC5425B}"/>
    <cellStyle name="Percent 5 4 2 2 2" xfId="12181" xr:uid="{EECC1C9A-DD75-41F8-9BD2-0DF17EF8CB8B}"/>
    <cellStyle name="Percent 5 4 2 3" xfId="12182" xr:uid="{AF7B833F-2EC9-4DB4-9763-FB8B2534B21C}"/>
    <cellStyle name="Percent 5 4 2 3 2" xfId="12183" xr:uid="{E7ECEA4B-17F7-43D9-9EA1-7AEA18747909}"/>
    <cellStyle name="Percent 5 4 2 4" xfId="12184" xr:uid="{0E3D4C97-4D17-47B8-B64A-82475BE77328}"/>
    <cellStyle name="Percent 5 4 2 5" xfId="12179" xr:uid="{F4E6487D-5D54-4460-8A98-30C14D588A59}"/>
    <cellStyle name="Percent 5 4 3" xfId="12185" xr:uid="{DB74DEB5-241E-4AFB-B2E7-9788C4B06212}"/>
    <cellStyle name="Percent 5 4 3 2" xfId="12186" xr:uid="{39041424-6CDC-4742-8836-F92D457E9221}"/>
    <cellStyle name="Percent 5 4 3 2 2" xfId="12187" xr:uid="{7FB12B86-A328-4B2F-831C-358DF221A3E9}"/>
    <cellStyle name="Percent 5 4 3 3" xfId="12188" xr:uid="{40B9EE3D-62F4-4449-BBE8-8866E03A3642}"/>
    <cellStyle name="Percent 5 4 3 3 2" xfId="12189" xr:uid="{78FB4E40-0C6A-44B6-BFAB-7AC8C819BB71}"/>
    <cellStyle name="Percent 5 4 3 4" xfId="12190" xr:uid="{07936026-B0B7-4FB7-96BF-CD8E52B69403}"/>
    <cellStyle name="Percent 5 4 4" xfId="12191" xr:uid="{D430E728-B4A1-4D4B-B68C-CEBF87207876}"/>
    <cellStyle name="Percent 5 4 4 2" xfId="12192" xr:uid="{A07771F1-844B-4A56-A97E-0551441A78D1}"/>
    <cellStyle name="Percent 5 4 4 2 2" xfId="12193" xr:uid="{2CD46298-57F2-40CF-AE85-9FC88FAFF423}"/>
    <cellStyle name="Percent 5 4 4 3" xfId="12194" xr:uid="{49C2FE70-0D83-4861-9DCC-8F44B1FFD9AB}"/>
    <cellStyle name="Percent 5 4 4 3 2" xfId="12195" xr:uid="{4E6F7651-156B-4095-819F-65FA27167806}"/>
    <cellStyle name="Percent 5 4 4 4" xfId="12196" xr:uid="{2AA346B3-8572-4987-9DCF-A1DE6FE859F8}"/>
    <cellStyle name="Percent 5 4 4 4 2" xfId="12197" xr:uid="{857AD95E-2FC2-44C9-92E4-24987DCC9B9F}"/>
    <cellStyle name="Percent 5 4 4 5" xfId="12198" xr:uid="{9B967FC2-4BD9-44A0-BBEB-CE1D4C6B3826}"/>
    <cellStyle name="Percent 5 4 5" xfId="12199" xr:uid="{83FAC4AA-E835-4572-99C1-5B223472BFBC}"/>
    <cellStyle name="Percent 5 4 5 2" xfId="12200" xr:uid="{3D027160-05E2-43CB-B9C0-820DC64E6BDD}"/>
    <cellStyle name="Percent 5 4 5 2 2" xfId="12201" xr:uid="{DC3A41BD-A639-4473-971D-71E7FAABC2AC}"/>
    <cellStyle name="Percent 5 4 5 3" xfId="12202" xr:uid="{E6501E2D-B034-4CBF-9D09-CAE7F6ECCCF1}"/>
    <cellStyle name="Percent 5 4 5 3 2" xfId="12203" xr:uid="{C09B8A00-F182-44D0-BB79-217220EAA7B9}"/>
    <cellStyle name="Percent 5 4 5 4" xfId="12204" xr:uid="{8EB2E410-120A-4BFB-A06B-7F55744B29F1}"/>
    <cellStyle name="Percent 5 4 6" xfId="12205" xr:uid="{00B8E4AE-D200-4E4F-84BF-1F511E7ADB1E}"/>
    <cellStyle name="Percent 5 4 6 2" xfId="12206" xr:uid="{E4A8245E-A970-45FD-8F92-C2429E495519}"/>
    <cellStyle name="Percent 5 4 7" xfId="12207" xr:uid="{4AA5B92C-C424-4C14-AE88-818B8346C3A2}"/>
    <cellStyle name="Percent 5 4 7 2" xfId="12208" xr:uid="{C1DEDBD8-37E4-4615-A961-70E328465F3F}"/>
    <cellStyle name="Percent 5 4 8" xfId="12209" xr:uid="{B0A92954-2F8A-4235-A070-FDF9AB73BDBD}"/>
    <cellStyle name="Percent 5 4 8 2" xfId="12210" xr:uid="{C9305136-579C-4ABB-A1D7-78866B0DA993}"/>
    <cellStyle name="Percent 5 4 9" xfId="12211" xr:uid="{A80B9036-C9BD-4B0E-8774-AD0C14E54AE7}"/>
    <cellStyle name="Percent 5 5" xfId="3010" xr:uid="{2374430F-ECF9-43F2-AECF-03DA480DEC28}"/>
    <cellStyle name="Percent 5 5 10" xfId="12213" xr:uid="{B739C9AE-D84A-4C0B-B072-E9737C31D2A0}"/>
    <cellStyle name="Percent 5 5 11" xfId="12212" xr:uid="{3F328D91-BCD9-476B-BEC3-E19323C05846}"/>
    <cellStyle name="Percent 5 5 2" xfId="4772" xr:uid="{2A5642F4-220B-4853-A900-A99D468A817E}"/>
    <cellStyle name="Percent 5 5 2 2" xfId="12215" xr:uid="{BEB2ED2C-32EE-4D62-9767-87BE3D16926D}"/>
    <cellStyle name="Percent 5 5 2 2 2" xfId="12216" xr:uid="{6A6E0BDC-BCE7-444D-9D5F-A319DA08CAF4}"/>
    <cellStyle name="Percent 5 5 2 3" xfId="12217" xr:uid="{74F3094C-D8D4-4E90-87FA-908BB619751A}"/>
    <cellStyle name="Percent 5 5 2 3 2" xfId="12218" xr:uid="{D892033A-FAE7-4492-8863-F07C092CCD70}"/>
    <cellStyle name="Percent 5 5 2 4" xfId="12219" xr:uid="{6ADB816D-A228-4683-B953-B1E9633217FF}"/>
    <cellStyle name="Percent 5 5 2 5" xfId="12214" xr:uid="{15287F8F-12EE-4A72-8E23-542638BC6C0A}"/>
    <cellStyle name="Percent 5 5 3" xfId="12220" xr:uid="{BA303860-69F2-43AB-92FF-442A4D5B2E59}"/>
    <cellStyle name="Percent 5 5 3 2" xfId="12221" xr:uid="{FBE47D77-0A73-47DD-801A-D81DBF3E5B63}"/>
    <cellStyle name="Percent 5 5 3 2 2" xfId="12222" xr:uid="{0D83AE2F-55E1-4BC7-A4B7-2FF88E82F11D}"/>
    <cellStyle name="Percent 5 5 3 3" xfId="12223" xr:uid="{3836E37F-C2F5-403E-BA7F-FD2A7EEEB47A}"/>
    <cellStyle name="Percent 5 5 3 3 2" xfId="12224" xr:uid="{985820EB-34BC-420F-A9DD-96725C8F5602}"/>
    <cellStyle name="Percent 5 5 3 4" xfId="12225" xr:uid="{E62888E6-2EEA-4059-B6EA-086C3954671E}"/>
    <cellStyle name="Percent 5 5 4" xfId="12226" xr:uid="{0FC398F4-267B-4AC4-97C9-66D690D8846E}"/>
    <cellStyle name="Percent 5 5 4 2" xfId="12227" xr:uid="{CBDD5C6D-3AD9-46CF-B51D-0B71793C5F61}"/>
    <cellStyle name="Percent 5 5 4 2 2" xfId="12228" xr:uid="{1201EE30-D8AD-4573-B218-E34B0C9C8C3C}"/>
    <cellStyle name="Percent 5 5 4 3" xfId="12229" xr:uid="{101446A8-35B3-4BA4-97B0-F06BB2838DC6}"/>
    <cellStyle name="Percent 5 5 4 3 2" xfId="12230" xr:uid="{66994A56-A97A-4503-8AAC-E3C6864A8793}"/>
    <cellStyle name="Percent 5 5 4 4" xfId="12231" xr:uid="{F97D29FC-B725-4979-A119-80339937FCFE}"/>
    <cellStyle name="Percent 5 5 4 4 2" xfId="12232" xr:uid="{B0F880E6-08EB-4981-ADDB-925DFD261882}"/>
    <cellStyle name="Percent 5 5 4 5" xfId="12233" xr:uid="{E76380FB-8EDE-4EEB-9D0E-53C6B6ACA976}"/>
    <cellStyle name="Percent 5 5 5" xfId="12234" xr:uid="{7A3D6CB8-8834-4995-B2C1-0B0F617DF647}"/>
    <cellStyle name="Percent 5 5 5 2" xfId="12235" xr:uid="{3465DA92-153E-465A-8386-62F18C319B5C}"/>
    <cellStyle name="Percent 5 5 5 2 2" xfId="12236" xr:uid="{B544582F-9E09-4DE4-B7B1-489C4AFFD8C3}"/>
    <cellStyle name="Percent 5 5 5 3" xfId="12237" xr:uid="{4641BCD1-2BAE-470E-81C0-455551EB3372}"/>
    <cellStyle name="Percent 5 5 5 3 2" xfId="12238" xr:uid="{C8F01E47-8B22-4F0F-9EB6-E2F64B346BCA}"/>
    <cellStyle name="Percent 5 5 5 4" xfId="12239" xr:uid="{A4755AB0-3787-4D0D-AFF7-6FA2EA52FD89}"/>
    <cellStyle name="Percent 5 5 6" xfId="12240" xr:uid="{2FE78666-37B4-4D07-AEA0-C261E56FB007}"/>
    <cellStyle name="Percent 5 5 6 2" xfId="12241" xr:uid="{ABFF1518-9EE3-48E2-AECA-33D78C753D42}"/>
    <cellStyle name="Percent 5 5 7" xfId="12242" xr:uid="{70116FE5-4A54-4C43-B46A-AB15C3CB3532}"/>
    <cellStyle name="Percent 5 5 7 2" xfId="12243" xr:uid="{352D08DD-E28D-4B30-AAAB-EB5DEC9D6444}"/>
    <cellStyle name="Percent 5 5 8" xfId="12244" xr:uid="{BA4FEF41-4EC5-41D6-8518-150C84AC030C}"/>
    <cellStyle name="Percent 5 5 8 2" xfId="12245" xr:uid="{0E5F7407-7FEA-4032-9D41-4DF0BD37A8C9}"/>
    <cellStyle name="Percent 5 5 9" xfId="12246" xr:uid="{551F88BE-7EA0-4FF0-851A-41B8103CAB6A}"/>
    <cellStyle name="Percent 5 6" xfId="4773" xr:uid="{03F6DECF-8EA8-4A6F-9087-2D6FE65492BA}"/>
    <cellStyle name="Percent 5 6 10" xfId="12248" xr:uid="{8760D08B-86D9-4725-A116-54DEC4515E38}"/>
    <cellStyle name="Percent 5 6 11" xfId="12247" xr:uid="{13610E73-287A-4549-A1BD-CE666110F36B}"/>
    <cellStyle name="Percent 5 6 2" xfId="12249" xr:uid="{5F72D79E-1456-4797-84DE-8398F4C9A71A}"/>
    <cellStyle name="Percent 5 6 2 2" xfId="12250" xr:uid="{96B999EF-AFD2-4A73-A68B-C4D62E82793E}"/>
    <cellStyle name="Percent 5 6 2 2 2" xfId="12251" xr:uid="{E4B330D9-7CF5-4BEB-9089-C3CB41286FA3}"/>
    <cellStyle name="Percent 5 6 2 3" xfId="12252" xr:uid="{3164B6C7-25CE-469A-B80C-7EF7CF2B4DD8}"/>
    <cellStyle name="Percent 5 6 2 3 2" xfId="12253" xr:uid="{B5290635-FA40-45DC-AF6F-0386AFCF114B}"/>
    <cellStyle name="Percent 5 6 2 4" xfId="12254" xr:uid="{C3B42300-612E-40DD-ACDE-D7930741597E}"/>
    <cellStyle name="Percent 5 6 3" xfId="12255" xr:uid="{8D51C448-C47A-4612-8C0B-9579826E8F5A}"/>
    <cellStyle name="Percent 5 6 3 2" xfId="12256" xr:uid="{99108F41-1C69-4F23-928A-72149CC2BBE5}"/>
    <cellStyle name="Percent 5 6 3 2 2" xfId="12257" xr:uid="{85BC3590-068C-4309-A2FA-3E7A65C37388}"/>
    <cellStyle name="Percent 5 6 3 3" xfId="12258" xr:uid="{9E044C47-A5A4-4A6A-81B1-5E5508E63E97}"/>
    <cellStyle name="Percent 5 6 3 3 2" xfId="12259" xr:uid="{C2807495-0F95-44FB-839B-B517386588F9}"/>
    <cellStyle name="Percent 5 6 3 4" xfId="12260" xr:uid="{59F659F0-8B32-42C3-8D41-7195055D1ED3}"/>
    <cellStyle name="Percent 5 6 4" xfId="12261" xr:uid="{924762FF-B23C-446B-A27D-6766E0ACEC66}"/>
    <cellStyle name="Percent 5 6 4 2" xfId="12262" xr:uid="{51D37234-CA83-411E-8FC6-36803CC976DA}"/>
    <cellStyle name="Percent 5 6 4 2 2" xfId="12263" xr:uid="{3917ABF7-2760-4EA2-898B-70A824D125B2}"/>
    <cellStyle name="Percent 5 6 4 3" xfId="12264" xr:uid="{90B06F31-79AC-4A0E-94BE-57E3E672F953}"/>
    <cellStyle name="Percent 5 6 4 3 2" xfId="12265" xr:uid="{2A831695-60DC-43EB-95D6-CAC315A2BF81}"/>
    <cellStyle name="Percent 5 6 4 4" xfId="12266" xr:uid="{3D589CAE-A26D-43B4-8345-F563E6C623D9}"/>
    <cellStyle name="Percent 5 6 4 4 2" xfId="12267" xr:uid="{D194AFBD-98A9-4661-92BB-B82DC30DA2B6}"/>
    <cellStyle name="Percent 5 6 4 5" xfId="12268" xr:uid="{B92A2E68-7E8E-4847-AFD5-9171EA772C2E}"/>
    <cellStyle name="Percent 5 6 5" xfId="12269" xr:uid="{A13D0D7E-7266-41A3-BAD6-AA038DA9A669}"/>
    <cellStyle name="Percent 5 6 5 2" xfId="12270" xr:uid="{977195CA-CDA9-47E5-AB28-DA046D889710}"/>
    <cellStyle name="Percent 5 6 5 2 2" xfId="12271" xr:uid="{F46B07F2-75D6-466B-A2E1-CE12FC444AED}"/>
    <cellStyle name="Percent 5 6 5 3" xfId="12272" xr:uid="{E78BFB6C-1B59-404C-A897-160CCF4101F4}"/>
    <cellStyle name="Percent 5 6 5 3 2" xfId="12273" xr:uid="{C4E0CEA3-5B0C-4E1E-B01B-A95B2890BA57}"/>
    <cellStyle name="Percent 5 6 5 4" xfId="12274" xr:uid="{91A221AB-6B8C-4AFC-A4E3-B7A9E24EDBFC}"/>
    <cellStyle name="Percent 5 6 6" xfId="12275" xr:uid="{1AC8D8F9-36AE-4000-BA2F-66791752ADBE}"/>
    <cellStyle name="Percent 5 6 6 2" xfId="12276" xr:uid="{270BC63A-91CB-41F8-8BEC-BCD01521F593}"/>
    <cellStyle name="Percent 5 6 7" xfId="12277" xr:uid="{F6AB6D06-9E07-45F8-8338-E9387CF6C813}"/>
    <cellStyle name="Percent 5 6 7 2" xfId="12278" xr:uid="{DD8BF383-EC46-499F-A38B-29682A09FC54}"/>
    <cellStyle name="Percent 5 6 8" xfId="12279" xr:uid="{B69AB3BD-A6B4-4F20-A327-835B02B3528C}"/>
    <cellStyle name="Percent 5 6 8 2" xfId="12280" xr:uid="{8B45415D-516B-4E06-9616-09DAD4C7C55D}"/>
    <cellStyle name="Percent 5 6 9" xfId="12281" xr:uid="{AD8F6EB7-9598-4638-8E7A-E2BB1B0B0FDD}"/>
    <cellStyle name="Percent 5 7" xfId="4774" xr:uid="{FD81F4E2-3AB2-4E96-9E37-4E4ABDE279E4}"/>
    <cellStyle name="Percent 5 7 10" xfId="12283" xr:uid="{72993DC9-69AA-4973-8768-B5D11931527F}"/>
    <cellStyle name="Percent 5 7 11" xfId="12282" xr:uid="{33550582-2366-4175-A20E-18E395CD92D0}"/>
    <cellStyle name="Percent 5 7 2" xfId="12284" xr:uid="{B46E5514-E2D9-4351-A8A3-688CE50D278B}"/>
    <cellStyle name="Percent 5 7 2 2" xfId="12285" xr:uid="{1F8B0AD8-3C78-42AF-BA64-1F7FAC6C84CE}"/>
    <cellStyle name="Percent 5 7 2 2 2" xfId="12286" xr:uid="{E6AC89AA-1C03-4E8D-B8E5-4937B86A0284}"/>
    <cellStyle name="Percent 5 7 2 3" xfId="12287" xr:uid="{00063D49-0BE8-4ADA-9D0F-62BCDD8F0A98}"/>
    <cellStyle name="Percent 5 7 2 3 2" xfId="12288" xr:uid="{C9BD3072-D904-48B2-8B4D-124F8A7ADB5C}"/>
    <cellStyle name="Percent 5 7 2 4" xfId="12289" xr:uid="{A10CA6E1-085D-4C68-AACA-3567C2BE57FB}"/>
    <cellStyle name="Percent 5 7 3" xfId="12290" xr:uid="{398A6F0B-3944-47CD-9CD1-4340E8E6A5DC}"/>
    <cellStyle name="Percent 5 7 3 2" xfId="12291" xr:uid="{DE9D38D5-76C2-4CF1-9652-A372ADA2A398}"/>
    <cellStyle name="Percent 5 7 3 2 2" xfId="12292" xr:uid="{7E4BB29F-F246-48B0-8B20-C73DA0D01FC6}"/>
    <cellStyle name="Percent 5 7 3 3" xfId="12293" xr:uid="{313BB99F-30C8-46B0-85A2-BC9BC824CB0A}"/>
    <cellStyle name="Percent 5 7 3 3 2" xfId="12294" xr:uid="{C5E67638-A451-450B-867A-261C54C5CE64}"/>
    <cellStyle name="Percent 5 7 3 4" xfId="12295" xr:uid="{71E870B4-550E-43C1-AB99-5189C7D84E0C}"/>
    <cellStyle name="Percent 5 7 4" xfId="12296" xr:uid="{9BC034CC-CFBB-493C-B38E-27B354236CCB}"/>
    <cellStyle name="Percent 5 7 4 2" xfId="12297" xr:uid="{2B8B5DEF-24B1-4B8E-B4B7-A9D4D2AE8155}"/>
    <cellStyle name="Percent 5 7 4 2 2" xfId="12298" xr:uid="{D41C76BB-9EA7-4CB8-A609-E53CF7212B81}"/>
    <cellStyle name="Percent 5 7 4 3" xfId="12299" xr:uid="{E1EE49BD-3BDD-476D-9998-7FF1FEB6BC0A}"/>
    <cellStyle name="Percent 5 7 4 3 2" xfId="12300" xr:uid="{A682C337-B931-4671-91C3-9979B6982327}"/>
    <cellStyle name="Percent 5 7 4 4" xfId="12301" xr:uid="{371F5CBE-94FE-47C0-810F-82569565CF16}"/>
    <cellStyle name="Percent 5 7 4 4 2" xfId="12302" xr:uid="{F47A8034-1445-4979-8726-B3DA4A8DCD21}"/>
    <cellStyle name="Percent 5 7 4 5" xfId="12303" xr:uid="{F57E2449-FF5E-42D0-99AD-2EC57AE6FCD8}"/>
    <cellStyle name="Percent 5 7 5" xfId="12304" xr:uid="{991C371D-8122-4D0E-8F6D-7E3A8BC3C94C}"/>
    <cellStyle name="Percent 5 7 5 2" xfId="12305" xr:uid="{4CC790EE-A11C-4162-A9DE-B57716255287}"/>
    <cellStyle name="Percent 5 7 5 2 2" xfId="12306" xr:uid="{DF8E7B20-0718-45D3-AAB1-187BC5FA896E}"/>
    <cellStyle name="Percent 5 7 5 3" xfId="12307" xr:uid="{CB3FE241-5ADB-4653-BBD0-9AD91835662E}"/>
    <cellStyle name="Percent 5 7 5 3 2" xfId="12308" xr:uid="{AB9BFF4D-E1FE-4D3B-8063-734F107EB6D0}"/>
    <cellStyle name="Percent 5 7 5 4" xfId="12309" xr:uid="{1B225D72-2F65-4144-A609-9AE54FB95195}"/>
    <cellStyle name="Percent 5 7 6" xfId="12310" xr:uid="{A3437248-D412-434F-84AC-3BDC4CAD3E8F}"/>
    <cellStyle name="Percent 5 7 6 2" xfId="12311" xr:uid="{DA9C5B50-9F93-4405-AFFC-DFE372287F34}"/>
    <cellStyle name="Percent 5 7 7" xfId="12312" xr:uid="{E9089576-5148-4D6F-9A24-578D49309FCD}"/>
    <cellStyle name="Percent 5 7 7 2" xfId="12313" xr:uid="{50F35413-06E3-453B-8C06-D42916181245}"/>
    <cellStyle name="Percent 5 7 8" xfId="12314" xr:uid="{844F1202-B76E-4981-82C4-13313D5C4A67}"/>
    <cellStyle name="Percent 5 7 8 2" xfId="12315" xr:uid="{2575C7ED-0670-425E-8060-6139B689FAB5}"/>
    <cellStyle name="Percent 5 7 9" xfId="12316" xr:uid="{1602A9DE-3FCC-4BC9-9A15-5102F86781B1}"/>
    <cellStyle name="Percent 5 8" xfId="4775" xr:uid="{8D4FB4D1-EF0B-469E-8135-839C6F82A1DA}"/>
    <cellStyle name="Percent 5 8 10" xfId="12318" xr:uid="{94CDB8D4-D051-4F3A-BB52-B649FEA94F61}"/>
    <cellStyle name="Percent 5 8 11" xfId="12317" xr:uid="{33092F97-AA12-4AA7-AB11-4646552E8B54}"/>
    <cellStyle name="Percent 5 8 2" xfId="12319" xr:uid="{D2BB24B2-629F-4565-BA99-7D40D32C8E3E}"/>
    <cellStyle name="Percent 5 8 2 2" xfId="12320" xr:uid="{5732FC95-368A-4ED6-AC95-1084D5B8AE29}"/>
    <cellStyle name="Percent 5 8 2 2 2" xfId="12321" xr:uid="{90E5BA2F-81FA-4EC0-B52A-FF56BBBFB626}"/>
    <cellStyle name="Percent 5 8 2 3" xfId="12322" xr:uid="{0CDF3780-B87B-48C9-AA84-0435A0894045}"/>
    <cellStyle name="Percent 5 8 2 3 2" xfId="12323" xr:uid="{CB7570DC-B6AB-4871-98FF-F3C17C797FC8}"/>
    <cellStyle name="Percent 5 8 2 4" xfId="12324" xr:uid="{07CCE30A-8BE2-4D39-BAD2-0A5491CE75B3}"/>
    <cellStyle name="Percent 5 8 3" xfId="12325" xr:uid="{8968DCC1-291E-4ABE-90A0-1A8130A858E6}"/>
    <cellStyle name="Percent 5 8 3 2" xfId="12326" xr:uid="{132497EC-A8F6-47A7-9D5C-5EDB393CF784}"/>
    <cellStyle name="Percent 5 8 3 2 2" xfId="12327" xr:uid="{1791CBF2-C02E-4DEA-8A52-7A4B9EAE649A}"/>
    <cellStyle name="Percent 5 8 3 3" xfId="12328" xr:uid="{1171D935-FA4F-4AAC-A8D7-73AABCE0F19E}"/>
    <cellStyle name="Percent 5 8 3 3 2" xfId="12329" xr:uid="{2FFDCA83-DFEB-4121-A8D9-28C52FD1FF9A}"/>
    <cellStyle name="Percent 5 8 3 4" xfId="12330" xr:uid="{AE6CFED4-6433-46A9-A478-CE04CAC65E98}"/>
    <cellStyle name="Percent 5 8 4" xfId="12331" xr:uid="{682EB4E4-34E3-4E16-BEFC-614692FD1B7A}"/>
    <cellStyle name="Percent 5 8 4 2" xfId="12332" xr:uid="{0F7799C9-2184-4D21-9C17-00E19D5E4262}"/>
    <cellStyle name="Percent 5 8 4 2 2" xfId="12333" xr:uid="{D716509A-8FE1-4C52-B07D-4797EC82EE86}"/>
    <cellStyle name="Percent 5 8 4 3" xfId="12334" xr:uid="{4F21F0E9-FF91-40B1-8808-A3EF0C0DC1B7}"/>
    <cellStyle name="Percent 5 8 4 3 2" xfId="12335" xr:uid="{BBF884FB-085F-41FF-8B03-642024B76F87}"/>
    <cellStyle name="Percent 5 8 4 4" xfId="12336" xr:uid="{355AC348-27B5-4929-8684-F8C688EF6F55}"/>
    <cellStyle name="Percent 5 8 4 4 2" xfId="12337" xr:uid="{E51B6163-8C8A-41F4-99F6-9744701DA539}"/>
    <cellStyle name="Percent 5 8 4 5" xfId="12338" xr:uid="{9B62C0DC-8DB1-462C-BCAD-1C41B55AC5BE}"/>
    <cellStyle name="Percent 5 8 5" xfId="12339" xr:uid="{D732CC51-5B07-408A-A491-88A2C14C96DD}"/>
    <cellStyle name="Percent 5 8 5 2" xfId="12340" xr:uid="{BE0C9EF0-0F55-4DE8-AB3E-FBA263346F57}"/>
    <cellStyle name="Percent 5 8 5 2 2" xfId="12341" xr:uid="{564D7B73-DE20-41B8-8DE5-23C87DDA29A0}"/>
    <cellStyle name="Percent 5 8 5 3" xfId="12342" xr:uid="{3D54ED5D-09E3-4F69-85E5-6962F57165E2}"/>
    <cellStyle name="Percent 5 8 5 3 2" xfId="12343" xr:uid="{595779C1-B637-49AF-BEA9-95DA7004FC67}"/>
    <cellStyle name="Percent 5 8 5 4" xfId="12344" xr:uid="{FA3AFE27-C43F-4300-A72C-2EEB69D3D870}"/>
    <cellStyle name="Percent 5 8 6" xfId="12345" xr:uid="{B09A51A4-8719-4AFC-AB14-80D80A73F59C}"/>
    <cellStyle name="Percent 5 8 6 2" xfId="12346" xr:uid="{8A629169-A86C-43C6-8958-7B796EDFF300}"/>
    <cellStyle name="Percent 5 8 7" xfId="12347" xr:uid="{20A79629-D1A9-401A-91C5-31C22251D14D}"/>
    <cellStyle name="Percent 5 8 7 2" xfId="12348" xr:uid="{145667BD-A704-408C-B9B5-2D93C64893A3}"/>
    <cellStyle name="Percent 5 8 8" xfId="12349" xr:uid="{9EE0D4D1-E93D-420E-A1A0-450EAE141A27}"/>
    <cellStyle name="Percent 5 8 8 2" xfId="12350" xr:uid="{B911D798-8CCA-4AEA-9AA7-C87AEF6FA38A}"/>
    <cellStyle name="Percent 5 8 9" xfId="12351" xr:uid="{79CC31FE-8794-4E87-B1AE-D0960AE11360}"/>
    <cellStyle name="Percent 5 9" xfId="4776" xr:uid="{A5F2F0B6-F728-42DE-A9F2-81980AF35EEE}"/>
    <cellStyle name="Percent 5 9 10" xfId="12353" xr:uid="{6E5B0488-2A7B-4776-96AB-466739D12599}"/>
    <cellStyle name="Percent 5 9 11" xfId="12352" xr:uid="{69199697-60AB-47E9-BE36-AB166CDA98B4}"/>
    <cellStyle name="Percent 5 9 2" xfId="4777" xr:uid="{8ED69E0C-769C-4DC0-9EAE-17EDDE72B57F}"/>
    <cellStyle name="Percent 5 9 2 2" xfId="12355" xr:uid="{F7CB42D5-8197-4E18-86A6-7C59A28978F7}"/>
    <cellStyle name="Percent 5 9 2 2 2" xfId="12356" xr:uid="{595DDD2E-9120-4A9F-BFAF-DFD4A79E122B}"/>
    <cellStyle name="Percent 5 9 2 3" xfId="12357" xr:uid="{FFDA3C98-DFAE-4A92-8821-36FB4346CD55}"/>
    <cellStyle name="Percent 5 9 2 3 2" xfId="12358" xr:uid="{BA7343D2-9302-49EC-8353-D0A817861F0A}"/>
    <cellStyle name="Percent 5 9 2 4" xfId="12359" xr:uid="{6EFC79C8-10D7-4B2E-BC03-ED2FBE151177}"/>
    <cellStyle name="Percent 5 9 2 5" xfId="12354" xr:uid="{806EFFE5-24C0-4908-BC9C-4D3CE68C52AE}"/>
    <cellStyle name="Percent 5 9 3" xfId="12360" xr:uid="{401FD9E1-9323-44C2-94B2-A26416A2219C}"/>
    <cellStyle name="Percent 5 9 3 2" xfId="12361" xr:uid="{37027121-D0FB-44F8-92AF-1EB7839DC1A7}"/>
    <cellStyle name="Percent 5 9 3 2 2" xfId="12362" xr:uid="{028495BB-A21A-461C-A627-AA2F1CFBBCEB}"/>
    <cellStyle name="Percent 5 9 3 3" xfId="12363" xr:uid="{3CC8AC63-CE70-4E3D-9660-FB9A7CDA5ECA}"/>
    <cellStyle name="Percent 5 9 3 3 2" xfId="12364" xr:uid="{D99CB54F-2CDF-4EE7-B3F5-AC1AE6844F8A}"/>
    <cellStyle name="Percent 5 9 3 4" xfId="12365" xr:uid="{A1C05DA1-D003-490E-96DF-50CAF79DDA7F}"/>
    <cellStyle name="Percent 5 9 4" xfId="12366" xr:uid="{6A90B184-49DE-4D5D-AF29-E53EB1586738}"/>
    <cellStyle name="Percent 5 9 4 2" xfId="12367" xr:uid="{12D41DC8-3971-4A4D-820E-5E994EEE2877}"/>
    <cellStyle name="Percent 5 9 4 2 2" xfId="12368" xr:uid="{DBFB485B-EB5C-4651-9F76-0BFE3D2C0A68}"/>
    <cellStyle name="Percent 5 9 4 3" xfId="12369" xr:uid="{BB2CA296-575C-43B8-8A92-B945D426AEBA}"/>
    <cellStyle name="Percent 5 9 4 3 2" xfId="12370" xr:uid="{49A89BEF-15B4-415B-A068-E13117208371}"/>
    <cellStyle name="Percent 5 9 4 4" xfId="12371" xr:uid="{F13BA53F-34C5-46DE-BAF1-FA29B3764A48}"/>
    <cellStyle name="Percent 5 9 4 4 2" xfId="12372" xr:uid="{16395060-18B5-4125-8BA0-79731600085E}"/>
    <cellStyle name="Percent 5 9 4 5" xfId="12373" xr:uid="{879C9D8A-E8A2-492C-85A0-7FC61218420D}"/>
    <cellStyle name="Percent 5 9 5" xfId="12374" xr:uid="{B1A9CFE0-68B4-4096-9086-FD0D5BCB927D}"/>
    <cellStyle name="Percent 5 9 5 2" xfId="12375" xr:uid="{B63AA1C4-2A26-4668-A1E0-00A258D4D718}"/>
    <cellStyle name="Percent 5 9 5 2 2" xfId="12376" xr:uid="{067EB944-4D0E-4D38-9C4D-99A55AE94819}"/>
    <cellStyle name="Percent 5 9 5 3" xfId="12377" xr:uid="{48F34CAF-9CDB-4E4F-8D7F-F50B40AB6598}"/>
    <cellStyle name="Percent 5 9 5 3 2" xfId="12378" xr:uid="{92BBC29E-D5DC-4315-BBB9-D4BCA6234D89}"/>
    <cellStyle name="Percent 5 9 5 4" xfId="12379" xr:uid="{969273CF-5EFE-4CB4-BBF6-8C877D1DE2F8}"/>
    <cellStyle name="Percent 5 9 6" xfId="12380" xr:uid="{65E14E7D-26A7-4FBF-85D0-59CBA7E94762}"/>
    <cellStyle name="Percent 5 9 6 2" xfId="12381" xr:uid="{EE8CAA43-1F8A-4DDF-A9D9-2F6816242A73}"/>
    <cellStyle name="Percent 5 9 7" xfId="12382" xr:uid="{E7795ED7-CACE-47D7-A835-F48948CCFDDD}"/>
    <cellStyle name="Percent 5 9 7 2" xfId="12383" xr:uid="{B4F5BD1E-4145-48C7-88CB-DC5F02509C84}"/>
    <cellStyle name="Percent 5 9 8" xfId="12384" xr:uid="{F92A02CF-D0A7-4FF1-9FA9-572C2937BF67}"/>
    <cellStyle name="Percent 5 9 8 2" xfId="12385" xr:uid="{DD550ADD-130F-4FA2-A8C0-D009C224E8EB}"/>
    <cellStyle name="Percent 5 9 9" xfId="12386" xr:uid="{B10B790C-AA60-4137-A4F1-CFEE474CDF19}"/>
    <cellStyle name="Percent 6" xfId="344" xr:uid="{12F0C42A-7F6E-42F7-B357-CE47EA7CF95B}"/>
    <cellStyle name="Percent 6 10" xfId="12388" xr:uid="{F22CB1A2-42FA-4F3C-BC6E-D85B3AF38284}"/>
    <cellStyle name="Percent 6 10 2" xfId="12389" xr:uid="{2EEE6164-893F-4465-8D6F-2F785D118249}"/>
    <cellStyle name="Percent 6 10 2 2" xfId="12390" xr:uid="{D7B38B5A-5D5A-46E2-96EE-6E8AA17668EA}"/>
    <cellStyle name="Percent 6 10 3" xfId="12391" xr:uid="{DCDC982A-DB85-4E65-B3C4-34C9C82D042A}"/>
    <cellStyle name="Percent 6 10 3 2" xfId="12392" xr:uid="{6B462C1A-2C3A-48D0-BA33-78323CDC08F3}"/>
    <cellStyle name="Percent 6 10 4" xfId="12393" xr:uid="{E187BB1B-E87E-40AA-AF6F-1F346B9C1D13}"/>
    <cellStyle name="Percent 6 10 5" xfId="12394" xr:uid="{A348093E-CD2E-4BF8-91A8-86F30AE1CCF7}"/>
    <cellStyle name="Percent 6 11" xfId="12395" xr:uid="{B4AF93C7-CD84-4F04-9A37-59B77AF0C2D4}"/>
    <cellStyle name="Percent 6 11 2" xfId="12396" xr:uid="{0BC267C9-5B16-4087-A8C4-4AD49C1235F4}"/>
    <cellStyle name="Percent 6 11 2 2" xfId="12397" xr:uid="{78E61D41-244E-4C8B-AB88-16BD8B82751A}"/>
    <cellStyle name="Percent 6 11 3" xfId="12398" xr:uid="{E9041614-E3C1-45C0-90AC-82D0A3E68F05}"/>
    <cellStyle name="Percent 6 11 3 2" xfId="12399" xr:uid="{E6B25915-1B75-45F5-9A3E-35439B11F13B}"/>
    <cellStyle name="Percent 6 11 4" xfId="12400" xr:uid="{3C123407-E929-4DE5-9076-DC0F06CD5536}"/>
    <cellStyle name="Percent 6 11 5" xfId="12401" xr:uid="{5C485520-5FB8-4561-8C7D-EB73238FE139}"/>
    <cellStyle name="Percent 6 12" xfId="12402" xr:uid="{524E6319-10DF-492E-8505-E905BF653D98}"/>
    <cellStyle name="Percent 6 12 2" xfId="12403" xr:uid="{52C4D1DA-879C-456D-BD53-BDD92A6ACAEE}"/>
    <cellStyle name="Percent 6 12 2 2" xfId="12404" xr:uid="{F58ECD8A-3598-4444-A368-77107508ED9A}"/>
    <cellStyle name="Percent 6 12 3" xfId="12405" xr:uid="{B1367C3C-F64E-4FBB-A160-CE275FAE05AA}"/>
    <cellStyle name="Percent 6 12 3 2" xfId="12406" xr:uid="{2670E9F3-26F1-46CF-A200-2EFA1CCB56F9}"/>
    <cellStyle name="Percent 6 12 4" xfId="12407" xr:uid="{0ADF9ABD-C7C7-47FE-8D9C-076C645058AF}"/>
    <cellStyle name="Percent 6 13" xfId="12408" xr:uid="{407878CF-11FA-4F5D-BE9B-08253B516E15}"/>
    <cellStyle name="Percent 6 13 2" xfId="12409" xr:uid="{C7BCB0A1-FA0B-45E0-8A6D-2D307FEDCBBF}"/>
    <cellStyle name="Percent 6 13 2 2" xfId="12410" xr:uid="{BE18A2BA-09ED-4FC7-8384-177D7BE70007}"/>
    <cellStyle name="Percent 6 13 3" xfId="12411" xr:uid="{B98F292B-06A5-4431-A0D4-FF527AD2EA6D}"/>
    <cellStyle name="Percent 6 13 3 2" xfId="12412" xr:uid="{20359A55-53FB-4564-A286-A61162C4F37E}"/>
    <cellStyle name="Percent 6 13 4" xfId="12413" xr:uid="{9108EFEF-8522-4A15-878B-A66C6784783E}"/>
    <cellStyle name="Percent 6 13 4 2" xfId="12414" xr:uid="{58667D04-1981-468E-8276-156EBBE9C911}"/>
    <cellStyle name="Percent 6 13 5" xfId="12415" xr:uid="{84795BCC-AF64-454F-8A70-9C41E663743E}"/>
    <cellStyle name="Percent 6 14" xfId="12416" xr:uid="{3E962BE8-8A44-48CC-A4CC-3C02CBA9FF91}"/>
    <cellStyle name="Percent 6 14 2" xfId="12417" xr:uid="{EA7A9F28-FBAE-48B3-AEED-017C3305F690}"/>
    <cellStyle name="Percent 6 14 2 2" xfId="12418" xr:uid="{E26F4A49-3D30-4029-89B7-FE0D63FD789A}"/>
    <cellStyle name="Percent 6 14 3" xfId="12419" xr:uid="{CA53C4F2-E5EA-47F4-895C-63E28AA00BDD}"/>
    <cellStyle name="Percent 6 14 3 2" xfId="12420" xr:uid="{D1C6105F-91FD-4B52-8F49-4E25BD218648}"/>
    <cellStyle name="Percent 6 14 4" xfId="12421" xr:uid="{59FD6788-8587-4FB5-9516-B8A3FD5C19A3}"/>
    <cellStyle name="Percent 6 15" xfId="12422" xr:uid="{3502FD67-1B5B-4B9A-BB7F-63767D412EEA}"/>
    <cellStyle name="Percent 6 15 2" xfId="12423" xr:uid="{51C137A0-6D82-4B20-9849-960D0699DC83}"/>
    <cellStyle name="Percent 6 16" xfId="12424" xr:uid="{202904C4-9F1D-4876-B95D-2FA47304378A}"/>
    <cellStyle name="Percent 6 16 2" xfId="12425" xr:uid="{B76F0312-4027-441F-87F3-CA1CE3FC23CD}"/>
    <cellStyle name="Percent 6 17" xfId="12426" xr:uid="{E21FC7B6-96D5-426F-89CF-42EFDA810DC1}"/>
    <cellStyle name="Percent 6 17 2" xfId="12427" xr:uid="{6B255E05-43E5-47A3-BD3C-D43ED0268A72}"/>
    <cellStyle name="Percent 6 18" xfId="12428" xr:uid="{E42220C2-EFC2-4F5D-A696-77841CEAD5C6}"/>
    <cellStyle name="Percent 6 19" xfId="12429" xr:uid="{2CDBAE5C-F8A9-4BD3-A50C-0B2124A1EF9C}"/>
    <cellStyle name="Percent 6 2" xfId="3014" xr:uid="{12A97467-DE2D-42F7-8C73-993299D82E19}"/>
    <cellStyle name="Percent 6 2 10" xfId="12431" xr:uid="{472C16F2-3538-4A50-ADE8-9738BBF371A2}"/>
    <cellStyle name="Percent 6 2 11" xfId="12430" xr:uid="{D63737A2-47BF-4563-ABAC-330B544C2D77}"/>
    <cellStyle name="Percent 6 2 2" xfId="12432" xr:uid="{8F680D06-8159-4598-9F30-9254561F5E6A}"/>
    <cellStyle name="Percent 6 2 2 2" xfId="12433" xr:uid="{FE8AE5F4-3907-457C-A660-62FA0BA1F368}"/>
    <cellStyle name="Percent 6 2 2 2 2" xfId="12434" xr:uid="{8BF13855-2B12-4F2D-9A27-AC56CF42ED54}"/>
    <cellStyle name="Percent 6 2 2 3" xfId="12435" xr:uid="{0CBBDCE9-6FF9-42B6-B8BA-168C677D61C4}"/>
    <cellStyle name="Percent 6 2 2 3 2" xfId="12436" xr:uid="{2A1E6F91-E190-4B58-9B8F-EA96A2A26F66}"/>
    <cellStyle name="Percent 6 2 2 4" xfId="12437" xr:uid="{86EA80C9-D555-481F-870A-1570DE41C73C}"/>
    <cellStyle name="Percent 6 2 3" xfId="12438" xr:uid="{8FE176D2-D43C-41FA-81E4-DD3B182DB33F}"/>
    <cellStyle name="Percent 6 2 3 2" xfId="12439" xr:uid="{36B16FAC-5114-4EEB-843E-9AB071E8952D}"/>
    <cellStyle name="Percent 6 2 3 2 2" xfId="12440" xr:uid="{9486F81C-B692-4699-BDD8-A63A1C7E1C88}"/>
    <cellStyle name="Percent 6 2 3 3" xfId="12441" xr:uid="{60A4D167-157B-4B4B-A882-EA43A5E93363}"/>
    <cellStyle name="Percent 6 2 3 3 2" xfId="12442" xr:uid="{2DC6D7AF-9437-4B65-9DF8-2F29B08B6B40}"/>
    <cellStyle name="Percent 6 2 3 4" xfId="12443" xr:uid="{7E24EC88-23AC-4F25-B966-7149DAFF3ACA}"/>
    <cellStyle name="Percent 6 2 4" xfId="12444" xr:uid="{B20A6A44-1881-42CB-9EED-146AA93294C3}"/>
    <cellStyle name="Percent 6 2 4 2" xfId="12445" xr:uid="{6543DA58-0A96-46C6-9AEE-4532C36B25E6}"/>
    <cellStyle name="Percent 6 2 4 2 2" xfId="12446" xr:uid="{4E30EF01-3340-43CE-AC08-A9C1156B25B3}"/>
    <cellStyle name="Percent 6 2 4 3" xfId="12447" xr:uid="{D59CCFA4-73E4-41B7-B973-D19042884BB9}"/>
    <cellStyle name="Percent 6 2 4 3 2" xfId="12448" xr:uid="{490CEB86-C1C9-416D-84C8-20D74B6E419C}"/>
    <cellStyle name="Percent 6 2 4 4" xfId="12449" xr:uid="{AC43482E-B181-4991-A2E0-F62A8117A043}"/>
    <cellStyle name="Percent 6 2 4 4 2" xfId="12450" xr:uid="{100B2DA3-3FB5-4172-83C1-13FBEE078562}"/>
    <cellStyle name="Percent 6 2 4 5" xfId="12451" xr:uid="{FB7564FA-C4CE-46E4-81AA-A0F470E47A29}"/>
    <cellStyle name="Percent 6 2 5" xfId="12452" xr:uid="{81BC8C58-2771-4F38-AC46-9A9A0ED55E1D}"/>
    <cellStyle name="Percent 6 2 5 2" xfId="12453" xr:uid="{341BEF3B-62C0-441F-96FF-81509DE57255}"/>
    <cellStyle name="Percent 6 2 5 2 2" xfId="12454" xr:uid="{F494E1CF-0F85-4FEF-A530-018FF94F24ED}"/>
    <cellStyle name="Percent 6 2 5 3" xfId="12455" xr:uid="{BD444A30-A966-465E-9761-96FC81939D88}"/>
    <cellStyle name="Percent 6 2 5 3 2" xfId="12456" xr:uid="{43031890-38FE-4921-B050-7C277133A668}"/>
    <cellStyle name="Percent 6 2 5 4" xfId="12457" xr:uid="{D90DB88B-6E1F-4CF6-909E-0EEFE565C887}"/>
    <cellStyle name="Percent 6 2 6" xfId="12458" xr:uid="{ABD57990-955C-4D57-A215-3D43F91734DC}"/>
    <cellStyle name="Percent 6 2 6 2" xfId="12459" xr:uid="{3C78153F-CB92-4342-8482-EE12204842BE}"/>
    <cellStyle name="Percent 6 2 7" xfId="12460" xr:uid="{1B598897-7C95-4F29-B82C-DA1A1EF6050E}"/>
    <cellStyle name="Percent 6 2 7 2" xfId="12461" xr:uid="{D3C3024F-1995-4EA9-A71A-994B88D2D0BA}"/>
    <cellStyle name="Percent 6 2 8" xfId="12462" xr:uid="{8B61516E-CC49-4457-B37E-03F4C25926E6}"/>
    <cellStyle name="Percent 6 2 8 2" xfId="12463" xr:uid="{2024E4F7-C991-4BDE-BE2C-B28F01E91264}"/>
    <cellStyle name="Percent 6 2 9" xfId="12464" xr:uid="{B59ACDB1-0756-409E-848E-A3DEB704CDCC}"/>
    <cellStyle name="Percent 6 20" xfId="12387" xr:uid="{B3274726-A00A-49F1-987A-7F10A5AC052F}"/>
    <cellStyle name="Percent 6 3" xfId="3013" xr:uid="{5D3BEE03-935B-495E-AB9F-8B79877BC448}"/>
    <cellStyle name="Percent 6 3 10" xfId="12466" xr:uid="{79FF1ABC-96EC-4518-BBE3-4D38223AE41B}"/>
    <cellStyle name="Percent 6 3 11" xfId="12465" xr:uid="{9F1BA88C-38E0-4231-AB36-D4F12915B613}"/>
    <cellStyle name="Percent 6 3 2" xfId="4778" xr:uid="{53DCAE89-7E18-4577-831A-A781EB933E6B}"/>
    <cellStyle name="Percent 6 3 2 2" xfId="12468" xr:uid="{C7E15A93-132A-4D2F-AC2F-3EC4E3193181}"/>
    <cellStyle name="Percent 6 3 2 2 2" xfId="12469" xr:uid="{5BC34142-5255-40D1-A4AA-47DDD61A9587}"/>
    <cellStyle name="Percent 6 3 2 3" xfId="12470" xr:uid="{5A5466E3-2098-4382-A2EA-52D359A84A48}"/>
    <cellStyle name="Percent 6 3 2 3 2" xfId="12471" xr:uid="{813745D7-46AC-44E5-AB5D-1EEA6BED21C4}"/>
    <cellStyle name="Percent 6 3 2 4" xfId="12472" xr:uid="{1C4485E9-792C-446A-8DF6-BDAE7DFA25D4}"/>
    <cellStyle name="Percent 6 3 2 5" xfId="12467" xr:uid="{FDCC43CC-0394-498E-AA07-6BE5ABAFA733}"/>
    <cellStyle name="Percent 6 3 3" xfId="12473" xr:uid="{CB6591C9-7FA9-4B52-A881-DD3F75B7C23D}"/>
    <cellStyle name="Percent 6 3 3 2" xfId="12474" xr:uid="{ECB124F6-9AD1-4263-8636-CEEE54860DB1}"/>
    <cellStyle name="Percent 6 3 3 2 2" xfId="12475" xr:uid="{AAF205A9-BCAA-432F-97D8-65B6D0B96CCF}"/>
    <cellStyle name="Percent 6 3 3 3" xfId="12476" xr:uid="{9458848F-FE9C-41B2-810E-567E45FD62EB}"/>
    <cellStyle name="Percent 6 3 3 3 2" xfId="12477" xr:uid="{C00C1E35-E2CA-40B3-9406-8DE2216C51AD}"/>
    <cellStyle name="Percent 6 3 3 4" xfId="12478" xr:uid="{86421C8C-EF6B-4E87-9DC2-ED6C6542875D}"/>
    <cellStyle name="Percent 6 3 4" xfId="12479" xr:uid="{8CD9DAEB-0A2F-4DBF-AA08-882B237212C9}"/>
    <cellStyle name="Percent 6 3 4 2" xfId="12480" xr:uid="{3922E487-83C5-460D-A8F8-8FEDF0A07DCC}"/>
    <cellStyle name="Percent 6 3 4 2 2" xfId="12481" xr:uid="{4EEE8D5E-8BA6-44B2-A8A0-563A6085608B}"/>
    <cellStyle name="Percent 6 3 4 3" xfId="12482" xr:uid="{609205BD-5447-4B89-AD6D-272AAF7BD117}"/>
    <cellStyle name="Percent 6 3 4 3 2" xfId="12483" xr:uid="{EEAA8B3F-89B0-4C91-B0CB-DA437C7B2021}"/>
    <cellStyle name="Percent 6 3 4 4" xfId="12484" xr:uid="{74146852-406C-4E54-9ABC-C70BEE0D345B}"/>
    <cellStyle name="Percent 6 3 4 4 2" xfId="12485" xr:uid="{0CA06DFA-916F-4921-A66A-9BEB2FF59959}"/>
    <cellStyle name="Percent 6 3 4 5" xfId="12486" xr:uid="{2D9E7BF6-7A78-403E-86B0-C29ADEAA37D2}"/>
    <cellStyle name="Percent 6 3 5" xfId="12487" xr:uid="{B2E8D69A-61D8-40D3-A473-E8ACF2D9FDF1}"/>
    <cellStyle name="Percent 6 3 5 2" xfId="12488" xr:uid="{D503B5F5-D948-49F0-B3C2-6CE05063963A}"/>
    <cellStyle name="Percent 6 3 5 2 2" xfId="12489" xr:uid="{2326B299-54E6-4C68-AE89-2541ADE57CEB}"/>
    <cellStyle name="Percent 6 3 5 3" xfId="12490" xr:uid="{885DC84B-CF57-44FC-B440-6E57C5DD50D3}"/>
    <cellStyle name="Percent 6 3 5 3 2" xfId="12491" xr:uid="{89284B77-431A-4A93-B657-BA9D543B8377}"/>
    <cellStyle name="Percent 6 3 5 4" xfId="12492" xr:uid="{35738C36-A3DE-43FB-B4A5-A8F9273FE608}"/>
    <cellStyle name="Percent 6 3 6" xfId="12493" xr:uid="{A5B62C7E-E61E-4348-A54F-7514C69B5539}"/>
    <cellStyle name="Percent 6 3 6 2" xfId="12494" xr:uid="{A00B6EDE-7628-4DAD-A83A-7E6E7BB571B5}"/>
    <cellStyle name="Percent 6 3 7" xfId="12495" xr:uid="{A72E58DF-7D12-4D9F-A749-0B3A9513372C}"/>
    <cellStyle name="Percent 6 3 7 2" xfId="12496" xr:uid="{270F24DA-4267-4DC8-A5D3-CC21A373E031}"/>
    <cellStyle name="Percent 6 3 8" xfId="12497" xr:uid="{34EEBB36-07FF-413B-9497-E0AC9C278B79}"/>
    <cellStyle name="Percent 6 3 8 2" xfId="12498" xr:uid="{D988FFB4-34E3-4A8C-ACF3-4C64D2ED073C}"/>
    <cellStyle name="Percent 6 3 9" xfId="12499" xr:uid="{62F17F93-AD66-43DF-9E4F-6FF7A498C9B6}"/>
    <cellStyle name="Percent 6 4" xfId="4779" xr:uid="{14FA747A-AB51-4E71-96D9-9E1FCC8793A6}"/>
    <cellStyle name="Percent 6 4 10" xfId="12501" xr:uid="{CC15F49B-52E5-44CF-A828-59F648D88F4E}"/>
    <cellStyle name="Percent 6 4 11" xfId="12500" xr:uid="{23D4DDB5-125F-4F46-9D7E-E66565C51B1E}"/>
    <cellStyle name="Percent 6 4 2" xfId="12502" xr:uid="{EE31D524-FA2C-4756-AD09-38434BAEE343}"/>
    <cellStyle name="Percent 6 4 2 2" xfId="12503" xr:uid="{A49E45FB-E5E8-4278-A8A6-7E7D68CE78CB}"/>
    <cellStyle name="Percent 6 4 2 2 2" xfId="12504" xr:uid="{0696722B-641E-4EAA-A001-4A891FFA2325}"/>
    <cellStyle name="Percent 6 4 2 3" xfId="12505" xr:uid="{3F271184-6583-490F-BAE7-9F0AC55A1E4F}"/>
    <cellStyle name="Percent 6 4 2 3 2" xfId="12506" xr:uid="{C4655C16-864B-4971-9F26-B3D287931BE5}"/>
    <cellStyle name="Percent 6 4 2 4" xfId="12507" xr:uid="{9686AC36-D7FD-4B89-9026-DAF1014A003F}"/>
    <cellStyle name="Percent 6 4 3" xfId="12508" xr:uid="{5C88F8CB-6535-4D66-8C1D-5522613B281C}"/>
    <cellStyle name="Percent 6 4 3 2" xfId="12509" xr:uid="{609B9B33-85FB-40C2-96F0-55221131DF72}"/>
    <cellStyle name="Percent 6 4 3 2 2" xfId="12510" xr:uid="{4A364A1C-B475-44FD-B0C9-D98F289B05FD}"/>
    <cellStyle name="Percent 6 4 3 3" xfId="12511" xr:uid="{64DED880-6BF2-43C7-905B-7A4F6369BD6C}"/>
    <cellStyle name="Percent 6 4 3 3 2" xfId="12512" xr:uid="{AB75778C-7B5A-4327-AB3E-5AF5331917CA}"/>
    <cellStyle name="Percent 6 4 3 4" xfId="12513" xr:uid="{DB68F107-839F-4D7E-8781-92CA8A1F7AE6}"/>
    <cellStyle name="Percent 6 4 4" xfId="12514" xr:uid="{E03D1EEE-4788-4BBB-BBC2-A72FC25A91A7}"/>
    <cellStyle name="Percent 6 4 4 2" xfId="12515" xr:uid="{55FE7607-76C6-443F-9C3F-61D8C840EC85}"/>
    <cellStyle name="Percent 6 4 4 2 2" xfId="12516" xr:uid="{63CEF0C8-1BA9-4F24-8876-FE39A32B54B1}"/>
    <cellStyle name="Percent 6 4 4 3" xfId="12517" xr:uid="{428A1E51-C023-4164-B09A-C9BF88E5C3B6}"/>
    <cellStyle name="Percent 6 4 4 3 2" xfId="12518" xr:uid="{1EA72DC8-09D8-4A9E-A953-612D4AAA92E0}"/>
    <cellStyle name="Percent 6 4 4 4" xfId="12519" xr:uid="{97E92392-9FF7-4760-81CB-54E827E7621F}"/>
    <cellStyle name="Percent 6 4 4 4 2" xfId="12520" xr:uid="{EECF1536-7D47-4C8E-BCDD-CFB3255B0EE7}"/>
    <cellStyle name="Percent 6 4 4 5" xfId="12521" xr:uid="{8EEDAFA0-DDB3-470A-9972-392916CE500F}"/>
    <cellStyle name="Percent 6 4 5" xfId="12522" xr:uid="{8D39BB58-AE0E-4422-89FA-87FAAE716260}"/>
    <cellStyle name="Percent 6 4 5 2" xfId="12523" xr:uid="{D40BFF12-42EA-4ADA-8B3E-4CB96D5B0025}"/>
    <cellStyle name="Percent 6 4 5 2 2" xfId="12524" xr:uid="{DEC4203C-9153-4C7A-983C-42530662A24C}"/>
    <cellStyle name="Percent 6 4 5 3" xfId="12525" xr:uid="{E483ED41-10A6-46CB-92A3-65601C090CD2}"/>
    <cellStyle name="Percent 6 4 5 3 2" xfId="12526" xr:uid="{D5B4BD3D-A64A-4972-94FA-5BFD1BD7D758}"/>
    <cellStyle name="Percent 6 4 5 4" xfId="12527" xr:uid="{99708C0A-B5B5-4146-8ADC-EB8691EA0676}"/>
    <cellStyle name="Percent 6 4 6" xfId="12528" xr:uid="{E2751F81-5BC0-41DE-845B-F3E23CDFD594}"/>
    <cellStyle name="Percent 6 4 6 2" xfId="12529" xr:uid="{8C8A7544-AFF3-49A4-9984-A7D0A7972195}"/>
    <cellStyle name="Percent 6 4 7" xfId="12530" xr:uid="{D5AEEA96-6E15-4B05-9DDA-E1CC1ED35057}"/>
    <cellStyle name="Percent 6 4 7 2" xfId="12531" xr:uid="{25FE1F4C-E193-4589-98CB-A85A71EA6C62}"/>
    <cellStyle name="Percent 6 4 8" xfId="12532" xr:uid="{950AD5AA-39F2-4F1E-A6A2-FF990EF05490}"/>
    <cellStyle name="Percent 6 4 8 2" xfId="12533" xr:uid="{E4928948-13F2-47A3-B594-906270363460}"/>
    <cellStyle name="Percent 6 4 9" xfId="12534" xr:uid="{FB1262F2-B8B8-4548-B536-B265456A7888}"/>
    <cellStyle name="Percent 6 5" xfId="4780" xr:uid="{C6767263-ABC9-46DB-9AE3-CD8A3C466786}"/>
    <cellStyle name="Percent 6 5 10" xfId="12536" xr:uid="{8F526C74-7C4A-4DB7-93F0-C743A620EC53}"/>
    <cellStyle name="Percent 6 5 11" xfId="12535" xr:uid="{45B38CA6-0F24-4048-9C20-138FD6C97955}"/>
    <cellStyle name="Percent 6 5 2" xfId="12537" xr:uid="{7EBDECA6-4853-4A05-8530-66B20F9E45E4}"/>
    <cellStyle name="Percent 6 5 2 2" xfId="12538" xr:uid="{B9F8D5F6-FC42-472F-AB75-31DECB450A3D}"/>
    <cellStyle name="Percent 6 5 2 2 2" xfId="12539" xr:uid="{6C03E672-C79C-4478-9B23-EB3C945FC97E}"/>
    <cellStyle name="Percent 6 5 2 3" xfId="12540" xr:uid="{5EB5CAE0-696E-4C3C-AB68-6CB0F5DE0DF9}"/>
    <cellStyle name="Percent 6 5 2 3 2" xfId="12541" xr:uid="{7E6D81B1-D434-483A-9DC1-3E3063F04D0E}"/>
    <cellStyle name="Percent 6 5 2 4" xfId="12542" xr:uid="{A9F4A963-DB57-4F47-8637-E40CEE3C97B4}"/>
    <cellStyle name="Percent 6 5 3" xfId="12543" xr:uid="{5D8853C9-E5BB-49CD-A2AE-76FA42BF9BFB}"/>
    <cellStyle name="Percent 6 5 3 2" xfId="12544" xr:uid="{809160C4-BF32-41D4-9812-653E88295C0B}"/>
    <cellStyle name="Percent 6 5 3 2 2" xfId="12545" xr:uid="{D91462FD-9BCE-44B1-8A8C-F9F16F32FCB2}"/>
    <cellStyle name="Percent 6 5 3 3" xfId="12546" xr:uid="{93671529-11B1-4DB6-BAC4-04B1C47BAADA}"/>
    <cellStyle name="Percent 6 5 3 3 2" xfId="12547" xr:uid="{8F1C36A2-8075-424F-8D67-7AF3979D62CC}"/>
    <cellStyle name="Percent 6 5 3 4" xfId="12548" xr:uid="{42DE2651-7AAB-4F97-8C16-9863B3B632AE}"/>
    <cellStyle name="Percent 6 5 4" xfId="12549" xr:uid="{8B2670F6-C900-4D75-B8F1-A7B71966C026}"/>
    <cellStyle name="Percent 6 5 4 2" xfId="12550" xr:uid="{4E323547-4316-4962-9CAC-413F4538FAFE}"/>
    <cellStyle name="Percent 6 5 4 2 2" xfId="12551" xr:uid="{6DAE0D79-D7AF-437F-BDEE-15ACA455791E}"/>
    <cellStyle name="Percent 6 5 4 3" xfId="12552" xr:uid="{22815DAE-145E-43DE-BFB2-A81D76A01E26}"/>
    <cellStyle name="Percent 6 5 4 3 2" xfId="12553" xr:uid="{DF2EE203-07E8-46E1-9E09-B768A7CC3D17}"/>
    <cellStyle name="Percent 6 5 4 4" xfId="12554" xr:uid="{37CC4C74-F76E-4003-93D0-7BD9D85CB5DE}"/>
    <cellStyle name="Percent 6 5 4 4 2" xfId="12555" xr:uid="{6F27CB17-616A-458D-8291-E87FC3F00D22}"/>
    <cellStyle name="Percent 6 5 4 5" xfId="12556" xr:uid="{211EF373-868C-439F-8CFB-F69C862790A8}"/>
    <cellStyle name="Percent 6 5 5" xfId="12557" xr:uid="{74913DE8-6A35-4D6F-98E5-0C6AEDBD6EC4}"/>
    <cellStyle name="Percent 6 5 5 2" xfId="12558" xr:uid="{783FDC61-38AF-4F56-B0AC-DE2259300FBD}"/>
    <cellStyle name="Percent 6 5 5 2 2" xfId="12559" xr:uid="{B041032D-1FC9-4AC8-ABA8-D8A4264298D4}"/>
    <cellStyle name="Percent 6 5 5 3" xfId="12560" xr:uid="{B62D0410-36DD-4016-83B9-AF3339FB5891}"/>
    <cellStyle name="Percent 6 5 5 3 2" xfId="12561" xr:uid="{5DF8A4A6-4D52-4797-ADB9-A8F00A59CD94}"/>
    <cellStyle name="Percent 6 5 5 4" xfId="12562" xr:uid="{23B870BC-45D4-4797-909F-CCC9EE828B48}"/>
    <cellStyle name="Percent 6 5 6" xfId="12563" xr:uid="{30E7800E-C516-4C6B-9E1D-4B7036C2791B}"/>
    <cellStyle name="Percent 6 5 6 2" xfId="12564" xr:uid="{CDA1CB44-A8ED-4FBA-8C0A-F1CC149FE342}"/>
    <cellStyle name="Percent 6 5 7" xfId="12565" xr:uid="{9487DB78-2947-4CF8-87D9-6974D5784237}"/>
    <cellStyle name="Percent 6 5 7 2" xfId="12566" xr:uid="{DFE6C699-4A3D-45FF-ABCD-D226E68B2E3C}"/>
    <cellStyle name="Percent 6 5 8" xfId="12567" xr:uid="{4C94AD92-8442-42C7-937B-EFD46B1C64E2}"/>
    <cellStyle name="Percent 6 5 8 2" xfId="12568" xr:uid="{B419D90F-6456-4F32-9364-F8CBCE4811AC}"/>
    <cellStyle name="Percent 6 5 9" xfId="12569" xr:uid="{55241600-CAFB-4FB6-9CCE-EAC6343300D4}"/>
    <cellStyle name="Percent 6 6" xfId="4781" xr:uid="{9E3987D7-2D3B-44A4-9E73-E6B263AA0501}"/>
    <cellStyle name="Percent 6 6 10" xfId="12571" xr:uid="{AF680BE4-DA6A-478E-946A-D50957D25655}"/>
    <cellStyle name="Percent 6 6 11" xfId="12570" xr:uid="{03CFDA42-C3B8-48A4-AAFA-15877AF539F4}"/>
    <cellStyle name="Percent 6 6 2" xfId="12572" xr:uid="{8D8C0021-AFE9-48AC-83A1-582273F1013A}"/>
    <cellStyle name="Percent 6 6 2 2" xfId="12573" xr:uid="{1DA37152-F529-495B-91DD-EF24CE19A24C}"/>
    <cellStyle name="Percent 6 6 2 2 2" xfId="12574" xr:uid="{C4E383E8-F899-4117-9642-EC9812D610F2}"/>
    <cellStyle name="Percent 6 6 2 3" xfId="12575" xr:uid="{5CAC282F-31E6-49B4-B277-9674888E99D7}"/>
    <cellStyle name="Percent 6 6 2 3 2" xfId="12576" xr:uid="{CD46EAB1-CA5D-406B-BFB6-F2FA5DBCB02C}"/>
    <cellStyle name="Percent 6 6 2 4" xfId="12577" xr:uid="{4D563445-BAD9-48D3-9438-10D9285F5253}"/>
    <cellStyle name="Percent 6 6 3" xfId="12578" xr:uid="{016AC9FB-0E06-41B4-8851-737AFD0DDB32}"/>
    <cellStyle name="Percent 6 6 3 2" xfId="12579" xr:uid="{A2A484E2-2D7A-4F7D-9445-94AE939657E6}"/>
    <cellStyle name="Percent 6 6 3 2 2" xfId="12580" xr:uid="{348153C9-A086-4E54-8480-8F4001873B49}"/>
    <cellStyle name="Percent 6 6 3 3" xfId="12581" xr:uid="{D90DCA3D-A6E8-40A7-A4A4-E33E25746E11}"/>
    <cellStyle name="Percent 6 6 3 3 2" xfId="12582" xr:uid="{AD13445F-86FE-4B1C-AD08-821294B4831E}"/>
    <cellStyle name="Percent 6 6 3 4" xfId="12583" xr:uid="{06333AA9-D4D2-4814-A4E1-CF807AB8A624}"/>
    <cellStyle name="Percent 6 6 4" xfId="12584" xr:uid="{C559C567-7E78-43B8-8B37-2ADDDF5B7E4F}"/>
    <cellStyle name="Percent 6 6 4 2" xfId="12585" xr:uid="{C2F4CD8B-0047-46CB-8F24-9D6DFEC4881A}"/>
    <cellStyle name="Percent 6 6 4 2 2" xfId="12586" xr:uid="{5ED4B294-6D4F-41F7-B659-4281CD89B929}"/>
    <cellStyle name="Percent 6 6 4 3" xfId="12587" xr:uid="{E22312AC-F250-4672-A6CC-47B7703BFF57}"/>
    <cellStyle name="Percent 6 6 4 3 2" xfId="12588" xr:uid="{E192F3D5-0201-4C73-80D3-0A16720978D0}"/>
    <cellStyle name="Percent 6 6 4 4" xfId="12589" xr:uid="{0BDCF0B8-E24A-4D99-B40C-69CF80AF713E}"/>
    <cellStyle name="Percent 6 6 4 4 2" xfId="12590" xr:uid="{DF7E9F74-E383-4EC4-A912-4FE777ED9C4D}"/>
    <cellStyle name="Percent 6 6 4 5" xfId="12591" xr:uid="{BCBC5EE4-7F60-494F-9707-58028172C6C8}"/>
    <cellStyle name="Percent 6 6 5" xfId="12592" xr:uid="{46A88B67-DB98-4E5D-A308-CCC09551FF10}"/>
    <cellStyle name="Percent 6 6 5 2" xfId="12593" xr:uid="{126DDF9D-331C-4C05-9AA9-7D16E126EB77}"/>
    <cellStyle name="Percent 6 6 5 2 2" xfId="12594" xr:uid="{1922B317-BD7B-45DA-80C0-8367E7B85FF2}"/>
    <cellStyle name="Percent 6 6 5 3" xfId="12595" xr:uid="{B7D2AC6D-AFC0-4A2F-8522-AF1307037BDC}"/>
    <cellStyle name="Percent 6 6 5 3 2" xfId="12596" xr:uid="{B492013E-C69E-41C9-8044-469672991899}"/>
    <cellStyle name="Percent 6 6 5 4" xfId="12597" xr:uid="{0DB4961B-4FED-444C-A81C-4C784145D456}"/>
    <cellStyle name="Percent 6 6 6" xfId="12598" xr:uid="{2976DB1A-427D-416E-95E8-DBB7D795ED70}"/>
    <cellStyle name="Percent 6 6 6 2" xfId="12599" xr:uid="{A7E32066-FF13-43EA-9D88-EC460CD9B53C}"/>
    <cellStyle name="Percent 6 6 7" xfId="12600" xr:uid="{2586DF50-B448-47FE-BD8B-199FDCF3564E}"/>
    <cellStyle name="Percent 6 6 7 2" xfId="12601" xr:uid="{50F09EEF-09A2-4BEB-AC1D-0FD75373E613}"/>
    <cellStyle name="Percent 6 6 8" xfId="12602" xr:uid="{05F185B0-4401-4803-BEE5-854542A9AF37}"/>
    <cellStyle name="Percent 6 6 8 2" xfId="12603" xr:uid="{2CD14E8C-9986-4F78-937F-0D663EE3F150}"/>
    <cellStyle name="Percent 6 6 9" xfId="12604" xr:uid="{779DC743-B7A7-4A0B-B96D-4AC2BA86C69F}"/>
    <cellStyle name="Percent 6 7" xfId="4782" xr:uid="{20B50478-4937-4663-B59B-E855208562FA}"/>
    <cellStyle name="Percent 6 7 10" xfId="12606" xr:uid="{F074A360-A738-472A-95A3-E514408668C0}"/>
    <cellStyle name="Percent 6 7 11" xfId="12605" xr:uid="{54694006-BD15-476A-80A2-997D7C647B8B}"/>
    <cellStyle name="Percent 6 7 2" xfId="12607" xr:uid="{38A9422F-425A-49D0-9594-2A8B11F164AC}"/>
    <cellStyle name="Percent 6 7 2 2" xfId="12608" xr:uid="{DECF23EE-9A98-4475-9EFB-8A40A82A5F42}"/>
    <cellStyle name="Percent 6 7 2 2 2" xfId="12609" xr:uid="{C684501B-7330-4949-91C8-6FD7E9F1AC3D}"/>
    <cellStyle name="Percent 6 7 2 3" xfId="12610" xr:uid="{3491A171-0C8D-4812-A053-BA7ABA18AE6E}"/>
    <cellStyle name="Percent 6 7 2 3 2" xfId="12611" xr:uid="{52B700E8-AE16-460E-A719-D8E3768FAB53}"/>
    <cellStyle name="Percent 6 7 2 4" xfId="12612" xr:uid="{113C5B45-E447-47C4-8D83-FA067A5366A2}"/>
    <cellStyle name="Percent 6 7 3" xfId="12613" xr:uid="{1F74CA13-9B2D-4FEB-BE8A-9B802551B334}"/>
    <cellStyle name="Percent 6 7 3 2" xfId="12614" xr:uid="{75C4317C-F5FE-4E7F-B329-61D4A2A3605C}"/>
    <cellStyle name="Percent 6 7 3 2 2" xfId="12615" xr:uid="{987AEC17-137A-45E5-A38B-92C7952F1D75}"/>
    <cellStyle name="Percent 6 7 3 3" xfId="12616" xr:uid="{67C50E25-35E5-4E68-A50D-A5C003D0AED1}"/>
    <cellStyle name="Percent 6 7 3 3 2" xfId="12617" xr:uid="{9ADC5D49-EDD1-4A94-ADFC-0AE030A0469F}"/>
    <cellStyle name="Percent 6 7 3 4" xfId="12618" xr:uid="{BBAE87E1-B69D-4DA3-988B-E88026A66B6F}"/>
    <cellStyle name="Percent 6 7 4" xfId="12619" xr:uid="{F47242A3-5358-4010-947F-E198A10061F0}"/>
    <cellStyle name="Percent 6 7 4 2" xfId="12620" xr:uid="{CF66D6B8-5BDB-4F3E-81D6-305B8506651E}"/>
    <cellStyle name="Percent 6 7 4 2 2" xfId="12621" xr:uid="{C3DE7E96-C7A0-4B1A-9E64-03D91D39BE2D}"/>
    <cellStyle name="Percent 6 7 4 3" xfId="12622" xr:uid="{436B1ECD-7E8B-4B4A-8FA1-9D8B6CC09A16}"/>
    <cellStyle name="Percent 6 7 4 3 2" xfId="12623" xr:uid="{28DF1776-D0AB-4F65-A920-68574AF0DB25}"/>
    <cellStyle name="Percent 6 7 4 4" xfId="12624" xr:uid="{EF5A34C6-039A-4680-8D79-086CDA4B418A}"/>
    <cellStyle name="Percent 6 7 4 4 2" xfId="12625" xr:uid="{BF75B0B5-367D-47E2-92E9-65311E232C0F}"/>
    <cellStyle name="Percent 6 7 4 5" xfId="12626" xr:uid="{93A35FAF-1DD2-4206-95B6-F7C2D3434A0E}"/>
    <cellStyle name="Percent 6 7 5" xfId="12627" xr:uid="{21D703BD-6309-41DF-BF06-1DFBCA824F90}"/>
    <cellStyle name="Percent 6 7 5 2" xfId="12628" xr:uid="{DD07C427-4E1D-4AC5-9ECA-E224151F2010}"/>
    <cellStyle name="Percent 6 7 5 2 2" xfId="12629" xr:uid="{88DA4667-3232-4DD2-8D10-2DE77BCBAAB7}"/>
    <cellStyle name="Percent 6 7 5 3" xfId="12630" xr:uid="{0C7B28FA-6C65-468A-AF69-23D0FE6CEFB1}"/>
    <cellStyle name="Percent 6 7 5 3 2" xfId="12631" xr:uid="{350B1305-590F-4C1B-ACCF-BCD5AF36B8DC}"/>
    <cellStyle name="Percent 6 7 5 4" xfId="12632" xr:uid="{F447A387-930E-4C70-95CE-DC5400685AD3}"/>
    <cellStyle name="Percent 6 7 6" xfId="12633" xr:uid="{35880498-1419-4F84-AF56-E63D057EAC62}"/>
    <cellStyle name="Percent 6 7 6 2" xfId="12634" xr:uid="{A8D9471D-27A9-40C7-9E69-76225F492826}"/>
    <cellStyle name="Percent 6 7 7" xfId="12635" xr:uid="{5FA6E7C2-62D4-4FF2-92AC-587B6987BE39}"/>
    <cellStyle name="Percent 6 7 7 2" xfId="12636" xr:uid="{7D2AF5F6-7BCE-4F82-8463-0BB877F8F766}"/>
    <cellStyle name="Percent 6 7 8" xfId="12637" xr:uid="{DC6C946D-CC0E-458E-8D3C-CBEEB60B8C62}"/>
    <cellStyle name="Percent 6 7 8 2" xfId="12638" xr:uid="{22AF3DB1-1339-4398-9367-68E93DAA71DF}"/>
    <cellStyle name="Percent 6 7 9" xfId="12639" xr:uid="{DE5C9F02-5262-4A56-945C-28519DFC7CA7}"/>
    <cellStyle name="Percent 6 8" xfId="4783" xr:uid="{86640859-5EC0-4206-944F-B029B980CB81}"/>
    <cellStyle name="Percent 6 8 10" xfId="12641" xr:uid="{05133483-84CA-4419-A864-54ED05DCEC7E}"/>
    <cellStyle name="Percent 6 8 11" xfId="12640" xr:uid="{CFF95F3E-C4B6-4FCC-B9A9-11635F568356}"/>
    <cellStyle name="Percent 6 8 2" xfId="12642" xr:uid="{33E96743-72C7-4F90-97A5-FFFD8FBA6F01}"/>
    <cellStyle name="Percent 6 8 2 2" xfId="12643" xr:uid="{427ABDE6-9273-4B24-A4B2-81ACD5BAF8EC}"/>
    <cellStyle name="Percent 6 8 2 2 2" xfId="12644" xr:uid="{CD66F039-7432-41CA-AB31-3DBB93D786B8}"/>
    <cellStyle name="Percent 6 8 2 3" xfId="12645" xr:uid="{32333150-1FE8-4FC5-9216-026B6AA19FFB}"/>
    <cellStyle name="Percent 6 8 2 3 2" xfId="12646" xr:uid="{1D8AB830-34EB-4FCA-8D6D-C1C145FA4D33}"/>
    <cellStyle name="Percent 6 8 2 4" xfId="12647" xr:uid="{DA467960-EB3E-475B-A761-D04CE322D381}"/>
    <cellStyle name="Percent 6 8 3" xfId="12648" xr:uid="{A39D78B4-A8DB-469C-B101-ED6726924C35}"/>
    <cellStyle name="Percent 6 8 3 2" xfId="12649" xr:uid="{AE63152B-AACC-41F9-8512-32AEF08C221A}"/>
    <cellStyle name="Percent 6 8 3 2 2" xfId="12650" xr:uid="{5F6FC804-6642-41CE-A67E-7E4C8C496ECC}"/>
    <cellStyle name="Percent 6 8 3 3" xfId="12651" xr:uid="{A49C7D9F-4AAF-4F85-9A87-FB8AA4D50C18}"/>
    <cellStyle name="Percent 6 8 3 3 2" xfId="12652" xr:uid="{7195901E-5D81-46B6-98F4-BC34255F4EDA}"/>
    <cellStyle name="Percent 6 8 3 4" xfId="12653" xr:uid="{834617BB-ABD1-4CBA-B593-ACD4F58DDCA2}"/>
    <cellStyle name="Percent 6 8 4" xfId="12654" xr:uid="{216ECED8-F386-4FF2-8609-CC54D7195563}"/>
    <cellStyle name="Percent 6 8 4 2" xfId="12655" xr:uid="{BA4BEB1C-7A3A-4169-A260-22153E0D6B46}"/>
    <cellStyle name="Percent 6 8 4 2 2" xfId="12656" xr:uid="{0C807935-8847-49DE-92A8-6649F559A1FB}"/>
    <cellStyle name="Percent 6 8 4 3" xfId="12657" xr:uid="{A64AC832-8027-4784-98FB-90216437F6A0}"/>
    <cellStyle name="Percent 6 8 4 3 2" xfId="12658" xr:uid="{EE8A3556-9066-45A7-A038-C331E5BC1B5B}"/>
    <cellStyle name="Percent 6 8 4 4" xfId="12659" xr:uid="{BBECE44D-A899-4FFC-84A1-0A6792FEE329}"/>
    <cellStyle name="Percent 6 8 4 4 2" xfId="12660" xr:uid="{0F1A95E9-956F-43D3-B228-08DC6E09D255}"/>
    <cellStyle name="Percent 6 8 4 5" xfId="12661" xr:uid="{5AECD43E-962E-41BD-9114-8B95AFE6D61C}"/>
    <cellStyle name="Percent 6 8 5" xfId="12662" xr:uid="{FE44184F-9786-4EF0-A6D7-DEB7856E3BD9}"/>
    <cellStyle name="Percent 6 8 5 2" xfId="12663" xr:uid="{159939D6-0839-4865-9F17-CE5777F56311}"/>
    <cellStyle name="Percent 6 8 5 2 2" xfId="12664" xr:uid="{88EC5378-2049-4E28-9917-09142233F73C}"/>
    <cellStyle name="Percent 6 8 5 3" xfId="12665" xr:uid="{D1356BB5-1DC6-406C-A49C-1C2DCC4D44F9}"/>
    <cellStyle name="Percent 6 8 5 3 2" xfId="12666" xr:uid="{48DCE068-F207-4DEA-A138-D678C460180F}"/>
    <cellStyle name="Percent 6 8 5 4" xfId="12667" xr:uid="{C96CB3A7-C6DB-4740-B424-3C4538A100BD}"/>
    <cellStyle name="Percent 6 8 6" xfId="12668" xr:uid="{CCC1E94F-87BE-4745-94E1-822C90CEC937}"/>
    <cellStyle name="Percent 6 8 6 2" xfId="12669" xr:uid="{5105463C-E0AE-44BC-8D60-C672AF7B268A}"/>
    <cellStyle name="Percent 6 8 7" xfId="12670" xr:uid="{BB936C94-CE63-48F6-9E10-3109D40E47F5}"/>
    <cellStyle name="Percent 6 8 7 2" xfId="12671" xr:uid="{C24EBCA3-FDA9-4459-BAFB-DDA9BBC83C6E}"/>
    <cellStyle name="Percent 6 8 8" xfId="12672" xr:uid="{8829A09B-98B5-49D5-8854-A27BB9C30D1B}"/>
    <cellStyle name="Percent 6 8 8 2" xfId="12673" xr:uid="{3FCE4662-CB55-4F23-BB71-2223BC93BAF3}"/>
    <cellStyle name="Percent 6 8 9" xfId="12674" xr:uid="{FDF9F571-BD33-4439-9245-6EFEB1576F55}"/>
    <cellStyle name="Percent 6 9" xfId="12675" xr:uid="{B2FCCF73-C5E8-4AE2-8275-2846B10FE7BE}"/>
    <cellStyle name="Percent 6 9 10" xfId="12676" xr:uid="{307787D9-7D29-4AA2-8381-F4260A16FAFB}"/>
    <cellStyle name="Percent 6 9 2" xfId="12677" xr:uid="{023F3ECB-C4CB-4D56-9174-019A04BC2692}"/>
    <cellStyle name="Percent 6 9 2 2" xfId="12678" xr:uid="{551CEF5E-8D2B-4BD1-B7E8-12D5D12ACC35}"/>
    <cellStyle name="Percent 6 9 2 2 2" xfId="12679" xr:uid="{F83D752A-303B-497B-AAE4-243ABC500804}"/>
    <cellStyle name="Percent 6 9 2 3" xfId="12680" xr:uid="{3CBB170E-48F8-4A57-A08A-EDEA2785AE40}"/>
    <cellStyle name="Percent 6 9 2 3 2" xfId="12681" xr:uid="{0806FCB3-9FFF-44E3-9158-F3CB1616C389}"/>
    <cellStyle name="Percent 6 9 2 4" xfId="12682" xr:uid="{3ECE3E7C-B00D-4526-ACC8-B8ACF7641C56}"/>
    <cellStyle name="Percent 6 9 3" xfId="12683" xr:uid="{35DFA1B4-D536-4A02-97EC-9A821CC14B26}"/>
    <cellStyle name="Percent 6 9 3 2" xfId="12684" xr:uid="{7A35FCB2-A328-4576-A7FB-80D96C5B1277}"/>
    <cellStyle name="Percent 6 9 3 2 2" xfId="12685" xr:uid="{C0E17DE8-8866-4665-9BC6-EE8101233693}"/>
    <cellStyle name="Percent 6 9 3 3" xfId="12686" xr:uid="{44D47C4D-1207-4B06-A78C-863C237D889B}"/>
    <cellStyle name="Percent 6 9 3 3 2" xfId="12687" xr:uid="{B685BAC0-A25E-444A-A425-EA8025BB95B3}"/>
    <cellStyle name="Percent 6 9 3 4" xfId="12688" xr:uid="{751A1431-71D6-44CA-86CF-DDF94C092FDB}"/>
    <cellStyle name="Percent 6 9 4" xfId="12689" xr:uid="{F49217C0-E67F-472A-9F53-4B22DF2C8032}"/>
    <cellStyle name="Percent 6 9 4 2" xfId="12690" xr:uid="{BC3C8DE7-9399-4203-AE2C-0A9ADF01C205}"/>
    <cellStyle name="Percent 6 9 4 2 2" xfId="12691" xr:uid="{177BFADE-62C7-4B5B-ACA9-992950FEDC0A}"/>
    <cellStyle name="Percent 6 9 4 3" xfId="12692" xr:uid="{CAECE331-8979-415B-93A2-05C3A0EB58B0}"/>
    <cellStyle name="Percent 6 9 4 3 2" xfId="12693" xr:uid="{6C0E5DC1-0C69-4F9A-87C8-13C07C42C307}"/>
    <cellStyle name="Percent 6 9 4 4" xfId="12694" xr:uid="{34443AB2-1E42-4993-A9DB-A700127B6EC3}"/>
    <cellStyle name="Percent 6 9 4 4 2" xfId="12695" xr:uid="{1B8F0786-EC52-44FC-A934-406CE7889C3C}"/>
    <cellStyle name="Percent 6 9 4 5" xfId="12696" xr:uid="{64A2C044-DB10-47EC-9951-DC4949062076}"/>
    <cellStyle name="Percent 6 9 5" xfId="12697" xr:uid="{4B524B9C-9652-488A-8219-7009DE18808B}"/>
    <cellStyle name="Percent 6 9 5 2" xfId="12698" xr:uid="{0F6D561C-9658-4D86-905C-6F07DFFB8C36}"/>
    <cellStyle name="Percent 6 9 5 2 2" xfId="12699" xr:uid="{9352B71A-E9BA-4C0F-85FD-D245E83E0F24}"/>
    <cellStyle name="Percent 6 9 5 3" xfId="12700" xr:uid="{29E482A1-4E37-4DE7-9595-1D07E38D9854}"/>
    <cellStyle name="Percent 6 9 5 3 2" xfId="12701" xr:uid="{9CB2E612-4422-4C60-93BA-CC0132670CFC}"/>
    <cellStyle name="Percent 6 9 5 4" xfId="12702" xr:uid="{956CBEE1-BFCE-40EC-AD23-EB5FB7B1C491}"/>
    <cellStyle name="Percent 6 9 6" xfId="12703" xr:uid="{3117A27D-95DB-4F3B-92F6-372BFD573A9F}"/>
    <cellStyle name="Percent 6 9 6 2" xfId="12704" xr:uid="{4BA1335A-AB9A-45CA-8555-CF6760629DA3}"/>
    <cellStyle name="Percent 6 9 7" xfId="12705" xr:uid="{8120DC09-B868-446E-BE6B-B7C3ABA6A07F}"/>
    <cellStyle name="Percent 6 9 7 2" xfId="12706" xr:uid="{F64838DA-AB55-48FD-A467-79DA45292CF9}"/>
    <cellStyle name="Percent 6 9 8" xfId="12707" xr:uid="{D62652FB-F78C-4101-83E8-9E4F1AF90C1A}"/>
    <cellStyle name="Percent 6 9 8 2" xfId="12708" xr:uid="{143D0E01-CA22-4AE1-8CCB-D09721AA092D}"/>
    <cellStyle name="Percent 6 9 9" xfId="12709" xr:uid="{9544CD04-F150-4EFD-B44D-230B61114A2F}"/>
    <cellStyle name="Percent 7" xfId="346" xr:uid="{772A958F-8E08-4796-9D1A-C09E5318FB19}"/>
    <cellStyle name="Percent 7 10" xfId="12711" xr:uid="{79AC4B9F-93B6-408A-B08F-40566B631171}"/>
    <cellStyle name="Percent 7 10 2" xfId="12712" xr:uid="{E0CD2AB7-2244-4945-A6C6-6D92793F4420}"/>
    <cellStyle name="Percent 7 10 2 2" xfId="12713" xr:uid="{65B76BDF-381E-4EA5-AA41-F0644D7645CC}"/>
    <cellStyle name="Percent 7 10 3" xfId="12714" xr:uid="{FDCDB2DD-2B28-4F43-ACBD-8B527B9D6A40}"/>
    <cellStyle name="Percent 7 10 3 2" xfId="12715" xr:uid="{F6A075E6-68CF-487B-B399-7063A9BDFDCC}"/>
    <cellStyle name="Percent 7 10 4" xfId="12716" xr:uid="{0FAF7AB6-7684-47B2-893A-D255F013C635}"/>
    <cellStyle name="Percent 7 10 5" xfId="12717" xr:uid="{90D989F4-A2B4-4C94-BE95-66AE7F5BFBA8}"/>
    <cellStyle name="Percent 7 11" xfId="12718" xr:uid="{9A951916-54B6-4E5D-86BB-DEF780E4DB16}"/>
    <cellStyle name="Percent 7 11 2" xfId="12719" xr:uid="{3260C5FF-7DBF-46F1-89DA-A41DF6E13628}"/>
    <cellStyle name="Percent 7 11 2 2" xfId="12720" xr:uid="{3CCD66A1-9143-40D5-8372-329CE6E35EAE}"/>
    <cellStyle name="Percent 7 11 3" xfId="12721" xr:uid="{B2B811D3-141C-45B0-A02A-ED43AF577AB8}"/>
    <cellStyle name="Percent 7 11 3 2" xfId="12722" xr:uid="{BA3FC6B4-03D5-40DC-8CC6-3C83A80DED4F}"/>
    <cellStyle name="Percent 7 11 4" xfId="12723" xr:uid="{B3F6DED0-C772-450C-A891-1A091B72EDC7}"/>
    <cellStyle name="Percent 7 12" xfId="12724" xr:uid="{6F12634B-4EC3-4840-BC78-F680C6C31F4F}"/>
    <cellStyle name="Percent 7 12 2" xfId="12725" xr:uid="{CFF8F60E-8A6F-474F-B1F2-6EBC5309E73D}"/>
    <cellStyle name="Percent 7 12 2 2" xfId="12726" xr:uid="{3D67C399-38A6-46E6-BD5F-9F98B9E8141A}"/>
    <cellStyle name="Percent 7 12 3" xfId="12727" xr:uid="{7D24FBE5-4750-4CAC-9C30-3E90C428C440}"/>
    <cellStyle name="Percent 7 12 3 2" xfId="12728" xr:uid="{E5819ABD-71DC-4552-B222-900515F7E0A2}"/>
    <cellStyle name="Percent 7 12 4" xfId="12729" xr:uid="{967A70DD-6101-4137-B12E-8945076FC6C5}"/>
    <cellStyle name="Percent 7 13" xfId="12730" xr:uid="{711F2469-BE19-47B1-BB46-6B72E41B8783}"/>
    <cellStyle name="Percent 7 13 2" xfId="12731" xr:uid="{6AA5E926-41F9-4D70-ABDF-CD926CCFF08F}"/>
    <cellStyle name="Percent 7 13 2 2" xfId="12732" xr:uid="{95B49F5A-FF80-440B-9538-7D70E7442D15}"/>
    <cellStyle name="Percent 7 13 3" xfId="12733" xr:uid="{304ECB6E-E73C-4ED9-A499-A185F53E8E32}"/>
    <cellStyle name="Percent 7 13 3 2" xfId="12734" xr:uid="{09FDCA3A-260D-4C4D-9CC2-4AE6414A74BF}"/>
    <cellStyle name="Percent 7 13 4" xfId="12735" xr:uid="{43B43AB5-4F8E-4149-B7DF-92E6A3D35032}"/>
    <cellStyle name="Percent 7 13 4 2" xfId="12736" xr:uid="{89CF3A04-DEDE-4099-BC73-F622F42B187B}"/>
    <cellStyle name="Percent 7 13 5" xfId="12737" xr:uid="{BDAC8301-7F82-40F2-92C0-01B98DD4E9D8}"/>
    <cellStyle name="Percent 7 14" xfId="12738" xr:uid="{D687F4E4-62AA-495C-8E9B-7F6ACEA4471A}"/>
    <cellStyle name="Percent 7 14 2" xfId="12739" xr:uid="{DBAE063B-91F7-46D9-9473-D109BF0EC8C7}"/>
    <cellStyle name="Percent 7 14 2 2" xfId="12740" xr:uid="{7E36E85D-2A54-4039-A31A-2432D2A31FB4}"/>
    <cellStyle name="Percent 7 14 3" xfId="12741" xr:uid="{781B3A1F-BC3F-4E4D-8286-0DFBCB48D9EF}"/>
    <cellStyle name="Percent 7 14 3 2" xfId="12742" xr:uid="{D63E2CA6-4CEC-4A20-92D2-19989B456FCB}"/>
    <cellStyle name="Percent 7 14 4" xfId="12743" xr:uid="{147E6337-625B-4FDF-A688-A8A29E249D2C}"/>
    <cellStyle name="Percent 7 15" xfId="12744" xr:uid="{2D9C7F7E-08D5-4710-A913-28D3A15AD65A}"/>
    <cellStyle name="Percent 7 15 2" xfId="12745" xr:uid="{C3E468D5-08AD-4B16-8D2C-B7F94B183DA1}"/>
    <cellStyle name="Percent 7 16" xfId="12746" xr:uid="{407A9813-9D9F-45BE-B1B5-7BB659F8083A}"/>
    <cellStyle name="Percent 7 16 2" xfId="12747" xr:uid="{90156CDC-ED8E-4C02-8F68-0111068E775F}"/>
    <cellStyle name="Percent 7 17" xfId="12748" xr:uid="{A3D5886A-2E9B-488C-87F0-B39E104E6305}"/>
    <cellStyle name="Percent 7 17 2" xfId="12749" xr:uid="{BAD42F11-2332-4A73-A3B0-60ABBEFC5772}"/>
    <cellStyle name="Percent 7 18" xfId="12750" xr:uid="{C6CEFDD3-FB57-4831-85F6-A07F3DD37903}"/>
    <cellStyle name="Percent 7 19" xfId="12751" xr:uid="{971E0BF7-A98E-46D4-B1E7-3C251B3A2F40}"/>
    <cellStyle name="Percent 7 2" xfId="3015" xr:uid="{E8531D07-6D03-4EBE-873C-6A4F790F19FF}"/>
    <cellStyle name="Percent 7 2 10" xfId="12753" xr:uid="{749F1C4F-C7A1-43C9-A0C5-E9F63FF3EF62}"/>
    <cellStyle name="Percent 7 2 11" xfId="12752" xr:uid="{A4689FE8-D5EB-4958-A958-4B3B459FCB27}"/>
    <cellStyle name="Percent 7 2 2" xfId="12754" xr:uid="{D40C521F-16AD-4C4F-92F1-6195D49455A8}"/>
    <cellStyle name="Percent 7 2 2 2" xfId="12755" xr:uid="{3D4B1261-AD82-4CF7-916E-EB8525662553}"/>
    <cellStyle name="Percent 7 2 2 2 2" xfId="12756" xr:uid="{1EEFA49B-E466-4900-879F-0598992EAE33}"/>
    <cellStyle name="Percent 7 2 2 3" xfId="12757" xr:uid="{11859D7F-154E-48F3-B3B0-9658C03332B3}"/>
    <cellStyle name="Percent 7 2 2 3 2" xfId="12758" xr:uid="{C4D13151-FA43-4262-B94F-3A48570E2864}"/>
    <cellStyle name="Percent 7 2 2 4" xfId="12759" xr:uid="{0F6CC77E-3FBE-472A-8D7F-CDC0461F7DC7}"/>
    <cellStyle name="Percent 7 2 3" xfId="12760" xr:uid="{732B2A50-45E3-4756-9849-BB614003A67A}"/>
    <cellStyle name="Percent 7 2 3 2" xfId="12761" xr:uid="{91F5DDD0-E22C-45DD-85D0-B6ACF6C53CC8}"/>
    <cellStyle name="Percent 7 2 3 2 2" xfId="12762" xr:uid="{7997DC56-D34F-45E4-8067-9048D889EB63}"/>
    <cellStyle name="Percent 7 2 3 3" xfId="12763" xr:uid="{2780272F-6EF0-4925-B8BC-5D9266E2A7F0}"/>
    <cellStyle name="Percent 7 2 3 3 2" xfId="12764" xr:uid="{744C1652-F99E-4582-94A7-F931993DB15F}"/>
    <cellStyle name="Percent 7 2 3 4" xfId="12765" xr:uid="{AF8374A0-BBF9-4B5C-8E4C-2E2EC7467687}"/>
    <cellStyle name="Percent 7 2 4" xfId="12766" xr:uid="{837AAF7A-908E-408C-A81D-B7F408713DDE}"/>
    <cellStyle name="Percent 7 2 4 2" xfId="12767" xr:uid="{6772FACE-8C69-4E6E-8284-C8A01617F050}"/>
    <cellStyle name="Percent 7 2 4 2 2" xfId="12768" xr:uid="{ACA3EEE9-E9C0-4769-BD84-42D226593324}"/>
    <cellStyle name="Percent 7 2 4 3" xfId="12769" xr:uid="{71EDB0E0-56F6-46CC-B5F6-1FDAA561F0AB}"/>
    <cellStyle name="Percent 7 2 4 3 2" xfId="12770" xr:uid="{A82198D7-2902-4769-BC57-2F1A250011C6}"/>
    <cellStyle name="Percent 7 2 4 4" xfId="12771" xr:uid="{FB3BCC6D-A55E-4554-8B7C-22087B319A2C}"/>
    <cellStyle name="Percent 7 2 4 4 2" xfId="12772" xr:uid="{944CF0DF-8BD1-4802-97BA-5D667F9E6A6D}"/>
    <cellStyle name="Percent 7 2 4 5" xfId="12773" xr:uid="{EAB0985F-D479-4090-B128-0715236A7AD3}"/>
    <cellStyle name="Percent 7 2 5" xfId="12774" xr:uid="{527C4D4E-DF6E-41DF-8AB7-61C2907F3344}"/>
    <cellStyle name="Percent 7 2 5 2" xfId="12775" xr:uid="{16FC1CA7-DD8B-4D79-BB47-D088B5D23B63}"/>
    <cellStyle name="Percent 7 2 5 2 2" xfId="12776" xr:uid="{E7624C72-A067-406C-956A-F15D0C88EDD2}"/>
    <cellStyle name="Percent 7 2 5 3" xfId="12777" xr:uid="{02439482-FB48-4ED9-9A22-1758DCD12E2D}"/>
    <cellStyle name="Percent 7 2 5 3 2" xfId="12778" xr:uid="{7166F478-9AB5-4233-A7B8-D6CCAF94F3D3}"/>
    <cellStyle name="Percent 7 2 5 4" xfId="12779" xr:uid="{FC79A572-E228-40F6-83DB-2081DBE18394}"/>
    <cellStyle name="Percent 7 2 6" xfId="12780" xr:uid="{85E261B0-81B3-4DCA-9199-E34AE359035F}"/>
    <cellStyle name="Percent 7 2 6 2" xfId="12781" xr:uid="{87F00F2D-76AA-4118-BE45-682AE03BE20C}"/>
    <cellStyle name="Percent 7 2 7" xfId="12782" xr:uid="{922048D6-DC83-4409-96CB-736B4D8219BE}"/>
    <cellStyle name="Percent 7 2 7 2" xfId="12783" xr:uid="{8D014CEE-3A3F-4366-80E5-440FDF00E01B}"/>
    <cellStyle name="Percent 7 2 8" xfId="12784" xr:uid="{ACCD8341-A072-4B02-B940-34F95055CA58}"/>
    <cellStyle name="Percent 7 2 8 2" xfId="12785" xr:uid="{BD0F512E-32AE-4115-B144-EEBB81C5E122}"/>
    <cellStyle name="Percent 7 2 9" xfId="12786" xr:uid="{F03F7A69-6314-4BBF-859D-EF9C66623B43}"/>
    <cellStyle name="Percent 7 20" xfId="12710" xr:uid="{823F22CB-4D4B-4CE9-A9BA-AFACAB1F035C}"/>
    <cellStyle name="Percent 7 3" xfId="4784" xr:uid="{0A869855-139B-4498-B00C-22BE338B69F6}"/>
    <cellStyle name="Percent 7 3 10" xfId="12788" xr:uid="{7D82E5DC-7EB5-441A-BEE9-D76CB458F727}"/>
    <cellStyle name="Percent 7 3 11" xfId="12787" xr:uid="{C2F34F17-2CFC-4615-92C6-2DDFB943DAFB}"/>
    <cellStyle name="Percent 7 3 2" xfId="12789" xr:uid="{96CBEEAC-EE00-4A15-A2F7-8AE0F8AC0030}"/>
    <cellStyle name="Percent 7 3 2 2" xfId="12790" xr:uid="{D61A4D91-30CC-4043-9EF1-751056F32871}"/>
    <cellStyle name="Percent 7 3 2 2 2" xfId="12791" xr:uid="{10B032EA-1127-4135-B82E-B3D17B5F26F8}"/>
    <cellStyle name="Percent 7 3 2 3" xfId="12792" xr:uid="{4A80377C-089E-4642-9A16-3F9BCB3CFB02}"/>
    <cellStyle name="Percent 7 3 2 3 2" xfId="12793" xr:uid="{BD77BC57-9C2D-45B4-80C3-F39FBEF23745}"/>
    <cellStyle name="Percent 7 3 2 4" xfId="12794" xr:uid="{ED1981E8-8AF9-4F26-AF1D-954F3133B761}"/>
    <cellStyle name="Percent 7 3 3" xfId="12795" xr:uid="{90832169-C02B-4F92-9EC0-2107357EA6F4}"/>
    <cellStyle name="Percent 7 3 3 2" xfId="12796" xr:uid="{6886229D-5185-42E6-A5A3-2F5733C4704A}"/>
    <cellStyle name="Percent 7 3 3 2 2" xfId="12797" xr:uid="{9EF21370-940D-429A-A335-8968D698858E}"/>
    <cellStyle name="Percent 7 3 3 3" xfId="12798" xr:uid="{21EE0F50-E8F1-4305-9EEA-9DDE2A0C68EE}"/>
    <cellStyle name="Percent 7 3 3 3 2" xfId="12799" xr:uid="{68CC9FBA-A817-4CB4-88A2-2AE551C378A3}"/>
    <cellStyle name="Percent 7 3 3 4" xfId="12800" xr:uid="{BF09E0AC-F7A7-45CB-9D7F-3FC4DEF41C82}"/>
    <cellStyle name="Percent 7 3 4" xfId="12801" xr:uid="{0040E0C2-1D68-4D1B-BC0E-6E09391E6D62}"/>
    <cellStyle name="Percent 7 3 4 2" xfId="12802" xr:uid="{857DBA26-3670-4628-B568-579A4226BB35}"/>
    <cellStyle name="Percent 7 3 4 2 2" xfId="12803" xr:uid="{054E31F8-AA48-4A9D-BA7A-F9A2079C332E}"/>
    <cellStyle name="Percent 7 3 4 3" xfId="12804" xr:uid="{EAAC656D-A7E0-4C03-998A-7BB0E4A34374}"/>
    <cellStyle name="Percent 7 3 4 3 2" xfId="12805" xr:uid="{5BBD84D5-7727-48B1-9933-84E01D1E0FA9}"/>
    <cellStyle name="Percent 7 3 4 4" xfId="12806" xr:uid="{9839ECCA-5653-4C9B-BE4E-E336AAE105F0}"/>
    <cellStyle name="Percent 7 3 4 4 2" xfId="12807" xr:uid="{C9F25B44-3EC7-4A85-B38A-073C8D49A3BF}"/>
    <cellStyle name="Percent 7 3 4 5" xfId="12808" xr:uid="{B76A0EBF-1F56-40E2-AD97-67B5E228AF0B}"/>
    <cellStyle name="Percent 7 3 5" xfId="12809" xr:uid="{A077CF70-08FF-479A-9EFC-3A90D63EB87A}"/>
    <cellStyle name="Percent 7 3 5 2" xfId="12810" xr:uid="{71153065-FAE6-43BD-8E61-52ED3E4E2B27}"/>
    <cellStyle name="Percent 7 3 5 2 2" xfId="12811" xr:uid="{81133164-5B4A-4964-AB76-7E39F4A933FE}"/>
    <cellStyle name="Percent 7 3 5 3" xfId="12812" xr:uid="{41388DE8-CF38-4E97-8A0C-000F2115E09B}"/>
    <cellStyle name="Percent 7 3 5 3 2" xfId="12813" xr:uid="{95421DF5-222D-4CB2-BD6C-11AFFAA4FDD8}"/>
    <cellStyle name="Percent 7 3 5 4" xfId="12814" xr:uid="{3DEBCE68-7CB4-4320-A420-BEFAD8B2C7AA}"/>
    <cellStyle name="Percent 7 3 6" xfId="12815" xr:uid="{7BAEF3AE-FEC0-4C99-8DA8-E25B8F62CE46}"/>
    <cellStyle name="Percent 7 3 6 2" xfId="12816" xr:uid="{94AB4613-28EA-4BD1-876D-5D43C769A915}"/>
    <cellStyle name="Percent 7 3 7" xfId="12817" xr:uid="{6486C4B7-993E-48CF-B8C9-E59895608950}"/>
    <cellStyle name="Percent 7 3 7 2" xfId="12818" xr:uid="{C80C5170-D19C-4179-9537-9402C4EA9290}"/>
    <cellStyle name="Percent 7 3 8" xfId="12819" xr:uid="{513C3FA0-6879-46D0-8F3E-0B5345D3190F}"/>
    <cellStyle name="Percent 7 3 8 2" xfId="12820" xr:uid="{2454463D-9B03-494C-B6AE-C78463B29058}"/>
    <cellStyle name="Percent 7 3 9" xfId="12821" xr:uid="{31FC9255-84FC-471A-8D9F-13C13C06E4D8}"/>
    <cellStyle name="Percent 7 4" xfId="4785" xr:uid="{D291D996-D84F-4143-8A5F-B8D35CD77837}"/>
    <cellStyle name="Percent 7 4 10" xfId="12823" xr:uid="{3E9EB561-9590-42B0-ABE8-754F0E8F31FC}"/>
    <cellStyle name="Percent 7 4 11" xfId="12822" xr:uid="{8DA1179B-78B5-42F1-A562-110321BC0D49}"/>
    <cellStyle name="Percent 7 4 2" xfId="12824" xr:uid="{432845AA-57AF-41EE-B2AA-1293E264BF72}"/>
    <cellStyle name="Percent 7 4 2 2" xfId="12825" xr:uid="{A667B4C1-0C45-4DEA-B2CB-EE1B26E0873F}"/>
    <cellStyle name="Percent 7 4 2 2 2" xfId="12826" xr:uid="{AB6BC0DE-F69E-45C1-A95F-4E34108E3D54}"/>
    <cellStyle name="Percent 7 4 2 3" xfId="12827" xr:uid="{4BA91BE3-A695-44FF-997A-02983755CDF8}"/>
    <cellStyle name="Percent 7 4 2 3 2" xfId="12828" xr:uid="{FAA997D3-14C5-4B85-B261-9DBCD9C84988}"/>
    <cellStyle name="Percent 7 4 2 4" xfId="12829" xr:uid="{AC2C634C-C927-48B7-ACEE-C659D38DC592}"/>
    <cellStyle name="Percent 7 4 3" xfId="12830" xr:uid="{681F9B06-8D82-4B2D-80F9-D75CA09A4F43}"/>
    <cellStyle name="Percent 7 4 3 2" xfId="12831" xr:uid="{81097E33-9B03-4FB0-95AB-2DF87D14CAA7}"/>
    <cellStyle name="Percent 7 4 3 2 2" xfId="12832" xr:uid="{6FD40375-2033-4311-87B4-8B76EDF31DE2}"/>
    <cellStyle name="Percent 7 4 3 3" xfId="12833" xr:uid="{308758B0-0A62-4D26-ADEE-1F604C82E832}"/>
    <cellStyle name="Percent 7 4 3 3 2" xfId="12834" xr:uid="{D3B92BCD-41D4-4718-A15E-36D7CE8F8B73}"/>
    <cellStyle name="Percent 7 4 3 4" xfId="12835" xr:uid="{C6259B51-115B-418A-A759-EE10FFF1242F}"/>
    <cellStyle name="Percent 7 4 4" xfId="12836" xr:uid="{1C53FA1C-2F89-43AD-A5ED-33D4FD318C33}"/>
    <cellStyle name="Percent 7 4 4 2" xfId="12837" xr:uid="{D66AFA51-78E2-4D1B-B08E-6F013A8CEAC6}"/>
    <cellStyle name="Percent 7 4 4 2 2" xfId="12838" xr:uid="{C9529860-47E1-4742-9691-FF231FCA6696}"/>
    <cellStyle name="Percent 7 4 4 3" xfId="12839" xr:uid="{F5BC0381-DFBD-4066-ADFE-F41247A259FE}"/>
    <cellStyle name="Percent 7 4 4 3 2" xfId="12840" xr:uid="{45488E12-F31E-488A-BD1E-C1D088928974}"/>
    <cellStyle name="Percent 7 4 4 4" xfId="12841" xr:uid="{731D40D1-10BD-43DB-A866-4ADE95829575}"/>
    <cellStyle name="Percent 7 4 4 4 2" xfId="12842" xr:uid="{66C0AC7B-26BD-4D0A-88B6-3E49434A3169}"/>
    <cellStyle name="Percent 7 4 4 5" xfId="12843" xr:uid="{EEB472D9-25E8-42E2-94CE-1CB4E1140036}"/>
    <cellStyle name="Percent 7 4 5" xfId="12844" xr:uid="{8F525F0E-A758-4A7A-940A-D7AD64D355A7}"/>
    <cellStyle name="Percent 7 4 5 2" xfId="12845" xr:uid="{F811D1F3-5923-4C15-839F-B6997225FB5A}"/>
    <cellStyle name="Percent 7 4 5 2 2" xfId="12846" xr:uid="{09FE37EC-B2EC-4EBE-8EC0-0A47C2ABCD10}"/>
    <cellStyle name="Percent 7 4 5 3" xfId="12847" xr:uid="{4CBE4B64-4A38-4559-B59C-19AC710B9716}"/>
    <cellStyle name="Percent 7 4 5 3 2" xfId="12848" xr:uid="{8A15ACA7-753C-4894-8CC6-BF5A950CB84E}"/>
    <cellStyle name="Percent 7 4 5 4" xfId="12849" xr:uid="{9F1AB63B-D7C0-4118-95A1-718E5468BCF2}"/>
    <cellStyle name="Percent 7 4 6" xfId="12850" xr:uid="{8EDF4522-D812-4C39-A957-8C17DFBDF7A6}"/>
    <cellStyle name="Percent 7 4 6 2" xfId="12851" xr:uid="{D8F73DFA-58B7-40E8-8B77-D18BBCB09FFB}"/>
    <cellStyle name="Percent 7 4 7" xfId="12852" xr:uid="{950A9FA1-E657-40E3-9892-C3D885E7175B}"/>
    <cellStyle name="Percent 7 4 7 2" xfId="12853" xr:uid="{91A7DFF3-9959-4E09-AA1D-630ED0849E53}"/>
    <cellStyle name="Percent 7 4 8" xfId="12854" xr:uid="{B4F851BD-2C00-4E43-B8D6-58031CC1BF53}"/>
    <cellStyle name="Percent 7 4 8 2" xfId="12855" xr:uid="{BD3D478A-973B-4D29-87A8-8E72A17744D3}"/>
    <cellStyle name="Percent 7 4 9" xfId="12856" xr:uid="{DD621D28-9A3A-4317-93FD-5245CAC17524}"/>
    <cellStyle name="Percent 7 5" xfId="4786" xr:uid="{EA5F8601-1474-489A-80B5-EE5DA50B56FD}"/>
    <cellStyle name="Percent 7 5 10" xfId="12858" xr:uid="{50F7367D-4582-4AAD-BD13-480D3A0B5263}"/>
    <cellStyle name="Percent 7 5 11" xfId="12857" xr:uid="{2AB6219B-AFDC-4BC9-AF9D-6EDB4E496558}"/>
    <cellStyle name="Percent 7 5 2" xfId="12859" xr:uid="{F6D9E148-3865-4771-A383-68E933C1B4E2}"/>
    <cellStyle name="Percent 7 5 2 2" xfId="12860" xr:uid="{3DBFEB87-2B2D-42FF-860A-8E6955380222}"/>
    <cellStyle name="Percent 7 5 2 2 2" xfId="12861" xr:uid="{EC9D6C68-51E3-4646-B3BF-4D0F2D1CA49D}"/>
    <cellStyle name="Percent 7 5 2 3" xfId="12862" xr:uid="{A6F7C616-26B5-4AA1-88F7-395102F0ED85}"/>
    <cellStyle name="Percent 7 5 2 3 2" xfId="12863" xr:uid="{03ED794E-50CB-4D15-8DE7-92C4FF1EE655}"/>
    <cellStyle name="Percent 7 5 2 4" xfId="12864" xr:uid="{9F835986-CB28-479F-9700-319F0DD8938E}"/>
    <cellStyle name="Percent 7 5 3" xfId="12865" xr:uid="{818807E8-45D8-405E-B2EE-DC61685D4C66}"/>
    <cellStyle name="Percent 7 5 3 2" xfId="12866" xr:uid="{24CC983A-C892-4E1C-AEE1-1F30695A15EA}"/>
    <cellStyle name="Percent 7 5 3 2 2" xfId="12867" xr:uid="{EE3A01B8-3EB5-455D-BE6D-DD451D3E6A40}"/>
    <cellStyle name="Percent 7 5 3 3" xfId="12868" xr:uid="{296F7DC8-ABB8-4A1B-BB22-32AD00850FB7}"/>
    <cellStyle name="Percent 7 5 3 3 2" xfId="12869" xr:uid="{2EB0ACC8-3E73-490A-8FA0-0E25C448E68C}"/>
    <cellStyle name="Percent 7 5 3 4" xfId="12870" xr:uid="{E27CD490-4080-49F3-9331-608EB0879FB2}"/>
    <cellStyle name="Percent 7 5 4" xfId="12871" xr:uid="{911BFA36-4784-439B-90DA-6809B9E1444A}"/>
    <cellStyle name="Percent 7 5 4 2" xfId="12872" xr:uid="{76A4AC95-3B8C-46D6-AB1F-CDF22C7DBCF1}"/>
    <cellStyle name="Percent 7 5 4 2 2" xfId="12873" xr:uid="{05DA62E9-61CE-49CB-9341-ADB3832C0C29}"/>
    <cellStyle name="Percent 7 5 4 3" xfId="12874" xr:uid="{1A6F2EE5-14FF-45D7-9BC2-7F574FAA02DD}"/>
    <cellStyle name="Percent 7 5 4 3 2" xfId="12875" xr:uid="{6F24EA2D-9CE7-4375-ACFC-7EA00C960E40}"/>
    <cellStyle name="Percent 7 5 4 4" xfId="12876" xr:uid="{4C9AD3CC-B33C-4AE1-88D2-08D0EEF7F215}"/>
    <cellStyle name="Percent 7 5 4 4 2" xfId="12877" xr:uid="{14D3C290-B15E-4FA7-A2B8-9F11DF89A379}"/>
    <cellStyle name="Percent 7 5 4 5" xfId="12878" xr:uid="{EF9C1CCE-5340-4855-B330-E71AAA2C6D1E}"/>
    <cellStyle name="Percent 7 5 5" xfId="12879" xr:uid="{4C6DB85D-4E3F-4470-BD4A-25F6667ACDDF}"/>
    <cellStyle name="Percent 7 5 5 2" xfId="12880" xr:uid="{C559C9D6-E470-44CD-A6E2-19B4A9718AEB}"/>
    <cellStyle name="Percent 7 5 5 2 2" xfId="12881" xr:uid="{9560B21D-A60F-4EEC-8EB7-A89EBE19287C}"/>
    <cellStyle name="Percent 7 5 5 3" xfId="12882" xr:uid="{9D486E67-AEAB-494A-99DA-1ADA0B6ABE63}"/>
    <cellStyle name="Percent 7 5 5 3 2" xfId="12883" xr:uid="{E5CE8B44-A199-420A-BD34-E4E5475E2CD0}"/>
    <cellStyle name="Percent 7 5 5 4" xfId="12884" xr:uid="{069E1E17-A152-4ED7-84D2-5E99F63F7547}"/>
    <cellStyle name="Percent 7 5 6" xfId="12885" xr:uid="{EEAE4D8C-C611-4828-A465-92E361225C26}"/>
    <cellStyle name="Percent 7 5 6 2" xfId="12886" xr:uid="{45DF57F8-06E2-443A-9289-64D7BF07F8E5}"/>
    <cellStyle name="Percent 7 5 7" xfId="12887" xr:uid="{93EAE85A-9BF5-4D35-8422-D8901672571C}"/>
    <cellStyle name="Percent 7 5 7 2" xfId="12888" xr:uid="{33050045-334D-40A0-9B9F-D606A2513345}"/>
    <cellStyle name="Percent 7 5 8" xfId="12889" xr:uid="{CA0E08FA-2852-4EC6-A191-49EAD3E4AA8E}"/>
    <cellStyle name="Percent 7 5 8 2" xfId="12890" xr:uid="{1454EF2F-6D02-4822-A6D5-1BAC21F28C29}"/>
    <cellStyle name="Percent 7 5 9" xfId="12891" xr:uid="{F2BDB77E-181B-47CB-860A-E1C5038F74FE}"/>
    <cellStyle name="Percent 7 6" xfId="4787" xr:uid="{5338036A-B1AB-485C-AA07-7F3EAC032A37}"/>
    <cellStyle name="Percent 7 6 10" xfId="12893" xr:uid="{649977E5-90B9-4B8D-814E-2C07F86F3C45}"/>
    <cellStyle name="Percent 7 6 11" xfId="12892" xr:uid="{53D13A8E-17F8-4F1C-B259-A2B0252643B2}"/>
    <cellStyle name="Percent 7 6 2" xfId="12894" xr:uid="{8B0EAECE-A647-4DA3-866C-B9D6740B92F3}"/>
    <cellStyle name="Percent 7 6 2 2" xfId="12895" xr:uid="{10C3C15F-1582-4A73-93C9-B065831FA1E0}"/>
    <cellStyle name="Percent 7 6 2 2 2" xfId="12896" xr:uid="{AF5ACF89-A266-4BF2-81ED-1D97412FD6A4}"/>
    <cellStyle name="Percent 7 6 2 3" xfId="12897" xr:uid="{FE8DBB15-78FB-4FF0-8EDC-80DC8AC1035C}"/>
    <cellStyle name="Percent 7 6 2 3 2" xfId="12898" xr:uid="{6E9BB059-E797-4248-A17D-7FA72ADB6605}"/>
    <cellStyle name="Percent 7 6 2 4" xfId="12899" xr:uid="{C315E5BA-5B20-4160-9469-391EBE9962F4}"/>
    <cellStyle name="Percent 7 6 3" xfId="12900" xr:uid="{E033A975-DD84-4B40-8F34-5CA74C04932B}"/>
    <cellStyle name="Percent 7 6 3 2" xfId="12901" xr:uid="{A930A9C5-CEA9-4E77-80A8-D88DD9944234}"/>
    <cellStyle name="Percent 7 6 3 2 2" xfId="12902" xr:uid="{56229D67-5EE6-43BC-A989-0979BE70AB55}"/>
    <cellStyle name="Percent 7 6 3 3" xfId="12903" xr:uid="{FF2F9DDB-4E24-4646-A96F-55C85CC8135B}"/>
    <cellStyle name="Percent 7 6 3 3 2" xfId="12904" xr:uid="{5B8A9769-254D-4D41-B9E8-6E610A239FCB}"/>
    <cellStyle name="Percent 7 6 3 4" xfId="12905" xr:uid="{1B40ED72-2DDA-4A74-AFAB-280AC5388435}"/>
    <cellStyle name="Percent 7 6 4" xfId="12906" xr:uid="{51214AC0-AB15-4C1D-A715-9B0569F74FC0}"/>
    <cellStyle name="Percent 7 6 4 2" xfId="12907" xr:uid="{AE16FDD5-9C83-461F-B544-4EA195BAC6E0}"/>
    <cellStyle name="Percent 7 6 4 2 2" xfId="12908" xr:uid="{E9CA67DB-B091-4BFF-8794-F45AA91EF864}"/>
    <cellStyle name="Percent 7 6 4 3" xfId="12909" xr:uid="{3528E9E2-1B7C-4C73-A8E1-6F0F96B1DE97}"/>
    <cellStyle name="Percent 7 6 4 3 2" xfId="12910" xr:uid="{C7BFD126-C8B3-429F-AA5C-5E3D87EBAD91}"/>
    <cellStyle name="Percent 7 6 4 4" xfId="12911" xr:uid="{ADDAA4AE-A7AE-48AA-A04B-8F4B3DFB5072}"/>
    <cellStyle name="Percent 7 6 4 4 2" xfId="12912" xr:uid="{BD90C639-B877-43C0-B7A6-053524728C7A}"/>
    <cellStyle name="Percent 7 6 4 5" xfId="12913" xr:uid="{8E8DABA8-6361-40F7-8283-BC734C1AA11E}"/>
    <cellStyle name="Percent 7 6 5" xfId="12914" xr:uid="{4D90689A-B1B2-48ED-A0D9-164D3B7327CB}"/>
    <cellStyle name="Percent 7 6 5 2" xfId="12915" xr:uid="{E78682A8-8E58-4FBE-A94E-B0B7F7398B3D}"/>
    <cellStyle name="Percent 7 6 5 2 2" xfId="12916" xr:uid="{E4835A97-BCDB-4288-AB07-0125F3EA8059}"/>
    <cellStyle name="Percent 7 6 5 3" xfId="12917" xr:uid="{B11251E6-F228-4073-9E21-A4FB2EBAED01}"/>
    <cellStyle name="Percent 7 6 5 3 2" xfId="12918" xr:uid="{FCCE0D7C-4B43-4CB8-AA2C-F0152F784181}"/>
    <cellStyle name="Percent 7 6 5 4" xfId="12919" xr:uid="{0CEF3E7E-E7F5-4204-9D93-2C8DC423C0CB}"/>
    <cellStyle name="Percent 7 6 6" xfId="12920" xr:uid="{0F50F7D5-1E4E-4AD4-9FFD-47C1A495396E}"/>
    <cellStyle name="Percent 7 6 6 2" xfId="12921" xr:uid="{05C0E0A9-94A2-4A98-9A14-1D71C56A2350}"/>
    <cellStyle name="Percent 7 6 7" xfId="12922" xr:uid="{6B3F3EC9-6392-416E-925A-F71A33685E8A}"/>
    <cellStyle name="Percent 7 6 7 2" xfId="12923" xr:uid="{43B402DB-318C-4BF2-A0E9-10D74CEA12FB}"/>
    <cellStyle name="Percent 7 6 8" xfId="12924" xr:uid="{F9943594-234E-409B-9417-11F406AAC2F0}"/>
    <cellStyle name="Percent 7 6 8 2" xfId="12925" xr:uid="{9D7B17B7-5116-4BD2-BFD6-955869F3D3BC}"/>
    <cellStyle name="Percent 7 6 9" xfId="12926" xr:uid="{3EB4FF82-A20C-49F4-AEB6-487D5D982D70}"/>
    <cellStyle name="Percent 7 7" xfId="4788" xr:uid="{0E72CD73-E9F0-42D1-93F1-FF9467E0B97C}"/>
    <cellStyle name="Percent 7 7 10" xfId="12928" xr:uid="{07D4DC38-ABF9-4044-9B47-0C9E519EC709}"/>
    <cellStyle name="Percent 7 7 11" xfId="12927" xr:uid="{2E300E13-B03A-4D07-A201-7CB522B37E3F}"/>
    <cellStyle name="Percent 7 7 2" xfId="12929" xr:uid="{5F36BFA8-ED76-4A28-A000-5EE205ED072A}"/>
    <cellStyle name="Percent 7 7 2 2" xfId="12930" xr:uid="{6270F636-EBA8-4E24-B756-78D73DC4AE7E}"/>
    <cellStyle name="Percent 7 7 2 2 2" xfId="12931" xr:uid="{6C27720A-B797-4C05-96F4-74213DAF17BF}"/>
    <cellStyle name="Percent 7 7 2 3" xfId="12932" xr:uid="{30A5E6C1-21F1-458E-8B99-F49C9B1947B5}"/>
    <cellStyle name="Percent 7 7 2 3 2" xfId="12933" xr:uid="{6DBD8714-1365-47D4-8B5B-ED3F5F541434}"/>
    <cellStyle name="Percent 7 7 2 4" xfId="12934" xr:uid="{30FFE40C-8B2E-4F42-8CA6-7E4E1B51463C}"/>
    <cellStyle name="Percent 7 7 3" xfId="12935" xr:uid="{39E7F7C0-5F5A-41F6-A28D-DD726360E4F2}"/>
    <cellStyle name="Percent 7 7 3 2" xfId="12936" xr:uid="{48B84023-B458-439E-8778-D179C9E6C9B7}"/>
    <cellStyle name="Percent 7 7 3 2 2" xfId="12937" xr:uid="{6AF47597-0AF1-435B-BB9D-FAE7D2863F29}"/>
    <cellStyle name="Percent 7 7 3 3" xfId="12938" xr:uid="{233849C0-235B-4BC3-AAFC-41B310A9A7FC}"/>
    <cellStyle name="Percent 7 7 3 3 2" xfId="12939" xr:uid="{CD06C1D3-1152-4321-B3A1-B730DDB737AB}"/>
    <cellStyle name="Percent 7 7 3 4" xfId="12940" xr:uid="{2F32CA4F-B92D-449A-9B00-E442DEB3FD79}"/>
    <cellStyle name="Percent 7 7 4" xfId="12941" xr:uid="{4F8D7572-77BA-45E3-9167-EFA16A5211A0}"/>
    <cellStyle name="Percent 7 7 4 2" xfId="12942" xr:uid="{DE254F21-EBAF-40BE-B8C8-D3DFF8A16264}"/>
    <cellStyle name="Percent 7 7 4 2 2" xfId="12943" xr:uid="{84259076-E181-4685-9203-54C487152CE7}"/>
    <cellStyle name="Percent 7 7 4 3" xfId="12944" xr:uid="{65B164B1-4042-4C71-BD65-8CFAD9FC56E4}"/>
    <cellStyle name="Percent 7 7 4 3 2" xfId="12945" xr:uid="{0F6E7BCF-DE5E-4CFF-ACB4-767D8549A9C7}"/>
    <cellStyle name="Percent 7 7 4 4" xfId="12946" xr:uid="{A750D43B-9A7B-4711-B5EC-5D991B4F3905}"/>
    <cellStyle name="Percent 7 7 4 4 2" xfId="12947" xr:uid="{E54BBA07-F52B-4399-A80A-64110CFD7C50}"/>
    <cellStyle name="Percent 7 7 4 5" xfId="12948" xr:uid="{544B5F73-1CE6-4811-982B-EAE270D6964E}"/>
    <cellStyle name="Percent 7 7 5" xfId="12949" xr:uid="{F5A5B617-CAEC-4D4E-A5CD-530E71F0927A}"/>
    <cellStyle name="Percent 7 7 5 2" xfId="12950" xr:uid="{7EF119BE-FD26-41DD-89AD-000D4796DB0D}"/>
    <cellStyle name="Percent 7 7 5 2 2" xfId="12951" xr:uid="{2C33194D-FA67-4E57-A6DE-F5FCE4F0F991}"/>
    <cellStyle name="Percent 7 7 5 3" xfId="12952" xr:uid="{A88EFBBC-5C49-4A38-81C9-3C4094978ED4}"/>
    <cellStyle name="Percent 7 7 5 3 2" xfId="12953" xr:uid="{AEB40202-041E-4364-A81E-BCEAEC639259}"/>
    <cellStyle name="Percent 7 7 5 4" xfId="12954" xr:uid="{01836E47-A4D3-4400-9263-8228B181F2FD}"/>
    <cellStyle name="Percent 7 7 6" xfId="12955" xr:uid="{D9489ACC-290A-4B0A-A22C-E7A217FB73CF}"/>
    <cellStyle name="Percent 7 7 6 2" xfId="12956" xr:uid="{1D3FD6A5-4E6F-41C7-A618-C8284C935124}"/>
    <cellStyle name="Percent 7 7 7" xfId="12957" xr:uid="{5598D3F8-2D85-4998-88E0-A81EA8A92C2C}"/>
    <cellStyle name="Percent 7 7 7 2" xfId="12958" xr:uid="{A2576A52-E7F3-4D72-A075-0450AE864712}"/>
    <cellStyle name="Percent 7 7 8" xfId="12959" xr:uid="{3BD1F1C0-7A94-4CBF-BB43-327A6D4C59DA}"/>
    <cellStyle name="Percent 7 7 8 2" xfId="12960" xr:uid="{8D17AF12-3C88-4EAE-B550-FC91DAA8EBB1}"/>
    <cellStyle name="Percent 7 7 9" xfId="12961" xr:uid="{96358F4B-61FB-4735-A671-334D0FC7F317}"/>
    <cellStyle name="Percent 7 8" xfId="4789" xr:uid="{44282725-6F9B-4168-9D61-326171BB1955}"/>
    <cellStyle name="Percent 7 8 10" xfId="12963" xr:uid="{C3C384D1-A6B0-4150-BAD1-77DF74DB0BF3}"/>
    <cellStyle name="Percent 7 8 11" xfId="12962" xr:uid="{59B7BDDB-DBDC-4BC8-9142-016E287DF691}"/>
    <cellStyle name="Percent 7 8 2" xfId="12964" xr:uid="{730A5CF8-39EF-48B9-B92B-10D2FE797E9B}"/>
    <cellStyle name="Percent 7 8 2 2" xfId="12965" xr:uid="{E62C9909-D29D-47B8-A4E8-09C31004A490}"/>
    <cellStyle name="Percent 7 8 2 2 2" xfId="12966" xr:uid="{CCC7E8F1-4896-4C59-80A6-F1504F85FC63}"/>
    <cellStyle name="Percent 7 8 2 3" xfId="12967" xr:uid="{FE044E45-AE32-4592-8FBA-D7DE49887BA4}"/>
    <cellStyle name="Percent 7 8 2 3 2" xfId="12968" xr:uid="{E4821F98-09B9-4F11-984F-4EDBA56AB01B}"/>
    <cellStyle name="Percent 7 8 2 4" xfId="12969" xr:uid="{D698E434-9CD9-4EF3-85CD-DF59B5B6FDC9}"/>
    <cellStyle name="Percent 7 8 3" xfId="12970" xr:uid="{1F8AC52E-A1B1-4D47-A569-DBABDDD9DCF4}"/>
    <cellStyle name="Percent 7 8 3 2" xfId="12971" xr:uid="{ACFDE6B4-528B-48DF-BBE0-E472C36C3A3A}"/>
    <cellStyle name="Percent 7 8 3 2 2" xfId="12972" xr:uid="{87EFF18B-6DCC-4FC4-9491-BDB3725C7F76}"/>
    <cellStyle name="Percent 7 8 3 3" xfId="12973" xr:uid="{00384DA0-FE53-4215-A52C-61D1DCF8168B}"/>
    <cellStyle name="Percent 7 8 3 3 2" xfId="12974" xr:uid="{0D879F42-1599-4A9C-8357-1F232D112E59}"/>
    <cellStyle name="Percent 7 8 3 4" xfId="12975" xr:uid="{5E87F323-615F-40FD-8FAE-B7BDD6E6686C}"/>
    <cellStyle name="Percent 7 8 4" xfId="12976" xr:uid="{AD360ED1-6F88-4CDD-849B-2A8F0E64067A}"/>
    <cellStyle name="Percent 7 8 4 2" xfId="12977" xr:uid="{1564A5DF-0C1D-4BE8-8EFD-799DB72CD4F5}"/>
    <cellStyle name="Percent 7 8 4 2 2" xfId="12978" xr:uid="{D4B591B8-8EE7-43AB-9722-F0D8376F9668}"/>
    <cellStyle name="Percent 7 8 4 3" xfId="12979" xr:uid="{2593E11B-4C36-4413-AF81-22682A306BE6}"/>
    <cellStyle name="Percent 7 8 4 3 2" xfId="12980" xr:uid="{E0A09202-027C-47DF-B314-88BBCD144C24}"/>
    <cellStyle name="Percent 7 8 4 4" xfId="12981" xr:uid="{1C97634C-07EE-49F4-8872-E87CFA55BE39}"/>
    <cellStyle name="Percent 7 8 4 4 2" xfId="12982" xr:uid="{07318E25-D166-452A-9DC6-B6E1375537A4}"/>
    <cellStyle name="Percent 7 8 4 5" xfId="12983" xr:uid="{FB427F06-5953-4DA3-8DED-28090B8D7B3C}"/>
    <cellStyle name="Percent 7 8 5" xfId="12984" xr:uid="{7196C9DE-3EEB-4C96-BAED-05BA8854BAAB}"/>
    <cellStyle name="Percent 7 8 5 2" xfId="12985" xr:uid="{B7F219DB-ADCD-4F37-902D-31B55E9D2D2E}"/>
    <cellStyle name="Percent 7 8 5 2 2" xfId="12986" xr:uid="{230548B0-EF4C-4814-A740-88001C9FEA06}"/>
    <cellStyle name="Percent 7 8 5 3" xfId="12987" xr:uid="{93FF9FF8-2EF6-4621-8F2A-C645BAC57B97}"/>
    <cellStyle name="Percent 7 8 5 3 2" xfId="12988" xr:uid="{2C8C224D-CF5F-4555-94D9-3A4228B57D1F}"/>
    <cellStyle name="Percent 7 8 5 4" xfId="12989" xr:uid="{68D7266F-9346-4BFA-8333-3DEFCEA0124E}"/>
    <cellStyle name="Percent 7 8 6" xfId="12990" xr:uid="{7E235E06-8090-4C40-8993-EC4F9C9C20C7}"/>
    <cellStyle name="Percent 7 8 6 2" xfId="12991" xr:uid="{62A2666E-281C-4674-A0BD-22083EAB7498}"/>
    <cellStyle name="Percent 7 8 7" xfId="12992" xr:uid="{A0328002-C5B3-47F2-BCBE-5B0A0AE4EA10}"/>
    <cellStyle name="Percent 7 8 7 2" xfId="12993" xr:uid="{25BB6D4A-EA7E-4EA7-AB46-9AF563AE2FB6}"/>
    <cellStyle name="Percent 7 8 8" xfId="12994" xr:uid="{1F2045AD-73DE-4F28-A3E1-27B74F93BF57}"/>
    <cellStyle name="Percent 7 8 8 2" xfId="12995" xr:uid="{23DE460C-86F0-4EC1-BA79-75BA9085B1E6}"/>
    <cellStyle name="Percent 7 8 9" xfId="12996" xr:uid="{5AE5AF46-5BD7-4D13-A872-91AE070C3A41}"/>
    <cellStyle name="Percent 7 9" xfId="12997" xr:uid="{8C49C7B3-0C04-46B1-B9D1-99F7C82EB856}"/>
    <cellStyle name="Percent 7 9 10" xfId="12998" xr:uid="{28837077-7210-4BD2-A839-873AECA81237}"/>
    <cellStyle name="Percent 7 9 2" xfId="12999" xr:uid="{A17C4E69-2563-491B-AC95-8F2DF164D291}"/>
    <cellStyle name="Percent 7 9 2 2" xfId="13000" xr:uid="{29AA5485-404F-4452-85EB-250DB8FAF7BD}"/>
    <cellStyle name="Percent 7 9 2 2 2" xfId="13001" xr:uid="{2B939121-B65B-4CB4-B34C-A1798223B292}"/>
    <cellStyle name="Percent 7 9 2 3" xfId="13002" xr:uid="{7FF8EF22-7B2B-40D6-BF66-F1D60EFFB6C1}"/>
    <cellStyle name="Percent 7 9 2 3 2" xfId="13003" xr:uid="{BA006761-34CA-422E-AE7D-B908BF506DE5}"/>
    <cellStyle name="Percent 7 9 2 4" xfId="13004" xr:uid="{BE428812-FF41-4858-81DA-32225BD5D102}"/>
    <cellStyle name="Percent 7 9 3" xfId="13005" xr:uid="{D8D88E99-D35C-4FB2-9E1A-9EB83B448A32}"/>
    <cellStyle name="Percent 7 9 3 2" xfId="13006" xr:uid="{7CC35A3F-9165-4881-BE77-6B91A7A1EDC1}"/>
    <cellStyle name="Percent 7 9 3 2 2" xfId="13007" xr:uid="{AF4B4210-8BA0-4543-A1CA-E21D5004BFE9}"/>
    <cellStyle name="Percent 7 9 3 3" xfId="13008" xr:uid="{4F7E8703-F264-4AB6-AF9A-9E70BE5DC8A5}"/>
    <cellStyle name="Percent 7 9 3 3 2" xfId="13009" xr:uid="{2BE8E866-C1AF-44C3-823A-345040B6F204}"/>
    <cellStyle name="Percent 7 9 3 4" xfId="13010" xr:uid="{AF2ECA25-4854-45F3-97CC-B5F5B4C8718E}"/>
    <cellStyle name="Percent 7 9 4" xfId="13011" xr:uid="{252A7DC7-B16C-4D90-9297-F72CB17D1ABC}"/>
    <cellStyle name="Percent 7 9 4 2" xfId="13012" xr:uid="{1DF27655-7C2E-4EC3-ACDD-A98B2B7A289E}"/>
    <cellStyle name="Percent 7 9 4 2 2" xfId="13013" xr:uid="{23B8D13A-D38D-49FF-B70D-39B23111215B}"/>
    <cellStyle name="Percent 7 9 4 3" xfId="13014" xr:uid="{7F7DFE9F-0E07-4CF3-AFEE-226A197147D1}"/>
    <cellStyle name="Percent 7 9 4 3 2" xfId="13015" xr:uid="{C5A1DD61-76B9-47B1-9FFC-4C259FB2BDC3}"/>
    <cellStyle name="Percent 7 9 4 4" xfId="13016" xr:uid="{5EA70212-869E-4B85-8A65-535EBC8A4699}"/>
    <cellStyle name="Percent 7 9 4 4 2" xfId="13017" xr:uid="{278882F6-8F43-4208-A1FD-6B88E7836F35}"/>
    <cellStyle name="Percent 7 9 4 5" xfId="13018" xr:uid="{1CF54DB8-FCC0-43B9-A246-0CF03EFB5553}"/>
    <cellStyle name="Percent 7 9 5" xfId="13019" xr:uid="{A669F368-9500-4705-8773-A82322F64BCC}"/>
    <cellStyle name="Percent 7 9 5 2" xfId="13020" xr:uid="{CBAAF6C0-6561-4424-B02B-01618C2DA638}"/>
    <cellStyle name="Percent 7 9 5 2 2" xfId="13021" xr:uid="{9B32B813-FE92-46A0-912F-BA44FE12CFCF}"/>
    <cellStyle name="Percent 7 9 5 3" xfId="13022" xr:uid="{A91EEFE7-79DB-42E0-8F3D-68B4B1C7DF24}"/>
    <cellStyle name="Percent 7 9 5 3 2" xfId="13023" xr:uid="{713B8B0A-39B3-432C-A0C7-BDEE6569E89F}"/>
    <cellStyle name="Percent 7 9 5 4" xfId="13024" xr:uid="{61F0AFDF-E62B-4B83-8A8B-1FD9B5A2B964}"/>
    <cellStyle name="Percent 7 9 6" xfId="13025" xr:uid="{D4BE5785-E56B-4F2E-98EE-4604231CC106}"/>
    <cellStyle name="Percent 7 9 6 2" xfId="13026" xr:uid="{5685C900-70D5-4C5F-A98A-61F7D6C80538}"/>
    <cellStyle name="Percent 7 9 7" xfId="13027" xr:uid="{3AC8580D-4982-40DE-AF10-52FDD83F1E49}"/>
    <cellStyle name="Percent 7 9 7 2" xfId="13028" xr:uid="{D0A41279-1586-438B-9C1F-C209C1BD7023}"/>
    <cellStyle name="Percent 7 9 8" xfId="13029" xr:uid="{3F4E32BA-F2BC-4D32-AB2E-A59DA5A81E5A}"/>
    <cellStyle name="Percent 7 9 8 2" xfId="13030" xr:uid="{200D622D-37FA-4D9E-8909-227E5F587AF9}"/>
    <cellStyle name="Percent 7 9 9" xfId="13031" xr:uid="{CAD84207-14F2-4D4E-8C5B-E1639B33AB84}"/>
    <cellStyle name="Percent 8" xfId="3016" xr:uid="{25F98C32-F96C-49A0-B36B-1DBAA3DAF1DB}"/>
    <cellStyle name="Percent 8 10" xfId="13033" xr:uid="{E5A53DAC-350E-43F1-9D1D-01A93B2F4F82}"/>
    <cellStyle name="Percent 8 10 2" xfId="13034" xr:uid="{2E876905-31CA-4A1D-BBEA-7B3AF4F44E76}"/>
    <cellStyle name="Percent 8 10 2 2" xfId="13035" xr:uid="{B001833F-B14B-4325-8D46-3A261DA05466}"/>
    <cellStyle name="Percent 8 10 3" xfId="13036" xr:uid="{A85D45A0-A221-4939-AA6F-BD963E266422}"/>
    <cellStyle name="Percent 8 10 3 2" xfId="13037" xr:uid="{3FD39B13-D76F-46F7-97D4-806893527DEB}"/>
    <cellStyle name="Percent 8 10 4" xfId="13038" xr:uid="{244BCFFB-9849-4E2D-A095-D6A40649721A}"/>
    <cellStyle name="Percent 8 11" xfId="13039" xr:uid="{8FF51018-8E38-488C-8A00-D773AF63B16D}"/>
    <cellStyle name="Percent 8 11 2" xfId="13040" xr:uid="{DB6B5A04-66CB-4F2D-AD81-909E6820D56A}"/>
    <cellStyle name="Percent 8 11 2 2" xfId="13041" xr:uid="{2F3CBF7A-00E6-4C60-A710-FA66775FA97F}"/>
    <cellStyle name="Percent 8 11 3" xfId="13042" xr:uid="{699F7D12-931B-4DBA-8715-A4174D2D72DF}"/>
    <cellStyle name="Percent 8 11 3 2" xfId="13043" xr:uid="{AE60B935-3C96-4871-B577-AA8BD1F7ABD3}"/>
    <cellStyle name="Percent 8 11 4" xfId="13044" xr:uid="{88759EF9-6CA9-4849-AF02-47AC44833FF8}"/>
    <cellStyle name="Percent 8 11 4 2" xfId="13045" xr:uid="{A5D00937-BBB6-4CA6-A918-012BCE819C86}"/>
    <cellStyle name="Percent 8 11 5" xfId="13046" xr:uid="{52BCB5DE-8B1D-44C9-BFF6-90A9D19A9823}"/>
    <cellStyle name="Percent 8 12" xfId="13047" xr:uid="{2AF28662-1A4A-4599-9923-0AD0601ACD70}"/>
    <cellStyle name="Percent 8 12 2" xfId="13048" xr:uid="{EAA06309-328E-446F-B9CB-27F8B5F88A0D}"/>
    <cellStyle name="Percent 8 12 2 2" xfId="13049" xr:uid="{EEF657BB-4A9F-434A-BC06-BDE878BD888A}"/>
    <cellStyle name="Percent 8 12 3" xfId="13050" xr:uid="{E513A7BF-8CD1-41E3-B12B-536A0A2EB41A}"/>
    <cellStyle name="Percent 8 12 3 2" xfId="13051" xr:uid="{8A418B3A-7F7A-4965-8741-862816CE308C}"/>
    <cellStyle name="Percent 8 12 4" xfId="13052" xr:uid="{3786AF31-F26C-4704-AF8E-06B9B0B6C574}"/>
    <cellStyle name="Percent 8 13" xfId="13053" xr:uid="{9BBC0E0F-67EE-4F25-A697-143A5C1A1975}"/>
    <cellStyle name="Percent 8 13 2" xfId="13054" xr:uid="{77E24160-13E3-477F-8224-A35B46CF5DF7}"/>
    <cellStyle name="Percent 8 14" xfId="13055" xr:uid="{ED6F9360-A729-43A5-8B16-14DC293EA33F}"/>
    <cellStyle name="Percent 8 14 2" xfId="13056" xr:uid="{D723A897-2241-4287-AEFB-76388F81C95C}"/>
    <cellStyle name="Percent 8 15" xfId="13057" xr:uid="{6EFE9970-4125-4B52-9078-3403B2EFDD0A}"/>
    <cellStyle name="Percent 8 15 2" xfId="13058" xr:uid="{544B96DB-8903-4A21-86B5-DDBDD51A0044}"/>
    <cellStyle name="Percent 8 16" xfId="13059" xr:uid="{183CC608-9486-464B-A222-61706F4754E2}"/>
    <cellStyle name="Percent 8 17" xfId="13060" xr:uid="{F9136A0C-FFE5-44A0-82C0-918B8826CE14}"/>
    <cellStyle name="Percent 8 18" xfId="13032" xr:uid="{85623859-2AF2-4495-8CE6-F4010B6F3628}"/>
    <cellStyle name="Percent 8 2" xfId="4790" xr:uid="{8C7370D4-EE4A-42D6-96BC-4049DC976431}"/>
    <cellStyle name="Percent 8 2 10" xfId="13062" xr:uid="{21E1E97B-272E-4A67-9A6C-92DF166856D7}"/>
    <cellStyle name="Percent 8 2 11" xfId="13061" xr:uid="{41115DD7-DB4A-4870-BA8D-60DAB099AF8C}"/>
    <cellStyle name="Percent 8 2 2" xfId="13063" xr:uid="{73CFBD98-B41E-4F5C-B15D-FCFAD81117CF}"/>
    <cellStyle name="Percent 8 2 2 2" xfId="13064" xr:uid="{9E4D4FED-FFA7-4123-B4AF-12429636AF0D}"/>
    <cellStyle name="Percent 8 2 2 2 2" xfId="13065" xr:uid="{2B7BAF79-82D3-43D6-BDF0-9BD506322997}"/>
    <cellStyle name="Percent 8 2 2 3" xfId="13066" xr:uid="{19419E01-B05E-4B53-8AA9-2A62A0B865A6}"/>
    <cellStyle name="Percent 8 2 2 3 2" xfId="13067" xr:uid="{C8E9354F-237C-483E-A131-1C5C491E9BD3}"/>
    <cellStyle name="Percent 8 2 2 4" xfId="13068" xr:uid="{FE0FCD98-4388-4F03-B949-821AA97788EE}"/>
    <cellStyle name="Percent 8 2 3" xfId="13069" xr:uid="{EC1CDDD0-273C-468D-8B61-3660B3364B09}"/>
    <cellStyle name="Percent 8 2 3 2" xfId="13070" xr:uid="{B5EEED7E-FE65-4224-A83D-6B3AFF97BD9E}"/>
    <cellStyle name="Percent 8 2 3 2 2" xfId="13071" xr:uid="{9876A534-C617-4B21-B333-0C457DB97565}"/>
    <cellStyle name="Percent 8 2 3 3" xfId="13072" xr:uid="{58158EC3-A34D-4278-9A13-C2A1223B61FC}"/>
    <cellStyle name="Percent 8 2 3 3 2" xfId="13073" xr:uid="{4A8485D2-528C-4066-91C0-9D211E5D41BD}"/>
    <cellStyle name="Percent 8 2 3 4" xfId="13074" xr:uid="{CDD01603-8E4B-4DC6-A04C-8599BC20E612}"/>
    <cellStyle name="Percent 8 2 4" xfId="13075" xr:uid="{FC3FCBB8-B120-4F24-BD7F-C01B3D0019BF}"/>
    <cellStyle name="Percent 8 2 4 2" xfId="13076" xr:uid="{5F993864-CFF3-46F4-93D0-9BA0681CC891}"/>
    <cellStyle name="Percent 8 2 4 2 2" xfId="13077" xr:uid="{5CC0B26F-61AA-4678-AB08-B4E6445D92E9}"/>
    <cellStyle name="Percent 8 2 4 3" xfId="13078" xr:uid="{CE11B097-838F-4C25-B912-66DF39D573E5}"/>
    <cellStyle name="Percent 8 2 4 3 2" xfId="13079" xr:uid="{B94463AF-C371-44F1-9473-5F7D26047AF8}"/>
    <cellStyle name="Percent 8 2 4 4" xfId="13080" xr:uid="{B83E93C6-8447-4B17-AAA8-7BABD3A271D0}"/>
    <cellStyle name="Percent 8 2 4 4 2" xfId="13081" xr:uid="{B57B00CF-FABB-46FE-927E-F5EC1322FA7D}"/>
    <cellStyle name="Percent 8 2 4 5" xfId="13082" xr:uid="{B1D863AC-A1CC-4AF6-AA7D-AB9B12D19AD9}"/>
    <cellStyle name="Percent 8 2 5" xfId="13083" xr:uid="{05E38DF9-D633-4FDA-B8FB-86B64C688EC0}"/>
    <cellStyle name="Percent 8 2 5 2" xfId="13084" xr:uid="{94539E80-73F8-4329-A857-5A4D45EB5EB6}"/>
    <cellStyle name="Percent 8 2 5 2 2" xfId="13085" xr:uid="{C5DD5C5A-794C-4C08-80B2-66E56C6B695E}"/>
    <cellStyle name="Percent 8 2 5 3" xfId="13086" xr:uid="{4E024900-E9A5-46AC-ADA9-4160639FC759}"/>
    <cellStyle name="Percent 8 2 5 3 2" xfId="13087" xr:uid="{EC817967-597D-45A1-A95B-288AE94A3A98}"/>
    <cellStyle name="Percent 8 2 5 4" xfId="13088" xr:uid="{811DB999-405A-49E0-B22C-B1CF18F59AA4}"/>
    <cellStyle name="Percent 8 2 6" xfId="13089" xr:uid="{0EE8EFB5-E30D-497A-8455-BBAE69C2B8DB}"/>
    <cellStyle name="Percent 8 2 6 2" xfId="13090" xr:uid="{D771888A-51C7-425A-9200-14AA86DE792A}"/>
    <cellStyle name="Percent 8 2 7" xfId="13091" xr:uid="{E46A3D5D-AB39-4BDE-9916-9389AF3F6335}"/>
    <cellStyle name="Percent 8 2 7 2" xfId="13092" xr:uid="{D86B225D-D9E4-41E0-BB42-3509E67CBC1E}"/>
    <cellStyle name="Percent 8 2 8" xfId="13093" xr:uid="{3FD2218F-742F-40A9-825B-AED646D9A1E0}"/>
    <cellStyle name="Percent 8 2 8 2" xfId="13094" xr:uid="{FA789464-338D-42D4-A93D-82F26175F54C}"/>
    <cellStyle name="Percent 8 2 9" xfId="13095" xr:uid="{47788DB7-F432-4EA1-9B54-877F4DB5CB73}"/>
    <cellStyle name="Percent 8 3" xfId="4791" xr:uid="{8923EF8D-188F-4E9C-9A43-A01A74F5D9D0}"/>
    <cellStyle name="Percent 8 3 10" xfId="13097" xr:uid="{B6646037-994F-4830-9638-49B0982FBE5B}"/>
    <cellStyle name="Percent 8 3 11" xfId="13096" xr:uid="{AE6825DA-31B4-4319-87A6-E61E0DDCF748}"/>
    <cellStyle name="Percent 8 3 2" xfId="13098" xr:uid="{4F815044-3A22-47CB-B334-1ECDBF4F8ED1}"/>
    <cellStyle name="Percent 8 3 2 2" xfId="13099" xr:uid="{4AE98E1E-FAE5-440D-9867-D0FE21A5A521}"/>
    <cellStyle name="Percent 8 3 2 2 2" xfId="13100" xr:uid="{A90EBC18-EC85-4012-A9A6-10429250D248}"/>
    <cellStyle name="Percent 8 3 2 3" xfId="13101" xr:uid="{153463D2-9A96-48D0-884F-3D52C5D15EC7}"/>
    <cellStyle name="Percent 8 3 2 3 2" xfId="13102" xr:uid="{4046D689-3C1B-4AB7-A4A0-BAA01C77170A}"/>
    <cellStyle name="Percent 8 3 2 4" xfId="13103" xr:uid="{6A06D5DC-2122-4029-8CE2-A1F4D07F9E6F}"/>
    <cellStyle name="Percent 8 3 3" xfId="13104" xr:uid="{8B7D10CA-8D71-40AF-9DEF-97915B2AF544}"/>
    <cellStyle name="Percent 8 3 3 2" xfId="13105" xr:uid="{E2681993-03BA-4481-AD56-E1803EA780E4}"/>
    <cellStyle name="Percent 8 3 3 2 2" xfId="13106" xr:uid="{383744A9-91A9-4206-9BC3-43A875177708}"/>
    <cellStyle name="Percent 8 3 3 3" xfId="13107" xr:uid="{8A625B37-783C-4126-ACD5-962BA1DC694C}"/>
    <cellStyle name="Percent 8 3 3 3 2" xfId="13108" xr:uid="{51093933-BC86-4D48-B049-343081FD7554}"/>
    <cellStyle name="Percent 8 3 3 4" xfId="13109" xr:uid="{DAF3FEEE-8DEA-45A7-93C5-416AC01DEAEE}"/>
    <cellStyle name="Percent 8 3 4" xfId="13110" xr:uid="{69499685-4A84-4157-AA84-6E0DDDFC0109}"/>
    <cellStyle name="Percent 8 3 4 2" xfId="13111" xr:uid="{749AC85E-5C42-4524-A65F-969130AD009B}"/>
    <cellStyle name="Percent 8 3 4 2 2" xfId="13112" xr:uid="{60F595BF-2F46-4D4C-B14A-413539C9294F}"/>
    <cellStyle name="Percent 8 3 4 3" xfId="13113" xr:uid="{BB04F18D-3957-4B64-9D20-F956BCCEB867}"/>
    <cellStyle name="Percent 8 3 4 3 2" xfId="13114" xr:uid="{6BFEFDED-3B84-4D60-B13B-8DBAE3177CA7}"/>
    <cellStyle name="Percent 8 3 4 4" xfId="13115" xr:uid="{9933558B-832D-46B6-B8B0-FDB02BA4E0AB}"/>
    <cellStyle name="Percent 8 3 4 4 2" xfId="13116" xr:uid="{7E87AA19-A763-4234-9B85-AB90A0F62291}"/>
    <cellStyle name="Percent 8 3 4 5" xfId="13117" xr:uid="{B2856880-BF7E-4912-B999-4B0FCA212E30}"/>
    <cellStyle name="Percent 8 3 5" xfId="13118" xr:uid="{7CAAFF7F-0171-4879-A718-13B13F33B30C}"/>
    <cellStyle name="Percent 8 3 5 2" xfId="13119" xr:uid="{D899D544-09CB-476F-A223-2262B6B4B473}"/>
    <cellStyle name="Percent 8 3 5 2 2" xfId="13120" xr:uid="{CEEEC7F9-E61C-4865-ADAE-1D12A8B83FF1}"/>
    <cellStyle name="Percent 8 3 5 3" xfId="13121" xr:uid="{047ECEBE-7FD2-42D2-8598-0155E8A3C121}"/>
    <cellStyle name="Percent 8 3 5 3 2" xfId="13122" xr:uid="{728B7DEE-E30F-4818-BAC5-D522A754F661}"/>
    <cellStyle name="Percent 8 3 5 4" xfId="13123" xr:uid="{7C291B10-1EF0-44BF-8A5D-CD81379917E2}"/>
    <cellStyle name="Percent 8 3 6" xfId="13124" xr:uid="{69170F0C-5543-4F06-BA87-2EE78B6726D6}"/>
    <cellStyle name="Percent 8 3 6 2" xfId="13125" xr:uid="{345DAFBB-659F-4233-AD16-91F4AC008B9A}"/>
    <cellStyle name="Percent 8 3 7" xfId="13126" xr:uid="{B7346074-B648-4109-8EC0-364F6551FB85}"/>
    <cellStyle name="Percent 8 3 7 2" xfId="13127" xr:uid="{BC2C718E-248F-4942-87FE-141585F345B2}"/>
    <cellStyle name="Percent 8 3 8" xfId="13128" xr:uid="{3536B85C-FC11-4198-AEAC-11332577C6A0}"/>
    <cellStyle name="Percent 8 3 8 2" xfId="13129" xr:uid="{8948C614-A9D3-4AD8-8710-BA6BD48F034E}"/>
    <cellStyle name="Percent 8 3 9" xfId="13130" xr:uid="{E9DC67A5-BDE1-4034-A784-AD971EFDC3F3}"/>
    <cellStyle name="Percent 8 4" xfId="4792" xr:uid="{F1061DFD-5FA2-4020-AEFA-97D799DB971A}"/>
    <cellStyle name="Percent 8 4 10" xfId="13132" xr:uid="{14214D7B-2511-4417-8252-63A271FC210D}"/>
    <cellStyle name="Percent 8 4 11" xfId="13131" xr:uid="{8CA06E18-FD5D-421A-AE7B-AA571DD8748D}"/>
    <cellStyle name="Percent 8 4 2" xfId="13133" xr:uid="{0F96FA44-9706-4A8A-94AF-DD7D3B8C9B46}"/>
    <cellStyle name="Percent 8 4 2 2" xfId="13134" xr:uid="{D275787E-9B7E-4F2B-BA93-F19BA816C549}"/>
    <cellStyle name="Percent 8 4 2 2 2" xfId="13135" xr:uid="{BB1EE8C1-96E5-4EF9-B81C-A6FB40A3E076}"/>
    <cellStyle name="Percent 8 4 2 3" xfId="13136" xr:uid="{66E85017-1142-4144-9576-F50D5FB04129}"/>
    <cellStyle name="Percent 8 4 2 3 2" xfId="13137" xr:uid="{7A7E4F42-F75B-458F-AC1E-CFA93AA757F9}"/>
    <cellStyle name="Percent 8 4 2 4" xfId="13138" xr:uid="{48E997FF-F1A8-48FE-89BC-756670FC62D8}"/>
    <cellStyle name="Percent 8 4 3" xfId="13139" xr:uid="{A7A302E6-D68C-4B72-9E79-0B51CDDD4160}"/>
    <cellStyle name="Percent 8 4 3 2" xfId="13140" xr:uid="{1CA3B17D-B37D-44CA-8D85-46A0DFAC56E9}"/>
    <cellStyle name="Percent 8 4 3 2 2" xfId="13141" xr:uid="{415CEF6E-8B9D-45D7-98D5-DF1B24EEC8E3}"/>
    <cellStyle name="Percent 8 4 3 3" xfId="13142" xr:uid="{0950FBC0-8F15-42D2-90AA-EC9F8C3049A4}"/>
    <cellStyle name="Percent 8 4 3 3 2" xfId="13143" xr:uid="{68511ECC-B13E-4924-9F5E-32CF91578289}"/>
    <cellStyle name="Percent 8 4 3 4" xfId="13144" xr:uid="{219F8BCA-536E-42C7-9217-D049DBEA42D6}"/>
    <cellStyle name="Percent 8 4 4" xfId="13145" xr:uid="{186F285B-A9FC-403B-AC2F-FC8488EA78C5}"/>
    <cellStyle name="Percent 8 4 4 2" xfId="13146" xr:uid="{99B66AA8-19AC-41A5-8A09-2C2683AB8D42}"/>
    <cellStyle name="Percent 8 4 4 2 2" xfId="13147" xr:uid="{B846F748-B85E-40C4-B8FC-E2AFF5B3E330}"/>
    <cellStyle name="Percent 8 4 4 3" xfId="13148" xr:uid="{D758ABB0-1C1F-472D-BDEF-577981B3BB1F}"/>
    <cellStyle name="Percent 8 4 4 3 2" xfId="13149" xr:uid="{183EDEC7-5FF9-41D2-9176-07BB70502A2B}"/>
    <cellStyle name="Percent 8 4 4 4" xfId="13150" xr:uid="{AFB11885-1DC3-448D-A740-9FB9CBF91070}"/>
    <cellStyle name="Percent 8 4 4 4 2" xfId="13151" xr:uid="{0807D69E-E76F-49E3-B094-703FA19FF5B0}"/>
    <cellStyle name="Percent 8 4 4 5" xfId="13152" xr:uid="{7745BDEB-897C-47BD-B201-A598CCCB43A1}"/>
    <cellStyle name="Percent 8 4 5" xfId="13153" xr:uid="{FC48234C-46A3-4A32-A6BF-8A83290EB3E8}"/>
    <cellStyle name="Percent 8 4 5 2" xfId="13154" xr:uid="{13834D9F-97A9-41A6-843F-BA47A80CA3FE}"/>
    <cellStyle name="Percent 8 4 5 2 2" xfId="13155" xr:uid="{24B063F0-DB3B-475D-8AEF-7794B08153D3}"/>
    <cellStyle name="Percent 8 4 5 3" xfId="13156" xr:uid="{6B7A1487-89D5-4BB3-8199-F92A54885FE6}"/>
    <cellStyle name="Percent 8 4 5 3 2" xfId="13157" xr:uid="{492E35D3-4611-40F7-B2F4-3A24863F025D}"/>
    <cellStyle name="Percent 8 4 5 4" xfId="13158" xr:uid="{A033F8CF-4DE7-4248-A9AD-4187AC5469B6}"/>
    <cellStyle name="Percent 8 4 6" xfId="13159" xr:uid="{620275A6-4BC6-450E-B04D-66F6BC6A6FF0}"/>
    <cellStyle name="Percent 8 4 6 2" xfId="13160" xr:uid="{54680832-69CC-4ED1-B47A-C6A6F7FC3B62}"/>
    <cellStyle name="Percent 8 4 7" xfId="13161" xr:uid="{3AD3E537-58BD-4E1D-B269-164AAC52A59D}"/>
    <cellStyle name="Percent 8 4 7 2" xfId="13162" xr:uid="{62B00793-F7CD-49BE-9A46-C7084E8604CD}"/>
    <cellStyle name="Percent 8 4 8" xfId="13163" xr:uid="{6CC59B86-AB30-48FD-9AC6-07A3CFF53E56}"/>
    <cellStyle name="Percent 8 4 8 2" xfId="13164" xr:uid="{0B359EBF-1A6C-4C07-BB9A-8B79037A8780}"/>
    <cellStyle name="Percent 8 4 9" xfId="13165" xr:uid="{83CF736C-023E-471B-B08C-CC413B6B12F7}"/>
    <cellStyle name="Percent 8 5" xfId="4793" xr:uid="{B71FD4A9-7AF2-4376-906B-40462027064D}"/>
    <cellStyle name="Percent 8 5 10" xfId="13167" xr:uid="{29EA6A19-5E9F-4E90-9C22-E4770CD9DC02}"/>
    <cellStyle name="Percent 8 5 11" xfId="13166" xr:uid="{BE17F442-C02B-4AD8-8E8C-820D3151C991}"/>
    <cellStyle name="Percent 8 5 2" xfId="13168" xr:uid="{3D53186E-9FC2-4098-BB39-91002DAF3FE5}"/>
    <cellStyle name="Percent 8 5 2 2" xfId="13169" xr:uid="{590162CD-9C3F-4721-B237-63C7ADF4CA2C}"/>
    <cellStyle name="Percent 8 5 2 2 2" xfId="13170" xr:uid="{1376FDE5-651A-4775-B502-047E6C26BCE1}"/>
    <cellStyle name="Percent 8 5 2 3" xfId="13171" xr:uid="{1A756284-13EB-4289-92EA-A4C19CDCAB95}"/>
    <cellStyle name="Percent 8 5 2 3 2" xfId="13172" xr:uid="{271BBF1D-CCCA-4B38-9A95-7571F4847BEC}"/>
    <cellStyle name="Percent 8 5 2 4" xfId="13173" xr:uid="{7570A3D0-2F92-47A8-B0EE-CB9CCAA6E221}"/>
    <cellStyle name="Percent 8 5 3" xfId="13174" xr:uid="{AED48B9B-E685-45EE-A59D-AB9587CE6188}"/>
    <cellStyle name="Percent 8 5 3 2" xfId="13175" xr:uid="{0B1C33CE-6E97-497E-869E-BC55052E7DA8}"/>
    <cellStyle name="Percent 8 5 3 2 2" xfId="13176" xr:uid="{5206BF3E-55BB-415B-B34F-FA0AEAF00651}"/>
    <cellStyle name="Percent 8 5 3 3" xfId="13177" xr:uid="{25C3F762-5986-4EEA-8D9E-00D34D0F1E06}"/>
    <cellStyle name="Percent 8 5 3 3 2" xfId="13178" xr:uid="{8359EC35-4CCB-4EA1-8942-E3372B81AF71}"/>
    <cellStyle name="Percent 8 5 3 4" xfId="13179" xr:uid="{AF14BE28-27E0-41B5-ADD2-7B5C4CE5D102}"/>
    <cellStyle name="Percent 8 5 4" xfId="13180" xr:uid="{E8A9D4FC-1246-4B45-8899-75A8AE9981F8}"/>
    <cellStyle name="Percent 8 5 4 2" xfId="13181" xr:uid="{9D3097F8-F59E-423A-9886-5E534AC86A16}"/>
    <cellStyle name="Percent 8 5 4 2 2" xfId="13182" xr:uid="{E406ED9D-1C8C-478A-9FAA-CEA7455D459E}"/>
    <cellStyle name="Percent 8 5 4 3" xfId="13183" xr:uid="{B25F89A3-8F7A-4200-A021-D0BDCA775CD5}"/>
    <cellStyle name="Percent 8 5 4 3 2" xfId="13184" xr:uid="{E09533D4-B855-4852-A617-9DE77F5A7760}"/>
    <cellStyle name="Percent 8 5 4 4" xfId="13185" xr:uid="{581058CF-B694-40FD-B3CA-B611E8C20E10}"/>
    <cellStyle name="Percent 8 5 4 4 2" xfId="13186" xr:uid="{697A4050-A601-4354-9917-499E3580E796}"/>
    <cellStyle name="Percent 8 5 4 5" xfId="13187" xr:uid="{84013085-45A9-4522-AF94-392DB1A90714}"/>
    <cellStyle name="Percent 8 5 5" xfId="13188" xr:uid="{E85BF7ED-4E65-4933-8704-857936BEBAB9}"/>
    <cellStyle name="Percent 8 5 5 2" xfId="13189" xr:uid="{3CD416A6-3567-45AF-BB39-1DCFD2EBB5DC}"/>
    <cellStyle name="Percent 8 5 5 2 2" xfId="13190" xr:uid="{BF9F6E8E-E1EA-4AFA-95E9-D3AB8303AC67}"/>
    <cellStyle name="Percent 8 5 5 3" xfId="13191" xr:uid="{9AAEB971-FFED-4647-A61D-778ABC3F5469}"/>
    <cellStyle name="Percent 8 5 5 3 2" xfId="13192" xr:uid="{0509374F-FFB1-42BD-8E67-B9BD579FDBF8}"/>
    <cellStyle name="Percent 8 5 5 4" xfId="13193" xr:uid="{6926C06A-2D11-4D27-9905-3C012412EEDA}"/>
    <cellStyle name="Percent 8 5 6" xfId="13194" xr:uid="{9327F687-4143-4AE0-A7A7-A72EFD2E4DAB}"/>
    <cellStyle name="Percent 8 5 6 2" xfId="13195" xr:uid="{22FB7282-4BB6-455F-A869-267422A836EF}"/>
    <cellStyle name="Percent 8 5 7" xfId="13196" xr:uid="{6BA0293C-2B61-4C6D-B036-1920FD89E365}"/>
    <cellStyle name="Percent 8 5 7 2" xfId="13197" xr:uid="{86A53F17-EF2B-4B74-A280-43B1A20EF45D}"/>
    <cellStyle name="Percent 8 5 8" xfId="13198" xr:uid="{5FA699DB-1E1C-4395-A79C-BFCECDF58578}"/>
    <cellStyle name="Percent 8 5 8 2" xfId="13199" xr:uid="{10D793B2-7056-4493-A9A8-3E75790DB992}"/>
    <cellStyle name="Percent 8 5 9" xfId="13200" xr:uid="{5C5ED2F7-EAE7-42AB-93F6-19A401F96E98}"/>
    <cellStyle name="Percent 8 6" xfId="4794" xr:uid="{E4925052-A016-4C97-BD4E-30300C717722}"/>
    <cellStyle name="Percent 8 6 10" xfId="13202" xr:uid="{99190A15-2C71-4E45-83B7-97EFE84B3369}"/>
    <cellStyle name="Percent 8 6 11" xfId="13201" xr:uid="{D910918E-A7F8-44E3-BF04-74722F2000CE}"/>
    <cellStyle name="Percent 8 6 2" xfId="13203" xr:uid="{CE2B9893-7D50-405C-8CC2-5A520FB39FEA}"/>
    <cellStyle name="Percent 8 6 2 2" xfId="13204" xr:uid="{C43373E1-1D36-450A-8A95-8DFC67453B8B}"/>
    <cellStyle name="Percent 8 6 2 2 2" xfId="13205" xr:uid="{B11BE626-9E1C-4244-8C18-74EDABF888BB}"/>
    <cellStyle name="Percent 8 6 2 3" xfId="13206" xr:uid="{784F3D31-760C-4445-BFE1-5C0F0C6FD33D}"/>
    <cellStyle name="Percent 8 6 2 3 2" xfId="13207" xr:uid="{99C1F983-CBAE-4A8B-AD71-255ECF1E3261}"/>
    <cellStyle name="Percent 8 6 2 4" xfId="13208" xr:uid="{CDD70A11-3B2E-4C0F-9639-E1BCF4804234}"/>
    <cellStyle name="Percent 8 6 3" xfId="13209" xr:uid="{D871F4C3-234B-4B71-A2BA-8F168844C87F}"/>
    <cellStyle name="Percent 8 6 3 2" xfId="13210" xr:uid="{D515E1C1-3459-4D1C-A77F-C1C249963D20}"/>
    <cellStyle name="Percent 8 6 3 2 2" xfId="13211" xr:uid="{EE36F1E2-48FC-45C4-BC6F-6F77998D570C}"/>
    <cellStyle name="Percent 8 6 3 3" xfId="13212" xr:uid="{7B5F6218-3202-46E4-BE7A-F91FAC6B86FC}"/>
    <cellStyle name="Percent 8 6 3 3 2" xfId="13213" xr:uid="{DA8A45FC-4C92-4640-BFF0-CBEF1089DDDE}"/>
    <cellStyle name="Percent 8 6 3 4" xfId="13214" xr:uid="{272EEAC0-589F-4B76-B323-47E92E37C448}"/>
    <cellStyle name="Percent 8 6 4" xfId="13215" xr:uid="{8E359E4F-8F88-4074-8AA6-3C848504B13E}"/>
    <cellStyle name="Percent 8 6 4 2" xfId="13216" xr:uid="{6F8AD7F5-C661-4F2C-B4D4-59948ED67BE9}"/>
    <cellStyle name="Percent 8 6 4 2 2" xfId="13217" xr:uid="{16F90606-A90D-4B87-9147-666E9943BAB6}"/>
    <cellStyle name="Percent 8 6 4 3" xfId="13218" xr:uid="{F801AF3F-A338-476B-9A11-7AF49FA5368F}"/>
    <cellStyle name="Percent 8 6 4 3 2" xfId="13219" xr:uid="{955F8B66-3008-4F9C-A5FC-E062F2EAFA41}"/>
    <cellStyle name="Percent 8 6 4 4" xfId="13220" xr:uid="{5C2B404A-DEC4-4292-880D-6F15840D702C}"/>
    <cellStyle name="Percent 8 6 4 4 2" xfId="13221" xr:uid="{917F26AE-9527-4FA9-A78C-5E7697B36EF0}"/>
    <cellStyle name="Percent 8 6 4 5" xfId="13222" xr:uid="{3F2BB6FA-9592-46EA-B482-35A379CF31ED}"/>
    <cellStyle name="Percent 8 6 5" xfId="13223" xr:uid="{485A0A0B-FB7D-454B-A579-B9DE9CDBB471}"/>
    <cellStyle name="Percent 8 6 5 2" xfId="13224" xr:uid="{21C36A03-6394-48EE-B604-269D1B2BFFDA}"/>
    <cellStyle name="Percent 8 6 5 2 2" xfId="13225" xr:uid="{578E9528-91F0-419A-B773-D1FB820B436E}"/>
    <cellStyle name="Percent 8 6 5 3" xfId="13226" xr:uid="{2825BF50-459D-4C8F-804D-4E49E4A72FE6}"/>
    <cellStyle name="Percent 8 6 5 3 2" xfId="13227" xr:uid="{B9A9D15A-05FD-451D-A1EA-3C888F4CFD02}"/>
    <cellStyle name="Percent 8 6 5 4" xfId="13228" xr:uid="{685434AC-4575-4CD1-893E-1D6774E1EB6B}"/>
    <cellStyle name="Percent 8 6 6" xfId="13229" xr:uid="{B9F99A28-408A-49FF-86E9-D07CB0E75A94}"/>
    <cellStyle name="Percent 8 6 6 2" xfId="13230" xr:uid="{3A9CD031-1709-4777-B7FC-E6091B0FA30E}"/>
    <cellStyle name="Percent 8 6 7" xfId="13231" xr:uid="{B0ECDFCC-475F-49D4-A338-1B5876D4D57F}"/>
    <cellStyle name="Percent 8 6 7 2" xfId="13232" xr:uid="{DBE51543-419F-4396-87D3-54993CC4527F}"/>
    <cellStyle name="Percent 8 6 8" xfId="13233" xr:uid="{491DC4E2-97C2-4810-A60F-782306BA78BE}"/>
    <cellStyle name="Percent 8 6 8 2" xfId="13234" xr:uid="{919767C9-4952-4671-8F43-4B3588C4EDF7}"/>
    <cellStyle name="Percent 8 6 9" xfId="13235" xr:uid="{56215215-4936-4227-BE30-52AB5E375F7A}"/>
    <cellStyle name="Percent 8 7" xfId="4795" xr:uid="{09FCCB74-FBEA-426F-92EE-F43FEC3C4FA3}"/>
    <cellStyle name="Percent 8 7 10" xfId="13237" xr:uid="{44BF9979-8F9C-44CF-B997-D6660FF3A2DA}"/>
    <cellStyle name="Percent 8 7 11" xfId="13236" xr:uid="{880DD4DD-02C2-4BB8-9E14-0AB89E1760D8}"/>
    <cellStyle name="Percent 8 7 2" xfId="13238" xr:uid="{CCB1785C-EEE0-4B0C-B3B8-7332EFBFDF03}"/>
    <cellStyle name="Percent 8 7 2 2" xfId="13239" xr:uid="{B5ED627D-9C0C-4E4C-9B2E-CB91F4927C4B}"/>
    <cellStyle name="Percent 8 7 2 2 2" xfId="13240" xr:uid="{D20D152B-6032-4628-BE8B-F0AA17E2D533}"/>
    <cellStyle name="Percent 8 7 2 3" xfId="13241" xr:uid="{2D5B0BD8-9BD9-4ADA-B7D3-029EBDD88107}"/>
    <cellStyle name="Percent 8 7 2 3 2" xfId="13242" xr:uid="{2275D21C-E5F8-41C3-9322-52A3C4D784D3}"/>
    <cellStyle name="Percent 8 7 2 4" xfId="13243" xr:uid="{C0D2620C-A16C-408E-835D-A3839AF67791}"/>
    <cellStyle name="Percent 8 7 3" xfId="13244" xr:uid="{4E87CFA7-E0A0-4A96-B55A-12C9E86345BD}"/>
    <cellStyle name="Percent 8 7 3 2" xfId="13245" xr:uid="{F2CACC90-73CC-4D01-9085-3D71C44092E1}"/>
    <cellStyle name="Percent 8 7 3 2 2" xfId="13246" xr:uid="{E26718C9-95E0-4163-B1C4-5A9FBEBDCDCF}"/>
    <cellStyle name="Percent 8 7 3 3" xfId="13247" xr:uid="{E9AD3546-23F3-4C39-B054-F838A5C860A6}"/>
    <cellStyle name="Percent 8 7 3 3 2" xfId="13248" xr:uid="{40234F3E-F7B4-4FC2-A4CB-1FB7B31E5CBD}"/>
    <cellStyle name="Percent 8 7 3 4" xfId="13249" xr:uid="{EBDE3BCE-0CE6-46D6-A108-1EA5322A7B5A}"/>
    <cellStyle name="Percent 8 7 4" xfId="13250" xr:uid="{E366880B-76F4-4B94-AA14-D72893AE1B8D}"/>
    <cellStyle name="Percent 8 7 4 2" xfId="13251" xr:uid="{E1EA92AF-FD0F-4772-8323-FDFE0D185B03}"/>
    <cellStyle name="Percent 8 7 4 2 2" xfId="13252" xr:uid="{B814BF57-5BB4-4A0B-98F6-4352DE2ECF57}"/>
    <cellStyle name="Percent 8 7 4 3" xfId="13253" xr:uid="{7E8EE271-ECE3-41BB-B2B1-E2E331648EE1}"/>
    <cellStyle name="Percent 8 7 4 3 2" xfId="13254" xr:uid="{CF6E20AF-ECD9-42F0-AAE6-6D98E098C13C}"/>
    <cellStyle name="Percent 8 7 4 4" xfId="13255" xr:uid="{78E30356-1C96-4972-87C5-48CC8B1A4A16}"/>
    <cellStyle name="Percent 8 7 4 4 2" xfId="13256" xr:uid="{D8D062E7-D71F-4098-8DBF-FD1C055701A1}"/>
    <cellStyle name="Percent 8 7 4 5" xfId="13257" xr:uid="{B288CC55-CE85-4EDC-987F-8F3CC4899905}"/>
    <cellStyle name="Percent 8 7 5" xfId="13258" xr:uid="{159401A8-82B7-4C53-AA4A-00E1C6AF1874}"/>
    <cellStyle name="Percent 8 7 5 2" xfId="13259" xr:uid="{E6839136-BBB4-49B4-BEE1-6C4D905431CE}"/>
    <cellStyle name="Percent 8 7 5 2 2" xfId="13260" xr:uid="{6EE4497A-6930-4262-98FA-F63DEFFEFA73}"/>
    <cellStyle name="Percent 8 7 5 3" xfId="13261" xr:uid="{5ABC9933-4AED-4ED7-965F-B8BB0B23FB7E}"/>
    <cellStyle name="Percent 8 7 5 3 2" xfId="13262" xr:uid="{7A201E16-54EA-49A2-9A49-35BBF40038E5}"/>
    <cellStyle name="Percent 8 7 5 4" xfId="13263" xr:uid="{AC7590E7-5D06-47B8-B805-29211C8128C8}"/>
    <cellStyle name="Percent 8 7 6" xfId="13264" xr:uid="{A9F4485E-1FDC-4D9F-AC63-481F452E68B2}"/>
    <cellStyle name="Percent 8 7 6 2" xfId="13265" xr:uid="{C6B6D740-BB43-406F-BDB0-F42734191F35}"/>
    <cellStyle name="Percent 8 7 7" xfId="13266" xr:uid="{FEAAF8D8-11C7-4A03-BB2C-7968E16886B8}"/>
    <cellStyle name="Percent 8 7 7 2" xfId="13267" xr:uid="{2D11A45C-9B47-4257-B0A7-BBFC1964B529}"/>
    <cellStyle name="Percent 8 7 8" xfId="13268" xr:uid="{605503BF-CFEC-4977-B8A1-E8416F55CC10}"/>
    <cellStyle name="Percent 8 7 8 2" xfId="13269" xr:uid="{2A0ABE98-EE2A-416C-A805-68CEE15380B3}"/>
    <cellStyle name="Percent 8 7 9" xfId="13270" xr:uid="{96AC329E-4F3C-4969-9CEF-7EFA2CA5730F}"/>
    <cellStyle name="Percent 8 8" xfId="4796" xr:uid="{494F0918-2A23-4505-95A0-43A0CD185F2D}"/>
    <cellStyle name="Percent 8 8 10" xfId="13272" xr:uid="{4E5514FD-E449-4331-8D54-26645F961C9C}"/>
    <cellStyle name="Percent 8 8 11" xfId="13271" xr:uid="{27330274-3746-4D1D-B7B9-6C1CAD8D68F1}"/>
    <cellStyle name="Percent 8 8 2" xfId="13273" xr:uid="{1E7F9E12-78B4-4B38-B969-1C5248EC487B}"/>
    <cellStyle name="Percent 8 8 2 2" xfId="13274" xr:uid="{76A2E03B-3152-4B75-8789-AA478062D049}"/>
    <cellStyle name="Percent 8 8 2 2 2" xfId="13275" xr:uid="{F5E7C1CF-6D2C-42FD-B3EC-4FE17467F2F0}"/>
    <cellStyle name="Percent 8 8 2 3" xfId="13276" xr:uid="{159FBACD-E883-4617-A4E9-79A0634CB467}"/>
    <cellStyle name="Percent 8 8 2 3 2" xfId="13277" xr:uid="{045AE1BB-1F28-4E92-AD92-998EB58157EC}"/>
    <cellStyle name="Percent 8 8 2 4" xfId="13278" xr:uid="{00BDE7ED-09E5-4155-838D-E0C9BCD43019}"/>
    <cellStyle name="Percent 8 8 3" xfId="13279" xr:uid="{2AD06E00-FA46-462D-B836-65C75428C307}"/>
    <cellStyle name="Percent 8 8 3 2" xfId="13280" xr:uid="{E28C95C5-26E3-4616-99D9-B564BC1C8139}"/>
    <cellStyle name="Percent 8 8 3 2 2" xfId="13281" xr:uid="{5D3AD518-02E0-40C1-BB3A-5463CDA4D759}"/>
    <cellStyle name="Percent 8 8 3 3" xfId="13282" xr:uid="{9FA31B0A-2EB5-471D-9C64-16EE7A3B4FE4}"/>
    <cellStyle name="Percent 8 8 3 3 2" xfId="13283" xr:uid="{B170F2D3-5AFA-4D04-BBAA-CC61C6C63FB2}"/>
    <cellStyle name="Percent 8 8 3 4" xfId="13284" xr:uid="{1A04EA32-4ED2-4480-9DE7-D0ACCA6583A7}"/>
    <cellStyle name="Percent 8 8 4" xfId="13285" xr:uid="{BFDBE33F-54B2-4F1B-B9FC-E66198803563}"/>
    <cellStyle name="Percent 8 8 4 2" xfId="13286" xr:uid="{4F864DAB-C57C-46CA-9801-7BFC5600C610}"/>
    <cellStyle name="Percent 8 8 4 2 2" xfId="13287" xr:uid="{6E5C960C-8E9A-4DEB-BB2A-A68D6FF8DD6A}"/>
    <cellStyle name="Percent 8 8 4 3" xfId="13288" xr:uid="{FCCAE4A6-321B-4C0C-BD74-A2141D5718FA}"/>
    <cellStyle name="Percent 8 8 4 3 2" xfId="13289" xr:uid="{AAB5C12A-93E5-453A-94F0-661F614B2F3D}"/>
    <cellStyle name="Percent 8 8 4 4" xfId="13290" xr:uid="{93E933CA-B42B-4CF1-9206-110A482124C3}"/>
    <cellStyle name="Percent 8 8 4 4 2" xfId="13291" xr:uid="{951FD705-682A-441F-9CCA-9A4DC5EF148B}"/>
    <cellStyle name="Percent 8 8 4 5" xfId="13292" xr:uid="{7908C5D9-C181-4A0F-B4E4-2DB931CF1FC0}"/>
    <cellStyle name="Percent 8 8 5" xfId="13293" xr:uid="{FBD7E36C-7C57-4483-9D0D-70578D0707C3}"/>
    <cellStyle name="Percent 8 8 5 2" xfId="13294" xr:uid="{A825CF89-BE92-420A-8B85-E5B44333A720}"/>
    <cellStyle name="Percent 8 8 5 2 2" xfId="13295" xr:uid="{E3F2C433-BD87-4B20-B633-7A7398806969}"/>
    <cellStyle name="Percent 8 8 5 3" xfId="13296" xr:uid="{B8CB081E-847C-4655-9B1B-8958ED6AB8C2}"/>
    <cellStyle name="Percent 8 8 5 3 2" xfId="13297" xr:uid="{74DB25F4-E4D6-40A1-9BC1-A6738913454F}"/>
    <cellStyle name="Percent 8 8 5 4" xfId="13298" xr:uid="{BC633CBA-3D6F-43F9-A0FC-2562E35F4C98}"/>
    <cellStyle name="Percent 8 8 6" xfId="13299" xr:uid="{D5E9DEC7-DF89-40EA-8E55-038A37E64531}"/>
    <cellStyle name="Percent 8 8 6 2" xfId="13300" xr:uid="{6B7885D5-D3FD-43A5-98B2-D17FE2E0A5B7}"/>
    <cellStyle name="Percent 8 8 7" xfId="13301" xr:uid="{FED418AF-6218-4D80-8676-11AFBA717232}"/>
    <cellStyle name="Percent 8 8 7 2" xfId="13302" xr:uid="{3C9B51B9-0292-46D2-B28E-24740A554479}"/>
    <cellStyle name="Percent 8 8 8" xfId="13303" xr:uid="{E441577A-DA2B-475C-92CC-628C62919818}"/>
    <cellStyle name="Percent 8 8 8 2" xfId="13304" xr:uid="{13A7C7EF-1B17-4A8C-9AAB-4487C0AE8139}"/>
    <cellStyle name="Percent 8 8 9" xfId="13305" xr:uid="{9CCA8B10-F739-45B8-ADFD-A9EE61457D5B}"/>
    <cellStyle name="Percent 8 9" xfId="13306" xr:uid="{4C20F44A-07B4-4ECB-9872-2A542C26F8FF}"/>
    <cellStyle name="Percent 8 9 2" xfId="13307" xr:uid="{61DD1895-3814-4249-BB3E-C1D1D6549640}"/>
    <cellStyle name="Percent 8 9 2 2" xfId="13308" xr:uid="{349C6907-6BDD-4FAB-8946-9380573AAF2A}"/>
    <cellStyle name="Percent 8 9 3" xfId="13309" xr:uid="{829D3A53-B4EF-4286-B75F-087CB04939A6}"/>
    <cellStyle name="Percent 8 9 3 2" xfId="13310" xr:uid="{AD0A1219-2AD2-436A-A799-7D54978B7143}"/>
    <cellStyle name="Percent 8 9 4" xfId="13311" xr:uid="{8AFECE70-43D6-42D0-B994-803166046002}"/>
    <cellStyle name="Percent 9" xfId="2562" xr:uid="{DF56D10C-A51E-463F-B841-1A3800079490}"/>
    <cellStyle name="Percent 9 10" xfId="3017" xr:uid="{A2C62A06-EC0F-4E54-8230-868881807E78}"/>
    <cellStyle name="Percent 9 10 10" xfId="13314" xr:uid="{CE60C290-C957-4E13-AF02-438F8B75C790}"/>
    <cellStyle name="Percent 9 10 11" xfId="13315" xr:uid="{E1C93B73-6E67-4B57-A28D-18252510FA5C}"/>
    <cellStyle name="Percent 9 10 12" xfId="13313" xr:uid="{F3FE0973-067B-48A2-8FD3-08ED4B4EEA3F}"/>
    <cellStyle name="Percent 9 10 2" xfId="13316" xr:uid="{FEE8E0B1-EDA4-4AA6-A7B2-4608A186B71A}"/>
    <cellStyle name="Percent 9 10 2 2" xfId="13317" xr:uid="{5872D2F4-24F9-4ACE-A889-01CCF3114F3C}"/>
    <cellStyle name="Percent 9 10 2 2 2" xfId="13318" xr:uid="{95AD0215-08BE-46F3-A46C-2E987805EB15}"/>
    <cellStyle name="Percent 9 10 2 3" xfId="13319" xr:uid="{B9051BAE-7C2E-40A0-964A-60014D8828D8}"/>
    <cellStyle name="Percent 9 10 2 3 2" xfId="13320" xr:uid="{CD3FEC1D-2C87-489D-A8C9-C5A01D7B3FDA}"/>
    <cellStyle name="Percent 9 10 2 4" xfId="13321" xr:uid="{95EA9FAB-A6EF-4C42-9BDD-495884277DA1}"/>
    <cellStyle name="Percent 9 10 2 5" xfId="13322" xr:uid="{FC91D5C5-36A9-414B-9F22-F85D20F01920}"/>
    <cellStyle name="Percent 9 10 3" xfId="13323" xr:uid="{2A7728CE-B6FC-4F8E-8F35-AA676A97C5AF}"/>
    <cellStyle name="Percent 9 10 3 2" xfId="13324" xr:uid="{8855A3D4-2D77-4D85-ACF8-7BF6B989AF9B}"/>
    <cellStyle name="Percent 9 10 3 2 2" xfId="13325" xr:uid="{EFF5967F-805D-4BF7-9CB5-F6BDD7AB7AB5}"/>
    <cellStyle name="Percent 9 10 3 3" xfId="13326" xr:uid="{4347B5D1-1DB3-41D2-9EFE-35227CE58BD8}"/>
    <cellStyle name="Percent 9 10 3 3 2" xfId="13327" xr:uid="{BD56A2F5-557D-45F6-B558-9E2873DF1285}"/>
    <cellStyle name="Percent 9 10 3 4" xfId="13328" xr:uid="{C4F1FD0F-3CD8-4563-B003-C3EEE080E4D8}"/>
    <cellStyle name="Percent 9 10 4" xfId="13329" xr:uid="{95082515-3239-4D32-9F36-DB0076755DC7}"/>
    <cellStyle name="Percent 9 10 4 2" xfId="13330" xr:uid="{33DA5D1A-BA78-4BCA-9A4A-00781F642FBF}"/>
    <cellStyle name="Percent 9 10 4 2 2" xfId="13331" xr:uid="{D044F10E-77E1-4BE5-853C-CE23710522DB}"/>
    <cellStyle name="Percent 9 10 4 3" xfId="13332" xr:uid="{AC36E2F3-3EE3-453D-BF18-48C7989C0409}"/>
    <cellStyle name="Percent 9 10 4 3 2" xfId="13333" xr:uid="{4E64227E-F59E-42D5-8CB9-2805E4EDDAF8}"/>
    <cellStyle name="Percent 9 10 4 4" xfId="13334" xr:uid="{40FF593E-0E20-46B8-AAA4-1B13826A5B59}"/>
    <cellStyle name="Percent 9 10 5" xfId="13335" xr:uid="{17E3EBF5-0CC7-4589-AD13-F4B6815FBE56}"/>
    <cellStyle name="Percent 9 10 5 2" xfId="13336" xr:uid="{EA4B63AA-1D19-433C-8EE3-CECDA1E5265A}"/>
    <cellStyle name="Percent 9 10 5 2 2" xfId="13337" xr:uid="{483F57B3-831D-4773-B1B1-B2FADF6C7128}"/>
    <cellStyle name="Percent 9 10 5 3" xfId="13338" xr:uid="{EF02F682-798B-46D2-8AE2-A41CF171822E}"/>
    <cellStyle name="Percent 9 10 5 3 2" xfId="13339" xr:uid="{C7442A7D-3742-4BA4-861C-32BFD592E97E}"/>
    <cellStyle name="Percent 9 10 5 4" xfId="13340" xr:uid="{50D35795-E81E-4EB5-BF30-9C52F7CE7652}"/>
    <cellStyle name="Percent 9 10 5 4 2" xfId="13341" xr:uid="{9B2B4CAD-34E7-4411-AEF7-F38E6BE46AF0}"/>
    <cellStyle name="Percent 9 10 5 5" xfId="13342" xr:uid="{727B0E13-63B2-4C6A-BC3E-9A6542D34616}"/>
    <cellStyle name="Percent 9 10 6" xfId="13343" xr:uid="{2F7DFA68-0340-4C32-8B6F-C943E13D3A4D}"/>
    <cellStyle name="Percent 9 10 6 2" xfId="13344" xr:uid="{EA0EDFFC-F4A6-40DE-BEAB-286C34CFBF2B}"/>
    <cellStyle name="Percent 9 10 6 2 2" xfId="13345" xr:uid="{5A58482A-825F-4F9D-B5D0-D3AF2A7C6433}"/>
    <cellStyle name="Percent 9 10 6 3" xfId="13346" xr:uid="{75D3DDD7-29C1-4810-9DA6-E540760B38D2}"/>
    <cellStyle name="Percent 9 10 6 3 2" xfId="13347" xr:uid="{93A364FA-B5B8-49CA-8B13-1C094FEA312E}"/>
    <cellStyle name="Percent 9 10 6 4" xfId="13348" xr:uid="{19CB8B83-B01B-448D-98E0-C8AA1DA509B5}"/>
    <cellStyle name="Percent 9 10 7" xfId="13349" xr:uid="{61A9EED9-42B7-47CC-A835-963D6C0B643A}"/>
    <cellStyle name="Percent 9 10 7 2" xfId="13350" xr:uid="{C97F7632-BCE2-4FCD-9618-F46F9EA5F880}"/>
    <cellStyle name="Percent 9 10 8" xfId="13351" xr:uid="{1452B7B1-A4EF-4DAF-B4E8-75326ED5BD75}"/>
    <cellStyle name="Percent 9 10 8 2" xfId="13352" xr:uid="{5865ECAA-FFAB-4257-A542-23B803224A65}"/>
    <cellStyle name="Percent 9 10 9" xfId="13353" xr:uid="{70684EF6-3F2F-4F7A-B396-1ABE6BB9B36B}"/>
    <cellStyle name="Percent 9 10 9 2" xfId="13354" xr:uid="{1A75D2CC-6FFE-4DB6-8148-9DB2F8062360}"/>
    <cellStyle name="Percent 9 11" xfId="3018" xr:uid="{FA8ABEF8-DACC-49E3-A4D9-D066757A0C94}"/>
    <cellStyle name="Percent 9 11 10" xfId="13356" xr:uid="{231BBC19-A107-48B5-AE1B-04BBB859AC73}"/>
    <cellStyle name="Percent 9 11 11" xfId="13357" xr:uid="{A6D6CDB8-DF61-48BB-A0F6-617A623FF0D3}"/>
    <cellStyle name="Percent 9 11 12" xfId="13355" xr:uid="{8B23A788-6FEE-4AEE-8B8D-A5BB6BDBC3A6}"/>
    <cellStyle name="Percent 9 11 2" xfId="13358" xr:uid="{1E707A67-A8FF-4D60-9289-37E6B5CD0CC0}"/>
    <cellStyle name="Percent 9 11 2 2" xfId="13359" xr:uid="{78493B98-AE1F-49D7-9211-E15ACC54EDF2}"/>
    <cellStyle name="Percent 9 11 2 2 2" xfId="13360" xr:uid="{F4EE1F37-7184-4C9D-81FC-E3F0E2DB6D11}"/>
    <cellStyle name="Percent 9 11 2 3" xfId="13361" xr:uid="{EDBF24AF-F80C-4D4F-88FB-E9C0D47C870E}"/>
    <cellStyle name="Percent 9 11 2 3 2" xfId="13362" xr:uid="{838AC403-FFB8-4DC0-916C-6A2D656DC121}"/>
    <cellStyle name="Percent 9 11 2 4" xfId="13363" xr:uid="{422CD029-0A99-452C-ADC9-7ED2590096F0}"/>
    <cellStyle name="Percent 9 11 2 5" xfId="13364" xr:uid="{055A83E7-8508-454D-A28E-8E092E8B3AA9}"/>
    <cellStyle name="Percent 9 11 3" xfId="13365" xr:uid="{4F45F152-C31A-43D6-BA3E-EF27EA983646}"/>
    <cellStyle name="Percent 9 11 3 2" xfId="13366" xr:uid="{7CB7FCF5-FBC6-458B-AD72-6A57A55CE41D}"/>
    <cellStyle name="Percent 9 11 3 2 2" xfId="13367" xr:uid="{143F19F6-9830-4A7C-8F6C-68905FCBA7B3}"/>
    <cellStyle name="Percent 9 11 3 3" xfId="13368" xr:uid="{1228BD34-8AC4-442A-8D46-3F6742CDB3F0}"/>
    <cellStyle name="Percent 9 11 3 3 2" xfId="13369" xr:uid="{F2223FAC-0148-4027-8396-BA3AF3FC0EE0}"/>
    <cellStyle name="Percent 9 11 3 4" xfId="13370" xr:uid="{030B77C6-C519-4AB2-BFE8-94DB56FF8728}"/>
    <cellStyle name="Percent 9 11 4" xfId="13371" xr:uid="{76D53452-227B-4389-A398-14CCDF9EE060}"/>
    <cellStyle name="Percent 9 11 4 2" xfId="13372" xr:uid="{6CA736DD-BCB0-43FD-95B2-AF0331D9BCB2}"/>
    <cellStyle name="Percent 9 11 4 2 2" xfId="13373" xr:uid="{FEC27DA8-8B16-4136-8A38-43EE1B229AA2}"/>
    <cellStyle name="Percent 9 11 4 3" xfId="13374" xr:uid="{B94C4531-8289-436A-81D9-EBA0E22363F8}"/>
    <cellStyle name="Percent 9 11 4 3 2" xfId="13375" xr:uid="{41FDE2BB-ED4E-431A-A571-8A1A4C341DBF}"/>
    <cellStyle name="Percent 9 11 4 4" xfId="13376" xr:uid="{A4424807-2750-4894-9EC9-0EFFD5030823}"/>
    <cellStyle name="Percent 9 11 5" xfId="13377" xr:uid="{8EF6EFD5-C614-453C-892F-6CD5E237FD70}"/>
    <cellStyle name="Percent 9 11 5 2" xfId="13378" xr:uid="{7F3228A9-ABFB-4802-9307-0BE0A75C1637}"/>
    <cellStyle name="Percent 9 11 5 2 2" xfId="13379" xr:uid="{CE51C187-254A-4E8C-9F8F-ECEE0206BDA5}"/>
    <cellStyle name="Percent 9 11 5 3" xfId="13380" xr:uid="{C2A1ACF2-AB2D-44FC-9B0D-DF894C0B09B9}"/>
    <cellStyle name="Percent 9 11 5 3 2" xfId="13381" xr:uid="{91118EDF-0285-43A2-A96D-CFB8E5C08128}"/>
    <cellStyle name="Percent 9 11 5 4" xfId="13382" xr:uid="{CCEE1FD9-0F2B-4720-A473-4E36285C882C}"/>
    <cellStyle name="Percent 9 11 5 4 2" xfId="13383" xr:uid="{37AED155-A951-4EE8-9BAC-CC70BAD39246}"/>
    <cellStyle name="Percent 9 11 5 5" xfId="13384" xr:uid="{F225D70C-73A1-4ED7-A751-352B1CCFD3E6}"/>
    <cellStyle name="Percent 9 11 6" xfId="13385" xr:uid="{B553485E-7991-40A2-AFE5-4CD27673D833}"/>
    <cellStyle name="Percent 9 11 6 2" xfId="13386" xr:uid="{FD1C2C02-350A-4C77-84DC-39AB3937BE9D}"/>
    <cellStyle name="Percent 9 11 6 2 2" xfId="13387" xr:uid="{A26211F0-8932-4FAF-9925-3D018CD63E14}"/>
    <cellStyle name="Percent 9 11 6 3" xfId="13388" xr:uid="{7593C1AF-EC54-48A9-AF52-3F45515C9C04}"/>
    <cellStyle name="Percent 9 11 6 3 2" xfId="13389" xr:uid="{457581BC-199C-4353-ABA6-264D5BCCEB2D}"/>
    <cellStyle name="Percent 9 11 6 4" xfId="13390" xr:uid="{CAA7CC09-5A0E-48C2-8B6B-8E15910BEE26}"/>
    <cellStyle name="Percent 9 11 7" xfId="13391" xr:uid="{A08EC96A-FFBD-4D65-850F-B5ADE3BF733F}"/>
    <cellStyle name="Percent 9 11 7 2" xfId="13392" xr:uid="{E7B743CD-8E7D-47BA-8AEB-3FDE0C965D48}"/>
    <cellStyle name="Percent 9 11 8" xfId="13393" xr:uid="{FB907E2E-3CEE-44AF-994E-D1E5300CD9C1}"/>
    <cellStyle name="Percent 9 11 8 2" xfId="13394" xr:uid="{09D2591E-18AE-4F6B-B691-8787216793B6}"/>
    <cellStyle name="Percent 9 11 9" xfId="13395" xr:uid="{AE659D39-30A9-4CA6-8612-DFFA423E3DE8}"/>
    <cellStyle name="Percent 9 11 9 2" xfId="13396" xr:uid="{3BBC0A32-C898-425D-928F-471220F0E485}"/>
    <cellStyle name="Percent 9 12" xfId="3019" xr:uid="{08876FA4-03C6-4280-A6F0-179F9197D26A}"/>
    <cellStyle name="Percent 9 12 10" xfId="13398" xr:uid="{845DA765-5695-4F39-B6CD-8E2396D46377}"/>
    <cellStyle name="Percent 9 12 11" xfId="13399" xr:uid="{DA5AC5E0-F339-4CEF-8757-D9761A107009}"/>
    <cellStyle name="Percent 9 12 12" xfId="13397" xr:uid="{3FD95FF6-8E39-4883-A477-D4552E172B9B}"/>
    <cellStyle name="Percent 9 12 2" xfId="13400" xr:uid="{DC9707E9-0ED0-46E8-8CA6-F8BAD3ED098F}"/>
    <cellStyle name="Percent 9 12 2 2" xfId="13401" xr:uid="{3E9AB12F-4DA5-424F-A6E6-D45C8AB0757E}"/>
    <cellStyle name="Percent 9 12 2 2 2" xfId="13402" xr:uid="{C394E2E0-2E67-4469-A717-C4E62EB444B4}"/>
    <cellStyle name="Percent 9 12 2 3" xfId="13403" xr:uid="{843E2482-CD60-4117-B883-3DEAB3B749C0}"/>
    <cellStyle name="Percent 9 12 2 3 2" xfId="13404" xr:uid="{C5797833-405A-481C-ABE8-9B9580F6093E}"/>
    <cellStyle name="Percent 9 12 2 4" xfId="13405" xr:uid="{BE8E5041-3D1D-43ED-8836-DB25D383F3D7}"/>
    <cellStyle name="Percent 9 12 2 5" xfId="13406" xr:uid="{5917A13A-8A43-4939-9DE6-673AAA90C595}"/>
    <cellStyle name="Percent 9 12 3" xfId="13407" xr:uid="{3B473609-FCCD-4B23-A855-305523CC5ED1}"/>
    <cellStyle name="Percent 9 12 3 2" xfId="13408" xr:uid="{636794B6-909C-4678-90E4-1A58815764A9}"/>
    <cellStyle name="Percent 9 12 3 2 2" xfId="13409" xr:uid="{4206C6B6-3611-4DEF-A43B-9EA804AB89B0}"/>
    <cellStyle name="Percent 9 12 3 3" xfId="13410" xr:uid="{1836C6FE-DE52-4D76-8B8A-2E67293088D2}"/>
    <cellStyle name="Percent 9 12 3 3 2" xfId="13411" xr:uid="{E223AD0F-DDD5-4DB2-8247-4FD8024665D3}"/>
    <cellStyle name="Percent 9 12 3 4" xfId="13412" xr:uid="{52587F18-9D3B-4D26-B57D-2D99C3AF1C1D}"/>
    <cellStyle name="Percent 9 12 4" xfId="13413" xr:uid="{BA1E0934-9781-476D-8FAC-1F8E60024218}"/>
    <cellStyle name="Percent 9 12 4 2" xfId="13414" xr:uid="{CC7B9A8D-8809-4A97-B788-6351F42C5D94}"/>
    <cellStyle name="Percent 9 12 4 2 2" xfId="13415" xr:uid="{8E91D69D-A15A-4CA3-A29A-082D8DFE7F1B}"/>
    <cellStyle name="Percent 9 12 4 3" xfId="13416" xr:uid="{9EFA1A63-2556-4231-AA97-1C432C03849A}"/>
    <cellStyle name="Percent 9 12 4 3 2" xfId="13417" xr:uid="{01D51BE6-528D-4BDE-86B9-A9AA33212407}"/>
    <cellStyle name="Percent 9 12 4 4" xfId="13418" xr:uid="{2EC86738-88E5-47F7-8180-9BD91471620C}"/>
    <cellStyle name="Percent 9 12 5" xfId="13419" xr:uid="{F7D6E7EF-96AD-4F72-8092-9CD6AB333B6E}"/>
    <cellStyle name="Percent 9 12 5 2" xfId="13420" xr:uid="{8D544EF0-4919-4921-9C20-9C90EE19E662}"/>
    <cellStyle name="Percent 9 12 5 2 2" xfId="13421" xr:uid="{4F345B66-4B93-47FF-A5C1-58F9276AB1A2}"/>
    <cellStyle name="Percent 9 12 5 3" xfId="13422" xr:uid="{46CE212F-09AC-4583-BE80-F8F8FB8C8B81}"/>
    <cellStyle name="Percent 9 12 5 3 2" xfId="13423" xr:uid="{12618DA9-ABD3-41F3-85C6-6EED8CDEF7BC}"/>
    <cellStyle name="Percent 9 12 5 4" xfId="13424" xr:uid="{768DC74F-3169-4E96-B931-BC2B83D0C56E}"/>
    <cellStyle name="Percent 9 12 5 4 2" xfId="13425" xr:uid="{AF7A0048-694A-4852-A179-32EA21B85840}"/>
    <cellStyle name="Percent 9 12 5 5" xfId="13426" xr:uid="{2A16AE77-C931-4220-A994-9402172ED2C9}"/>
    <cellStyle name="Percent 9 12 6" xfId="13427" xr:uid="{559161E3-D381-4DCD-AA6F-70FB3013A8DF}"/>
    <cellStyle name="Percent 9 12 6 2" xfId="13428" xr:uid="{9BA2CD23-5742-4113-A768-70A2E2D1009E}"/>
    <cellStyle name="Percent 9 12 6 2 2" xfId="13429" xr:uid="{BCAA5EE8-AFE6-4C6B-9980-7B05AB60012A}"/>
    <cellStyle name="Percent 9 12 6 3" xfId="13430" xr:uid="{6B7A39E7-A9FC-4A2F-BFCE-4DEFCB188927}"/>
    <cellStyle name="Percent 9 12 6 3 2" xfId="13431" xr:uid="{EB197AC5-4908-49D7-A8C3-D44102F293C3}"/>
    <cellStyle name="Percent 9 12 6 4" xfId="13432" xr:uid="{35BE0BD7-1F61-49ED-86A2-F3281FF782FE}"/>
    <cellStyle name="Percent 9 12 7" xfId="13433" xr:uid="{8C40043A-8416-4CC5-9730-CF0BEC1A4533}"/>
    <cellStyle name="Percent 9 12 7 2" xfId="13434" xr:uid="{7A302901-DEAD-4B4F-8A5A-B59263A5C537}"/>
    <cellStyle name="Percent 9 12 8" xfId="13435" xr:uid="{19B5E5A9-019C-49E0-AA1A-8EC3F45ACFAF}"/>
    <cellStyle name="Percent 9 12 8 2" xfId="13436" xr:uid="{2072D45D-EA69-4395-8A28-9A0EFFC485DC}"/>
    <cellStyle name="Percent 9 12 9" xfId="13437" xr:uid="{10B24A51-A81C-48ED-916E-856259848579}"/>
    <cellStyle name="Percent 9 12 9 2" xfId="13438" xr:uid="{A6D5F50C-00E4-40F8-A2C9-36B184C1FDAA}"/>
    <cellStyle name="Percent 9 13" xfId="3020" xr:uid="{C39B19F4-4B81-4BAB-8059-EED4B309FF45}"/>
    <cellStyle name="Percent 9 13 10" xfId="13440" xr:uid="{4437303C-3A2F-4F9E-8710-229DA52BED98}"/>
    <cellStyle name="Percent 9 13 11" xfId="13441" xr:uid="{2607DE70-D8C6-4DCC-94B0-D6D62B51EE42}"/>
    <cellStyle name="Percent 9 13 12" xfId="13439" xr:uid="{825113AC-60BC-4937-8E34-CE9A22D8A363}"/>
    <cellStyle name="Percent 9 13 2" xfId="13442" xr:uid="{785E9072-0F18-4A40-98C9-068D80AB89F6}"/>
    <cellStyle name="Percent 9 13 2 2" xfId="13443" xr:uid="{F2B1F48D-373B-40C0-9843-83B0034937C8}"/>
    <cellStyle name="Percent 9 13 2 2 2" xfId="13444" xr:uid="{E91B5477-3DC0-4C8C-BD7C-C146D88A2CA6}"/>
    <cellStyle name="Percent 9 13 2 3" xfId="13445" xr:uid="{814BB5DC-EC04-46FB-9543-D9D54370E8E5}"/>
    <cellStyle name="Percent 9 13 2 3 2" xfId="13446" xr:uid="{DAB05CB6-591E-4377-A455-E0EB7809F901}"/>
    <cellStyle name="Percent 9 13 2 4" xfId="13447" xr:uid="{5197558B-D158-4F97-B394-03555271C05F}"/>
    <cellStyle name="Percent 9 13 2 5" xfId="13448" xr:uid="{6A17953D-0556-4A89-9142-92AAFF158E91}"/>
    <cellStyle name="Percent 9 13 3" xfId="13449" xr:uid="{AB0B91F3-A4FE-4AC5-BFF0-A0E38DB2C360}"/>
    <cellStyle name="Percent 9 13 3 2" xfId="13450" xr:uid="{FB09AF0E-A71E-4D3C-B144-E1B74BC0082E}"/>
    <cellStyle name="Percent 9 13 3 2 2" xfId="13451" xr:uid="{BDE8872A-502B-4196-BE79-0DA35216F4B9}"/>
    <cellStyle name="Percent 9 13 3 3" xfId="13452" xr:uid="{A9E704FA-052F-4A81-935D-6B09CA8167F1}"/>
    <cellStyle name="Percent 9 13 3 3 2" xfId="13453" xr:uid="{261D33AB-1364-4AD2-956F-FECC4995BB15}"/>
    <cellStyle name="Percent 9 13 3 4" xfId="13454" xr:uid="{061F1D8D-61DD-4380-BFE2-188E78741D0C}"/>
    <cellStyle name="Percent 9 13 4" xfId="13455" xr:uid="{5B6887AE-770C-40C6-9E84-033B33770D44}"/>
    <cellStyle name="Percent 9 13 4 2" xfId="13456" xr:uid="{B70C02F3-794D-4F46-8ED6-AB1BBC705DB6}"/>
    <cellStyle name="Percent 9 13 4 2 2" xfId="13457" xr:uid="{74D4B072-CDB0-45B2-9857-63360201F21F}"/>
    <cellStyle name="Percent 9 13 4 3" xfId="13458" xr:uid="{44EC9299-F709-4215-9B95-605387BC5E28}"/>
    <cellStyle name="Percent 9 13 4 3 2" xfId="13459" xr:uid="{DBB76B0B-22F5-4B72-B6A1-5F4634813372}"/>
    <cellStyle name="Percent 9 13 4 4" xfId="13460" xr:uid="{56C3420F-0F6A-4702-BE9F-23A2DF88D5F5}"/>
    <cellStyle name="Percent 9 13 5" xfId="13461" xr:uid="{1F6B52FA-2DE9-425C-983D-FB2ACCA0472F}"/>
    <cellStyle name="Percent 9 13 5 2" xfId="13462" xr:uid="{F48FF672-8478-4A7B-AFC3-6CBE3CD17E8D}"/>
    <cellStyle name="Percent 9 13 5 2 2" xfId="13463" xr:uid="{65778421-E924-4262-AB13-9F4F8A60ACEE}"/>
    <cellStyle name="Percent 9 13 5 3" xfId="13464" xr:uid="{458E447C-9611-49C6-BE2C-59BAE217988A}"/>
    <cellStyle name="Percent 9 13 5 3 2" xfId="13465" xr:uid="{D2424FCE-0F14-4EE5-B858-2D52C0A429F5}"/>
    <cellStyle name="Percent 9 13 5 4" xfId="13466" xr:uid="{C7BF48BF-3BC4-40C7-A5CE-203C88E95C89}"/>
    <cellStyle name="Percent 9 13 5 4 2" xfId="13467" xr:uid="{B8202801-1688-4CC9-907B-38D96B7CBF81}"/>
    <cellStyle name="Percent 9 13 5 5" xfId="13468" xr:uid="{A0325488-EA05-4A77-84F4-71ED9FF534BB}"/>
    <cellStyle name="Percent 9 13 6" xfId="13469" xr:uid="{7955A5B7-3B88-4CCC-9540-79439CBD0182}"/>
    <cellStyle name="Percent 9 13 6 2" xfId="13470" xr:uid="{7EE95D1E-613D-4DFE-A830-C59F7067BC11}"/>
    <cellStyle name="Percent 9 13 6 2 2" xfId="13471" xr:uid="{A2A53991-AE2D-4CE1-8AF1-683D15BCB8DB}"/>
    <cellStyle name="Percent 9 13 6 3" xfId="13472" xr:uid="{48F2DD35-748D-450E-835D-2CBA9B987F95}"/>
    <cellStyle name="Percent 9 13 6 3 2" xfId="13473" xr:uid="{239C062A-0B82-47D5-A020-CD445D7D0B26}"/>
    <cellStyle name="Percent 9 13 6 4" xfId="13474" xr:uid="{6A9892D8-054F-4430-8F71-B87DACEFBDB4}"/>
    <cellStyle name="Percent 9 13 7" xfId="13475" xr:uid="{95310EF9-AEA3-40B8-B272-3281C89B1B26}"/>
    <cellStyle name="Percent 9 13 7 2" xfId="13476" xr:uid="{58DC5430-9C16-47B2-9264-68ABBFD8F234}"/>
    <cellStyle name="Percent 9 13 8" xfId="13477" xr:uid="{444792CB-CEE5-421E-8B68-2D6CF3D28EA4}"/>
    <cellStyle name="Percent 9 13 8 2" xfId="13478" xr:uid="{D0689BA5-B82F-4016-9B4C-37A6E415C04A}"/>
    <cellStyle name="Percent 9 13 9" xfId="13479" xr:uid="{59AE0A04-3617-4500-AB57-8EBE1C0E2CDA}"/>
    <cellStyle name="Percent 9 13 9 2" xfId="13480" xr:uid="{994B0B6D-FC16-4D81-B38D-2DB437581E1F}"/>
    <cellStyle name="Percent 9 14" xfId="3021" xr:uid="{3D73E94B-7BE4-4E6B-BCF0-26656BB4C527}"/>
    <cellStyle name="Percent 9 14 10" xfId="13482" xr:uid="{E4D47035-6044-4976-966B-A85EA7682512}"/>
    <cellStyle name="Percent 9 14 11" xfId="13483" xr:uid="{0EA89D56-77E5-427F-8D12-9013CBAD8F86}"/>
    <cellStyle name="Percent 9 14 12" xfId="13481" xr:uid="{E28F6F90-D3AC-45D1-B85C-F5392D58567E}"/>
    <cellStyle name="Percent 9 14 2" xfId="13484" xr:uid="{1B017D1E-1545-4F5C-B4D7-883BF5635895}"/>
    <cellStyle name="Percent 9 14 2 2" xfId="13485" xr:uid="{CE12FDF7-0287-47F3-9AF6-A61A45E7FFDA}"/>
    <cellStyle name="Percent 9 14 2 2 2" xfId="13486" xr:uid="{D2D71E5F-0ED1-48C0-ACDB-53F64A1A72F6}"/>
    <cellStyle name="Percent 9 14 2 3" xfId="13487" xr:uid="{CDC68FFC-8127-4148-93F5-4F69B984CE37}"/>
    <cellStyle name="Percent 9 14 2 3 2" xfId="13488" xr:uid="{11F8B9AE-A4FB-4070-A94D-175DDCB8D38D}"/>
    <cellStyle name="Percent 9 14 2 4" xfId="13489" xr:uid="{12317DAE-6F88-415E-AB6D-2DF3D6F8D403}"/>
    <cellStyle name="Percent 9 14 2 5" xfId="13490" xr:uid="{EF5661A4-C3DB-4F88-B91E-4389C4F47F1A}"/>
    <cellStyle name="Percent 9 14 3" xfId="13491" xr:uid="{158A31AD-F52A-4E7B-9375-0CAD16302555}"/>
    <cellStyle name="Percent 9 14 3 2" xfId="13492" xr:uid="{12DEDB06-7CED-4807-B9DA-941E7E7552B2}"/>
    <cellStyle name="Percent 9 14 3 2 2" xfId="13493" xr:uid="{27237E03-22FA-459D-A43F-C781C1AFAE76}"/>
    <cellStyle name="Percent 9 14 3 3" xfId="13494" xr:uid="{6EC3BAB0-498C-435F-B994-BC5E514C912F}"/>
    <cellStyle name="Percent 9 14 3 3 2" xfId="13495" xr:uid="{BE530947-51AC-4E61-B1FD-75C24A0B0C06}"/>
    <cellStyle name="Percent 9 14 3 4" xfId="13496" xr:uid="{3D623E41-C6DE-41FD-8C40-9E0B27E98FD2}"/>
    <cellStyle name="Percent 9 14 4" xfId="13497" xr:uid="{D8138312-2514-4679-8408-606B3C8E83D9}"/>
    <cellStyle name="Percent 9 14 4 2" xfId="13498" xr:uid="{19F6B1B8-90B1-45E7-B75A-66B93057C5D7}"/>
    <cellStyle name="Percent 9 14 4 2 2" xfId="13499" xr:uid="{D4D2C75A-6785-4B95-8D94-AE1DD6136EB3}"/>
    <cellStyle name="Percent 9 14 4 3" xfId="13500" xr:uid="{6D39183C-2133-4C6E-9F45-118554479717}"/>
    <cellStyle name="Percent 9 14 4 3 2" xfId="13501" xr:uid="{B0707694-17EB-4B50-A2AC-485A0ECCA93C}"/>
    <cellStyle name="Percent 9 14 4 4" xfId="13502" xr:uid="{B79F92C0-D456-47B5-A4A1-5F894FFB35B5}"/>
    <cellStyle name="Percent 9 14 5" xfId="13503" xr:uid="{237BC56F-CF20-4EE2-BBE5-3D8A1B0AC3E9}"/>
    <cellStyle name="Percent 9 14 5 2" xfId="13504" xr:uid="{883A14EC-F66B-4F52-B9BA-3771680E5D0B}"/>
    <cellStyle name="Percent 9 14 5 2 2" xfId="13505" xr:uid="{FFFACB76-6EC8-4811-AC1A-298DFA3ECCB1}"/>
    <cellStyle name="Percent 9 14 5 3" xfId="13506" xr:uid="{E0955CD5-776C-44E8-B9BA-ED5830A8788D}"/>
    <cellStyle name="Percent 9 14 5 3 2" xfId="13507" xr:uid="{F8BAB92D-DCB7-4DCC-86A4-F37E0FC02A70}"/>
    <cellStyle name="Percent 9 14 5 4" xfId="13508" xr:uid="{4979353E-3F4C-45FA-9212-4BF1E0D4D548}"/>
    <cellStyle name="Percent 9 14 5 4 2" xfId="13509" xr:uid="{5CEC7DE1-E75E-4151-88A0-697D496D0808}"/>
    <cellStyle name="Percent 9 14 5 5" xfId="13510" xr:uid="{9387B528-AEC5-419B-B164-4BFC969A17C7}"/>
    <cellStyle name="Percent 9 14 6" xfId="13511" xr:uid="{EC864844-056C-4C5A-A917-6EF3C0B282B3}"/>
    <cellStyle name="Percent 9 14 6 2" xfId="13512" xr:uid="{2EEA5529-DAB9-4F9A-BF05-AA4EFA94241B}"/>
    <cellStyle name="Percent 9 14 6 2 2" xfId="13513" xr:uid="{D4ACB119-CEF7-4B52-A2E5-29165E30ADE8}"/>
    <cellStyle name="Percent 9 14 6 3" xfId="13514" xr:uid="{3B5E9E43-F4DA-4F8A-881F-C596DB3C889E}"/>
    <cellStyle name="Percent 9 14 6 3 2" xfId="13515" xr:uid="{460AD1F9-8577-4DE4-AF73-9990D440EE8F}"/>
    <cellStyle name="Percent 9 14 6 4" xfId="13516" xr:uid="{EFE3FEA4-C4E8-4388-AB75-B04BC7D3D154}"/>
    <cellStyle name="Percent 9 14 7" xfId="13517" xr:uid="{E3539133-649B-4C29-8FC4-7F262F0495E0}"/>
    <cellStyle name="Percent 9 14 7 2" xfId="13518" xr:uid="{B2758D4C-293D-4598-8B91-102BB21D8F2B}"/>
    <cellStyle name="Percent 9 14 8" xfId="13519" xr:uid="{7FBF2EBF-D8CC-42BD-A8C5-637D2CD5C7DB}"/>
    <cellStyle name="Percent 9 14 8 2" xfId="13520" xr:uid="{EFC38F0B-1309-49FF-B301-8C6A352411FF}"/>
    <cellStyle name="Percent 9 14 9" xfId="13521" xr:uid="{8B6ED725-0E86-47A3-824E-5935A1F10038}"/>
    <cellStyle name="Percent 9 14 9 2" xfId="13522" xr:uid="{C16CE955-075A-4294-954A-EFFBF82B47DE}"/>
    <cellStyle name="Percent 9 15" xfId="3022" xr:uid="{C865A20B-E980-4F7B-84DE-8BBAD28E21D9}"/>
    <cellStyle name="Percent 9 15 10" xfId="13524" xr:uid="{6E67FD71-4092-40CB-9EAB-C27EA07972EC}"/>
    <cellStyle name="Percent 9 15 11" xfId="13525" xr:uid="{96EF084A-5D3A-426F-996F-61FA86413AF4}"/>
    <cellStyle name="Percent 9 15 12" xfId="13523" xr:uid="{4418F219-9FCC-4DE6-A3FA-B0ECAFB5D5B3}"/>
    <cellStyle name="Percent 9 15 2" xfId="13526" xr:uid="{2087804A-60E4-4937-9C0E-2297446C3C09}"/>
    <cellStyle name="Percent 9 15 2 2" xfId="13527" xr:uid="{D93B928F-5BE8-476B-8668-F539AEBDBC72}"/>
    <cellStyle name="Percent 9 15 2 2 2" xfId="13528" xr:uid="{709A4C22-9B80-4CDF-92A7-429C0D330D8F}"/>
    <cellStyle name="Percent 9 15 2 3" xfId="13529" xr:uid="{79D0AC93-0D2C-4267-BEED-02F0F8ED6A4B}"/>
    <cellStyle name="Percent 9 15 2 3 2" xfId="13530" xr:uid="{71C8374F-D2CC-4281-842F-FBEFE219553D}"/>
    <cellStyle name="Percent 9 15 2 4" xfId="13531" xr:uid="{00018490-07E1-488F-9DE2-14206D86F030}"/>
    <cellStyle name="Percent 9 15 2 5" xfId="13532" xr:uid="{D801787E-51AB-40C7-AECA-853E9FE32EB6}"/>
    <cellStyle name="Percent 9 15 3" xfId="13533" xr:uid="{48CF5DA7-C6F2-415F-BE5B-DD02E2B377EC}"/>
    <cellStyle name="Percent 9 15 3 2" xfId="13534" xr:uid="{F0A8E6FF-F156-4BE1-8876-5DB2740684E4}"/>
    <cellStyle name="Percent 9 15 3 2 2" xfId="13535" xr:uid="{B4A9CDC6-DAAD-43A7-9B4C-106F1CDC6B18}"/>
    <cellStyle name="Percent 9 15 3 3" xfId="13536" xr:uid="{0A0EDEF3-D0AC-4127-9F4B-E0E8D0EE3C21}"/>
    <cellStyle name="Percent 9 15 3 3 2" xfId="13537" xr:uid="{157CC694-78E2-4368-84B7-9FC90563E459}"/>
    <cellStyle name="Percent 9 15 3 4" xfId="13538" xr:uid="{6918B1AF-0B63-4632-B716-5A66B1CBC6F9}"/>
    <cellStyle name="Percent 9 15 4" xfId="13539" xr:uid="{A4874E04-F8D2-4380-B68F-1D3EECAE3C95}"/>
    <cellStyle name="Percent 9 15 4 2" xfId="13540" xr:uid="{6A9DE79A-B641-4CE7-980A-713B02CC9C60}"/>
    <cellStyle name="Percent 9 15 4 2 2" xfId="13541" xr:uid="{5E33EFBC-343E-4BA9-9ACC-C2D8057E9344}"/>
    <cellStyle name="Percent 9 15 4 3" xfId="13542" xr:uid="{ECC60F72-D626-4EFC-8F31-AF9655801316}"/>
    <cellStyle name="Percent 9 15 4 3 2" xfId="13543" xr:uid="{B9BE7D9A-24C0-4CF8-8E4D-6065286B1041}"/>
    <cellStyle name="Percent 9 15 4 4" xfId="13544" xr:uid="{8A54A6B4-BF4F-4A21-A197-8D48A52218DB}"/>
    <cellStyle name="Percent 9 15 5" xfId="13545" xr:uid="{DF3E2D76-43E6-4338-A385-092F0FE95D74}"/>
    <cellStyle name="Percent 9 15 5 2" xfId="13546" xr:uid="{F644B476-B79F-48DE-A198-1FC573BD39FC}"/>
    <cellStyle name="Percent 9 15 5 2 2" xfId="13547" xr:uid="{9A9BA292-EABA-449A-8E34-228D24EDF9B1}"/>
    <cellStyle name="Percent 9 15 5 3" xfId="13548" xr:uid="{E7E8C2FC-AC17-4171-AAAC-FD28CA972D90}"/>
    <cellStyle name="Percent 9 15 5 3 2" xfId="13549" xr:uid="{6541AFD1-49AD-4130-9D71-B85AE4CF1595}"/>
    <cellStyle name="Percent 9 15 5 4" xfId="13550" xr:uid="{2CCE1C9B-33C1-44F3-9838-49EE423D19C2}"/>
    <cellStyle name="Percent 9 15 5 4 2" xfId="13551" xr:uid="{43A16CBF-CCBC-4F32-926A-72538BA7D5DB}"/>
    <cellStyle name="Percent 9 15 5 5" xfId="13552" xr:uid="{0328FB4A-93F5-4DE4-9FDE-D460E8F695F4}"/>
    <cellStyle name="Percent 9 15 6" xfId="13553" xr:uid="{535458E5-526F-4374-A645-9161D8A779DB}"/>
    <cellStyle name="Percent 9 15 6 2" xfId="13554" xr:uid="{90BDBEDE-57ED-40BB-B3EE-30A0B221809A}"/>
    <cellStyle name="Percent 9 15 6 2 2" xfId="13555" xr:uid="{C9C01096-F502-4C6B-88C7-45F65159C871}"/>
    <cellStyle name="Percent 9 15 6 3" xfId="13556" xr:uid="{EEAFB229-2E7E-4CAF-86A4-20AB54131EE1}"/>
    <cellStyle name="Percent 9 15 6 3 2" xfId="13557" xr:uid="{0550564E-2BBB-403A-A873-64636DC220B8}"/>
    <cellStyle name="Percent 9 15 6 4" xfId="13558" xr:uid="{CC131378-E02F-4146-8D1A-4484A1B3B9A8}"/>
    <cellStyle name="Percent 9 15 7" xfId="13559" xr:uid="{9D06FF18-1084-494F-A897-582426B0A8B3}"/>
    <cellStyle name="Percent 9 15 7 2" xfId="13560" xr:uid="{AAE7CFD3-A45C-425A-8B5F-D6847D3B763E}"/>
    <cellStyle name="Percent 9 15 8" xfId="13561" xr:uid="{FE75B76E-89CB-43CD-B027-CFB088065EFE}"/>
    <cellStyle name="Percent 9 15 8 2" xfId="13562" xr:uid="{C13046DC-A887-4CB8-87E5-E4048B186FDD}"/>
    <cellStyle name="Percent 9 15 9" xfId="13563" xr:uid="{E21ECE87-E160-41D5-A875-937FC0D6861E}"/>
    <cellStyle name="Percent 9 15 9 2" xfId="13564" xr:uid="{EEF43F21-AB4D-4F51-87C3-E98D73E56C87}"/>
    <cellStyle name="Percent 9 16" xfId="3023" xr:uid="{3122EFBD-4971-4552-9CC0-0AC81E7CD3C7}"/>
    <cellStyle name="Percent 9 16 10" xfId="13566" xr:uid="{70BDE272-F23A-4FC9-9C6C-FFE583D0EBFE}"/>
    <cellStyle name="Percent 9 16 11" xfId="13567" xr:uid="{49528F2A-1922-4585-97AE-038489BADF4A}"/>
    <cellStyle name="Percent 9 16 12" xfId="13565" xr:uid="{4E3CAC66-FAE9-4111-A553-0554A5A64412}"/>
    <cellStyle name="Percent 9 16 2" xfId="13568" xr:uid="{F142CACA-8853-4C43-8269-C102E827FD80}"/>
    <cellStyle name="Percent 9 16 2 2" xfId="13569" xr:uid="{09AEE92B-179D-45D7-B93F-16DDC21E32C9}"/>
    <cellStyle name="Percent 9 16 2 2 2" xfId="13570" xr:uid="{74B7E91F-B348-4509-A361-0789FD516D24}"/>
    <cellStyle name="Percent 9 16 2 3" xfId="13571" xr:uid="{EF9CF8B5-4A44-4553-80BB-E16ABCC62EDF}"/>
    <cellStyle name="Percent 9 16 2 3 2" xfId="13572" xr:uid="{1883765D-B971-4EAD-848C-03DCBF1D87A7}"/>
    <cellStyle name="Percent 9 16 2 4" xfId="13573" xr:uid="{1823E284-1E44-4FA8-B227-9427167E111E}"/>
    <cellStyle name="Percent 9 16 2 5" xfId="13574" xr:uid="{4491C005-2A13-4A26-BFDD-388FFD4F7112}"/>
    <cellStyle name="Percent 9 16 3" xfId="13575" xr:uid="{1305E0BB-4B72-41D3-AEC1-F91C08385BFE}"/>
    <cellStyle name="Percent 9 16 3 2" xfId="13576" xr:uid="{89E7BD49-94A4-472C-B72D-EF23844EC01A}"/>
    <cellStyle name="Percent 9 16 3 2 2" xfId="13577" xr:uid="{653F27BA-1243-42AE-8B03-C9A7A6FC1C91}"/>
    <cellStyle name="Percent 9 16 3 3" xfId="13578" xr:uid="{75105FB0-757B-4F28-B4E7-365927345C79}"/>
    <cellStyle name="Percent 9 16 3 3 2" xfId="13579" xr:uid="{38B981F2-5D45-419A-8AFB-5BD5A7177A66}"/>
    <cellStyle name="Percent 9 16 3 4" xfId="13580" xr:uid="{02528EB6-8BA5-4892-A0AF-EAA7114B9C95}"/>
    <cellStyle name="Percent 9 16 4" xfId="13581" xr:uid="{FD0881B3-50E7-4674-8577-A07545E4EE13}"/>
    <cellStyle name="Percent 9 16 4 2" xfId="13582" xr:uid="{872FEEFA-BB19-40D9-921C-5AB2595DC862}"/>
    <cellStyle name="Percent 9 16 4 2 2" xfId="13583" xr:uid="{1CDE9E9A-A1AD-463A-9BA5-ACEAD165871D}"/>
    <cellStyle name="Percent 9 16 4 3" xfId="13584" xr:uid="{5C9C8838-EF26-4F88-9869-C8F4EEECC4B0}"/>
    <cellStyle name="Percent 9 16 4 3 2" xfId="13585" xr:uid="{0FEB16BE-9948-4E84-B331-DCAF638EE3B0}"/>
    <cellStyle name="Percent 9 16 4 4" xfId="13586" xr:uid="{7C4B3CE3-66B6-4845-819C-60EEE44C10F2}"/>
    <cellStyle name="Percent 9 16 5" xfId="13587" xr:uid="{3993F1FA-346F-40AD-8C89-129B0AB0D995}"/>
    <cellStyle name="Percent 9 16 5 2" xfId="13588" xr:uid="{D370BB84-3441-4C9C-A1CC-CA9F88DD3EED}"/>
    <cellStyle name="Percent 9 16 5 2 2" xfId="13589" xr:uid="{4EB5AAE4-0673-43CC-9EA6-88F036D74157}"/>
    <cellStyle name="Percent 9 16 5 3" xfId="13590" xr:uid="{4BA62797-CF8E-4E2F-9D98-8C054AE0AA8C}"/>
    <cellStyle name="Percent 9 16 5 3 2" xfId="13591" xr:uid="{82603C6F-C483-4D69-BB3E-E8A81E112345}"/>
    <cellStyle name="Percent 9 16 5 4" xfId="13592" xr:uid="{6C3B13E2-FAFD-41C6-A050-94F598F3A1CD}"/>
    <cellStyle name="Percent 9 16 5 4 2" xfId="13593" xr:uid="{BDE6A23A-9BED-4D94-B9D1-244D3A2BBC83}"/>
    <cellStyle name="Percent 9 16 5 5" xfId="13594" xr:uid="{905DAF3F-7D3A-4518-9E38-528714FE8160}"/>
    <cellStyle name="Percent 9 16 6" xfId="13595" xr:uid="{F78B012F-B8AB-41BB-8703-3069321FBD8B}"/>
    <cellStyle name="Percent 9 16 6 2" xfId="13596" xr:uid="{B77C4D53-5E12-4C01-86B5-B7A11EA9F0CD}"/>
    <cellStyle name="Percent 9 16 6 2 2" xfId="13597" xr:uid="{02583CBE-9BD4-48EB-A001-194767A9246B}"/>
    <cellStyle name="Percent 9 16 6 3" xfId="13598" xr:uid="{1446608E-2629-485F-8E47-17B4A659E186}"/>
    <cellStyle name="Percent 9 16 6 3 2" xfId="13599" xr:uid="{B579A8CE-E727-4584-BC78-85ACDFEAD5B6}"/>
    <cellStyle name="Percent 9 16 6 4" xfId="13600" xr:uid="{1F525890-07EE-49FB-8236-9924336FCD93}"/>
    <cellStyle name="Percent 9 16 7" xfId="13601" xr:uid="{046F8044-1B0B-4703-B230-69025B9E6800}"/>
    <cellStyle name="Percent 9 16 7 2" xfId="13602" xr:uid="{808FC498-34DC-4DCC-832F-97120A99E2C9}"/>
    <cellStyle name="Percent 9 16 8" xfId="13603" xr:uid="{24933278-2979-4EE3-8758-02C0433227C0}"/>
    <cellStyle name="Percent 9 16 8 2" xfId="13604" xr:uid="{E5CB9007-2406-4EBB-8857-A1DD6899B004}"/>
    <cellStyle name="Percent 9 16 9" xfId="13605" xr:uid="{675B6BE5-5653-4D03-89E5-2D9F4F447F3F}"/>
    <cellStyle name="Percent 9 16 9 2" xfId="13606" xr:uid="{2BA54F8F-8518-454A-94AD-415FA9C3BF4E}"/>
    <cellStyle name="Percent 9 17" xfId="3024" xr:uid="{86FC8873-D01B-4B53-A273-726F59F7164E}"/>
    <cellStyle name="Percent 9 17 10" xfId="13608" xr:uid="{0DC387CE-12DF-46D9-8420-A34C860E494D}"/>
    <cellStyle name="Percent 9 17 11" xfId="13609" xr:uid="{F409B1ED-D41D-4FB4-AC41-84C886D03A9C}"/>
    <cellStyle name="Percent 9 17 12" xfId="13607" xr:uid="{D66B6C40-8A29-438C-A810-89A4F1092591}"/>
    <cellStyle name="Percent 9 17 2" xfId="13610" xr:uid="{95B2C674-17C8-4ABA-AC46-CF8363FC1BF8}"/>
    <cellStyle name="Percent 9 17 2 2" xfId="13611" xr:uid="{40598688-BD67-4B72-932F-029208A3FA58}"/>
    <cellStyle name="Percent 9 17 2 2 2" xfId="13612" xr:uid="{932B8894-8B29-4A05-BD8C-8C5801E42EEF}"/>
    <cellStyle name="Percent 9 17 2 3" xfId="13613" xr:uid="{EA301C23-EE19-4E04-ACEF-8FC0C92F397E}"/>
    <cellStyle name="Percent 9 17 2 3 2" xfId="13614" xr:uid="{B061375B-6819-4AC4-92F2-45660DE59103}"/>
    <cellStyle name="Percent 9 17 2 4" xfId="13615" xr:uid="{715A9588-D86D-4AC9-80DE-6D1C6FA4C0C7}"/>
    <cellStyle name="Percent 9 17 2 5" xfId="13616" xr:uid="{85EDECB4-1BFB-4E0F-894E-36FA15F4CF49}"/>
    <cellStyle name="Percent 9 17 3" xfId="13617" xr:uid="{B95093CF-5138-4E23-AF67-C97CE905FC97}"/>
    <cellStyle name="Percent 9 17 3 2" xfId="13618" xr:uid="{74404558-282B-4866-A32D-05C1C149E721}"/>
    <cellStyle name="Percent 9 17 3 2 2" xfId="13619" xr:uid="{5C6B4B31-3ACE-4DEA-9AD2-F875482835E0}"/>
    <cellStyle name="Percent 9 17 3 3" xfId="13620" xr:uid="{35829ED3-65B5-490E-A8A8-9758EA4FED03}"/>
    <cellStyle name="Percent 9 17 3 3 2" xfId="13621" xr:uid="{F16D925F-9E56-478C-91E7-BCB2332AA7B1}"/>
    <cellStyle name="Percent 9 17 3 4" xfId="13622" xr:uid="{18A6F856-E60A-4A3A-91B0-27B50671A5AC}"/>
    <cellStyle name="Percent 9 17 4" xfId="13623" xr:uid="{8E1B7525-F95D-4879-8BA3-47218B1F3741}"/>
    <cellStyle name="Percent 9 17 4 2" xfId="13624" xr:uid="{9D7CA94F-DABF-4994-8641-3520B6F6A9EC}"/>
    <cellStyle name="Percent 9 17 4 2 2" xfId="13625" xr:uid="{39D0F0FD-447A-4150-8979-0089B170E890}"/>
    <cellStyle name="Percent 9 17 4 3" xfId="13626" xr:uid="{86A8D5DC-004D-4812-814A-6A819D1B9C06}"/>
    <cellStyle name="Percent 9 17 4 3 2" xfId="13627" xr:uid="{C4D086E4-06A7-4778-9151-3827EB056DDC}"/>
    <cellStyle name="Percent 9 17 4 4" xfId="13628" xr:uid="{709B1AFA-8A8A-4A90-9DFA-41E97A6B85BF}"/>
    <cellStyle name="Percent 9 17 5" xfId="13629" xr:uid="{7B218376-0FBD-442F-9D89-1C263EF47236}"/>
    <cellStyle name="Percent 9 17 5 2" xfId="13630" xr:uid="{23449860-FD2B-4A6A-978A-2F1C323E935E}"/>
    <cellStyle name="Percent 9 17 5 2 2" xfId="13631" xr:uid="{8D6E5B09-0ED0-44B0-A66A-AFD13C00FAF2}"/>
    <cellStyle name="Percent 9 17 5 3" xfId="13632" xr:uid="{1052EEF4-75E3-4D8C-8BEA-D1154B751AD9}"/>
    <cellStyle name="Percent 9 17 5 3 2" xfId="13633" xr:uid="{CA0C6B3D-EED7-4623-A3C3-C02ABCA2373A}"/>
    <cellStyle name="Percent 9 17 5 4" xfId="13634" xr:uid="{1F874F3D-6AED-47F0-8E6E-0C0FDAA748E8}"/>
    <cellStyle name="Percent 9 17 5 4 2" xfId="13635" xr:uid="{0ABBA3C5-B514-4C29-ADAD-EB6261FF784D}"/>
    <cellStyle name="Percent 9 17 5 5" xfId="13636" xr:uid="{65218C9F-6BBA-4EA7-9C5C-5DF10F210DA2}"/>
    <cellStyle name="Percent 9 17 6" xfId="13637" xr:uid="{1A4AF28B-A532-48B8-8300-A6DD34A3DB61}"/>
    <cellStyle name="Percent 9 17 6 2" xfId="13638" xr:uid="{C8233F82-05A0-4ADD-A56D-2D1BCE8B8F83}"/>
    <cellStyle name="Percent 9 17 6 2 2" xfId="13639" xr:uid="{751F836F-EFDB-49C5-AA5D-945BF1CB7337}"/>
    <cellStyle name="Percent 9 17 6 3" xfId="13640" xr:uid="{6117428B-C7FA-4D3D-AC7F-2F78804967DB}"/>
    <cellStyle name="Percent 9 17 6 3 2" xfId="13641" xr:uid="{9A09AB8F-3047-4B7C-ADE8-090C046523FB}"/>
    <cellStyle name="Percent 9 17 6 4" xfId="13642" xr:uid="{7556A489-9E1B-4955-85C7-F170D3DBEB04}"/>
    <cellStyle name="Percent 9 17 7" xfId="13643" xr:uid="{1873CDE3-825B-4363-9955-7C180707C407}"/>
    <cellStyle name="Percent 9 17 7 2" xfId="13644" xr:uid="{EDD38C00-F853-4C71-8B4C-DD15F37720C3}"/>
    <cellStyle name="Percent 9 17 8" xfId="13645" xr:uid="{E728BA1A-6CC8-4DDD-89C8-96B8F3FBF3F6}"/>
    <cellStyle name="Percent 9 17 8 2" xfId="13646" xr:uid="{72FF0588-FAB3-46B4-A705-B4A908B45F99}"/>
    <cellStyle name="Percent 9 17 9" xfId="13647" xr:uid="{A5B893F5-245B-443E-9583-F18A2B1AE616}"/>
    <cellStyle name="Percent 9 17 9 2" xfId="13648" xr:uid="{74EFAE19-9DA7-4BA1-A407-765681A6F4A6}"/>
    <cellStyle name="Percent 9 18" xfId="3025" xr:uid="{2F92EA53-1048-4F89-8333-0F8B4760D731}"/>
    <cellStyle name="Percent 9 18 10" xfId="13650" xr:uid="{188BA189-EABB-4495-BBF9-A647BBE6AF23}"/>
    <cellStyle name="Percent 9 18 11" xfId="13651" xr:uid="{A715D235-A9CA-4806-B921-4C78E8C5E2A8}"/>
    <cellStyle name="Percent 9 18 12" xfId="13649" xr:uid="{0314C312-3A3C-4B56-A50D-1E774D2B7698}"/>
    <cellStyle name="Percent 9 18 2" xfId="13652" xr:uid="{B953B56C-1328-4E98-9A2B-F222C4978439}"/>
    <cellStyle name="Percent 9 18 2 2" xfId="13653" xr:uid="{C0ED9871-67C0-4781-B36E-E409CAECF418}"/>
    <cellStyle name="Percent 9 18 2 2 2" xfId="13654" xr:uid="{60B24CE2-8D28-42E3-9866-87D03A52156D}"/>
    <cellStyle name="Percent 9 18 2 3" xfId="13655" xr:uid="{F281D7FA-F8FE-493A-BCE5-57EDF087DF73}"/>
    <cellStyle name="Percent 9 18 2 3 2" xfId="13656" xr:uid="{4F040A6B-269C-40A0-A787-0A83D47C6745}"/>
    <cellStyle name="Percent 9 18 2 4" xfId="13657" xr:uid="{C9A4DE2C-D355-499D-A127-886D685FF42F}"/>
    <cellStyle name="Percent 9 18 2 5" xfId="13658" xr:uid="{A78B783A-6509-4A0C-91E5-CCCFBD65732B}"/>
    <cellStyle name="Percent 9 18 3" xfId="13659" xr:uid="{FF58F008-E94B-4691-8C1C-F8D91FB08D6B}"/>
    <cellStyle name="Percent 9 18 3 2" xfId="13660" xr:uid="{69F25456-EFA4-4095-85E3-0C4888F688D9}"/>
    <cellStyle name="Percent 9 18 3 2 2" xfId="13661" xr:uid="{71A97BA7-16D6-4F08-814A-236E0041811D}"/>
    <cellStyle name="Percent 9 18 3 3" xfId="13662" xr:uid="{47434411-8EEB-4023-8823-AF1840539570}"/>
    <cellStyle name="Percent 9 18 3 3 2" xfId="13663" xr:uid="{7C4199CE-6AAB-4DBE-A6FF-DC0DF8BAEE8F}"/>
    <cellStyle name="Percent 9 18 3 4" xfId="13664" xr:uid="{47C482B0-5F7B-4C0B-AD82-2C504A38B03B}"/>
    <cellStyle name="Percent 9 18 4" xfId="13665" xr:uid="{05817FC8-28C2-412C-97DF-0E4DDCFD59CA}"/>
    <cellStyle name="Percent 9 18 4 2" xfId="13666" xr:uid="{3EE3B0A2-AF43-40FE-87AC-D30E1BAA85AA}"/>
    <cellStyle name="Percent 9 18 4 2 2" xfId="13667" xr:uid="{8BAD904C-DBAD-4895-BFC7-806EDA07368A}"/>
    <cellStyle name="Percent 9 18 4 3" xfId="13668" xr:uid="{CC6A12F6-163A-43F2-B628-4D2856B4C201}"/>
    <cellStyle name="Percent 9 18 4 3 2" xfId="13669" xr:uid="{CC38C3FE-4956-41FE-9CE6-E1D9831D6E0B}"/>
    <cellStyle name="Percent 9 18 4 4" xfId="13670" xr:uid="{7E9F87FA-F9C0-4315-9DF4-25D4257B5C66}"/>
    <cellStyle name="Percent 9 18 5" xfId="13671" xr:uid="{F60845B4-95D6-4599-BFF6-5075CD439342}"/>
    <cellStyle name="Percent 9 18 5 2" xfId="13672" xr:uid="{9E1DB69D-99CC-4402-9AC1-424F6B57DC4C}"/>
    <cellStyle name="Percent 9 18 5 2 2" xfId="13673" xr:uid="{6E53D1BA-150F-441F-A7E7-38FEE9EEA133}"/>
    <cellStyle name="Percent 9 18 5 3" xfId="13674" xr:uid="{E046A98F-CA57-4D6D-A476-4503D1FFF148}"/>
    <cellStyle name="Percent 9 18 5 3 2" xfId="13675" xr:uid="{261642DD-4BE3-4EE3-87BB-43AD53C35046}"/>
    <cellStyle name="Percent 9 18 5 4" xfId="13676" xr:uid="{4CCB42C2-CC4A-4201-BB5B-A268FBFF785C}"/>
    <cellStyle name="Percent 9 18 5 4 2" xfId="13677" xr:uid="{B8E32CA4-4E12-4202-A41F-18F7637F4393}"/>
    <cellStyle name="Percent 9 18 5 5" xfId="13678" xr:uid="{824CE9FD-044E-46B6-B150-D81323D0CC7F}"/>
    <cellStyle name="Percent 9 18 6" xfId="13679" xr:uid="{681912F0-778B-4271-9BD1-9275200E093F}"/>
    <cellStyle name="Percent 9 18 6 2" xfId="13680" xr:uid="{4EA43D4B-900D-440D-A1E6-343252F12B65}"/>
    <cellStyle name="Percent 9 18 6 2 2" xfId="13681" xr:uid="{3DE7274E-523F-44A0-9DC2-F3587DC9C35E}"/>
    <cellStyle name="Percent 9 18 6 3" xfId="13682" xr:uid="{D015558D-EC38-427D-940A-45A7BCAB309D}"/>
    <cellStyle name="Percent 9 18 6 3 2" xfId="13683" xr:uid="{90F41337-B64A-4AAF-A731-1A638881CBFE}"/>
    <cellStyle name="Percent 9 18 6 4" xfId="13684" xr:uid="{46DFDE67-ABE5-49F7-BDB3-021E198A19AE}"/>
    <cellStyle name="Percent 9 18 7" xfId="13685" xr:uid="{C80C4B81-AFAA-42C2-AD4C-E0F1CC6EFE86}"/>
    <cellStyle name="Percent 9 18 7 2" xfId="13686" xr:uid="{76FBA344-8F53-49EB-BF86-B226253E3678}"/>
    <cellStyle name="Percent 9 18 8" xfId="13687" xr:uid="{C7C4E229-D4AC-4998-AA3A-690CAC52EAB2}"/>
    <cellStyle name="Percent 9 18 8 2" xfId="13688" xr:uid="{F5E71CFC-2701-4588-B5C7-3A7CAC3AE0C9}"/>
    <cellStyle name="Percent 9 18 9" xfId="13689" xr:uid="{BCFB5B1B-3806-44B4-8ADB-E83D55C0E2E7}"/>
    <cellStyle name="Percent 9 18 9 2" xfId="13690" xr:uid="{1A019011-471F-4314-AA22-074933A011CF}"/>
    <cellStyle name="Percent 9 19" xfId="3026" xr:uid="{A5033B13-9EFF-4073-AFD2-03DDCF2A80C6}"/>
    <cellStyle name="Percent 9 19 10" xfId="13692" xr:uid="{C5B3F382-2A08-4B42-81F8-9BCB4302FB08}"/>
    <cellStyle name="Percent 9 19 11" xfId="13693" xr:uid="{48A969EB-9E8D-4596-8404-573DABDABEFC}"/>
    <cellStyle name="Percent 9 19 12" xfId="13691" xr:uid="{ED86EABB-8839-41EF-9E8B-B876D326F9C6}"/>
    <cellStyle name="Percent 9 19 2" xfId="13694" xr:uid="{7880EB9F-90F7-4CD0-98D7-338FC6DD5F20}"/>
    <cellStyle name="Percent 9 19 2 2" xfId="13695" xr:uid="{D0FE798B-06DD-41FC-93BE-E7CB80F639AD}"/>
    <cellStyle name="Percent 9 19 2 2 2" xfId="13696" xr:uid="{2772F23D-5C16-407D-8576-122BF5C125A8}"/>
    <cellStyle name="Percent 9 19 2 3" xfId="13697" xr:uid="{316FC75A-F12F-4675-AF44-FDDAE296FC80}"/>
    <cellStyle name="Percent 9 19 2 3 2" xfId="13698" xr:uid="{F9A3D8A0-E677-4DB3-9C15-C952817DB414}"/>
    <cellStyle name="Percent 9 19 2 4" xfId="13699" xr:uid="{914E8D88-79B1-411E-966D-3414F0311F2D}"/>
    <cellStyle name="Percent 9 19 2 5" xfId="13700" xr:uid="{00A31FBC-62FA-4BE5-A415-981EF40F5DAB}"/>
    <cellStyle name="Percent 9 19 3" xfId="13701" xr:uid="{E2744B1D-B8A2-48F6-BCBD-FD753D6A6754}"/>
    <cellStyle name="Percent 9 19 3 2" xfId="13702" xr:uid="{96AF0C1C-F105-444F-A632-838CF4CD91B5}"/>
    <cellStyle name="Percent 9 19 3 2 2" xfId="13703" xr:uid="{54FDB5DF-2D14-4063-BDA2-3EB1A049B9B9}"/>
    <cellStyle name="Percent 9 19 3 3" xfId="13704" xr:uid="{B501F96A-B18D-402B-9D46-79465E0F0C93}"/>
    <cellStyle name="Percent 9 19 3 3 2" xfId="13705" xr:uid="{80409FDE-E3ED-44EB-8BAD-839DEEB40739}"/>
    <cellStyle name="Percent 9 19 3 4" xfId="13706" xr:uid="{874AC6F1-DE9F-4330-851E-DF1EA9B4D9A0}"/>
    <cellStyle name="Percent 9 19 4" xfId="13707" xr:uid="{177456B3-02EE-45FA-9944-C531109A08BA}"/>
    <cellStyle name="Percent 9 19 4 2" xfId="13708" xr:uid="{A69E349F-AEBB-4AF1-8980-325A0A96CD55}"/>
    <cellStyle name="Percent 9 19 4 2 2" xfId="13709" xr:uid="{008215EB-1D57-4D51-95D2-FE796D97457F}"/>
    <cellStyle name="Percent 9 19 4 3" xfId="13710" xr:uid="{B5B7AFCD-9E8E-44DF-8E40-320F547422F2}"/>
    <cellStyle name="Percent 9 19 4 3 2" xfId="13711" xr:uid="{2BA0BD67-B3D4-4F5C-B45E-E6D9371F688B}"/>
    <cellStyle name="Percent 9 19 4 4" xfId="13712" xr:uid="{949519BC-C74E-4569-ACE7-7328114B87AF}"/>
    <cellStyle name="Percent 9 19 5" xfId="13713" xr:uid="{A698B5BD-F19E-4543-85F3-0D267C1A6C17}"/>
    <cellStyle name="Percent 9 19 5 2" xfId="13714" xr:uid="{8DA00725-16F5-4402-B30A-58FC3B8F7163}"/>
    <cellStyle name="Percent 9 19 5 2 2" xfId="13715" xr:uid="{4108BA49-7B72-4B03-A1C0-654EF557A095}"/>
    <cellStyle name="Percent 9 19 5 3" xfId="13716" xr:uid="{94037529-7AB1-4994-8145-85F9AC4C1419}"/>
    <cellStyle name="Percent 9 19 5 3 2" xfId="13717" xr:uid="{0E87BCAA-CA2B-42FE-A1C2-1EEFAAFA9F13}"/>
    <cellStyle name="Percent 9 19 5 4" xfId="13718" xr:uid="{4ADA4EF2-DD1E-423F-97EC-99DCF98CADB8}"/>
    <cellStyle name="Percent 9 19 5 4 2" xfId="13719" xr:uid="{A0777EB3-2E8A-44A1-9017-733439E732FA}"/>
    <cellStyle name="Percent 9 19 5 5" xfId="13720" xr:uid="{4D2D895C-FBB5-414F-AF7B-1BD7571F1829}"/>
    <cellStyle name="Percent 9 19 6" xfId="13721" xr:uid="{A9D1971C-31EC-43B4-A3E1-9C3F8230B8CC}"/>
    <cellStyle name="Percent 9 19 6 2" xfId="13722" xr:uid="{04CBA0A6-5FDF-4816-9E09-2AAE759191A3}"/>
    <cellStyle name="Percent 9 19 6 2 2" xfId="13723" xr:uid="{46E9B606-4C55-4819-B1CB-13612CB1A160}"/>
    <cellStyle name="Percent 9 19 6 3" xfId="13724" xr:uid="{753330E2-9DDE-4005-A0E2-A32133B46507}"/>
    <cellStyle name="Percent 9 19 6 3 2" xfId="13725" xr:uid="{ED3FB0F2-9CA3-4A49-9EA6-4BF183847F4B}"/>
    <cellStyle name="Percent 9 19 6 4" xfId="13726" xr:uid="{7442BCDB-A861-49F9-8D67-E4CFE22194DD}"/>
    <cellStyle name="Percent 9 19 7" xfId="13727" xr:uid="{B732043A-17D0-44B5-8849-90436071CE0E}"/>
    <cellStyle name="Percent 9 19 7 2" xfId="13728" xr:uid="{0FB82DC7-60A4-40E4-86F2-CEE6C16DD63D}"/>
    <cellStyle name="Percent 9 19 8" xfId="13729" xr:uid="{1B76E9D2-23ED-47AD-A879-4CB2CB3960CF}"/>
    <cellStyle name="Percent 9 19 8 2" xfId="13730" xr:uid="{3B373C38-8BB8-49B6-881C-EE5D238D5821}"/>
    <cellStyle name="Percent 9 19 9" xfId="13731" xr:uid="{0BEE46B7-3CEC-49EC-98E2-FF3BFBE7EA6B}"/>
    <cellStyle name="Percent 9 19 9 2" xfId="13732" xr:uid="{958B3AFA-9CD7-4500-9585-62291730BCE3}"/>
    <cellStyle name="Percent 9 2" xfId="3027" xr:uid="{0A00A7C8-8692-49EB-B9DB-02FCD3E92B0B}"/>
    <cellStyle name="Percent 9 2 10" xfId="13734" xr:uid="{1B9F8A2C-4193-4FD0-8712-7C761C36C6AA}"/>
    <cellStyle name="Percent 9 2 10 2" xfId="13735" xr:uid="{1FFEE564-3CAC-4313-A215-6222797CAFD0}"/>
    <cellStyle name="Percent 9 2 11" xfId="13736" xr:uid="{AA046BFF-46B8-4CE8-A245-AD62567ADC75}"/>
    <cellStyle name="Percent 9 2 12" xfId="13737" xr:uid="{56AE96FA-B1A7-48EA-B375-64155325F42A}"/>
    <cellStyle name="Percent 9 2 13" xfId="13733" xr:uid="{53B57C4D-4009-4DB0-B612-941857D13085}"/>
    <cellStyle name="Percent 9 2 2" xfId="4798" xr:uid="{FD135439-7514-4B27-B233-18EFDF66D9D9}"/>
    <cellStyle name="Percent 9 2 2 10" xfId="13739" xr:uid="{94B9AB6F-2C14-40CA-9756-CF31CBCEF67E}"/>
    <cellStyle name="Percent 9 2 2 11" xfId="13738" xr:uid="{6C1C4C81-AE1B-4611-A624-C29B92D1B9F2}"/>
    <cellStyle name="Percent 9 2 2 2" xfId="13740" xr:uid="{CCDF6D76-B764-4E08-A4DD-AAD8AA27E2D6}"/>
    <cellStyle name="Percent 9 2 2 2 2" xfId="13741" xr:uid="{A83A11A2-DA3A-4055-B272-B11B36FC2A1D}"/>
    <cellStyle name="Percent 9 2 2 2 2 2" xfId="13742" xr:uid="{C5404178-BDFD-4476-8697-54CFB7DA5DB9}"/>
    <cellStyle name="Percent 9 2 2 2 3" xfId="13743" xr:uid="{9A43FB3D-DDA0-4842-8B9D-C3119D2BC6D0}"/>
    <cellStyle name="Percent 9 2 2 2 3 2" xfId="13744" xr:uid="{5230896A-84F4-4F17-A193-C88B137B3521}"/>
    <cellStyle name="Percent 9 2 2 2 4" xfId="13745" xr:uid="{AED7DE7E-444D-4AA2-80D3-16AB516C2A74}"/>
    <cellStyle name="Percent 9 2 2 3" xfId="13746" xr:uid="{3B985C70-3F7D-4D32-8128-D099B898C715}"/>
    <cellStyle name="Percent 9 2 2 3 2" xfId="13747" xr:uid="{6D5590BF-AD5A-4133-ACC4-1F4B561405A3}"/>
    <cellStyle name="Percent 9 2 2 3 2 2" xfId="13748" xr:uid="{CFE74DD3-3671-4F2C-8BF4-294214CC4912}"/>
    <cellStyle name="Percent 9 2 2 3 3" xfId="13749" xr:uid="{882A710C-0BA8-4F44-A9EF-E029A6EE9159}"/>
    <cellStyle name="Percent 9 2 2 3 3 2" xfId="13750" xr:uid="{C4C86BBD-0D9D-4DCC-BBB7-967ACA39F7D1}"/>
    <cellStyle name="Percent 9 2 2 3 4" xfId="13751" xr:uid="{E616F776-8EF6-4C06-B3DA-B762EA530A7B}"/>
    <cellStyle name="Percent 9 2 2 4" xfId="13752" xr:uid="{C8235C45-CDBC-4984-AE27-C94AA6F51693}"/>
    <cellStyle name="Percent 9 2 2 4 2" xfId="13753" xr:uid="{F003861B-5C4C-459A-A351-4EFC6620C24E}"/>
    <cellStyle name="Percent 9 2 2 4 2 2" xfId="13754" xr:uid="{594478A0-74C6-4F69-BCF2-03E7453BB1C5}"/>
    <cellStyle name="Percent 9 2 2 4 3" xfId="13755" xr:uid="{F41173FF-8662-420C-A88F-3911E172C5EB}"/>
    <cellStyle name="Percent 9 2 2 4 3 2" xfId="13756" xr:uid="{BAFB0024-07A0-4A36-9024-67F9CFF234A3}"/>
    <cellStyle name="Percent 9 2 2 4 4" xfId="13757" xr:uid="{B9B63B70-E438-498B-914E-828EB9F4158E}"/>
    <cellStyle name="Percent 9 2 2 4 4 2" xfId="13758" xr:uid="{26FBE738-4B3E-4193-9F7D-7871051C795A}"/>
    <cellStyle name="Percent 9 2 2 4 5" xfId="13759" xr:uid="{2AD2FBEB-0136-4684-A14B-8D53CEFD0498}"/>
    <cellStyle name="Percent 9 2 2 5" xfId="13760" xr:uid="{9FFF2088-1EE2-41FE-AB6A-2A73399C2C1E}"/>
    <cellStyle name="Percent 9 2 2 5 2" xfId="13761" xr:uid="{DF1014CD-C58B-420E-BA5C-05608C3EB769}"/>
    <cellStyle name="Percent 9 2 2 5 2 2" xfId="13762" xr:uid="{2C65B9E8-82FE-4624-9A66-40479624B067}"/>
    <cellStyle name="Percent 9 2 2 5 3" xfId="13763" xr:uid="{358122A0-4942-4AD9-883E-061244A57FD9}"/>
    <cellStyle name="Percent 9 2 2 5 3 2" xfId="13764" xr:uid="{F03C2B02-5847-433B-A487-28D419831F85}"/>
    <cellStyle name="Percent 9 2 2 5 4" xfId="13765" xr:uid="{377CD84C-E586-4E85-96DF-426518138080}"/>
    <cellStyle name="Percent 9 2 2 6" xfId="13766" xr:uid="{B30EE288-C317-460C-9B9E-3D60135DB2AD}"/>
    <cellStyle name="Percent 9 2 2 6 2" xfId="13767" xr:uid="{27FBDDF3-079F-4D0A-B311-236E519A2C2F}"/>
    <cellStyle name="Percent 9 2 2 7" xfId="13768" xr:uid="{1D235094-D5AF-4CC9-866E-F422E9CD4BB3}"/>
    <cellStyle name="Percent 9 2 2 7 2" xfId="13769" xr:uid="{CE22E40D-2E55-4FAE-9C62-AB036464789B}"/>
    <cellStyle name="Percent 9 2 2 8" xfId="13770" xr:uid="{C129EC38-E873-4CA6-ACE6-2DE6A82473BD}"/>
    <cellStyle name="Percent 9 2 2 8 2" xfId="13771" xr:uid="{2D65F999-9686-4ABA-B091-CC7B735C08BC}"/>
    <cellStyle name="Percent 9 2 2 9" xfId="13772" xr:uid="{DEFFCAF3-6554-4C67-8923-2D22F96DCF79}"/>
    <cellStyle name="Percent 9 2 3" xfId="13773" xr:uid="{8AC08B54-D3DB-408B-B393-BEBF093AC0A2}"/>
    <cellStyle name="Percent 9 2 3 2" xfId="13774" xr:uid="{C1F040B4-95AA-450C-A3F9-81EA750F9425}"/>
    <cellStyle name="Percent 9 2 3 2 2" xfId="13775" xr:uid="{2E2892B4-A59A-4EB4-843C-5A1E01C457DD}"/>
    <cellStyle name="Percent 9 2 3 3" xfId="13776" xr:uid="{4C3475A3-F76C-4692-A1CC-31EBCC9C2A74}"/>
    <cellStyle name="Percent 9 2 3 3 2" xfId="13777" xr:uid="{F7313573-1ADE-4FD4-BCF9-C2A33FE6C656}"/>
    <cellStyle name="Percent 9 2 3 4" xfId="13778" xr:uid="{4F77467D-A104-4E32-91AD-AF2ED12B5676}"/>
    <cellStyle name="Percent 9 2 3 5" xfId="13779" xr:uid="{DE03BF48-5753-4400-A875-1B80C76B9B31}"/>
    <cellStyle name="Percent 9 2 4" xfId="13780" xr:uid="{1122E7E7-53D6-4C4B-8279-FBE840CB0344}"/>
    <cellStyle name="Percent 9 2 4 2" xfId="13781" xr:uid="{446FB883-8757-4BB5-8DD6-AA4FFE09F73D}"/>
    <cellStyle name="Percent 9 2 4 2 2" xfId="13782" xr:uid="{CC805085-D6D7-4F08-8C1C-87B50578A47C}"/>
    <cellStyle name="Percent 9 2 4 3" xfId="13783" xr:uid="{3EC19280-B8E3-414B-960E-E913DDF22E8C}"/>
    <cellStyle name="Percent 9 2 4 3 2" xfId="13784" xr:uid="{2E37E911-4176-42AF-9473-53738161D6FC}"/>
    <cellStyle name="Percent 9 2 4 4" xfId="13785" xr:uid="{2C27D6E3-188F-47E1-9FB0-0F164223CCF5}"/>
    <cellStyle name="Percent 9 2 5" xfId="13786" xr:uid="{5441F705-9876-4EC2-8B9E-CFFFFD39BC09}"/>
    <cellStyle name="Percent 9 2 5 2" xfId="13787" xr:uid="{49CC29A4-5103-4285-BDED-4C809AAD2B8B}"/>
    <cellStyle name="Percent 9 2 5 2 2" xfId="13788" xr:uid="{C894E4B5-49F2-4B98-B1CF-EC4413CD0748}"/>
    <cellStyle name="Percent 9 2 5 3" xfId="13789" xr:uid="{BF05F3A5-9A7C-4A81-99DF-A343AFDEB017}"/>
    <cellStyle name="Percent 9 2 5 3 2" xfId="13790" xr:uid="{0EAA14FE-750E-4358-858E-DFF9DC6B924F}"/>
    <cellStyle name="Percent 9 2 5 4" xfId="13791" xr:uid="{D4C729DF-F0CD-4365-BE54-D33743ABA2DF}"/>
    <cellStyle name="Percent 9 2 6" xfId="13792" xr:uid="{21E12FA8-F01D-499C-A036-6256689709A9}"/>
    <cellStyle name="Percent 9 2 6 2" xfId="13793" xr:uid="{3DEA868A-837D-4E76-A632-465FB8CDA3B0}"/>
    <cellStyle name="Percent 9 2 6 2 2" xfId="13794" xr:uid="{6F60477E-6E32-4793-B273-4EC96B4AF2E3}"/>
    <cellStyle name="Percent 9 2 6 3" xfId="13795" xr:uid="{1C6616D9-DB34-4C57-98DB-88FFB6D28222}"/>
    <cellStyle name="Percent 9 2 6 3 2" xfId="13796" xr:uid="{967133DE-BCEE-4B4F-8791-56DB82E4A21C}"/>
    <cellStyle name="Percent 9 2 6 4" xfId="13797" xr:uid="{8AD9FC49-39A4-4141-81EA-2E9FB03B53DA}"/>
    <cellStyle name="Percent 9 2 6 4 2" xfId="13798" xr:uid="{B93EF002-D5B7-4877-8353-526CA3158F4F}"/>
    <cellStyle name="Percent 9 2 6 5" xfId="13799" xr:uid="{E632F7D2-8986-4D85-9766-B8E5A673DA37}"/>
    <cellStyle name="Percent 9 2 7" xfId="13800" xr:uid="{FFB1E9B8-FBAC-496E-BB43-02CBACE6590D}"/>
    <cellStyle name="Percent 9 2 7 2" xfId="13801" xr:uid="{3B8CFE38-3629-4A5D-91D3-81C4EC541037}"/>
    <cellStyle name="Percent 9 2 7 2 2" xfId="13802" xr:uid="{978CC05A-45BF-4B58-B90B-CC049DE18881}"/>
    <cellStyle name="Percent 9 2 7 3" xfId="13803" xr:uid="{96880A14-237A-408A-A0D3-0323A01E8AE8}"/>
    <cellStyle name="Percent 9 2 7 3 2" xfId="13804" xr:uid="{81E69DAA-26D1-40B2-BB00-68706312A749}"/>
    <cellStyle name="Percent 9 2 7 4" xfId="13805" xr:uid="{7ECEB0F2-63AC-46A9-B1E4-CDD11ABAF8C2}"/>
    <cellStyle name="Percent 9 2 8" xfId="13806" xr:uid="{E47F581B-33B6-499B-AC96-653C9E0DEB51}"/>
    <cellStyle name="Percent 9 2 8 2" xfId="13807" xr:uid="{C56C403E-72C2-4A42-9920-4137423BE0C7}"/>
    <cellStyle name="Percent 9 2 9" xfId="13808" xr:uid="{95871EF8-7FDE-4D76-B13C-E386CECCDA5C}"/>
    <cellStyle name="Percent 9 2 9 2" xfId="13809" xr:uid="{BC5B49AA-59B3-45A2-AA47-93F0C60C12D3}"/>
    <cellStyle name="Percent 9 20" xfId="3028" xr:uid="{2FCFED48-5EB9-4FED-9A12-C2A03BA2543E}"/>
    <cellStyle name="Percent 9 20 10" xfId="13811" xr:uid="{5049AADD-7478-492B-877F-D6EE15625AF3}"/>
    <cellStyle name="Percent 9 20 11" xfId="13812" xr:uid="{DA868BBE-4917-46DB-B72E-53DF00247377}"/>
    <cellStyle name="Percent 9 20 12" xfId="13810" xr:uid="{7869138D-69F6-46F7-95EE-26A79A389A88}"/>
    <cellStyle name="Percent 9 20 2" xfId="13813" xr:uid="{3303E89C-58CD-401D-95AC-F9ADFB8AD2E9}"/>
    <cellStyle name="Percent 9 20 2 2" xfId="13814" xr:uid="{7F2C38F3-A7AD-4AA3-9914-D0BA8A077A17}"/>
    <cellStyle name="Percent 9 20 2 2 2" xfId="13815" xr:uid="{452D0B38-39B8-4E24-927E-4A785E94EB16}"/>
    <cellStyle name="Percent 9 20 2 3" xfId="13816" xr:uid="{7E2498DB-60D9-497D-AE84-2EC97B1FB4B3}"/>
    <cellStyle name="Percent 9 20 2 3 2" xfId="13817" xr:uid="{7010FCB4-9F6C-4588-B2B4-530CDB1CA1EA}"/>
    <cellStyle name="Percent 9 20 2 4" xfId="13818" xr:uid="{46D46548-58E7-4EC1-AC49-91ED67881E62}"/>
    <cellStyle name="Percent 9 20 2 5" xfId="13819" xr:uid="{A1FE0629-D99D-4220-ABD1-78CE5F1A7CE4}"/>
    <cellStyle name="Percent 9 20 3" xfId="13820" xr:uid="{CF1B5FD0-3083-4B50-B67C-9031FDE79A50}"/>
    <cellStyle name="Percent 9 20 3 2" xfId="13821" xr:uid="{60A9DEA4-F380-4070-8625-BF7FBB0336F3}"/>
    <cellStyle name="Percent 9 20 3 2 2" xfId="13822" xr:uid="{99DBCE5C-3AFA-4666-900D-29CCCF872B4B}"/>
    <cellStyle name="Percent 9 20 3 3" xfId="13823" xr:uid="{07890BD3-0831-4515-9246-B84FD60E38CB}"/>
    <cellStyle name="Percent 9 20 3 3 2" xfId="13824" xr:uid="{0795EE76-A0D6-4F6E-A972-3842459F787D}"/>
    <cellStyle name="Percent 9 20 3 4" xfId="13825" xr:uid="{7DA37229-4C7D-497B-B7C8-A1140618724E}"/>
    <cellStyle name="Percent 9 20 4" xfId="13826" xr:uid="{5B424F2E-B303-4DDF-B8D4-DCC0CB294F6A}"/>
    <cellStyle name="Percent 9 20 4 2" xfId="13827" xr:uid="{99528BF4-23A1-4913-9D6D-C1D7F1E744A9}"/>
    <cellStyle name="Percent 9 20 4 2 2" xfId="13828" xr:uid="{6B7796BF-C1B3-4837-968D-61568BE126E0}"/>
    <cellStyle name="Percent 9 20 4 3" xfId="13829" xr:uid="{2FB15B63-38BF-48D0-82ED-7D0F0EA2289E}"/>
    <cellStyle name="Percent 9 20 4 3 2" xfId="13830" xr:uid="{DF541FF9-C37B-4229-9184-876D291C45D9}"/>
    <cellStyle name="Percent 9 20 4 4" xfId="13831" xr:uid="{81EB5F3B-79A1-4745-8F7A-65A5818675CF}"/>
    <cellStyle name="Percent 9 20 5" xfId="13832" xr:uid="{20F5145A-0206-435E-8AB1-159B435F8B8C}"/>
    <cellStyle name="Percent 9 20 5 2" xfId="13833" xr:uid="{85371DFA-E14C-428E-8938-C915D9B54E5F}"/>
    <cellStyle name="Percent 9 20 5 2 2" xfId="13834" xr:uid="{C19905B3-24CD-4F9C-A6D7-7CFDF747B012}"/>
    <cellStyle name="Percent 9 20 5 3" xfId="13835" xr:uid="{074AF953-174F-4B8D-8F67-045F3CC0028B}"/>
    <cellStyle name="Percent 9 20 5 3 2" xfId="13836" xr:uid="{76994A7C-D831-4ABC-B4E3-4EC37AE55592}"/>
    <cellStyle name="Percent 9 20 5 4" xfId="13837" xr:uid="{51A4DED8-26A4-4644-BB0B-380C0C6B3A07}"/>
    <cellStyle name="Percent 9 20 5 4 2" xfId="13838" xr:uid="{AE722299-8B3D-4F1A-8105-5B1DC32A779A}"/>
    <cellStyle name="Percent 9 20 5 5" xfId="13839" xr:uid="{C3F9D507-CDCD-4B74-8C4B-AA9BD1C47457}"/>
    <cellStyle name="Percent 9 20 6" xfId="13840" xr:uid="{337A838A-C3A5-4841-87DF-02FC9A5C1366}"/>
    <cellStyle name="Percent 9 20 6 2" xfId="13841" xr:uid="{330D2622-B1A9-49AB-A2F4-A3CC4242DE3B}"/>
    <cellStyle name="Percent 9 20 6 2 2" xfId="13842" xr:uid="{22E2643D-49D9-4029-B6D5-2A517007D11C}"/>
    <cellStyle name="Percent 9 20 6 3" xfId="13843" xr:uid="{660AD671-55DF-47EE-999B-F600757E62F0}"/>
    <cellStyle name="Percent 9 20 6 3 2" xfId="13844" xr:uid="{33A977E3-C667-42AC-AB55-6C03C2E61032}"/>
    <cellStyle name="Percent 9 20 6 4" xfId="13845" xr:uid="{63910A27-A496-4D15-9AC2-BEBBBC76BDBB}"/>
    <cellStyle name="Percent 9 20 7" xfId="13846" xr:uid="{F52D740B-635F-405A-9DEA-71D0818786AF}"/>
    <cellStyle name="Percent 9 20 7 2" xfId="13847" xr:uid="{29D43CBB-AE65-40E5-86AA-30EEEFD30826}"/>
    <cellStyle name="Percent 9 20 8" xfId="13848" xr:uid="{44FDBE3D-E2EF-4937-AF28-089367E54331}"/>
    <cellStyle name="Percent 9 20 8 2" xfId="13849" xr:uid="{98065E89-C916-4133-B774-A9382B7FFD60}"/>
    <cellStyle name="Percent 9 20 9" xfId="13850" xr:uid="{74954D46-4A87-4270-BD25-A58A5FB28E49}"/>
    <cellStyle name="Percent 9 20 9 2" xfId="13851" xr:uid="{8D82D110-97BA-49ED-BED7-8372D02FF62C}"/>
    <cellStyle name="Percent 9 21" xfId="4797" xr:uid="{ED58D984-89EA-4D1F-812A-D5E178BABEF9}"/>
    <cellStyle name="Percent 9 21 2" xfId="13853" xr:uid="{53404D6F-14D9-41D1-99DF-C526F1DE345A}"/>
    <cellStyle name="Percent 9 21 2 2" xfId="13854" xr:uid="{4B23DDE0-273B-4858-A95B-FEB8F9C14CB1}"/>
    <cellStyle name="Percent 9 21 3" xfId="13855" xr:uid="{846B75DB-5ED1-4040-8A87-93FA4D37B9B7}"/>
    <cellStyle name="Percent 9 21 3 2" xfId="13856" xr:uid="{D0ED6CA9-1895-4AE3-A01E-813A1DAD24F9}"/>
    <cellStyle name="Percent 9 21 4" xfId="13857" xr:uid="{4EE7FADA-1509-4CE0-9160-C4F021762CCE}"/>
    <cellStyle name="Percent 9 21 5" xfId="13852" xr:uid="{21EB9AA1-0006-4A15-9A0C-EDC441E9A463}"/>
    <cellStyle name="Percent 9 22" xfId="13858" xr:uid="{8BFBA9F6-2C58-43FE-A604-5A6853ADE622}"/>
    <cellStyle name="Percent 9 22 2" xfId="13859" xr:uid="{CE7B689B-885E-479A-95F2-3A6039816C1D}"/>
    <cellStyle name="Percent 9 22 2 2" xfId="13860" xr:uid="{EC8EECB0-9105-4CA3-969F-3AEA9E60DBA4}"/>
    <cellStyle name="Percent 9 22 3" xfId="13861" xr:uid="{331DFDD2-2AD7-4DD2-9B78-4A64B04CC00C}"/>
    <cellStyle name="Percent 9 22 3 2" xfId="13862" xr:uid="{BBBA7A4C-A302-42A7-8587-FEE10397F4E6}"/>
    <cellStyle name="Percent 9 22 4" xfId="13863" xr:uid="{6776B0DF-31B6-4F9D-B9F0-25722217D5FE}"/>
    <cellStyle name="Percent 9 23" xfId="13864" xr:uid="{9BE6E522-9FA5-45EE-B63B-27190D308BBE}"/>
    <cellStyle name="Percent 9 23 2" xfId="13865" xr:uid="{04BB1296-3F61-4663-B660-EF9CA747E56F}"/>
    <cellStyle name="Percent 9 23 2 2" xfId="13866" xr:uid="{5A13704C-4D22-4A4E-8BFB-89D5D290B59C}"/>
    <cellStyle name="Percent 9 23 3" xfId="13867" xr:uid="{93C203CA-E273-4322-89E1-E39743FC6B09}"/>
    <cellStyle name="Percent 9 23 3 2" xfId="13868" xr:uid="{CD540198-1683-4CCF-B603-D3F8C2B743FA}"/>
    <cellStyle name="Percent 9 23 4" xfId="13869" xr:uid="{36720993-B920-44EF-85B8-1D8442B4F25A}"/>
    <cellStyle name="Percent 9 23 4 2" xfId="13870" xr:uid="{B22EB85D-2FE0-4E51-B044-C79FB22DD35D}"/>
    <cellStyle name="Percent 9 23 5" xfId="13871" xr:uid="{4988024D-ADA1-48AF-9164-54490E34516B}"/>
    <cellStyle name="Percent 9 24" xfId="13872" xr:uid="{0282A0B1-F643-4FFA-A34C-6228F06414AC}"/>
    <cellStyle name="Percent 9 24 2" xfId="13873" xr:uid="{E8AED9E8-BA09-46D2-A78A-F69C6A265D9B}"/>
    <cellStyle name="Percent 9 24 2 2" xfId="13874" xr:uid="{C7C3AF97-0C46-40EB-8549-FC888DBA8697}"/>
    <cellStyle name="Percent 9 24 3" xfId="13875" xr:uid="{58822245-72F9-4DC7-8E13-E6773995BB1E}"/>
    <cellStyle name="Percent 9 24 3 2" xfId="13876" xr:uid="{F3E9FBEF-5A1E-49D2-8D0F-76235A5BE64C}"/>
    <cellStyle name="Percent 9 24 4" xfId="13877" xr:uid="{77FC89BE-54B6-4FA5-A4FB-D7092B2BE515}"/>
    <cellStyle name="Percent 9 25" xfId="13878" xr:uid="{9EED99BB-0ABB-4416-B8FD-1ED623F97D9E}"/>
    <cellStyle name="Percent 9 25 2" xfId="13879" xr:uid="{694F750D-F18A-4FEA-AE14-E693C1AFEEA5}"/>
    <cellStyle name="Percent 9 26" xfId="13880" xr:uid="{836EA6DA-63FA-418C-B015-EAE33C555BC0}"/>
    <cellStyle name="Percent 9 26 2" xfId="13881" xr:uid="{86B411E3-D115-40E1-9276-0131DB9C6CA5}"/>
    <cellStyle name="Percent 9 27" xfId="13882" xr:uid="{99D68EE8-8ED3-49CC-9769-29F9CBD82994}"/>
    <cellStyle name="Percent 9 27 2" xfId="13883" xr:uid="{7FBB276A-2BD1-431F-99E9-61B7E653DDF3}"/>
    <cellStyle name="Percent 9 28" xfId="13884" xr:uid="{076C86C5-66A7-4CD4-9EA6-77E8C51F5CCE}"/>
    <cellStyle name="Percent 9 29" xfId="13885" xr:uid="{3062D9C8-AC61-4EB5-92F9-5D51E2A36792}"/>
    <cellStyle name="Percent 9 3" xfId="3029" xr:uid="{6EC1A0E5-107E-4E8E-A75A-08874CB8B3B6}"/>
    <cellStyle name="Percent 9 3 10" xfId="13887" xr:uid="{1A392CC3-557E-4C24-A9EB-AEA08E57EE66}"/>
    <cellStyle name="Percent 9 3 10 2" xfId="13888" xr:uid="{306E8FFF-4754-4AF8-BE9A-ACE410326F22}"/>
    <cellStyle name="Percent 9 3 11" xfId="13889" xr:uid="{92650598-670B-4B06-8D85-F9BA6DC10584}"/>
    <cellStyle name="Percent 9 3 12" xfId="13890" xr:uid="{9727AEF4-2AA6-418C-A09B-1843F18C2797}"/>
    <cellStyle name="Percent 9 3 13" xfId="13886" xr:uid="{FC2FE659-11CA-49F6-9068-7E5422668E69}"/>
    <cellStyle name="Percent 9 3 2" xfId="4799" xr:uid="{75DF4A05-F691-49B2-BDDF-1B2142E92D48}"/>
    <cellStyle name="Percent 9 3 2 10" xfId="13892" xr:uid="{8EAC5A05-BB2C-458B-BB85-091576FBD4D5}"/>
    <cellStyle name="Percent 9 3 2 11" xfId="13891" xr:uid="{6B1F0E1F-8A31-4A53-B9BF-C5BDCB256D13}"/>
    <cellStyle name="Percent 9 3 2 2" xfId="13893" xr:uid="{10AF0BCD-0B29-40E3-BCAC-57617C3E3ACF}"/>
    <cellStyle name="Percent 9 3 2 2 2" xfId="13894" xr:uid="{14D9E25F-8EDC-4A0A-994D-05514CE947B5}"/>
    <cellStyle name="Percent 9 3 2 2 2 2" xfId="13895" xr:uid="{7A301B0E-12B7-41D4-98D9-014E609C0FE2}"/>
    <cellStyle name="Percent 9 3 2 2 3" xfId="13896" xr:uid="{A13997BB-3848-4FF6-B657-DA8DE339AA74}"/>
    <cellStyle name="Percent 9 3 2 2 3 2" xfId="13897" xr:uid="{87321138-4B2B-41DA-8DE7-BEDC7458C8C1}"/>
    <cellStyle name="Percent 9 3 2 2 4" xfId="13898" xr:uid="{54B53483-AF50-4364-A419-C9420B9B909D}"/>
    <cellStyle name="Percent 9 3 2 3" xfId="13899" xr:uid="{560C2282-061F-419B-9D46-B63DC03E2E7F}"/>
    <cellStyle name="Percent 9 3 2 3 2" xfId="13900" xr:uid="{579D67FA-AC1D-42E5-9AB3-2B005E46939E}"/>
    <cellStyle name="Percent 9 3 2 3 2 2" xfId="13901" xr:uid="{0CB8B997-A185-4001-9F85-535BF29B759D}"/>
    <cellStyle name="Percent 9 3 2 3 3" xfId="13902" xr:uid="{32F6A6A2-2F6F-49EE-A439-5E06A3383D92}"/>
    <cellStyle name="Percent 9 3 2 3 3 2" xfId="13903" xr:uid="{2D766E3D-CFD4-4AB7-BD9C-9AFFAFA80BD4}"/>
    <cellStyle name="Percent 9 3 2 3 4" xfId="13904" xr:uid="{EAC1F207-6CAF-4A43-BE6F-63DD9302F2BD}"/>
    <cellStyle name="Percent 9 3 2 4" xfId="13905" xr:uid="{9ECD9CF7-F72D-46EA-A86B-E1FA7A262700}"/>
    <cellStyle name="Percent 9 3 2 4 2" xfId="13906" xr:uid="{1115AE64-22CB-4439-8668-95BD253CFB7D}"/>
    <cellStyle name="Percent 9 3 2 4 2 2" xfId="13907" xr:uid="{D6AD6303-9C9A-4A42-9D2A-258F6229DC5D}"/>
    <cellStyle name="Percent 9 3 2 4 3" xfId="13908" xr:uid="{D6712B6D-4380-411D-8488-0489553428C3}"/>
    <cellStyle name="Percent 9 3 2 4 3 2" xfId="13909" xr:uid="{6E86304B-E9CC-4A5D-B4DB-F8640A6A6ABE}"/>
    <cellStyle name="Percent 9 3 2 4 4" xfId="13910" xr:uid="{B332F97E-2DDB-4E96-AEE4-64A685A0F2F7}"/>
    <cellStyle name="Percent 9 3 2 4 4 2" xfId="13911" xr:uid="{281F454F-B8CF-45E3-A571-4676B9A6B3C6}"/>
    <cellStyle name="Percent 9 3 2 4 5" xfId="13912" xr:uid="{C7BFB66F-682A-44EF-AAEA-E48626F8A743}"/>
    <cellStyle name="Percent 9 3 2 5" xfId="13913" xr:uid="{FBA294F4-B76B-4FD7-81B9-FE7520B4064B}"/>
    <cellStyle name="Percent 9 3 2 5 2" xfId="13914" xr:uid="{B3A51BB8-FA3B-4CF1-BC68-385BDEC790DF}"/>
    <cellStyle name="Percent 9 3 2 5 2 2" xfId="13915" xr:uid="{9F0C503F-0C5C-4609-BAA2-8552D1C22768}"/>
    <cellStyle name="Percent 9 3 2 5 3" xfId="13916" xr:uid="{70670A81-19B7-4871-B5E8-31B553EF2E43}"/>
    <cellStyle name="Percent 9 3 2 5 3 2" xfId="13917" xr:uid="{C9B07683-1A5C-43A2-980A-F0824A0AEBFA}"/>
    <cellStyle name="Percent 9 3 2 5 4" xfId="13918" xr:uid="{86D905DD-ECCF-4A81-9DE9-79D07FCEDA7E}"/>
    <cellStyle name="Percent 9 3 2 6" xfId="13919" xr:uid="{C62335CA-0915-423A-8333-64E4BCE8E8AB}"/>
    <cellStyle name="Percent 9 3 2 6 2" xfId="13920" xr:uid="{DAFFFAF1-663F-403B-8FDB-922721DB9FD1}"/>
    <cellStyle name="Percent 9 3 2 7" xfId="13921" xr:uid="{395D2A00-9C52-45B3-BBAE-C0E172E42009}"/>
    <cellStyle name="Percent 9 3 2 7 2" xfId="13922" xr:uid="{D8001B1E-99F5-4689-8652-D7C9CB8A7D7B}"/>
    <cellStyle name="Percent 9 3 2 8" xfId="13923" xr:uid="{D4146425-2B4B-40EB-9BEE-B0291CCDEA00}"/>
    <cellStyle name="Percent 9 3 2 8 2" xfId="13924" xr:uid="{C0A1F698-C84D-4FA4-8AE9-895BD97FB67F}"/>
    <cellStyle name="Percent 9 3 2 9" xfId="13925" xr:uid="{1FE927B4-2F20-4F93-8BD1-0EA577E3E92D}"/>
    <cellStyle name="Percent 9 3 3" xfId="13926" xr:uid="{B45F21AE-EAED-4D3D-AEE3-EA3544BE87B6}"/>
    <cellStyle name="Percent 9 3 3 2" xfId="13927" xr:uid="{E0671468-9E02-4D0B-B0D0-FB39EB3D0587}"/>
    <cellStyle name="Percent 9 3 3 2 2" xfId="13928" xr:uid="{26861950-4FCE-43E1-944C-6C3D5B372488}"/>
    <cellStyle name="Percent 9 3 3 3" xfId="13929" xr:uid="{5DF98BB3-82C9-4259-AA65-EA1E9277F0AF}"/>
    <cellStyle name="Percent 9 3 3 3 2" xfId="13930" xr:uid="{2C858731-B226-48B4-9E19-AB5371ED9826}"/>
    <cellStyle name="Percent 9 3 3 4" xfId="13931" xr:uid="{D2C612F2-DD76-49F4-B291-7C13B7ACAD80}"/>
    <cellStyle name="Percent 9 3 3 5" xfId="13932" xr:uid="{3D7E3505-F03B-4BF5-8DC2-75471A920C17}"/>
    <cellStyle name="Percent 9 3 4" xfId="13933" xr:uid="{A2F0627D-FF6B-41F4-A8A6-981062349A3F}"/>
    <cellStyle name="Percent 9 3 4 2" xfId="13934" xr:uid="{5E967C28-D327-4550-A7FD-2E8536E13BC3}"/>
    <cellStyle name="Percent 9 3 4 2 2" xfId="13935" xr:uid="{F1F9499C-39B7-476A-A710-F1CDF843CD2B}"/>
    <cellStyle name="Percent 9 3 4 3" xfId="13936" xr:uid="{7710E0BB-852C-460B-9526-F468B4D976A3}"/>
    <cellStyle name="Percent 9 3 4 3 2" xfId="13937" xr:uid="{07C3DB0D-2549-43EA-A928-E36C7C80BEB8}"/>
    <cellStyle name="Percent 9 3 4 4" xfId="13938" xr:uid="{A7956836-2D09-4B71-8004-00729DF00C73}"/>
    <cellStyle name="Percent 9 3 5" xfId="13939" xr:uid="{3BD0B9C2-1B53-4438-9481-34CBB805D880}"/>
    <cellStyle name="Percent 9 3 5 2" xfId="13940" xr:uid="{A212A5BC-4DC1-4885-B791-02BC5E49CF32}"/>
    <cellStyle name="Percent 9 3 5 2 2" xfId="13941" xr:uid="{06370BE4-2F94-47F3-8678-C43B3FC18548}"/>
    <cellStyle name="Percent 9 3 5 3" xfId="13942" xr:uid="{71FDAF3E-C06F-42F4-9171-195D8E487467}"/>
    <cellStyle name="Percent 9 3 5 3 2" xfId="13943" xr:uid="{8A7DFA48-5738-426A-BC24-936C249A22C4}"/>
    <cellStyle name="Percent 9 3 5 4" xfId="13944" xr:uid="{ED74CDFC-1718-4754-A8FA-EC206C2747F4}"/>
    <cellStyle name="Percent 9 3 6" xfId="13945" xr:uid="{2978F4E6-5C91-4752-8C71-D2C0D987F39B}"/>
    <cellStyle name="Percent 9 3 6 2" xfId="13946" xr:uid="{6AD5721C-54AD-4445-9DCC-1A4286C19D5A}"/>
    <cellStyle name="Percent 9 3 6 2 2" xfId="13947" xr:uid="{206E4B4E-B00D-451B-8931-D8DF3A87C560}"/>
    <cellStyle name="Percent 9 3 6 3" xfId="13948" xr:uid="{91AE45D2-FF79-431F-BCD3-DD6E62FFD1C9}"/>
    <cellStyle name="Percent 9 3 6 3 2" xfId="13949" xr:uid="{93F9B52E-9E1A-4C73-A7C3-A77283B5D547}"/>
    <cellStyle name="Percent 9 3 6 4" xfId="13950" xr:uid="{DFAE5313-E539-4A52-90CE-72454143C1AB}"/>
    <cellStyle name="Percent 9 3 6 4 2" xfId="13951" xr:uid="{B74563BE-0957-4754-AD36-1A76307BA2AE}"/>
    <cellStyle name="Percent 9 3 6 5" xfId="13952" xr:uid="{FC119818-7FD6-4751-84F7-E40AA15C3290}"/>
    <cellStyle name="Percent 9 3 7" xfId="13953" xr:uid="{99F09536-30A4-4256-86B8-0A7CC1134C51}"/>
    <cellStyle name="Percent 9 3 7 2" xfId="13954" xr:uid="{0118148E-557E-4464-AB9F-8541CC2BD095}"/>
    <cellStyle name="Percent 9 3 7 2 2" xfId="13955" xr:uid="{8FB10DE7-501E-48A6-A614-6FED63E55076}"/>
    <cellStyle name="Percent 9 3 7 3" xfId="13956" xr:uid="{B141F52C-B1BA-4DB4-8F0F-4F15F94732F8}"/>
    <cellStyle name="Percent 9 3 7 3 2" xfId="13957" xr:uid="{E06ABD77-3BC6-4CD2-B05D-9CE9D0FACBC1}"/>
    <cellStyle name="Percent 9 3 7 4" xfId="13958" xr:uid="{3E29A86A-EBFF-4837-8626-530DC81AF6F0}"/>
    <cellStyle name="Percent 9 3 8" xfId="13959" xr:uid="{7093FD81-EEB4-4AAE-A4F0-769F0004F79E}"/>
    <cellStyle name="Percent 9 3 8 2" xfId="13960" xr:uid="{7E70BB97-2008-43B2-839F-8CB4E05C6920}"/>
    <cellStyle name="Percent 9 3 9" xfId="13961" xr:uid="{CBAF4432-6B54-4D3F-AE66-BEAF17CED816}"/>
    <cellStyle name="Percent 9 3 9 2" xfId="13962" xr:uid="{C52C5F84-CECE-45BC-BE9E-77C65DF1C827}"/>
    <cellStyle name="Percent 9 30" xfId="13312" xr:uid="{9AF1D2D2-3104-4E59-A8EA-8430F5CAB72E}"/>
    <cellStyle name="Percent 9 4" xfId="3030" xr:uid="{55637671-89EB-42A1-B80B-2B1027FD0801}"/>
    <cellStyle name="Percent 9 4 10" xfId="13964" xr:uid="{7AA3A3B1-8A24-46E5-BC95-07142AE9A473}"/>
    <cellStyle name="Percent 9 4 10 2" xfId="13965" xr:uid="{E45DBCB2-1746-43B4-A1B1-92F131C256B0}"/>
    <cellStyle name="Percent 9 4 11" xfId="13966" xr:uid="{956237F7-106E-42A5-872B-7F456840FE2D}"/>
    <cellStyle name="Percent 9 4 12" xfId="13967" xr:uid="{CE31DFBD-B1BB-40CC-9364-1227BBD9CD29}"/>
    <cellStyle name="Percent 9 4 13" xfId="13963" xr:uid="{195F9689-349E-40EA-991C-390B27E909F0}"/>
    <cellStyle name="Percent 9 4 2" xfId="4800" xr:uid="{1CAE5584-37B0-4E34-BCCB-19847EE6CE07}"/>
    <cellStyle name="Percent 9 4 2 10" xfId="13969" xr:uid="{AA7C5013-9DDA-4013-AA1C-34998F3464AE}"/>
    <cellStyle name="Percent 9 4 2 11" xfId="13968" xr:uid="{264AAEF2-3597-471B-B1A5-1317581B23F1}"/>
    <cellStyle name="Percent 9 4 2 2" xfId="13970" xr:uid="{E03ADD3F-650A-4522-B2BC-1BF2300339F5}"/>
    <cellStyle name="Percent 9 4 2 2 2" xfId="13971" xr:uid="{6D445A8B-2C8C-4C5C-8188-5B1ED05968C7}"/>
    <cellStyle name="Percent 9 4 2 2 2 2" xfId="13972" xr:uid="{6A544088-49BB-45DA-BE77-A498AE71C24D}"/>
    <cellStyle name="Percent 9 4 2 2 3" xfId="13973" xr:uid="{30805C13-7C2A-4AA8-87C4-2458065CF7B0}"/>
    <cellStyle name="Percent 9 4 2 2 3 2" xfId="13974" xr:uid="{BF1D0118-8024-4382-9BF8-7CAC1F6E9D3A}"/>
    <cellStyle name="Percent 9 4 2 2 4" xfId="13975" xr:uid="{38C9C9DD-3951-400E-8A66-C4D6BFFF6BCB}"/>
    <cellStyle name="Percent 9 4 2 3" xfId="13976" xr:uid="{F1ACAFF6-C468-47BE-9BA6-A9F97ED739E8}"/>
    <cellStyle name="Percent 9 4 2 3 2" xfId="13977" xr:uid="{206A4CA1-37AE-4CC5-AAB0-EE8C775D1C26}"/>
    <cellStyle name="Percent 9 4 2 3 2 2" xfId="13978" xr:uid="{B7C1853C-A7A5-4CBE-B465-30D0382B3F16}"/>
    <cellStyle name="Percent 9 4 2 3 3" xfId="13979" xr:uid="{DAADA38B-A36E-4559-828C-6BA18104AE45}"/>
    <cellStyle name="Percent 9 4 2 3 3 2" xfId="13980" xr:uid="{204F828E-DC04-4D17-8A15-2B8A780386FA}"/>
    <cellStyle name="Percent 9 4 2 3 4" xfId="13981" xr:uid="{A752586D-FD86-485A-BBFD-7C350994C099}"/>
    <cellStyle name="Percent 9 4 2 4" xfId="13982" xr:uid="{38738000-F052-4794-A090-5FF8216B7CA1}"/>
    <cellStyle name="Percent 9 4 2 4 2" xfId="13983" xr:uid="{11B08CF2-24C7-4BE7-87EA-46E81FCD8532}"/>
    <cellStyle name="Percent 9 4 2 4 2 2" xfId="13984" xr:uid="{FA1FD57C-4AD7-4EE6-99B4-1C674844CA7D}"/>
    <cellStyle name="Percent 9 4 2 4 3" xfId="13985" xr:uid="{431802E8-43E3-4F21-848C-94CF0C2B4D7E}"/>
    <cellStyle name="Percent 9 4 2 4 3 2" xfId="13986" xr:uid="{6F2DE96D-A9AD-403F-9A47-47867EC30A2E}"/>
    <cellStyle name="Percent 9 4 2 4 4" xfId="13987" xr:uid="{2D6AC67F-2304-4920-9BE2-405A49839844}"/>
    <cellStyle name="Percent 9 4 2 4 4 2" xfId="13988" xr:uid="{4575A4F6-FAC4-4493-96A5-51AA5498CA62}"/>
    <cellStyle name="Percent 9 4 2 4 5" xfId="13989" xr:uid="{293377B7-AFA7-42F9-8742-1B55282B5482}"/>
    <cellStyle name="Percent 9 4 2 5" xfId="13990" xr:uid="{E73C68D8-E8BA-4369-8A37-BC76631DCD9C}"/>
    <cellStyle name="Percent 9 4 2 5 2" xfId="13991" xr:uid="{9A26D69A-CB52-4811-8750-B83559F6AB57}"/>
    <cellStyle name="Percent 9 4 2 5 2 2" xfId="13992" xr:uid="{7165EFC1-A8B1-4E98-A9D6-8BFB5CDB3012}"/>
    <cellStyle name="Percent 9 4 2 5 3" xfId="13993" xr:uid="{D107EE1A-7E60-4FBC-9DBE-6D0564E76311}"/>
    <cellStyle name="Percent 9 4 2 5 3 2" xfId="13994" xr:uid="{A373BE1B-D5FE-431B-A608-CDB37254D976}"/>
    <cellStyle name="Percent 9 4 2 5 4" xfId="13995" xr:uid="{E1FBDFBF-7B88-479A-B480-7F72E36BCC01}"/>
    <cellStyle name="Percent 9 4 2 6" xfId="13996" xr:uid="{6E2CB216-E016-4447-A309-D2D49FD68C5F}"/>
    <cellStyle name="Percent 9 4 2 6 2" xfId="13997" xr:uid="{9FC29D3B-BFF5-49EE-91CE-51F21781D2D7}"/>
    <cellStyle name="Percent 9 4 2 7" xfId="13998" xr:uid="{EBC6EA73-696F-4AA1-A280-7E4C34DB81E1}"/>
    <cellStyle name="Percent 9 4 2 7 2" xfId="13999" xr:uid="{5FED6317-7673-47E3-BFF1-0C86AD2D8DC4}"/>
    <cellStyle name="Percent 9 4 2 8" xfId="14000" xr:uid="{9C8A408B-B769-4079-93F5-6C57FF891862}"/>
    <cellStyle name="Percent 9 4 2 8 2" xfId="14001" xr:uid="{C9BDF632-69A6-4D30-B9D8-A928C88D06BA}"/>
    <cellStyle name="Percent 9 4 2 9" xfId="14002" xr:uid="{198A4D00-D9F8-4175-B787-85075BC0967E}"/>
    <cellStyle name="Percent 9 4 3" xfId="14003" xr:uid="{AA93888B-5104-4219-BEA1-BCACE912459C}"/>
    <cellStyle name="Percent 9 4 3 2" xfId="14004" xr:uid="{2AB51A9D-7B2D-4A79-A2BF-0DDBB1285E1F}"/>
    <cellStyle name="Percent 9 4 3 2 2" xfId="14005" xr:uid="{F89B2A8C-B0C7-4A79-B4BE-4094BAD4D206}"/>
    <cellStyle name="Percent 9 4 3 3" xfId="14006" xr:uid="{D13A4CA3-2F77-419D-BE8F-DE17E589BCEF}"/>
    <cellStyle name="Percent 9 4 3 3 2" xfId="14007" xr:uid="{17F1B8C1-7B16-492B-A6B4-B3DF32EBA1B8}"/>
    <cellStyle name="Percent 9 4 3 4" xfId="14008" xr:uid="{F6EE2277-3CB6-466A-AA9C-C6B849DBDFF8}"/>
    <cellStyle name="Percent 9 4 3 5" xfId="14009" xr:uid="{F85D80BB-10AE-4C72-BD1B-489FFA8BD065}"/>
    <cellStyle name="Percent 9 4 4" xfId="14010" xr:uid="{B8A618F2-C0C3-4082-A413-9492AE63E3F6}"/>
    <cellStyle name="Percent 9 4 4 2" xfId="14011" xr:uid="{442C28B0-ADAE-479F-B154-F986F153BA53}"/>
    <cellStyle name="Percent 9 4 4 2 2" xfId="14012" xr:uid="{2FB1C8F7-9901-434D-9908-418E67D57949}"/>
    <cellStyle name="Percent 9 4 4 3" xfId="14013" xr:uid="{91352C09-C044-4C21-A15B-90EA88586D54}"/>
    <cellStyle name="Percent 9 4 4 3 2" xfId="14014" xr:uid="{EE68C5FE-8F2D-4FCE-BEE9-64EB81FCC362}"/>
    <cellStyle name="Percent 9 4 4 4" xfId="14015" xr:uid="{600CE1B7-75DF-44B4-A03B-E8DB275BA714}"/>
    <cellStyle name="Percent 9 4 5" xfId="14016" xr:uid="{1D03FBCF-7AB1-40C3-9769-45673B362F72}"/>
    <cellStyle name="Percent 9 4 5 2" xfId="14017" xr:uid="{CBE98E82-442C-43F6-B55B-B7395AA5A248}"/>
    <cellStyle name="Percent 9 4 5 2 2" xfId="14018" xr:uid="{9324D141-3531-4917-B4C3-921655407470}"/>
    <cellStyle name="Percent 9 4 5 3" xfId="14019" xr:uid="{46C0C68B-C3DC-4F25-9899-A212020933A4}"/>
    <cellStyle name="Percent 9 4 5 3 2" xfId="14020" xr:uid="{C02EEB9F-66EB-460B-B361-6E33ED908495}"/>
    <cellStyle name="Percent 9 4 5 4" xfId="14021" xr:uid="{D5C1D4D4-7424-47DF-818D-EC47FC757048}"/>
    <cellStyle name="Percent 9 4 6" xfId="14022" xr:uid="{F21C9156-6869-43D4-B507-71F1D3BA8164}"/>
    <cellStyle name="Percent 9 4 6 2" xfId="14023" xr:uid="{A658B4B9-3E54-466D-A811-1256B890020C}"/>
    <cellStyle name="Percent 9 4 6 2 2" xfId="14024" xr:uid="{9BAFB76A-3678-418F-A831-E7C8230D4AB6}"/>
    <cellStyle name="Percent 9 4 6 3" xfId="14025" xr:uid="{D1B60409-242D-4C7C-A40F-55CC73A6EAAA}"/>
    <cellStyle name="Percent 9 4 6 3 2" xfId="14026" xr:uid="{20A51DC2-77C1-40DA-9C41-5A5486699338}"/>
    <cellStyle name="Percent 9 4 6 4" xfId="14027" xr:uid="{DD51C91C-157A-4F69-B757-7CCF52DA42C1}"/>
    <cellStyle name="Percent 9 4 6 4 2" xfId="14028" xr:uid="{38FEAAEE-DAA6-474C-9F1C-A6EBB786EC4F}"/>
    <cellStyle name="Percent 9 4 6 5" xfId="14029" xr:uid="{93507CBA-4F5F-4FC8-BB5F-BC6B94F942EB}"/>
    <cellStyle name="Percent 9 4 7" xfId="14030" xr:uid="{FEB0DAC6-BA6B-4EF9-B098-6A1E85B88647}"/>
    <cellStyle name="Percent 9 4 7 2" xfId="14031" xr:uid="{5DA1EA8F-58BF-4ECE-81B6-75C5C781296E}"/>
    <cellStyle name="Percent 9 4 7 2 2" xfId="14032" xr:uid="{E5F94F2E-15A0-4437-B0E0-E6C406086F2E}"/>
    <cellStyle name="Percent 9 4 7 3" xfId="14033" xr:uid="{299EF9D3-289A-445C-81B1-E69CCA30FC0E}"/>
    <cellStyle name="Percent 9 4 7 3 2" xfId="14034" xr:uid="{24FF43E9-EF46-409D-A080-67D6758040CC}"/>
    <cellStyle name="Percent 9 4 7 4" xfId="14035" xr:uid="{75139642-9B25-498F-95AD-999189BFC140}"/>
    <cellStyle name="Percent 9 4 8" xfId="14036" xr:uid="{5C1DF9A7-964D-4DFE-92BF-7BD8B76D3B3D}"/>
    <cellStyle name="Percent 9 4 8 2" xfId="14037" xr:uid="{A400973F-5CBF-4561-9CFE-4FD894BAE9FD}"/>
    <cellStyle name="Percent 9 4 9" xfId="14038" xr:uid="{8C743E08-81B8-4EC5-AEA8-5007D32E8037}"/>
    <cellStyle name="Percent 9 4 9 2" xfId="14039" xr:uid="{5571943F-EAED-47D4-B76E-27C221BF6C91}"/>
    <cellStyle name="Percent 9 5" xfId="3031" xr:uid="{6B0319E4-6754-4FB5-B9B4-86C23F6E0794}"/>
    <cellStyle name="Percent 9 5 10" xfId="14041" xr:uid="{6A6453D9-D7A1-4A79-A1BA-7983D1192117}"/>
    <cellStyle name="Percent 9 5 10 2" xfId="14042" xr:uid="{2E2597AF-C1E5-4F45-AC08-79ED78AF0856}"/>
    <cellStyle name="Percent 9 5 11" xfId="14043" xr:uid="{CA28B605-4468-4B61-B835-B9908CE2662B}"/>
    <cellStyle name="Percent 9 5 12" xfId="14044" xr:uid="{01CD9CFF-ECED-4170-887A-2C39D386F059}"/>
    <cellStyle name="Percent 9 5 13" xfId="14040" xr:uid="{AD12108A-EB3E-424E-BB74-49EEADA7632D}"/>
    <cellStyle name="Percent 9 5 2" xfId="4801" xr:uid="{427B1045-7562-4967-B274-A26F1ABEE0B2}"/>
    <cellStyle name="Percent 9 5 2 10" xfId="14046" xr:uid="{8EA2DC2E-053A-4F7F-9C8A-F3EB73E3BC23}"/>
    <cellStyle name="Percent 9 5 2 11" xfId="14045" xr:uid="{445B6F89-D9B7-4786-9BA5-0539056E39B1}"/>
    <cellStyle name="Percent 9 5 2 2" xfId="14047" xr:uid="{EDF76668-90B6-47D0-A6F4-1BE3341082E5}"/>
    <cellStyle name="Percent 9 5 2 2 2" xfId="14048" xr:uid="{B2DAE6AD-D66F-4175-A89B-A6FE6663FDE3}"/>
    <cellStyle name="Percent 9 5 2 2 2 2" xfId="14049" xr:uid="{08EF35A3-2285-41C2-A2AC-2AB8EC569270}"/>
    <cellStyle name="Percent 9 5 2 2 3" xfId="14050" xr:uid="{C653643F-E308-4118-80A3-327E9171FDC1}"/>
    <cellStyle name="Percent 9 5 2 2 3 2" xfId="14051" xr:uid="{EF685992-9B96-4212-9A23-8C23187BE320}"/>
    <cellStyle name="Percent 9 5 2 2 4" xfId="14052" xr:uid="{52DD283A-BA09-4AA2-B8AA-27BF07998C3E}"/>
    <cellStyle name="Percent 9 5 2 3" xfId="14053" xr:uid="{9A246F05-487C-4FA9-93DF-614539A8D3FD}"/>
    <cellStyle name="Percent 9 5 2 3 2" xfId="14054" xr:uid="{D2FED7DA-68E2-4262-9B34-25D9C8E52BF8}"/>
    <cellStyle name="Percent 9 5 2 3 2 2" xfId="14055" xr:uid="{29B63EE4-C57B-427D-BD6E-069A3E473B49}"/>
    <cellStyle name="Percent 9 5 2 3 3" xfId="14056" xr:uid="{81679C59-47D3-46D8-85A4-4517E6949373}"/>
    <cellStyle name="Percent 9 5 2 3 3 2" xfId="14057" xr:uid="{8C039DEA-9BBF-4C6D-A9E3-49AC6439BBAA}"/>
    <cellStyle name="Percent 9 5 2 3 4" xfId="14058" xr:uid="{C5F05EDE-5C7D-44A1-9F86-EFABD446C905}"/>
    <cellStyle name="Percent 9 5 2 4" xfId="14059" xr:uid="{AE89C216-0489-4695-A52A-97E4043CBE66}"/>
    <cellStyle name="Percent 9 5 2 4 2" xfId="14060" xr:uid="{107AF4AE-5413-4C45-BAE7-903AD1D6E429}"/>
    <cellStyle name="Percent 9 5 2 4 2 2" xfId="14061" xr:uid="{34561AB0-8C67-48AD-B64C-AC3A507D58A4}"/>
    <cellStyle name="Percent 9 5 2 4 3" xfId="14062" xr:uid="{28ABB9D8-ABEA-48E2-8216-294E95CC5E4F}"/>
    <cellStyle name="Percent 9 5 2 4 3 2" xfId="14063" xr:uid="{9E3E2DCD-0DA8-49BC-B56E-305B7F1B3FEC}"/>
    <cellStyle name="Percent 9 5 2 4 4" xfId="14064" xr:uid="{16706B58-F070-4FB2-AE45-B267FA46ECCE}"/>
    <cellStyle name="Percent 9 5 2 4 4 2" xfId="14065" xr:uid="{302B4CB4-6D85-4898-A50B-17CEFF9AD71B}"/>
    <cellStyle name="Percent 9 5 2 4 5" xfId="14066" xr:uid="{5BB399F9-17AB-4B07-B757-7F1A880F832C}"/>
    <cellStyle name="Percent 9 5 2 5" xfId="14067" xr:uid="{05D843C9-9875-4F55-8BEF-5A58A5458555}"/>
    <cellStyle name="Percent 9 5 2 5 2" xfId="14068" xr:uid="{CE12C08E-F9F1-497F-9BAB-57B9879A26D0}"/>
    <cellStyle name="Percent 9 5 2 5 2 2" xfId="14069" xr:uid="{78525C1D-9002-408E-B17A-1A04C55D966F}"/>
    <cellStyle name="Percent 9 5 2 5 3" xfId="14070" xr:uid="{4061BCA6-7C87-4866-ACF5-E1642292F2FB}"/>
    <cellStyle name="Percent 9 5 2 5 3 2" xfId="14071" xr:uid="{75FB7F1B-C79E-4A10-BE2D-2B5E35A600BF}"/>
    <cellStyle name="Percent 9 5 2 5 4" xfId="14072" xr:uid="{5A997BEC-8627-4048-A444-01F8B32A4C27}"/>
    <cellStyle name="Percent 9 5 2 6" xfId="14073" xr:uid="{09DBBE38-67E3-43A9-AA58-F8BE5935DB9D}"/>
    <cellStyle name="Percent 9 5 2 6 2" xfId="14074" xr:uid="{F6ACF22F-EB0E-4DBC-A6E2-7CBE01975E8A}"/>
    <cellStyle name="Percent 9 5 2 7" xfId="14075" xr:uid="{32E13EE1-21F2-4275-9E86-6C40C397ACA7}"/>
    <cellStyle name="Percent 9 5 2 7 2" xfId="14076" xr:uid="{8648203B-705E-47E6-830C-ACE76F56BC1F}"/>
    <cellStyle name="Percent 9 5 2 8" xfId="14077" xr:uid="{44E37F40-3490-4BC5-B07B-0E3871FB5FBE}"/>
    <cellStyle name="Percent 9 5 2 8 2" xfId="14078" xr:uid="{80750EA9-86AE-48D6-8BFA-60C41190D3FC}"/>
    <cellStyle name="Percent 9 5 2 9" xfId="14079" xr:uid="{9D0852D9-822C-4596-8D2B-4E2E354A4F30}"/>
    <cellStyle name="Percent 9 5 3" xfId="14080" xr:uid="{438D288B-E09A-4F8F-ACEC-04D6C40DCE85}"/>
    <cellStyle name="Percent 9 5 3 2" xfId="14081" xr:uid="{DD3BB98A-DDD9-4574-A3D0-A2CA635C0059}"/>
    <cellStyle name="Percent 9 5 3 2 2" xfId="14082" xr:uid="{A21397F2-5A32-47C5-BE26-4311F7E37513}"/>
    <cellStyle name="Percent 9 5 3 3" xfId="14083" xr:uid="{973C286E-75ED-414E-AAB6-861B201A7CD4}"/>
    <cellStyle name="Percent 9 5 3 3 2" xfId="14084" xr:uid="{F2A1F3AF-FFEF-4AC2-80F3-F1EC86CC6F05}"/>
    <cellStyle name="Percent 9 5 3 4" xfId="14085" xr:uid="{99950D15-80AB-424F-95EF-272EBEABB16D}"/>
    <cellStyle name="Percent 9 5 3 5" xfId="14086" xr:uid="{1E49B80D-C829-4BCA-8F9B-EBADEE3F58A0}"/>
    <cellStyle name="Percent 9 5 4" xfId="14087" xr:uid="{2E4D6FC5-6D86-4A70-8060-220E7C8561E4}"/>
    <cellStyle name="Percent 9 5 4 2" xfId="14088" xr:uid="{C41B3598-336B-40E3-AA97-F75CADD28A3F}"/>
    <cellStyle name="Percent 9 5 4 2 2" xfId="14089" xr:uid="{BE5C7561-41C0-4881-AD32-766CE0B5E1B5}"/>
    <cellStyle name="Percent 9 5 4 3" xfId="14090" xr:uid="{7647C7D3-4BFC-4453-B761-17501459CF05}"/>
    <cellStyle name="Percent 9 5 4 3 2" xfId="14091" xr:uid="{8805F2C9-4B54-45ED-8D8A-E2AD6B758C98}"/>
    <cellStyle name="Percent 9 5 4 4" xfId="14092" xr:uid="{82A8065A-69E0-4C33-AB5E-4146DC295458}"/>
    <cellStyle name="Percent 9 5 5" xfId="14093" xr:uid="{A25E6744-46FB-4C81-9574-59CCC87466D6}"/>
    <cellStyle name="Percent 9 5 5 2" xfId="14094" xr:uid="{61CA1D31-8D5F-40FD-A3D6-5F9182ADABA0}"/>
    <cellStyle name="Percent 9 5 5 2 2" xfId="14095" xr:uid="{F0652C40-70D6-4E1D-9A77-0F0477BA132A}"/>
    <cellStyle name="Percent 9 5 5 3" xfId="14096" xr:uid="{024AAC3B-C007-41D5-A121-478F5D3E276E}"/>
    <cellStyle name="Percent 9 5 5 3 2" xfId="14097" xr:uid="{96A54403-9ECE-4181-BEB4-B8A748F2CCED}"/>
    <cellStyle name="Percent 9 5 5 4" xfId="14098" xr:uid="{A2219447-B122-4EE9-889A-918BC073EF3D}"/>
    <cellStyle name="Percent 9 5 6" xfId="14099" xr:uid="{72FE34D4-DE04-4831-BAB3-C18CF692936F}"/>
    <cellStyle name="Percent 9 5 6 2" xfId="14100" xr:uid="{78560301-192E-4055-97BA-1F3977DB5527}"/>
    <cellStyle name="Percent 9 5 6 2 2" xfId="14101" xr:uid="{40AB8C6F-4CA5-43D9-AF36-8FAAB5A6CF04}"/>
    <cellStyle name="Percent 9 5 6 3" xfId="14102" xr:uid="{6A736163-1105-4D31-9326-0F5CB79661FA}"/>
    <cellStyle name="Percent 9 5 6 3 2" xfId="14103" xr:uid="{69363B8C-0FFA-4475-B9A1-D411C705620F}"/>
    <cellStyle name="Percent 9 5 6 4" xfId="14104" xr:uid="{44CB4EB8-E793-46C9-BAA0-9843500AE1E7}"/>
    <cellStyle name="Percent 9 5 6 4 2" xfId="14105" xr:uid="{4087A92A-4E06-45EB-A61E-BF73F3A5A4D9}"/>
    <cellStyle name="Percent 9 5 6 5" xfId="14106" xr:uid="{755C9B3B-09AF-4DCF-8C93-C700545E8C96}"/>
    <cellStyle name="Percent 9 5 7" xfId="14107" xr:uid="{10780D8D-8B6A-4866-AF7E-50C72A80B851}"/>
    <cellStyle name="Percent 9 5 7 2" xfId="14108" xr:uid="{0FE30C88-1C43-4910-8E7E-5739E8E0FCDD}"/>
    <cellStyle name="Percent 9 5 7 2 2" xfId="14109" xr:uid="{2A34E3CB-FAF3-4B23-8043-FFD1C72B4018}"/>
    <cellStyle name="Percent 9 5 7 3" xfId="14110" xr:uid="{C31E1391-7556-4184-8063-6449EC3E14CD}"/>
    <cellStyle name="Percent 9 5 7 3 2" xfId="14111" xr:uid="{4329CA34-6FA3-4320-B17A-7DBB2821CEE8}"/>
    <cellStyle name="Percent 9 5 7 4" xfId="14112" xr:uid="{AADB53F6-7272-4A31-A440-2B202956A35E}"/>
    <cellStyle name="Percent 9 5 8" xfId="14113" xr:uid="{EBB57ECE-DDD8-49C3-8492-98A5F4048016}"/>
    <cellStyle name="Percent 9 5 8 2" xfId="14114" xr:uid="{83DB3E9B-4CBF-4A8A-8D03-8E774E8BA2ED}"/>
    <cellStyle name="Percent 9 5 9" xfId="14115" xr:uid="{28DEA12C-1017-497B-9E8E-8DF3A439A91E}"/>
    <cellStyle name="Percent 9 5 9 2" xfId="14116" xr:uid="{A2E82291-C680-4962-A62E-1BD2ABA6A8CC}"/>
    <cellStyle name="Percent 9 6" xfId="3032" xr:uid="{D3FB647E-2600-4840-BBAE-9B84E6B2C55B}"/>
    <cellStyle name="Percent 9 6 10" xfId="14118" xr:uid="{D10B1A19-092A-401C-8DD8-87011686B8B0}"/>
    <cellStyle name="Percent 9 6 10 2" xfId="14119" xr:uid="{C7C78233-1DE6-43FC-823F-9BD78B56C689}"/>
    <cellStyle name="Percent 9 6 11" xfId="14120" xr:uid="{AC9EF041-31A2-45BB-BB47-B11BAB854D41}"/>
    <cellStyle name="Percent 9 6 12" xfId="14121" xr:uid="{F545CFBF-2F6A-46F2-9E5D-AE66C1D9E933}"/>
    <cellStyle name="Percent 9 6 13" xfId="14117" xr:uid="{488DC70E-4441-49EA-989A-1A83EABE9617}"/>
    <cellStyle name="Percent 9 6 2" xfId="4802" xr:uid="{4D0CCACF-A277-4FFC-AE61-AB41B81F450F}"/>
    <cellStyle name="Percent 9 6 2 10" xfId="14123" xr:uid="{FB285742-54BC-4BAC-B29D-687D8F92FF8E}"/>
    <cellStyle name="Percent 9 6 2 11" xfId="14122" xr:uid="{DE9837EF-9189-4C76-A6C1-FBD255AE2C53}"/>
    <cellStyle name="Percent 9 6 2 2" xfId="14124" xr:uid="{53E59EB7-F1C5-4E0C-9FAC-7ED529B9D9E2}"/>
    <cellStyle name="Percent 9 6 2 2 2" xfId="14125" xr:uid="{E63B9113-7329-4269-BA28-01F82EE0468A}"/>
    <cellStyle name="Percent 9 6 2 2 2 2" xfId="14126" xr:uid="{55492A24-3252-4CA4-A34E-01633F869C46}"/>
    <cellStyle name="Percent 9 6 2 2 3" xfId="14127" xr:uid="{65DF89BA-3754-4D19-A45B-386DACAC1D83}"/>
    <cellStyle name="Percent 9 6 2 2 3 2" xfId="14128" xr:uid="{79795D21-D48F-4087-BF6D-981D626D11B7}"/>
    <cellStyle name="Percent 9 6 2 2 4" xfId="14129" xr:uid="{FAE0FE0F-0E36-46F7-8E52-A9E9B919699F}"/>
    <cellStyle name="Percent 9 6 2 3" xfId="14130" xr:uid="{65B00F35-AED1-4303-9791-1509A97F2976}"/>
    <cellStyle name="Percent 9 6 2 3 2" xfId="14131" xr:uid="{F5F68C84-83E6-4518-83A5-AFA211D0678E}"/>
    <cellStyle name="Percent 9 6 2 3 2 2" xfId="14132" xr:uid="{69A9D714-021E-4640-969A-9DB6A3C4FD38}"/>
    <cellStyle name="Percent 9 6 2 3 3" xfId="14133" xr:uid="{198B1047-365B-405B-9471-6BAE7F09D582}"/>
    <cellStyle name="Percent 9 6 2 3 3 2" xfId="14134" xr:uid="{EFDB2482-6B6E-4EFD-BC1A-C826E6A931B2}"/>
    <cellStyle name="Percent 9 6 2 3 4" xfId="14135" xr:uid="{7BFBA1C5-78B3-4B58-B20B-3D3FA38F9A12}"/>
    <cellStyle name="Percent 9 6 2 4" xfId="14136" xr:uid="{04721EF1-0AFA-4794-9AAC-BC46674242F3}"/>
    <cellStyle name="Percent 9 6 2 4 2" xfId="14137" xr:uid="{00114775-9734-4D94-B981-E7F0213E3F31}"/>
    <cellStyle name="Percent 9 6 2 4 2 2" xfId="14138" xr:uid="{C5F83AE3-E996-4A04-9E19-B0550F428218}"/>
    <cellStyle name="Percent 9 6 2 4 3" xfId="14139" xr:uid="{C819F274-6A5A-4040-8DB8-9ABDD0A688B3}"/>
    <cellStyle name="Percent 9 6 2 4 3 2" xfId="14140" xr:uid="{07D89BF5-B7AA-4AC8-B7F1-BC026D7ABB62}"/>
    <cellStyle name="Percent 9 6 2 4 4" xfId="14141" xr:uid="{31AF5438-A6ED-4C5D-B38D-08D23A528990}"/>
    <cellStyle name="Percent 9 6 2 4 4 2" xfId="14142" xr:uid="{398A682C-AB88-419E-A8C6-C8CCF655BCD4}"/>
    <cellStyle name="Percent 9 6 2 4 5" xfId="14143" xr:uid="{F3C477CD-2A29-4F86-A2B0-6B05D5AE046B}"/>
    <cellStyle name="Percent 9 6 2 5" xfId="14144" xr:uid="{D4586911-1FE3-43B6-BF97-A6E464B747B5}"/>
    <cellStyle name="Percent 9 6 2 5 2" xfId="14145" xr:uid="{5CDC1DA1-531C-443F-82D2-9D0F3E0BA651}"/>
    <cellStyle name="Percent 9 6 2 5 2 2" xfId="14146" xr:uid="{1DE0CD0E-A087-43A0-B6E6-CF0BF6DD9A53}"/>
    <cellStyle name="Percent 9 6 2 5 3" xfId="14147" xr:uid="{DECED9BE-C868-4CBF-9E77-4C041415169E}"/>
    <cellStyle name="Percent 9 6 2 5 3 2" xfId="14148" xr:uid="{3295D8BE-8E29-4867-BC9A-C7D1B67BB287}"/>
    <cellStyle name="Percent 9 6 2 5 4" xfId="14149" xr:uid="{C50BABA4-F07E-4AB4-B46F-AE17D2BF7B90}"/>
    <cellStyle name="Percent 9 6 2 6" xfId="14150" xr:uid="{36448B25-3E62-400A-9849-BB1474C4F658}"/>
    <cellStyle name="Percent 9 6 2 6 2" xfId="14151" xr:uid="{57BCB973-22F4-47F4-949C-0AE75D6CA7F6}"/>
    <cellStyle name="Percent 9 6 2 7" xfId="14152" xr:uid="{468EC518-0209-4681-9B1B-111A6C2EE2A4}"/>
    <cellStyle name="Percent 9 6 2 7 2" xfId="14153" xr:uid="{5AC5CF45-5239-4F81-B784-2D0F46471510}"/>
    <cellStyle name="Percent 9 6 2 8" xfId="14154" xr:uid="{0F71CA4F-BC14-4C4F-A750-245DFBDC13C8}"/>
    <cellStyle name="Percent 9 6 2 8 2" xfId="14155" xr:uid="{51C6A13E-FF76-4D03-86B2-D95BF84631C1}"/>
    <cellStyle name="Percent 9 6 2 9" xfId="14156" xr:uid="{C2A7A586-F0B5-4913-B1EB-EDACD69AE1C7}"/>
    <cellStyle name="Percent 9 6 3" xfId="14157" xr:uid="{D1F31642-CDBE-4C6C-930B-D279702948C1}"/>
    <cellStyle name="Percent 9 6 3 2" xfId="14158" xr:uid="{DBB2A753-3F79-467D-B353-F68673AD4515}"/>
    <cellStyle name="Percent 9 6 3 2 2" xfId="14159" xr:uid="{3D911FE8-254A-411E-8341-921C0D79FBD7}"/>
    <cellStyle name="Percent 9 6 3 3" xfId="14160" xr:uid="{DEB180E8-56E8-4FA7-B892-717B7E188B6B}"/>
    <cellStyle name="Percent 9 6 3 3 2" xfId="14161" xr:uid="{0132DE58-F803-4F74-8E5C-9160D8916F6C}"/>
    <cellStyle name="Percent 9 6 3 4" xfId="14162" xr:uid="{109B66A4-A70B-4C08-A397-E8BF1F53CC4C}"/>
    <cellStyle name="Percent 9 6 3 5" xfId="14163" xr:uid="{EAE8994C-A1C3-49AE-95B0-D5534C36F3E4}"/>
    <cellStyle name="Percent 9 6 4" xfId="14164" xr:uid="{4696437D-364D-4F4F-948B-B376FAE9975D}"/>
    <cellStyle name="Percent 9 6 4 2" xfId="14165" xr:uid="{E5A3AB6B-288C-4932-85C9-92A4E09683DE}"/>
    <cellStyle name="Percent 9 6 4 2 2" xfId="14166" xr:uid="{287BAD9C-DF21-46DD-A361-EE180A59EEC2}"/>
    <cellStyle name="Percent 9 6 4 3" xfId="14167" xr:uid="{3429A93F-C595-4696-8A75-E0FA9BF7EF40}"/>
    <cellStyle name="Percent 9 6 4 3 2" xfId="14168" xr:uid="{91A8243C-121D-4018-8EA1-2571F00C3733}"/>
    <cellStyle name="Percent 9 6 4 4" xfId="14169" xr:uid="{9C01F106-342F-46FE-AD6A-0571B487F653}"/>
    <cellStyle name="Percent 9 6 5" xfId="14170" xr:uid="{4895A7D0-2890-4CC0-B832-85C328C438F8}"/>
    <cellStyle name="Percent 9 6 5 2" xfId="14171" xr:uid="{B861F502-0342-4E19-B641-753BD895178B}"/>
    <cellStyle name="Percent 9 6 5 2 2" xfId="14172" xr:uid="{BB6571C3-0264-4505-887D-DAF4F6FD0B6B}"/>
    <cellStyle name="Percent 9 6 5 3" xfId="14173" xr:uid="{26920F72-A31E-46AD-BAE4-7E35930D53D6}"/>
    <cellStyle name="Percent 9 6 5 3 2" xfId="14174" xr:uid="{777FA1D5-F007-422E-AB10-FDC1142295BA}"/>
    <cellStyle name="Percent 9 6 5 4" xfId="14175" xr:uid="{3C113D8A-B87B-42AA-AD2B-7BEBB2D47430}"/>
    <cellStyle name="Percent 9 6 6" xfId="14176" xr:uid="{05181A1A-459C-4D59-8161-CEFB427F3E06}"/>
    <cellStyle name="Percent 9 6 6 2" xfId="14177" xr:uid="{A5EF3F55-AF4F-43FB-8A89-18E156126C94}"/>
    <cellStyle name="Percent 9 6 6 2 2" xfId="14178" xr:uid="{027D7CAD-012F-431F-9A31-F26E4F0E5AEA}"/>
    <cellStyle name="Percent 9 6 6 3" xfId="14179" xr:uid="{17E23CFF-630B-4DC6-AB50-42513E48FC7B}"/>
    <cellStyle name="Percent 9 6 6 3 2" xfId="14180" xr:uid="{F9225F12-40FF-4AA4-8EC2-88B546F1B23F}"/>
    <cellStyle name="Percent 9 6 6 4" xfId="14181" xr:uid="{3E2105F5-9316-4933-826A-29E1D56FA3BC}"/>
    <cellStyle name="Percent 9 6 6 4 2" xfId="14182" xr:uid="{30F7D4FA-911D-40DA-A84D-97C77DAA0960}"/>
    <cellStyle name="Percent 9 6 6 5" xfId="14183" xr:uid="{50F08A65-E9F3-4AFB-969A-455DE3C11D04}"/>
    <cellStyle name="Percent 9 6 7" xfId="14184" xr:uid="{F860F00E-5C7A-42C9-90B9-16B6AB0912DF}"/>
    <cellStyle name="Percent 9 6 7 2" xfId="14185" xr:uid="{E48D2DE0-721A-4B0F-AE30-7A9C4C71B318}"/>
    <cellStyle name="Percent 9 6 7 2 2" xfId="14186" xr:uid="{861C793F-3307-4A15-8C0D-DC56FA910BA0}"/>
    <cellStyle name="Percent 9 6 7 3" xfId="14187" xr:uid="{C70C58CC-260B-46D1-96E1-6188B3C1AE6C}"/>
    <cellStyle name="Percent 9 6 7 3 2" xfId="14188" xr:uid="{D3BB79E1-2F07-4552-AF39-520428DC456D}"/>
    <cellStyle name="Percent 9 6 7 4" xfId="14189" xr:uid="{4BA40F80-A49B-4E25-B79A-A680904B7AC5}"/>
    <cellStyle name="Percent 9 6 8" xfId="14190" xr:uid="{511FDEC3-B6F0-4540-8548-E170C5931E00}"/>
    <cellStyle name="Percent 9 6 8 2" xfId="14191" xr:uid="{628D1C5D-D7A9-4ECB-99D9-E253F0863322}"/>
    <cellStyle name="Percent 9 6 9" xfId="14192" xr:uid="{F60ABBCB-7593-4380-8EAF-0B40606DE270}"/>
    <cellStyle name="Percent 9 6 9 2" xfId="14193" xr:uid="{33FD8B52-8F32-4B9D-B85D-CBAF463CE60B}"/>
    <cellStyle name="Percent 9 7" xfId="3033" xr:uid="{8A8CCB72-71A1-42B3-A6A7-E62094F02949}"/>
    <cellStyle name="Percent 9 7 10" xfId="14195" xr:uid="{8FE03A8C-8D6E-4C26-A153-BD475B96127D}"/>
    <cellStyle name="Percent 9 7 10 2" xfId="14196" xr:uid="{FCA202BB-0337-4E7A-BFEF-E527715D8250}"/>
    <cellStyle name="Percent 9 7 11" xfId="14197" xr:uid="{895CE956-71D0-4B2B-8F74-6F120AD0EA98}"/>
    <cellStyle name="Percent 9 7 11 2" xfId="14198" xr:uid="{3675C838-855A-4803-9A3A-F0377AA75534}"/>
    <cellStyle name="Percent 9 7 12" xfId="14199" xr:uid="{5CA197C3-6F55-4017-B4CF-6240F9DD5F0A}"/>
    <cellStyle name="Percent 9 7 12 2" xfId="14200" xr:uid="{29BE9072-6A4E-4FCD-8C8C-A1812747E564}"/>
    <cellStyle name="Percent 9 7 13" xfId="14201" xr:uid="{8DDA8C7B-3CA9-45FA-8BA5-E256A42280E5}"/>
    <cellStyle name="Percent 9 7 14" xfId="14202" xr:uid="{67647EB1-F1BA-403C-B9C9-C911135EED26}"/>
    <cellStyle name="Percent 9 7 15" xfId="14194" xr:uid="{417B1F22-78C9-455A-97ED-5BE7253BDF4F}"/>
    <cellStyle name="Percent 9 7 2" xfId="3034" xr:uid="{8C7930C8-6EC3-4841-A5D5-C6B0372C3881}"/>
    <cellStyle name="Percent 9 7 2 10" xfId="14204" xr:uid="{2C45E06D-B65F-45CD-BF41-218EDAC09867}"/>
    <cellStyle name="Percent 9 7 2 11" xfId="14205" xr:uid="{0AE9FB91-0EAD-420C-88C5-70C718749B74}"/>
    <cellStyle name="Percent 9 7 2 12" xfId="14203" xr:uid="{07877833-FFDB-49F3-9E23-73E3CD6FF1A2}"/>
    <cellStyle name="Percent 9 7 2 2" xfId="14206" xr:uid="{1F71A806-06BC-4BB8-B0FF-15FAFAF50035}"/>
    <cellStyle name="Percent 9 7 2 2 2" xfId="14207" xr:uid="{6CB0350B-FCEC-4FDD-8D50-33EC202C6C01}"/>
    <cellStyle name="Percent 9 7 2 2 2 2" xfId="14208" xr:uid="{57536F90-CD6D-4CD6-B02F-7154DA92FB3E}"/>
    <cellStyle name="Percent 9 7 2 2 3" xfId="14209" xr:uid="{1FDA57D3-221D-4B79-8279-150C4E5C5D50}"/>
    <cellStyle name="Percent 9 7 2 2 3 2" xfId="14210" xr:uid="{4E983B37-F35A-4A3F-A8D0-FCAC1AB31CFD}"/>
    <cellStyle name="Percent 9 7 2 2 4" xfId="14211" xr:uid="{7DC1D741-E82F-4715-9E56-C5424BB5B75D}"/>
    <cellStyle name="Percent 9 7 2 2 5" xfId="14212" xr:uid="{125C6846-2018-4A5D-AE8E-7B67EF0406F1}"/>
    <cellStyle name="Percent 9 7 2 3" xfId="14213" xr:uid="{8CB47977-FA6E-43CC-9FF1-A2E5B9AEC25E}"/>
    <cellStyle name="Percent 9 7 2 3 2" xfId="14214" xr:uid="{BC0DE32F-8CF3-4D3A-8A63-510CD962D5C7}"/>
    <cellStyle name="Percent 9 7 2 3 2 2" xfId="14215" xr:uid="{BD2642E2-204E-47D2-81E7-24FF0B0C4EDB}"/>
    <cellStyle name="Percent 9 7 2 3 3" xfId="14216" xr:uid="{B575FB9A-903B-45EC-9CCC-F09833BF4CC2}"/>
    <cellStyle name="Percent 9 7 2 3 3 2" xfId="14217" xr:uid="{98EE0351-C39A-441F-83B0-3C65607CD9DF}"/>
    <cellStyle name="Percent 9 7 2 3 4" xfId="14218" xr:uid="{5D0C5AD8-8D84-450D-9944-59F86548B71F}"/>
    <cellStyle name="Percent 9 7 2 4" xfId="14219" xr:uid="{19764F97-427A-4609-A5AF-32AE076BCD3E}"/>
    <cellStyle name="Percent 9 7 2 4 2" xfId="14220" xr:uid="{98D69B44-4B19-4965-BD5A-053D437DB53F}"/>
    <cellStyle name="Percent 9 7 2 4 2 2" xfId="14221" xr:uid="{3C57ADE5-90A7-45CC-BB6B-73E5F4CF3076}"/>
    <cellStyle name="Percent 9 7 2 4 3" xfId="14222" xr:uid="{9232F8AE-8247-4B74-B9F6-96F72EBC4EE5}"/>
    <cellStyle name="Percent 9 7 2 4 3 2" xfId="14223" xr:uid="{1D75D6F5-ACC2-4426-884E-70621E032F1D}"/>
    <cellStyle name="Percent 9 7 2 4 4" xfId="14224" xr:uid="{837EA232-4486-4275-A380-6E3D4CD286B6}"/>
    <cellStyle name="Percent 9 7 2 5" xfId="14225" xr:uid="{B6F8976B-A04B-4C41-955E-2D0BD5D75258}"/>
    <cellStyle name="Percent 9 7 2 5 2" xfId="14226" xr:uid="{03A84374-98EC-47B8-9E04-473BCFBFC60B}"/>
    <cellStyle name="Percent 9 7 2 5 2 2" xfId="14227" xr:uid="{BD821710-2809-451F-AAE2-AD8BE547A4A9}"/>
    <cellStyle name="Percent 9 7 2 5 3" xfId="14228" xr:uid="{7A82847E-39B9-4B3A-B7A8-D4DE4ED6E82D}"/>
    <cellStyle name="Percent 9 7 2 5 3 2" xfId="14229" xr:uid="{C7E9EA61-3E67-4517-9367-43029C7C4074}"/>
    <cellStyle name="Percent 9 7 2 5 4" xfId="14230" xr:uid="{6A9017E2-1496-4A1C-975A-C5D51AAF9B2C}"/>
    <cellStyle name="Percent 9 7 2 5 4 2" xfId="14231" xr:uid="{1224065C-CB20-4B48-B596-2AA3B05574D4}"/>
    <cellStyle name="Percent 9 7 2 5 5" xfId="14232" xr:uid="{E7AB1E7D-31BC-4DA0-B769-31608B78AB84}"/>
    <cellStyle name="Percent 9 7 2 6" xfId="14233" xr:uid="{2CACDBDA-D090-4D6C-9B09-F05837454B9D}"/>
    <cellStyle name="Percent 9 7 2 6 2" xfId="14234" xr:uid="{A268AC03-D691-4023-B15E-A30B97855464}"/>
    <cellStyle name="Percent 9 7 2 6 2 2" xfId="14235" xr:uid="{AD24C2A6-8FAA-4B28-85C5-487018A63050}"/>
    <cellStyle name="Percent 9 7 2 6 3" xfId="14236" xr:uid="{8F484629-387A-4DC2-AFC6-199B5A9B8DE7}"/>
    <cellStyle name="Percent 9 7 2 6 3 2" xfId="14237" xr:uid="{7C1C63BA-9C3A-4A2F-B318-3E9AD4498784}"/>
    <cellStyle name="Percent 9 7 2 6 4" xfId="14238" xr:uid="{50716347-0A25-476B-B237-5697894CCD77}"/>
    <cellStyle name="Percent 9 7 2 7" xfId="14239" xr:uid="{6BD9CC09-4079-40DA-9BBD-0BE1B3612D86}"/>
    <cellStyle name="Percent 9 7 2 7 2" xfId="14240" xr:uid="{9515A6DF-7811-4A5B-93C9-D0343E40CBE4}"/>
    <cellStyle name="Percent 9 7 2 8" xfId="14241" xr:uid="{8851C1F7-7270-4DB9-B861-AD242080B36F}"/>
    <cellStyle name="Percent 9 7 2 8 2" xfId="14242" xr:uid="{5039B797-54D9-4CA8-A708-AF835BACE22F}"/>
    <cellStyle name="Percent 9 7 2 9" xfId="14243" xr:uid="{9922A26E-799B-4170-9A77-0977D5752408}"/>
    <cellStyle name="Percent 9 7 2 9 2" xfId="14244" xr:uid="{29D0B6EB-A440-4CCE-979E-5B4273ADF6AC}"/>
    <cellStyle name="Percent 9 7 3" xfId="3035" xr:uid="{7CC0695C-FCB2-49C9-92DE-8477E3F5C001}"/>
    <cellStyle name="Percent 9 7 3 10" xfId="14246" xr:uid="{91DF1186-7D2C-45B1-9DD5-2C3BD52CDA14}"/>
    <cellStyle name="Percent 9 7 3 11" xfId="14247" xr:uid="{50051B89-047E-4EC6-9BB8-A6A493293231}"/>
    <cellStyle name="Percent 9 7 3 12" xfId="14245" xr:uid="{1F2C9D80-61D1-4D7F-B09B-028C523130BB}"/>
    <cellStyle name="Percent 9 7 3 2" xfId="14248" xr:uid="{AAC01F58-457C-4B6D-87D3-B0679FAE9612}"/>
    <cellStyle name="Percent 9 7 3 2 2" xfId="14249" xr:uid="{D4E5E440-5726-47A7-8AD8-8424B74DFE18}"/>
    <cellStyle name="Percent 9 7 3 2 2 2" xfId="14250" xr:uid="{094B4929-CFDE-4A1B-970E-0D133C000C92}"/>
    <cellStyle name="Percent 9 7 3 2 3" xfId="14251" xr:uid="{2AA7D7FD-77FF-464C-93CA-7B16BDFD7097}"/>
    <cellStyle name="Percent 9 7 3 2 3 2" xfId="14252" xr:uid="{4FC76AF5-D0D3-456D-83CC-40FB45DB01DD}"/>
    <cellStyle name="Percent 9 7 3 2 4" xfId="14253" xr:uid="{004B248F-13E5-4303-B0A4-7D49F3FBC621}"/>
    <cellStyle name="Percent 9 7 3 2 5" xfId="14254" xr:uid="{5CC010E9-29A6-4A21-91C0-EC168685A397}"/>
    <cellStyle name="Percent 9 7 3 3" xfId="14255" xr:uid="{3EF4FCEA-7573-4A0D-8D1C-E132AD244151}"/>
    <cellStyle name="Percent 9 7 3 3 2" xfId="14256" xr:uid="{D6D22727-BBF8-4A1D-8D9F-FA8A69F40203}"/>
    <cellStyle name="Percent 9 7 3 3 2 2" xfId="14257" xr:uid="{B0D2FDC9-1498-4143-81B3-DDE3E5E9C060}"/>
    <cellStyle name="Percent 9 7 3 3 3" xfId="14258" xr:uid="{002EACF1-000E-4FE1-97B4-6877585CE0C3}"/>
    <cellStyle name="Percent 9 7 3 3 3 2" xfId="14259" xr:uid="{5AEA9DBE-408A-4A97-90C5-1C4D48AC7188}"/>
    <cellStyle name="Percent 9 7 3 3 4" xfId="14260" xr:uid="{1FF2F14F-8211-4137-9399-6C810AA5BBD4}"/>
    <cellStyle name="Percent 9 7 3 4" xfId="14261" xr:uid="{23F781BC-4C3A-4D2E-909F-A3B6600AB541}"/>
    <cellStyle name="Percent 9 7 3 4 2" xfId="14262" xr:uid="{43403016-A8E3-4D72-98AE-13839B16280C}"/>
    <cellStyle name="Percent 9 7 3 4 2 2" xfId="14263" xr:uid="{4981F6EE-4FD1-40C4-B8B6-D600EE97F95A}"/>
    <cellStyle name="Percent 9 7 3 4 3" xfId="14264" xr:uid="{88348C36-FAF7-4ECF-A0CE-48385183A7B3}"/>
    <cellStyle name="Percent 9 7 3 4 3 2" xfId="14265" xr:uid="{23694C3D-4CFB-471E-9C2B-761E98D9700A}"/>
    <cellStyle name="Percent 9 7 3 4 4" xfId="14266" xr:uid="{3B5830BE-C2F4-4C2B-B0CD-1D94EE1327E2}"/>
    <cellStyle name="Percent 9 7 3 5" xfId="14267" xr:uid="{943F3A01-6BA7-4B53-B7C5-D8DB306AD38A}"/>
    <cellStyle name="Percent 9 7 3 5 2" xfId="14268" xr:uid="{DB3ADDB0-25B2-4BE2-8E11-92599CEA5118}"/>
    <cellStyle name="Percent 9 7 3 5 2 2" xfId="14269" xr:uid="{ACF92C09-7D6B-4A19-97A6-3AC6162E690C}"/>
    <cellStyle name="Percent 9 7 3 5 3" xfId="14270" xr:uid="{25BCC0FC-6FFE-43D7-8C3F-3E2E7B148649}"/>
    <cellStyle name="Percent 9 7 3 5 3 2" xfId="14271" xr:uid="{2ACC669C-A827-417A-8486-DFB309260F93}"/>
    <cellStyle name="Percent 9 7 3 5 4" xfId="14272" xr:uid="{9E5566E9-3E2B-4B13-92F2-FDB0CE532803}"/>
    <cellStyle name="Percent 9 7 3 5 4 2" xfId="14273" xr:uid="{541F5203-BFCD-4D7C-9C4D-0C53BACEC496}"/>
    <cellStyle name="Percent 9 7 3 5 5" xfId="14274" xr:uid="{EF770087-9B62-4B2A-A00B-DD417DBB1F78}"/>
    <cellStyle name="Percent 9 7 3 6" xfId="14275" xr:uid="{C8BA6B6A-90EA-493E-BAB7-339A3F592657}"/>
    <cellStyle name="Percent 9 7 3 6 2" xfId="14276" xr:uid="{2C3EB7A1-EA9C-4FA9-A4A9-E4D5D69E9A1C}"/>
    <cellStyle name="Percent 9 7 3 6 2 2" xfId="14277" xr:uid="{B0B25DFD-4F5E-4B7A-AF6D-2ED0A2429325}"/>
    <cellStyle name="Percent 9 7 3 6 3" xfId="14278" xr:uid="{E06A589F-20C7-4AF1-9A23-D91B542B0E93}"/>
    <cellStyle name="Percent 9 7 3 6 3 2" xfId="14279" xr:uid="{13459778-7F6F-4D88-A4EC-1DE58018E9AB}"/>
    <cellStyle name="Percent 9 7 3 6 4" xfId="14280" xr:uid="{92351038-3564-4EA3-9BA3-E259768E7E15}"/>
    <cellStyle name="Percent 9 7 3 7" xfId="14281" xr:uid="{F48C3046-F46C-4CCC-8332-94B3F8E3185B}"/>
    <cellStyle name="Percent 9 7 3 7 2" xfId="14282" xr:uid="{CECAE857-61DA-4335-8713-FFDFB07F1B22}"/>
    <cellStyle name="Percent 9 7 3 8" xfId="14283" xr:uid="{E4AA26DF-4929-4022-A042-1012404F7B21}"/>
    <cellStyle name="Percent 9 7 3 8 2" xfId="14284" xr:uid="{B8B7F3FB-D630-40BA-8383-04665FBF68AF}"/>
    <cellStyle name="Percent 9 7 3 9" xfId="14285" xr:uid="{A66905AF-026F-4FD8-B036-EB1916A3E0B4}"/>
    <cellStyle name="Percent 9 7 3 9 2" xfId="14286" xr:uid="{63107430-D8E7-43C2-B28D-5D2FC5E93B2E}"/>
    <cellStyle name="Percent 9 7 4" xfId="4803" xr:uid="{82EEA64D-3D4E-4F64-87D7-6007AB1C191D}"/>
    <cellStyle name="Percent 9 7 4 10" xfId="14288" xr:uid="{1C5B9224-5CCA-44D8-9DEB-2D753C1F1558}"/>
    <cellStyle name="Percent 9 7 4 11" xfId="14287" xr:uid="{7F3E7DB5-39FB-4C71-A150-93BEE2CB26CB}"/>
    <cellStyle name="Percent 9 7 4 2" xfId="14289" xr:uid="{33420EC4-BB32-44E1-A0FA-4506AA044922}"/>
    <cellStyle name="Percent 9 7 4 2 2" xfId="14290" xr:uid="{CAF8ECAF-71A9-42F8-BBBD-5CB4472C1862}"/>
    <cellStyle name="Percent 9 7 4 2 2 2" xfId="14291" xr:uid="{783A1D5C-56E2-4FC6-8FE6-488BE7975E2A}"/>
    <cellStyle name="Percent 9 7 4 2 3" xfId="14292" xr:uid="{581E0282-947D-48B6-B700-200B8D5CCD49}"/>
    <cellStyle name="Percent 9 7 4 2 3 2" xfId="14293" xr:uid="{602B1D7A-86BB-4A40-A4F9-D30EBFD95230}"/>
    <cellStyle name="Percent 9 7 4 2 4" xfId="14294" xr:uid="{8FAFE5DA-C1E5-4DDC-8053-8F035C99F53C}"/>
    <cellStyle name="Percent 9 7 4 3" xfId="14295" xr:uid="{DF6C6D6D-D4C5-4390-9FD3-19F774D0DD49}"/>
    <cellStyle name="Percent 9 7 4 3 2" xfId="14296" xr:uid="{4698C9AD-B5F0-4DA1-86AC-CE97784D3FD2}"/>
    <cellStyle name="Percent 9 7 4 3 2 2" xfId="14297" xr:uid="{DC28C843-AC13-4C85-B37D-A7C4CD8C32BC}"/>
    <cellStyle name="Percent 9 7 4 3 3" xfId="14298" xr:uid="{D8B31182-B6B1-46DA-9B51-E19378FAA575}"/>
    <cellStyle name="Percent 9 7 4 3 3 2" xfId="14299" xr:uid="{DE0DB9A1-3A96-4448-A14C-AE732988F440}"/>
    <cellStyle name="Percent 9 7 4 3 4" xfId="14300" xr:uid="{53F5C2AA-7BEC-4D5A-92A9-E56E53700971}"/>
    <cellStyle name="Percent 9 7 4 4" xfId="14301" xr:uid="{03B19E0F-EDCA-424D-8A5E-9FE5CF87A265}"/>
    <cellStyle name="Percent 9 7 4 4 2" xfId="14302" xr:uid="{FD967D99-94E5-489D-A967-1904AB7E07CE}"/>
    <cellStyle name="Percent 9 7 4 4 2 2" xfId="14303" xr:uid="{BCE2C971-A713-4F70-B8A5-FC819C1F317D}"/>
    <cellStyle name="Percent 9 7 4 4 3" xfId="14304" xr:uid="{03073AF9-1A5C-4606-BB21-9CEF3B9E5686}"/>
    <cellStyle name="Percent 9 7 4 4 3 2" xfId="14305" xr:uid="{245E3CB5-6CD1-4F3E-9B33-1CA90F21E985}"/>
    <cellStyle name="Percent 9 7 4 4 4" xfId="14306" xr:uid="{85929447-27E2-49E2-9BDB-C97150B61821}"/>
    <cellStyle name="Percent 9 7 4 4 4 2" xfId="14307" xr:uid="{8DBD284A-7469-4A47-A5FD-5CEEE6966B7B}"/>
    <cellStyle name="Percent 9 7 4 4 5" xfId="14308" xr:uid="{DFBEA323-E2CA-4B83-97F8-2B1D4F8F1836}"/>
    <cellStyle name="Percent 9 7 4 5" xfId="14309" xr:uid="{7947158D-3172-4B6A-A3B0-3DAAA2D1E644}"/>
    <cellStyle name="Percent 9 7 4 5 2" xfId="14310" xr:uid="{8D4B62D5-3E11-42D9-8273-2087509A2026}"/>
    <cellStyle name="Percent 9 7 4 5 2 2" xfId="14311" xr:uid="{07B91691-1091-42EA-BB23-4815BEF87F76}"/>
    <cellStyle name="Percent 9 7 4 5 3" xfId="14312" xr:uid="{0E4531DA-0416-4612-ACF9-77A7373E8172}"/>
    <cellStyle name="Percent 9 7 4 5 3 2" xfId="14313" xr:uid="{F6932DBE-4EB9-4A19-B6D3-DF73CD6AF609}"/>
    <cellStyle name="Percent 9 7 4 5 4" xfId="14314" xr:uid="{DA779AD7-4DA0-4B25-93C6-8DCA5AB4F6F6}"/>
    <cellStyle name="Percent 9 7 4 6" xfId="14315" xr:uid="{E28CF60F-00A2-4EDE-B87D-F3C879586706}"/>
    <cellStyle name="Percent 9 7 4 6 2" xfId="14316" xr:uid="{55D941D0-ABE4-4FC9-A472-40A6A7D38F87}"/>
    <cellStyle name="Percent 9 7 4 7" xfId="14317" xr:uid="{3ACD51F3-EBE5-49AB-BD1B-53A812580EA8}"/>
    <cellStyle name="Percent 9 7 4 7 2" xfId="14318" xr:uid="{06EBCB8C-6C27-47BD-AC50-62E93AC533B9}"/>
    <cellStyle name="Percent 9 7 4 8" xfId="14319" xr:uid="{0CAD5DCE-FDD1-4B24-BA8F-5E218CBF49E0}"/>
    <cellStyle name="Percent 9 7 4 8 2" xfId="14320" xr:uid="{192D7337-1E75-4844-A583-264D6E28FD2C}"/>
    <cellStyle name="Percent 9 7 4 9" xfId="14321" xr:uid="{4E333FA3-1917-46BD-B36C-B2A3833FA708}"/>
    <cellStyle name="Percent 9 7 5" xfId="14322" xr:uid="{71805340-7FFF-40BA-8A6F-B7BEF950D32A}"/>
    <cellStyle name="Percent 9 7 5 2" xfId="14323" xr:uid="{26E3EA23-A715-4455-AADC-5AC620FD2A00}"/>
    <cellStyle name="Percent 9 7 5 2 2" xfId="14324" xr:uid="{7062958D-111F-4C51-B497-0BBDB971899E}"/>
    <cellStyle name="Percent 9 7 5 3" xfId="14325" xr:uid="{3511D123-C3BF-45CA-889F-242979FB731A}"/>
    <cellStyle name="Percent 9 7 5 3 2" xfId="14326" xr:uid="{3DF3C81F-7312-441B-881C-17C64368ED59}"/>
    <cellStyle name="Percent 9 7 5 4" xfId="14327" xr:uid="{ABA19E5F-657C-48A8-8E35-899358083F8C}"/>
    <cellStyle name="Percent 9 7 5 5" xfId="14328" xr:uid="{8250E9EB-E90A-4AC3-B9BC-4795BD62DBC0}"/>
    <cellStyle name="Percent 9 7 6" xfId="14329" xr:uid="{B0D1226F-D101-4A5C-9A2F-E40BB6913657}"/>
    <cellStyle name="Percent 9 7 6 2" xfId="14330" xr:uid="{89E24D10-A05B-4614-9FCA-F1664BA261B6}"/>
    <cellStyle name="Percent 9 7 6 2 2" xfId="14331" xr:uid="{EF6FEE84-A211-4CB5-B9DC-E52EE60B6DA6}"/>
    <cellStyle name="Percent 9 7 6 3" xfId="14332" xr:uid="{80EE48DE-EDEE-4F2C-9E0B-542D2F2F640E}"/>
    <cellStyle name="Percent 9 7 6 3 2" xfId="14333" xr:uid="{7F97EC54-87D5-41BD-80E2-3524C4E4B3E2}"/>
    <cellStyle name="Percent 9 7 6 4" xfId="14334" xr:uid="{9A3BB457-B1C8-4445-82CF-16509DB213CD}"/>
    <cellStyle name="Percent 9 7 7" xfId="14335" xr:uid="{70FCD580-5262-4EA8-AC47-6059F833DCDA}"/>
    <cellStyle name="Percent 9 7 7 2" xfId="14336" xr:uid="{3D4382FC-C4E4-478E-8381-4103E595868A}"/>
    <cellStyle name="Percent 9 7 7 2 2" xfId="14337" xr:uid="{1A4AD904-B07E-4E46-954B-01AC9E326D1E}"/>
    <cellStyle name="Percent 9 7 7 3" xfId="14338" xr:uid="{4E480B02-FA3B-4F28-950B-8E80E112E9E8}"/>
    <cellStyle name="Percent 9 7 7 3 2" xfId="14339" xr:uid="{3363605E-F026-4117-AACC-A6EC91392411}"/>
    <cellStyle name="Percent 9 7 7 4" xfId="14340" xr:uid="{780221A4-022E-4E4F-93DD-89DBED88E7DA}"/>
    <cellStyle name="Percent 9 7 8" xfId="14341" xr:uid="{BEBF0915-F765-4919-84EF-D55419E6D8B1}"/>
    <cellStyle name="Percent 9 7 8 2" xfId="14342" xr:uid="{BA2B29E8-A32D-465E-A08E-23A5B3FB4926}"/>
    <cellStyle name="Percent 9 7 8 2 2" xfId="14343" xr:uid="{A0B446CA-1894-488B-89D6-68E4B3832466}"/>
    <cellStyle name="Percent 9 7 8 3" xfId="14344" xr:uid="{2EFE94EC-4947-43FB-9163-38F34ECD1DFB}"/>
    <cellStyle name="Percent 9 7 8 3 2" xfId="14345" xr:uid="{F2DEE865-9F8E-47A6-B27B-84D7CEFAC0F6}"/>
    <cellStyle name="Percent 9 7 8 4" xfId="14346" xr:uid="{430E597E-59A3-46D3-9807-384D8CE3D55D}"/>
    <cellStyle name="Percent 9 7 8 4 2" xfId="14347" xr:uid="{DA789B30-6CBF-4A18-B203-B1066018D036}"/>
    <cellStyle name="Percent 9 7 8 5" xfId="14348" xr:uid="{03FF4BFA-0788-4ADB-973E-D829B3C3C8E6}"/>
    <cellStyle name="Percent 9 7 9" xfId="14349" xr:uid="{F6BB816B-6CA5-40D7-A158-5AA3C70B28D2}"/>
    <cellStyle name="Percent 9 7 9 2" xfId="14350" xr:uid="{DD1CCAC4-6553-4A85-92A9-7BC7510E54A2}"/>
    <cellStyle name="Percent 9 7 9 2 2" xfId="14351" xr:uid="{2A9958B4-2587-4C6F-B703-0085149697B8}"/>
    <cellStyle name="Percent 9 7 9 3" xfId="14352" xr:uid="{1078417E-C86F-4AB0-99F7-863C2085A954}"/>
    <cellStyle name="Percent 9 7 9 3 2" xfId="14353" xr:uid="{562D17B7-59C3-4736-B1B3-FA16921279A1}"/>
    <cellStyle name="Percent 9 7 9 4" xfId="14354" xr:uid="{A097A7C4-97E3-412E-B687-7DB3214B6788}"/>
    <cellStyle name="Percent 9 8" xfId="3036" xr:uid="{C68C89DF-C090-418E-85C2-48248077DC34}"/>
    <cellStyle name="Percent 9 8 10" xfId="14356" xr:uid="{DF33E594-0E2A-4E0E-AF5F-EA6AB14836EA}"/>
    <cellStyle name="Percent 9 8 10 2" xfId="14357" xr:uid="{172256D6-013A-44DF-9764-D1FAAB4F8DB7}"/>
    <cellStyle name="Percent 9 8 11" xfId="14358" xr:uid="{A5697183-FD40-494B-BE43-AF9F4C85D3B2}"/>
    <cellStyle name="Percent 9 8 12" xfId="14359" xr:uid="{5519D26A-B413-4715-8242-6B1BCB347D2D}"/>
    <cellStyle name="Percent 9 8 13" xfId="14355" xr:uid="{67DC35A4-2955-4B71-BBB2-122D0BAC0AC6}"/>
    <cellStyle name="Percent 9 8 2" xfId="4804" xr:uid="{23CCF903-31EE-405A-B1BD-DDBC4A8093EB}"/>
    <cellStyle name="Percent 9 8 2 10" xfId="14361" xr:uid="{AEF7FECE-8E3A-4221-A0B9-47CD0994BB01}"/>
    <cellStyle name="Percent 9 8 2 11" xfId="14360" xr:uid="{4AA6BA03-9973-493C-94E7-2AEF7FBC41B8}"/>
    <cellStyle name="Percent 9 8 2 2" xfId="14362" xr:uid="{13D0DB59-ADFB-4436-A855-A792CC9BA1EC}"/>
    <cellStyle name="Percent 9 8 2 2 2" xfId="14363" xr:uid="{56F5EA57-A087-4127-A8C1-037C98799DDB}"/>
    <cellStyle name="Percent 9 8 2 2 2 2" xfId="14364" xr:uid="{FAD7461E-3F20-436B-86DB-3285BD18A1C2}"/>
    <cellStyle name="Percent 9 8 2 2 3" xfId="14365" xr:uid="{4611FE51-09B7-4E10-B0DC-0255400F5698}"/>
    <cellStyle name="Percent 9 8 2 2 3 2" xfId="14366" xr:uid="{1A6C1AAC-D586-43BD-9D0F-46D7A7CBF56F}"/>
    <cellStyle name="Percent 9 8 2 2 4" xfId="14367" xr:uid="{3AC1AE40-AC97-4418-B88C-F88F96FB63A7}"/>
    <cellStyle name="Percent 9 8 2 3" xfId="14368" xr:uid="{59BCB1A8-E43C-447C-A752-00ECCFB7C3A3}"/>
    <cellStyle name="Percent 9 8 2 3 2" xfId="14369" xr:uid="{3486D65C-2C4E-43FC-AD71-74C2B306ED23}"/>
    <cellStyle name="Percent 9 8 2 3 2 2" xfId="14370" xr:uid="{FA7EDC7D-93D8-4EFD-9A68-DFDDC6B2F92C}"/>
    <cellStyle name="Percent 9 8 2 3 3" xfId="14371" xr:uid="{72F82BD8-610F-4B4F-92F8-944E933E1F1E}"/>
    <cellStyle name="Percent 9 8 2 3 3 2" xfId="14372" xr:uid="{425D8B37-FB19-4F8B-8054-8D343563D699}"/>
    <cellStyle name="Percent 9 8 2 3 4" xfId="14373" xr:uid="{F047962B-65EE-42A2-8A4E-2E9E3CD73D4A}"/>
    <cellStyle name="Percent 9 8 2 4" xfId="14374" xr:uid="{B8489520-5994-452B-9B8D-83DDF2330FE6}"/>
    <cellStyle name="Percent 9 8 2 4 2" xfId="14375" xr:uid="{03EA5947-3AFF-4449-AFA9-0D76ED5A22BA}"/>
    <cellStyle name="Percent 9 8 2 4 2 2" xfId="14376" xr:uid="{EF10C1A8-C05D-49BA-8C24-9B179E7C1653}"/>
    <cellStyle name="Percent 9 8 2 4 3" xfId="14377" xr:uid="{D85D1031-EDA3-44DF-B939-704FED250588}"/>
    <cellStyle name="Percent 9 8 2 4 3 2" xfId="14378" xr:uid="{A6755AEC-1F1E-4B6B-B1B6-DA0B32CAA9BF}"/>
    <cellStyle name="Percent 9 8 2 4 4" xfId="14379" xr:uid="{748D2FEB-104E-48A7-ACE1-AB4466F28650}"/>
    <cellStyle name="Percent 9 8 2 4 4 2" xfId="14380" xr:uid="{1D4EE0EE-FBAF-458C-B105-D3B546AA5C49}"/>
    <cellStyle name="Percent 9 8 2 4 5" xfId="14381" xr:uid="{2C9C11A1-B042-4E70-ABCC-84D6B0659BF5}"/>
    <cellStyle name="Percent 9 8 2 5" xfId="14382" xr:uid="{3604B161-25C5-44F2-B25D-CBC6F7DEC9F0}"/>
    <cellStyle name="Percent 9 8 2 5 2" xfId="14383" xr:uid="{B9F8BFAF-41DA-4767-B0A6-E958F68980E8}"/>
    <cellStyle name="Percent 9 8 2 5 2 2" xfId="14384" xr:uid="{F1E7FD5F-C85E-435C-AA64-EA4EC3AB0EB2}"/>
    <cellStyle name="Percent 9 8 2 5 3" xfId="14385" xr:uid="{C1A175A0-D860-4FB8-9D8B-15BCBCDE60F8}"/>
    <cellStyle name="Percent 9 8 2 5 3 2" xfId="14386" xr:uid="{902FA3A8-AC19-4D5A-AB12-BCE701265009}"/>
    <cellStyle name="Percent 9 8 2 5 4" xfId="14387" xr:uid="{E9FCB8FA-3EBE-4C31-BF42-964463A0CD56}"/>
    <cellStyle name="Percent 9 8 2 6" xfId="14388" xr:uid="{F8D0C976-51FE-4919-A826-09D1CDDF987A}"/>
    <cellStyle name="Percent 9 8 2 6 2" xfId="14389" xr:uid="{3AD931A8-5C7F-4C11-84B0-4680C7ADDBFD}"/>
    <cellStyle name="Percent 9 8 2 7" xfId="14390" xr:uid="{380E8C8B-FFDE-4FDC-89B8-87A8095A58B5}"/>
    <cellStyle name="Percent 9 8 2 7 2" xfId="14391" xr:uid="{0647C074-5BC4-4A61-88AF-51E2A9B313B6}"/>
    <cellStyle name="Percent 9 8 2 8" xfId="14392" xr:uid="{26A38999-4257-42AE-A3B5-4A14D8325066}"/>
    <cellStyle name="Percent 9 8 2 8 2" xfId="14393" xr:uid="{47A3B822-6B52-4B18-A278-5F6B54375951}"/>
    <cellStyle name="Percent 9 8 2 9" xfId="14394" xr:uid="{7369FD85-7478-4851-B671-88670CDDADD6}"/>
    <cellStyle name="Percent 9 8 3" xfId="14395" xr:uid="{E5BE03CF-B8C9-4BF9-953F-09DD7BD99B92}"/>
    <cellStyle name="Percent 9 8 3 2" xfId="14396" xr:uid="{67655F57-7EDB-4635-9920-8270D6069314}"/>
    <cellStyle name="Percent 9 8 3 2 2" xfId="14397" xr:uid="{0ED5E0B5-78FB-4334-B703-59743736FB84}"/>
    <cellStyle name="Percent 9 8 3 3" xfId="14398" xr:uid="{94E0E8C0-E362-4025-9635-9E8AF649A96E}"/>
    <cellStyle name="Percent 9 8 3 3 2" xfId="14399" xr:uid="{441EA887-C9D8-4C38-B269-A2CEFD9958C1}"/>
    <cellStyle name="Percent 9 8 3 4" xfId="14400" xr:uid="{09A49C7D-B43F-4476-AEDF-EBB9B8156F53}"/>
    <cellStyle name="Percent 9 8 3 5" xfId="14401" xr:uid="{149786F6-2BD8-421E-8668-CB8C3CF0E7D1}"/>
    <cellStyle name="Percent 9 8 4" xfId="14402" xr:uid="{ACF8EE5D-60EE-46C1-A1B2-A6305ABE0B49}"/>
    <cellStyle name="Percent 9 8 4 2" xfId="14403" xr:uid="{5B60ED8F-4739-48E2-8FCC-77A962D1AB49}"/>
    <cellStyle name="Percent 9 8 4 2 2" xfId="14404" xr:uid="{20C8A861-CF5C-4FB5-BF9A-6DCC1E497390}"/>
    <cellStyle name="Percent 9 8 4 3" xfId="14405" xr:uid="{93876E97-E2FC-4E5A-B2E1-AB57F4EAB7F7}"/>
    <cellStyle name="Percent 9 8 4 3 2" xfId="14406" xr:uid="{7B36E41F-620C-41D0-A729-0B33887055D3}"/>
    <cellStyle name="Percent 9 8 4 4" xfId="14407" xr:uid="{F175A2D9-ACA9-4CE1-A485-C309FE3D4955}"/>
    <cellStyle name="Percent 9 8 5" xfId="14408" xr:uid="{F21CF4E5-4F16-4F0F-9B14-C8E0C0D33728}"/>
    <cellStyle name="Percent 9 8 5 2" xfId="14409" xr:uid="{45E5BEE1-0638-4829-809A-5645BA2C8A86}"/>
    <cellStyle name="Percent 9 8 5 2 2" xfId="14410" xr:uid="{E0EDCE6D-A263-4ED6-A533-0878C4BAE9D0}"/>
    <cellStyle name="Percent 9 8 5 3" xfId="14411" xr:uid="{3FB553C7-C3CF-4682-B60D-2824206DF8CD}"/>
    <cellStyle name="Percent 9 8 5 3 2" xfId="14412" xr:uid="{65B48227-2B29-4137-934B-3570D3715F6D}"/>
    <cellStyle name="Percent 9 8 5 4" xfId="14413" xr:uid="{E5C32BD3-50A3-4E66-8B8E-EFD6E226E627}"/>
    <cellStyle name="Percent 9 8 6" xfId="14414" xr:uid="{B224C0B1-1AC0-4890-9A70-5480993F28A3}"/>
    <cellStyle name="Percent 9 8 6 2" xfId="14415" xr:uid="{1D33CA35-F617-45D9-8F8B-1B063209B86B}"/>
    <cellStyle name="Percent 9 8 6 2 2" xfId="14416" xr:uid="{1FB62780-6929-40CA-A79C-616A0C2987ED}"/>
    <cellStyle name="Percent 9 8 6 3" xfId="14417" xr:uid="{DAC1672E-31CC-4299-87EB-77B19903F7A9}"/>
    <cellStyle name="Percent 9 8 6 3 2" xfId="14418" xr:uid="{E804D915-2255-4370-B950-F55E90564985}"/>
    <cellStyle name="Percent 9 8 6 4" xfId="14419" xr:uid="{7C3ABE0A-1D52-40B8-B42C-E5421DDCE454}"/>
    <cellStyle name="Percent 9 8 6 4 2" xfId="14420" xr:uid="{231A98B9-5DEA-4530-A4C3-6ABDACCCF955}"/>
    <cellStyle name="Percent 9 8 6 5" xfId="14421" xr:uid="{770BA55A-44F5-48FC-AF1E-AA9BCE025884}"/>
    <cellStyle name="Percent 9 8 7" xfId="14422" xr:uid="{49BD53B8-B643-466C-AB76-8E32D52FF1B0}"/>
    <cellStyle name="Percent 9 8 7 2" xfId="14423" xr:uid="{6D2B0A3F-CF43-4990-AAA3-E776ADFAAB36}"/>
    <cellStyle name="Percent 9 8 7 2 2" xfId="14424" xr:uid="{13AC5596-F03D-4A77-88E7-5B1D47B80996}"/>
    <cellStyle name="Percent 9 8 7 3" xfId="14425" xr:uid="{E08EE5E9-5AF1-4B96-A1CA-8C84DE2B6F29}"/>
    <cellStyle name="Percent 9 8 7 3 2" xfId="14426" xr:uid="{69B6F80E-C2FD-4937-943E-C1579F8FB59C}"/>
    <cellStyle name="Percent 9 8 7 4" xfId="14427" xr:uid="{D632E1F0-97BA-430E-B28A-2F5FAB2496BB}"/>
    <cellStyle name="Percent 9 8 8" xfId="14428" xr:uid="{66387079-253D-4DBF-9102-7FDA4B903169}"/>
    <cellStyle name="Percent 9 8 8 2" xfId="14429" xr:uid="{A586F5ED-718F-4089-8F05-98B05187A4F9}"/>
    <cellStyle name="Percent 9 8 9" xfId="14430" xr:uid="{9C591DED-91DE-43AC-BBAC-74D4CC31016B}"/>
    <cellStyle name="Percent 9 8 9 2" xfId="14431" xr:uid="{8022E4C9-4C4D-4CB3-B8FF-8568B60278F5}"/>
    <cellStyle name="Percent 9 9" xfId="3037" xr:uid="{836D37F3-74A3-401E-B0AB-94133D53FEB9}"/>
    <cellStyle name="Percent 9 9 10" xfId="14433" xr:uid="{57F2425D-698B-4865-BF9A-6AB0BDDAFFB4}"/>
    <cellStyle name="Percent 9 9 11" xfId="14434" xr:uid="{8F335193-6723-4C6B-A372-FEC1186A49B0}"/>
    <cellStyle name="Percent 9 9 12" xfId="14432" xr:uid="{DE2751D2-2E78-4E42-B247-E83032F37971}"/>
    <cellStyle name="Percent 9 9 2" xfId="14435" xr:uid="{AF94B221-8B16-4674-AEFA-4FCB239730A7}"/>
    <cellStyle name="Percent 9 9 2 2" xfId="14436" xr:uid="{EE4FD04F-2E03-478E-B3A9-67C652B93AB3}"/>
    <cellStyle name="Percent 9 9 2 2 2" xfId="14437" xr:uid="{96C957C4-E369-472F-83CC-DBCE4A45FC5F}"/>
    <cellStyle name="Percent 9 9 2 3" xfId="14438" xr:uid="{4F545253-B639-424D-8D09-DCFE68F6FC9A}"/>
    <cellStyle name="Percent 9 9 2 3 2" xfId="14439" xr:uid="{2E57CC98-1A70-4695-9CEC-8FDA198CF512}"/>
    <cellStyle name="Percent 9 9 2 4" xfId="14440" xr:uid="{C8103AF4-6A89-4C34-8282-E6459C61392D}"/>
    <cellStyle name="Percent 9 9 2 5" xfId="14441" xr:uid="{1D7D1AE6-C2BA-46EB-88D3-978143466125}"/>
    <cellStyle name="Percent 9 9 3" xfId="14442" xr:uid="{79EB67FC-7E82-4336-B34A-C073E69398F1}"/>
    <cellStyle name="Percent 9 9 3 2" xfId="14443" xr:uid="{AD743E23-24C4-4C8B-B989-2F9EAB4DC21A}"/>
    <cellStyle name="Percent 9 9 3 2 2" xfId="14444" xr:uid="{89B555FD-DD32-4469-8A51-434BC6136A71}"/>
    <cellStyle name="Percent 9 9 3 3" xfId="14445" xr:uid="{882E138B-7C8B-4DB7-A8ED-B706A4859265}"/>
    <cellStyle name="Percent 9 9 3 3 2" xfId="14446" xr:uid="{FADDB5EB-8D50-4260-B81E-F814E2F67F2F}"/>
    <cellStyle name="Percent 9 9 3 4" xfId="14447" xr:uid="{34D392DA-9FB3-44E6-A508-085E68690E26}"/>
    <cellStyle name="Percent 9 9 4" xfId="14448" xr:uid="{B6CD4DCC-1B1D-483F-A86E-71C34FF3BBB6}"/>
    <cellStyle name="Percent 9 9 4 2" xfId="14449" xr:uid="{916501FC-0EDC-4962-B71C-844E89A44858}"/>
    <cellStyle name="Percent 9 9 4 2 2" xfId="14450" xr:uid="{9FD58904-533E-49BB-A7A2-A02E38399989}"/>
    <cellStyle name="Percent 9 9 4 3" xfId="14451" xr:uid="{FE2DE1DF-AA1F-430D-A45D-572C0A757348}"/>
    <cellStyle name="Percent 9 9 4 3 2" xfId="14452" xr:uid="{D1A922CB-86D5-49DA-9FB8-5FC8B130F110}"/>
    <cellStyle name="Percent 9 9 4 4" xfId="14453" xr:uid="{5D71DC65-D1DA-4948-A4EF-A3A52391747F}"/>
    <cellStyle name="Percent 9 9 5" xfId="14454" xr:uid="{FBA2A818-6852-492D-B544-399FE352F8A4}"/>
    <cellStyle name="Percent 9 9 5 2" xfId="14455" xr:uid="{3A4E7B6A-2638-4728-A27F-145952B70454}"/>
    <cellStyle name="Percent 9 9 5 2 2" xfId="14456" xr:uid="{35E110A0-82CA-4E30-B138-9102FF0542C2}"/>
    <cellStyle name="Percent 9 9 5 3" xfId="14457" xr:uid="{9B60BCCA-980B-48A6-879B-5454FD769173}"/>
    <cellStyle name="Percent 9 9 5 3 2" xfId="14458" xr:uid="{0FA773C4-D000-4E88-84ED-CA52A5E11F60}"/>
    <cellStyle name="Percent 9 9 5 4" xfId="14459" xr:uid="{8CA12086-C802-470B-8C05-C12D5C9C1CEE}"/>
    <cellStyle name="Percent 9 9 5 4 2" xfId="14460" xr:uid="{DAC18B8E-BB89-4CA7-88EA-AECEA0F4530E}"/>
    <cellStyle name="Percent 9 9 5 5" xfId="14461" xr:uid="{5ED11646-9B85-46E4-80E6-BCA282D2CAA3}"/>
    <cellStyle name="Percent 9 9 6" xfId="14462" xr:uid="{3BA596A1-6FE9-458D-AE3A-8005470786BC}"/>
    <cellStyle name="Percent 9 9 6 2" xfId="14463" xr:uid="{6F74BF7B-A329-40B1-BA48-EFE0017FABF2}"/>
    <cellStyle name="Percent 9 9 6 2 2" xfId="14464" xr:uid="{E2BB5C92-90B2-4541-AB77-F2E672B64379}"/>
    <cellStyle name="Percent 9 9 6 3" xfId="14465" xr:uid="{AAE330D7-1267-46A4-AAA7-080E79607DCD}"/>
    <cellStyle name="Percent 9 9 6 3 2" xfId="14466" xr:uid="{B4C61FE5-D0F2-4EEE-9B81-7FE18B0F582B}"/>
    <cellStyle name="Percent 9 9 6 4" xfId="14467" xr:uid="{F4CFB4B2-26FA-4A53-B592-51AA720DA86C}"/>
    <cellStyle name="Percent 9 9 7" xfId="14468" xr:uid="{9EE4A1C3-7C33-4497-8875-FF632CFA12C6}"/>
    <cellStyle name="Percent 9 9 7 2" xfId="14469" xr:uid="{7A88F43F-D4B8-4E89-9725-44A172E841EC}"/>
    <cellStyle name="Percent 9 9 8" xfId="14470" xr:uid="{EEEEDE4A-FB0D-4681-9B86-A678DB1E2B36}"/>
    <cellStyle name="Percent 9 9 8 2" xfId="14471" xr:uid="{0DF52630-C4DD-4186-8D5B-783B3B99A09F}"/>
    <cellStyle name="Percent 9 9 9" xfId="14472" xr:uid="{A8231C52-4E64-4470-BB7D-F662894B5795}"/>
    <cellStyle name="Percent 9 9 9 2" xfId="14473" xr:uid="{AF6EDFD3-F76D-4546-9618-8729C911EF76}"/>
    <cellStyle name="Percentagem 2" xfId="22535" xr:uid="{569811AF-2567-4344-A52B-42D6BD05F224}"/>
    <cellStyle name="Percentagem 2 2" xfId="3038" xr:uid="{48402D4C-BAD8-46AE-9399-1E15BCC241D5}"/>
    <cellStyle name="Percentagem 2 2 10" xfId="14475" xr:uid="{F4059146-9F46-46AE-AFA0-6FBAE2FB4511}"/>
    <cellStyle name="Percentagem 2 2 11" xfId="14476" xr:uid="{2AC65F3F-A47B-44E7-8BF0-3A6F8AD91688}"/>
    <cellStyle name="Percentagem 2 2 12" xfId="14474" xr:uid="{3A5BA2CA-0B86-4059-A84E-CBA406CC8588}"/>
    <cellStyle name="Percentagem 2 2 2" xfId="14477" xr:uid="{4711C5C9-63C4-4900-9EC2-9C1E5B937F12}"/>
    <cellStyle name="Percentagem 2 2 2 2" xfId="14478" xr:uid="{E8722E2D-64F8-4E0E-A9AD-62C8492389B5}"/>
    <cellStyle name="Percentagem 2 2 2 2 2" xfId="14479" xr:uid="{66D88704-2EA4-49F6-8639-62A5D8A61BAC}"/>
    <cellStyle name="Percentagem 2 2 2 3" xfId="14480" xr:uid="{77034F7B-A987-478B-928D-97DB7CE1287D}"/>
    <cellStyle name="Percentagem 2 2 2 3 2" xfId="14481" xr:uid="{0F27D8D4-49FD-45CF-85F5-228DA29D7FF4}"/>
    <cellStyle name="Percentagem 2 2 2 4" xfId="14482" xr:uid="{88647045-5196-4258-A49C-6ED7929A8847}"/>
    <cellStyle name="Percentagem 2 2 2 5" xfId="14483" xr:uid="{D6597E03-7170-4338-9BEF-1DB40F0B983D}"/>
    <cellStyle name="Percentagem 2 2 3" xfId="14484" xr:uid="{40E33652-A3D3-41FE-AF0F-EBA5CFAB7C36}"/>
    <cellStyle name="Percentagem 2 2 3 2" xfId="14485" xr:uid="{98F3E04F-227C-4ED6-B3BA-0F49C74DAD67}"/>
    <cellStyle name="Percentagem 2 2 3 2 2" xfId="14486" xr:uid="{1F572857-A021-4A74-864C-17989157DAFE}"/>
    <cellStyle name="Percentagem 2 2 3 3" xfId="14487" xr:uid="{B746BD65-40B5-45B0-A70F-D3ECD16887BA}"/>
    <cellStyle name="Percentagem 2 2 3 3 2" xfId="14488" xr:uid="{AEDF0954-6532-4C8E-AEA6-9D03208FFF8C}"/>
    <cellStyle name="Percentagem 2 2 3 4" xfId="14489" xr:uid="{86FAEE89-7BCA-4203-8B14-D101446BDAA7}"/>
    <cellStyle name="Percentagem 2 2 4" xfId="14490" xr:uid="{640A2DBF-EEBA-48DC-81CF-A892E9420093}"/>
    <cellStyle name="Percentagem 2 2 4 2" xfId="14491" xr:uid="{C79DF9C8-F55B-4581-A120-EB75370AD0CA}"/>
    <cellStyle name="Percentagem 2 2 4 2 2" xfId="14492" xr:uid="{C7351653-44B0-4FFD-9245-9AED3B4C5773}"/>
    <cellStyle name="Percentagem 2 2 4 3" xfId="14493" xr:uid="{24931FD5-5B86-48AD-BDF7-3164FF2EC2FC}"/>
    <cellStyle name="Percentagem 2 2 4 3 2" xfId="14494" xr:uid="{53F7EE33-AE57-46ED-8BD7-721E3D730E82}"/>
    <cellStyle name="Percentagem 2 2 4 4" xfId="14495" xr:uid="{58F1FF30-A053-4DC6-9E96-18BCE0C83342}"/>
    <cellStyle name="Percentagem 2 2 5" xfId="14496" xr:uid="{124351F0-ED4E-4560-8D4F-44502F2C203B}"/>
    <cellStyle name="Percentagem 2 2 5 2" xfId="14497" xr:uid="{5F163A9C-B2FC-48FC-A7C7-56CC7A65B2A4}"/>
    <cellStyle name="Percentagem 2 2 5 2 2" xfId="14498" xr:uid="{6F10E057-C2BA-4DBA-AE49-BDCEEB93C4C6}"/>
    <cellStyle name="Percentagem 2 2 5 3" xfId="14499" xr:uid="{0742986E-4B72-4E94-B87F-78CD9D868218}"/>
    <cellStyle name="Percentagem 2 2 5 3 2" xfId="14500" xr:uid="{DFF80CDA-8184-44D2-8D00-AE12D914BAA8}"/>
    <cellStyle name="Percentagem 2 2 5 4" xfId="14501" xr:uid="{A4509E8A-6B97-43AB-AD21-9765E3393470}"/>
    <cellStyle name="Percentagem 2 2 5 4 2" xfId="14502" xr:uid="{E7DA573F-F2AF-440A-BBB1-684BD2B70790}"/>
    <cellStyle name="Percentagem 2 2 5 5" xfId="14503" xr:uid="{CF5286D4-F3C3-4BD4-BA84-17C09CDC5A68}"/>
    <cellStyle name="Percentagem 2 2 6" xfId="14504" xr:uid="{374F2BF1-7B6E-4C41-9EDD-B203EB57E567}"/>
    <cellStyle name="Percentagem 2 2 6 2" xfId="14505" xr:uid="{B7A336C8-5138-4EC8-9E3A-0513921447A3}"/>
    <cellStyle name="Percentagem 2 2 6 2 2" xfId="14506" xr:uid="{99982B2C-F478-47BC-8112-102A0F823610}"/>
    <cellStyle name="Percentagem 2 2 6 3" xfId="14507" xr:uid="{E0CFF213-1CA7-455F-AFF3-A25E1A755705}"/>
    <cellStyle name="Percentagem 2 2 6 3 2" xfId="14508" xr:uid="{995F80FB-7470-4971-B4EE-38F03E50F642}"/>
    <cellStyle name="Percentagem 2 2 6 4" xfId="14509" xr:uid="{684BB1FC-06C0-4EF0-80DA-0984DAE8723F}"/>
    <cellStyle name="Percentagem 2 2 7" xfId="14510" xr:uid="{E47F6788-1D36-434D-BA8C-FF238D184642}"/>
    <cellStyle name="Percentagem 2 2 7 2" xfId="14511" xr:uid="{016A5880-9AC3-43B8-8407-93297D674EB4}"/>
    <cellStyle name="Percentagem 2 2 8" xfId="14512" xr:uid="{8CFC8BAC-4DA0-42F3-9975-6E155AE82DA2}"/>
    <cellStyle name="Percentagem 2 2 8 2" xfId="14513" xr:uid="{7D8FFEA9-84DE-4401-B873-05D76AE59CA0}"/>
    <cellStyle name="Percentagem 2 2 9" xfId="14514" xr:uid="{819D5A9A-3C01-418C-B6CE-0043EF6181F3}"/>
    <cellStyle name="Percentagem 2 2 9 2" xfId="14515" xr:uid="{6B5D6B1D-94E1-4669-9F3A-9143A315EA6A}"/>
    <cellStyle name="Percentagem 2 3" xfId="3039" xr:uid="{058AD37E-CB7A-4B8E-8C1C-C93482920048}"/>
    <cellStyle name="Percentagem 2 3 10" xfId="14517" xr:uid="{4000453A-F74C-4D45-A345-0620231467FC}"/>
    <cellStyle name="Percentagem 2 3 11" xfId="14518" xr:uid="{8C13612E-B663-4B3E-8999-4552E03C8F2A}"/>
    <cellStyle name="Percentagem 2 3 12" xfId="14516" xr:uid="{A45E4828-88D6-4C61-BDF3-544B770B6193}"/>
    <cellStyle name="Percentagem 2 3 2" xfId="14519" xr:uid="{429E0DD2-872B-4119-8831-6B9BDB082B76}"/>
    <cellStyle name="Percentagem 2 3 2 2" xfId="14520" xr:uid="{64623272-1853-494B-AAE3-937271BC996F}"/>
    <cellStyle name="Percentagem 2 3 2 2 2" xfId="14521" xr:uid="{83A12573-649C-4065-BB59-04AFB2E38F71}"/>
    <cellStyle name="Percentagem 2 3 2 3" xfId="14522" xr:uid="{AFE4D7EE-3123-4F45-AEC7-1423AE04728F}"/>
    <cellStyle name="Percentagem 2 3 2 3 2" xfId="14523" xr:uid="{1E66FFD2-DF8C-46F3-AF41-347CD6071C9C}"/>
    <cellStyle name="Percentagem 2 3 2 4" xfId="14524" xr:uid="{A23FE13E-EE90-4B2A-8458-F7DA730747D2}"/>
    <cellStyle name="Percentagem 2 3 2 5" xfId="14525" xr:uid="{FBB83EE7-B92E-4463-A783-4E0B416CAED5}"/>
    <cellStyle name="Percentagem 2 3 3" xfId="14526" xr:uid="{A4F71D35-2D99-4AD8-AF14-0F7CEBD87D1A}"/>
    <cellStyle name="Percentagem 2 3 3 2" xfId="14527" xr:uid="{0224F992-2225-456B-AF9B-2C7608CD2C06}"/>
    <cellStyle name="Percentagem 2 3 3 2 2" xfId="14528" xr:uid="{DC4A2251-EE84-45F5-B384-0251F35E0919}"/>
    <cellStyle name="Percentagem 2 3 3 3" xfId="14529" xr:uid="{2D83DD12-0564-4319-8786-2708741D0596}"/>
    <cellStyle name="Percentagem 2 3 3 3 2" xfId="14530" xr:uid="{7F39B7E0-D3FC-465C-BB62-4643C26B9597}"/>
    <cellStyle name="Percentagem 2 3 3 4" xfId="14531" xr:uid="{CC82D134-4E19-41EA-B42A-EF2585F5A88C}"/>
    <cellStyle name="Percentagem 2 3 4" xfId="14532" xr:uid="{F9ADB024-C136-427D-A334-98BC6EE7F436}"/>
    <cellStyle name="Percentagem 2 3 4 2" xfId="14533" xr:uid="{00D0EC3A-5EB5-4791-AD93-A4926C6551D9}"/>
    <cellStyle name="Percentagem 2 3 4 2 2" xfId="14534" xr:uid="{10EF972D-6355-4573-809D-A380D62C02FB}"/>
    <cellStyle name="Percentagem 2 3 4 3" xfId="14535" xr:uid="{15AFEC4B-7099-44D2-B16A-8E3FFD994526}"/>
    <cellStyle name="Percentagem 2 3 4 3 2" xfId="14536" xr:uid="{A6E00BD4-A0F9-4C6F-BC04-04BB9625EFD2}"/>
    <cellStyle name="Percentagem 2 3 4 4" xfId="14537" xr:uid="{BE2E874A-D3E2-40B1-8434-6C63FCB9C823}"/>
    <cellStyle name="Percentagem 2 3 5" xfId="14538" xr:uid="{8C265799-CC7A-436D-B21D-9BC02DE0E7CB}"/>
    <cellStyle name="Percentagem 2 3 5 2" xfId="14539" xr:uid="{99BC39AD-D6E9-444F-B347-034CB0A0D360}"/>
    <cellStyle name="Percentagem 2 3 5 2 2" xfId="14540" xr:uid="{E8CEACC6-A696-4181-9457-EB3786D6B731}"/>
    <cellStyle name="Percentagem 2 3 5 3" xfId="14541" xr:uid="{A67222F8-FA9F-4E7C-BFD5-322360092CCB}"/>
    <cellStyle name="Percentagem 2 3 5 3 2" xfId="14542" xr:uid="{40082C55-5CAD-41A1-920B-018F63C5CB68}"/>
    <cellStyle name="Percentagem 2 3 5 4" xfId="14543" xr:uid="{EF48F52B-07EF-409D-BEB9-660DF82FA523}"/>
    <cellStyle name="Percentagem 2 3 5 4 2" xfId="14544" xr:uid="{A50ADAF9-8E0D-4776-937F-4D90DD652D4F}"/>
    <cellStyle name="Percentagem 2 3 5 5" xfId="14545" xr:uid="{AAB288C3-1BC6-413A-A4C7-C5AA34D219E5}"/>
    <cellStyle name="Percentagem 2 3 6" xfId="14546" xr:uid="{D6B414DF-171E-4028-81EF-CF2E2DE4ED9E}"/>
    <cellStyle name="Percentagem 2 3 6 2" xfId="14547" xr:uid="{E90747D8-49C1-48AC-BF4D-3771B48E2262}"/>
    <cellStyle name="Percentagem 2 3 6 2 2" xfId="14548" xr:uid="{C647D6C8-A25F-4B0D-A9AE-0BA457F7EFD4}"/>
    <cellStyle name="Percentagem 2 3 6 3" xfId="14549" xr:uid="{6BE103C2-0956-47E9-8B02-AF6B62AA7019}"/>
    <cellStyle name="Percentagem 2 3 6 3 2" xfId="14550" xr:uid="{6A8AF93A-FE24-4DC5-9306-920FCF7E190C}"/>
    <cellStyle name="Percentagem 2 3 6 4" xfId="14551" xr:uid="{53DB5CCA-1FE8-434F-AAA9-6E4D3E481AF5}"/>
    <cellStyle name="Percentagem 2 3 7" xfId="14552" xr:uid="{7817BA53-67DF-4CFD-B54F-74790350D333}"/>
    <cellStyle name="Percentagem 2 3 7 2" xfId="14553" xr:uid="{3E6B72B7-E126-43B7-BFBA-BECCB5C3C206}"/>
    <cellStyle name="Percentagem 2 3 8" xfId="14554" xr:uid="{89E6A772-358F-4542-A186-F6613C739E85}"/>
    <cellStyle name="Percentagem 2 3 8 2" xfId="14555" xr:uid="{931C946D-6C10-4464-A904-8D1B83081876}"/>
    <cellStyle name="Percentagem 2 3 9" xfId="14556" xr:uid="{63C1B3BD-3E2A-450C-B533-28849063A8C1}"/>
    <cellStyle name="Percentagem 2 3 9 2" xfId="14557" xr:uid="{FE283485-F30E-4E46-9EBB-A5288C478C83}"/>
    <cellStyle name="Pilkku_Layo9704" xfId="304" xr:uid="{7DB01A11-4485-46E5-8C93-8AE2CFAC7C48}"/>
    <cellStyle name="Pyör. luku_Layo9704" xfId="305" xr:uid="{3417EEA8-8FB2-47FA-A684-3F27E0ADE134}"/>
    <cellStyle name="Pyör. valuutta_Layo9704" xfId="306" xr:uid="{18A2684C-A4F5-49CD-8E5E-952C1F460919}"/>
    <cellStyle name="Schlecht" xfId="3040" xr:uid="{9A081E41-2829-483D-8CEE-3A24C1C05DC9}"/>
    <cellStyle name="Schlecht 10" xfId="14559" xr:uid="{9E3F3F89-569C-4C87-A272-B5406D27614F}"/>
    <cellStyle name="Schlecht 11" xfId="14560" xr:uid="{288B35C7-8475-4AF2-90F6-B2857D19CCFF}"/>
    <cellStyle name="Schlecht 12" xfId="14558" xr:uid="{9985A51D-F1F8-4110-A1F3-48E38396DDC5}"/>
    <cellStyle name="Schlecht 2" xfId="14561" xr:uid="{64F104A1-CDB4-42D9-BFF4-0B60F61AF9B6}"/>
    <cellStyle name="Schlecht 2 2" xfId="14562" xr:uid="{04CA4439-3425-446E-AD05-CDE182E1EA70}"/>
    <cellStyle name="Schlecht 2 2 2" xfId="14563" xr:uid="{67F04301-F0E5-4237-8A8E-07D6CA2B5AB3}"/>
    <cellStyle name="Schlecht 2 3" xfId="14564" xr:uid="{B5065095-B6F9-459F-A469-51D212A5EFEA}"/>
    <cellStyle name="Schlecht 2 3 2" xfId="14565" xr:uid="{D3A38EB4-6586-490A-88B5-2E97D95FFA0B}"/>
    <cellStyle name="Schlecht 2 4" xfId="14566" xr:uid="{A5A49984-065C-4FA4-9819-3D87DF8D4A2F}"/>
    <cellStyle name="Schlecht 2 5" xfId="14567" xr:uid="{5A611C09-7F77-4828-8C02-F817A9F51CE5}"/>
    <cellStyle name="Schlecht 3" xfId="14568" xr:uid="{E232D106-08D1-40BC-82C8-8C4149D4137C}"/>
    <cellStyle name="Schlecht 3 2" xfId="14569" xr:uid="{98EED138-BDD2-42E6-B78E-BBA935858F53}"/>
    <cellStyle name="Schlecht 3 2 2" xfId="14570" xr:uid="{B1B9BED0-7708-4A6F-8715-181A2BDB507C}"/>
    <cellStyle name="Schlecht 3 3" xfId="14571" xr:uid="{57B70083-0AC7-4083-AD6A-2E2C0D6F4F04}"/>
    <cellStyle name="Schlecht 3 3 2" xfId="14572" xr:uid="{64B21459-0CC7-4E98-840A-7A284A30E8EF}"/>
    <cellStyle name="Schlecht 3 4" xfId="14573" xr:uid="{293EF86F-7359-485E-B74C-AE8A88EEC8D3}"/>
    <cellStyle name="Schlecht 4" xfId="14574" xr:uid="{8C8CA13F-FCE8-475E-B7B5-D5996DC788BA}"/>
    <cellStyle name="Schlecht 4 2" xfId="14575" xr:uid="{80A2016B-4461-4468-AC6E-D343D4CEF70C}"/>
    <cellStyle name="Schlecht 4 2 2" xfId="14576" xr:uid="{34DDED62-EF79-4A36-ACA4-EF5583D45F80}"/>
    <cellStyle name="Schlecht 4 3" xfId="14577" xr:uid="{65ECB6C6-4F8D-4508-A4AC-3AD234F43B32}"/>
    <cellStyle name="Schlecht 4 3 2" xfId="14578" xr:uid="{8D4FA2A7-C93A-410A-AB09-6861791964CE}"/>
    <cellStyle name="Schlecht 4 4" xfId="14579" xr:uid="{5CE333FA-76C5-4DD9-B63C-170C3B3FE537}"/>
    <cellStyle name="Schlecht 5" xfId="14580" xr:uid="{474513D7-01CE-4237-A5A2-BD6BDAD43BAC}"/>
    <cellStyle name="Schlecht 5 2" xfId="14581" xr:uid="{831B98FF-3E21-4595-A0A8-C5DBAE11BE25}"/>
    <cellStyle name="Schlecht 5 2 2" xfId="14582" xr:uid="{5A00D833-1C05-4A4D-BA8E-E030F8ED0EE1}"/>
    <cellStyle name="Schlecht 5 3" xfId="14583" xr:uid="{13B97478-EA54-4DB7-A308-D1C8A3A4942A}"/>
    <cellStyle name="Schlecht 5 3 2" xfId="14584" xr:uid="{1C598D7F-10FF-4E71-8FDC-EBC0F30BF900}"/>
    <cellStyle name="Schlecht 5 4" xfId="14585" xr:uid="{333877AE-EFA1-4C3D-BAD2-36E88BA43BF4}"/>
    <cellStyle name="Schlecht 5 4 2" xfId="14586" xr:uid="{45CD480D-D433-441E-AC2C-5728927C1C33}"/>
    <cellStyle name="Schlecht 5 5" xfId="14587" xr:uid="{1446F870-AF48-48CB-93C1-E028454CC155}"/>
    <cellStyle name="Schlecht 6" xfId="14588" xr:uid="{E2A6366B-267A-4DAF-AE3D-0D312DB9FBD3}"/>
    <cellStyle name="Schlecht 6 2" xfId="14589" xr:uid="{F996FF8F-88FF-452E-BB92-068244D5D270}"/>
    <cellStyle name="Schlecht 6 2 2" xfId="14590" xr:uid="{EB7456AE-94F8-43B2-AFFC-511D937C140D}"/>
    <cellStyle name="Schlecht 6 3" xfId="14591" xr:uid="{B8D587A4-B134-4665-B166-E5639AAB0D8E}"/>
    <cellStyle name="Schlecht 6 3 2" xfId="14592" xr:uid="{3CC330BB-BF47-46B5-A97B-A5B0CCA38248}"/>
    <cellStyle name="Schlecht 6 4" xfId="14593" xr:uid="{C0251B93-FC63-4665-8EC6-BF353F7FAFD2}"/>
    <cellStyle name="Schlecht 7" xfId="14594" xr:uid="{8C3612B4-7E63-48E1-9199-D7FACE6C84B7}"/>
    <cellStyle name="Schlecht 7 2" xfId="14595" xr:uid="{3AF152A7-6D1E-4F31-9D25-187E4A76BD3B}"/>
    <cellStyle name="Schlecht 8" xfId="14596" xr:uid="{408F35E5-3671-4932-925E-8AB55F6E6A5D}"/>
    <cellStyle name="Schlecht 8 2" xfId="14597" xr:uid="{E24FA2C2-2446-4E98-B859-AB4647EB19EE}"/>
    <cellStyle name="Schlecht 9" xfId="14598" xr:uid="{E82D9227-5673-44DC-9FA3-BD174EA7BE36}"/>
    <cellStyle name="Schlecht 9 2" xfId="14599" xr:uid="{71A58544-4164-48FC-A567-C261C3B28DC2}"/>
    <cellStyle name="Shade" xfId="3041" xr:uid="{371AF170-D6FE-4B98-921C-8079270073A5}"/>
    <cellStyle name="Shade 10" xfId="14601" xr:uid="{C8CC40A5-BAB5-4A96-A005-0C34D90F136B}"/>
    <cellStyle name="Shade 11" xfId="14602" xr:uid="{A74B14A8-3D9C-4AE8-8DFC-A31BDA5A21C7}"/>
    <cellStyle name="Shade 12" xfId="14600" xr:uid="{9B3841F3-B83A-47E7-A542-2ACDEDAFAB03}"/>
    <cellStyle name="Shade 2" xfId="14603" xr:uid="{960E80E7-B60A-420C-AB02-67F92A68AE8A}"/>
    <cellStyle name="Shade 2 2" xfId="14604" xr:uid="{2D44633D-1165-4A85-B5F6-470D53C4B46B}"/>
    <cellStyle name="Shade 2 2 2" xfId="14605" xr:uid="{E1E315D1-FCC0-46E3-9D72-A3AC3FEB43CC}"/>
    <cellStyle name="Shade 2 3" xfId="14606" xr:uid="{3570B6B7-060D-4AB5-B7AE-DC11AD330D52}"/>
    <cellStyle name="Shade 2 3 2" xfId="14607" xr:uid="{999138EA-52F9-420C-B9BF-63548E75C0D4}"/>
    <cellStyle name="Shade 2 4" xfId="14608" xr:uid="{88069EE6-603A-4458-84C8-6627ECCCD990}"/>
    <cellStyle name="Shade 2 5" xfId="14609" xr:uid="{2BCF6AC6-267F-4374-BA6A-FC91C887CC44}"/>
    <cellStyle name="Shade 3" xfId="14610" xr:uid="{FAF1FFD1-DFFB-4341-9B54-FD8E8961E461}"/>
    <cellStyle name="Shade 3 2" xfId="14611" xr:uid="{4ED2C060-92C5-4952-BB00-F1D26F792CB5}"/>
    <cellStyle name="Shade 3 2 2" xfId="14612" xr:uid="{63378AD7-2C21-48BD-9430-FD5AD5CEA273}"/>
    <cellStyle name="Shade 3 3" xfId="14613" xr:uid="{14FAA569-8425-4C89-90D8-FDDAFDCDB5F2}"/>
    <cellStyle name="Shade 3 3 2" xfId="14614" xr:uid="{CDF86482-2EB8-412B-B531-8F6AD99EB42D}"/>
    <cellStyle name="Shade 3 4" xfId="14615" xr:uid="{328DF12F-3E90-42D9-9FED-99CFEA4E04F5}"/>
    <cellStyle name="Shade 4" xfId="14616" xr:uid="{A08C5EE2-B7F7-41DB-AB87-9C5A9A056AAE}"/>
    <cellStyle name="Shade 4 2" xfId="14617" xr:uid="{8D511F0E-025E-4BBC-BE7E-FB177AD2A81A}"/>
    <cellStyle name="Shade 4 2 2" xfId="14618" xr:uid="{4EE05313-EFBF-4BED-AAF7-6DCF313DB085}"/>
    <cellStyle name="Shade 4 3" xfId="14619" xr:uid="{6ECEB2C5-5972-4B44-8B22-65CF8F24D5FB}"/>
    <cellStyle name="Shade 4 3 2" xfId="14620" xr:uid="{D4B9A0AA-0D27-4AAF-BD3F-021B6C8CD868}"/>
    <cellStyle name="Shade 4 4" xfId="14621" xr:uid="{653D7900-5F18-43FB-B43C-6A4605D6F4A5}"/>
    <cellStyle name="Shade 5" xfId="14622" xr:uid="{579B7E3D-550F-44EA-95D2-BB9377CFCCDC}"/>
    <cellStyle name="Shade 5 2" xfId="14623" xr:uid="{4CC302ED-4038-40E6-BBA7-09720E5C4701}"/>
    <cellStyle name="Shade 5 2 2" xfId="14624" xr:uid="{028376F1-D6DF-4F05-B7B5-6F7C131D1B2B}"/>
    <cellStyle name="Shade 5 3" xfId="14625" xr:uid="{EFF63DE5-C077-43DF-93C9-D007D99AB5D5}"/>
    <cellStyle name="Shade 5 3 2" xfId="14626" xr:uid="{9A7B69C1-0EA5-4183-9559-3540DC34440A}"/>
    <cellStyle name="Shade 5 4" xfId="14627" xr:uid="{2A99C478-5758-44F6-955E-569567D5620A}"/>
    <cellStyle name="Shade 5 4 2" xfId="14628" xr:uid="{572AF419-3785-40F5-BBA5-A1C2901BC254}"/>
    <cellStyle name="Shade 5 5" xfId="14629" xr:uid="{E8F0E57F-F06D-46A5-BF73-80BE8778A0ED}"/>
    <cellStyle name="Shade 6" xfId="14630" xr:uid="{8BA142FE-2A2E-45B2-A9C1-4DD73529E601}"/>
    <cellStyle name="Shade 6 2" xfId="14631" xr:uid="{9A2B995F-E201-4D0D-A73F-005D9B71E002}"/>
    <cellStyle name="Shade 6 2 2" xfId="14632" xr:uid="{2CD539A2-D9E8-487A-9BFA-EF29D73F16B2}"/>
    <cellStyle name="Shade 6 3" xfId="14633" xr:uid="{B561962E-59F3-4BDD-8999-D8F684B68F45}"/>
    <cellStyle name="Shade 6 3 2" xfId="14634" xr:uid="{275AAD8D-EBC4-494D-8B1D-4A8D0C6BF78A}"/>
    <cellStyle name="Shade 6 4" xfId="14635" xr:uid="{43439A0B-F20D-44DA-9CFE-35C35FBAF0B8}"/>
    <cellStyle name="Shade 7" xfId="14636" xr:uid="{BEDBD932-5EE3-41CD-AC94-2DBBB10BD5A1}"/>
    <cellStyle name="Shade 7 2" xfId="14637" xr:uid="{75A17E6E-F7C6-465B-90A8-57D23CC133C8}"/>
    <cellStyle name="Shade 8" xfId="14638" xr:uid="{7EC53E13-8945-4096-BF36-B8A324BA98AF}"/>
    <cellStyle name="Shade 8 2" xfId="14639" xr:uid="{06067959-4A75-4AC8-A07B-11D568B7F6F8}"/>
    <cellStyle name="Shade 9" xfId="14640" xr:uid="{5A3EA8D3-1F3E-468B-8082-067040525093}"/>
    <cellStyle name="Shade 9 2" xfId="14641" xr:uid="{D3111255-E207-4283-B210-DF0D0D4CFD47}"/>
    <cellStyle name="source" xfId="332" xr:uid="{49377FAA-AE56-4747-B63E-8318844D8264}"/>
    <cellStyle name="source 10" xfId="14643" xr:uid="{68BADB60-706F-4B39-9E3E-85C49B357572}"/>
    <cellStyle name="source 11" xfId="14644" xr:uid="{55C5837A-6B87-488F-8DF1-5E119C965894}"/>
    <cellStyle name="source 12" xfId="14642" xr:uid="{DEC6D9D9-346F-4E04-BF1C-24BA2CD70D10}"/>
    <cellStyle name="source 2" xfId="3042" xr:uid="{9D4AF892-7C4A-417B-BD5F-5B5452F977D8}"/>
    <cellStyle name="source 2 2" xfId="14646" xr:uid="{A8B6FEE0-1095-410E-B9B0-70332C099C27}"/>
    <cellStyle name="source 2 2 2" xfId="14647" xr:uid="{F2AF893A-61A6-4A44-9F51-65064768DB66}"/>
    <cellStyle name="source 2 3" xfId="14648" xr:uid="{BBF365A6-8877-4C6A-9833-A5372E4E8B17}"/>
    <cellStyle name="source 2 3 2" xfId="14649" xr:uid="{B7216793-5D38-4F02-B077-C9502AF79162}"/>
    <cellStyle name="source 2 4" xfId="14650" xr:uid="{958B38D6-1E4D-49DE-B9E5-13EF6519E3A9}"/>
    <cellStyle name="source 2 5" xfId="14651" xr:uid="{829BF865-52CF-4254-8F3D-44781DAE0869}"/>
    <cellStyle name="source 2 6" xfId="14645" xr:uid="{F66FF0EF-918C-47B6-B32D-5D144CD6B2C5}"/>
    <cellStyle name="source 3" xfId="14652" xr:uid="{91B83B2E-CA14-4857-B36F-E1EF581C76E6}"/>
    <cellStyle name="source 3 2" xfId="14653" xr:uid="{4C9FF408-21E4-48C1-8834-9ED0E2A39AD7}"/>
    <cellStyle name="source 3 2 2" xfId="14654" xr:uid="{40DE6697-6950-4962-9274-AB0CA49B06A1}"/>
    <cellStyle name="source 3 3" xfId="14655" xr:uid="{560C5237-2451-45EC-85E5-E0E058D72644}"/>
    <cellStyle name="source 3 3 2" xfId="14656" xr:uid="{8EB9BCCF-D8CC-444D-B873-FC347725B79F}"/>
    <cellStyle name="source 3 4" xfId="14657" xr:uid="{E3A6CFCA-05A5-4E5B-9CAB-2B0D0AA309AD}"/>
    <cellStyle name="source 3 5" xfId="22570" xr:uid="{780E9721-603B-445F-AA9C-9BD9EF8F5B17}"/>
    <cellStyle name="source 3 6" xfId="22534" xr:uid="{7AB1EF8B-E632-48B1-926E-1F71472C735C}"/>
    <cellStyle name="source 4" xfId="14658" xr:uid="{90D49FAA-BCD7-4052-97F7-8AD13784E177}"/>
    <cellStyle name="source 4 2" xfId="14659" xr:uid="{CA7EA5DB-E4BC-4C1C-AC59-4DAE61CC5876}"/>
    <cellStyle name="source 4 2 2" xfId="14660" xr:uid="{381033F7-37AE-4D9D-A923-B2C7526E9FD8}"/>
    <cellStyle name="source 4 3" xfId="14661" xr:uid="{72D780A0-76B0-46F3-B069-2A9BECCB7533}"/>
    <cellStyle name="source 4 3 2" xfId="14662" xr:uid="{F442FB4B-162C-4DA7-A60D-3E82F7895810}"/>
    <cellStyle name="source 4 4" xfId="14663" xr:uid="{DCCA816D-A46D-4201-A3B0-15340762EA55}"/>
    <cellStyle name="source 5" xfId="14664" xr:uid="{C13EADF9-1A38-482A-89A3-E712FFC92FB0}"/>
    <cellStyle name="source 5 2" xfId="14665" xr:uid="{36575DAD-11B0-459A-A8BF-DF3CF77E7A9C}"/>
    <cellStyle name="source 5 2 2" xfId="14666" xr:uid="{82CEFF81-CE0D-4C8A-BDD4-F351B28C158B}"/>
    <cellStyle name="source 5 3" xfId="14667" xr:uid="{DC4907FA-5A7F-4DCB-BA1A-4196BC24F639}"/>
    <cellStyle name="source 5 3 2" xfId="14668" xr:uid="{9AFC9450-6723-4D53-8D5C-2F6DEB4574E9}"/>
    <cellStyle name="source 5 4" xfId="14669" xr:uid="{0AC7ED2A-864B-446B-ACF6-8BA6400BE783}"/>
    <cellStyle name="source 5 4 2" xfId="14670" xr:uid="{239B2F78-E278-45B7-B1CD-A121C5CE7604}"/>
    <cellStyle name="source 5 5" xfId="14671" xr:uid="{699233A1-8331-48CC-80F0-7A7C056CBC6B}"/>
    <cellStyle name="source 6" xfId="14672" xr:uid="{57324AB4-F114-4C48-8A88-0739226E03A0}"/>
    <cellStyle name="source 6 2" xfId="14673" xr:uid="{C9BB51F7-D6D2-4C83-B440-02871FCBADE7}"/>
    <cellStyle name="source 6 2 2" xfId="14674" xr:uid="{67EFD5EE-FD58-4041-B37A-71E3953A5E52}"/>
    <cellStyle name="source 6 3" xfId="14675" xr:uid="{8D2E5F7C-22E1-4FA5-8AC5-4B8A9BFD038F}"/>
    <cellStyle name="source 6 3 2" xfId="14676" xr:uid="{3B1C8F51-3FF9-4CA0-BEF3-C689EF9D2497}"/>
    <cellStyle name="source 6 4" xfId="14677" xr:uid="{D4A4094E-591A-40E5-8F85-999B2B363BA9}"/>
    <cellStyle name="source 7" xfId="14678" xr:uid="{D74D84AE-F49F-42C6-9CE8-C96A74AE0BF6}"/>
    <cellStyle name="source 7 2" xfId="14679" xr:uid="{811E4962-9949-4846-A4B0-63E397C5D1F6}"/>
    <cellStyle name="source 8" xfId="14680" xr:uid="{E387C9E7-8B14-4CF3-B05A-05CF31409022}"/>
    <cellStyle name="source 8 2" xfId="14681" xr:uid="{98A5796B-0D0B-43A2-8F56-37A686D77673}"/>
    <cellStyle name="source 9" xfId="14682" xr:uid="{E67CAB7A-F39E-4F10-BD4E-2D9AF395562C}"/>
    <cellStyle name="source 9 2" xfId="14683" xr:uid="{BBEF9087-CEAC-47E1-B6B7-5212B340CDF5}"/>
    <cellStyle name="Standaard_Blad1" xfId="3043" xr:uid="{A25D2364-C6A2-4EC3-A9D7-D510F9FAA059}"/>
    <cellStyle name="Standard 2" xfId="3044" xr:uid="{F2EA4E97-8EA5-4E8D-942E-040F1D347EE0}"/>
    <cellStyle name="Standard 2 10" xfId="14685" xr:uid="{D4B18944-6ED1-44BB-B6FD-42F8590FD711}"/>
    <cellStyle name="Standard 2 11" xfId="14684" xr:uid="{B31C5A4F-562A-4922-8FB2-129496CCBD35}"/>
    <cellStyle name="Standard 2 2" xfId="14686" xr:uid="{93E2BC37-F332-4736-BBA8-F210183D3929}"/>
    <cellStyle name="Standard 2 2 2" xfId="14687" xr:uid="{82889267-D782-4713-9A09-E02766286C19}"/>
    <cellStyle name="Standard 2 2 2 2" xfId="14688" xr:uid="{ADE0C3D3-1AB2-4DCB-9937-64EDEC32E3B9}"/>
    <cellStyle name="Standard 2 2 3" xfId="14689" xr:uid="{A58E7D3B-439D-4B0C-8645-CE5B17F57BCC}"/>
    <cellStyle name="Standard 2 2 3 2" xfId="14690" xr:uid="{7AF7D429-4C51-4CF0-B5D0-EE41CE780019}"/>
    <cellStyle name="Standard 2 2 4" xfId="14691" xr:uid="{64C0D51E-6A36-4F29-9CDF-F0CF53590B88}"/>
    <cellStyle name="Standard 2 2 5" xfId="14692" xr:uid="{891D23AA-1532-4C1C-A036-18E8BB34451E}"/>
    <cellStyle name="Standard 2 3" xfId="14693" xr:uid="{BC114A00-C09C-4DA4-ABEE-00B4EFA041C1}"/>
    <cellStyle name="Standard 2 3 2" xfId="14694" xr:uid="{06AA1D6D-A7FE-4E8F-9AFF-F5BBCCF15CD4}"/>
    <cellStyle name="Standard 2 3 2 2" xfId="14695" xr:uid="{341482F6-5E1F-4090-9E5C-555EAC8D4A87}"/>
    <cellStyle name="Standard 2 3 3" xfId="14696" xr:uid="{68EACED6-C319-445E-9B65-F12CA2303AF6}"/>
    <cellStyle name="Standard 2 3 3 2" xfId="14697" xr:uid="{6F706C44-DC75-407C-9D42-4E1844496A8A}"/>
    <cellStyle name="Standard 2 3 4" xfId="14698" xr:uid="{7EB7FE12-DD36-44D9-A117-538974CA2A21}"/>
    <cellStyle name="Standard 2 4" xfId="14699" xr:uid="{A76CD392-97EF-4B89-ADED-DD5C019E6E51}"/>
    <cellStyle name="Standard 2 4 2" xfId="14700" xr:uid="{7D75BFF2-A2F1-4C28-B780-A3A1B7B0C93C}"/>
    <cellStyle name="Standard 2 4 2 2" xfId="14701" xr:uid="{DC125F11-1438-4CC5-AACF-3FFA4461E619}"/>
    <cellStyle name="Standard 2 4 3" xfId="14702" xr:uid="{01E0144E-1F3C-44A1-ACCB-5E8F6731B2ED}"/>
    <cellStyle name="Standard 2 4 3 2" xfId="14703" xr:uid="{04149B32-CD65-4C78-8B05-6D3102B1B627}"/>
    <cellStyle name="Standard 2 4 4" xfId="14704" xr:uid="{E7E70A67-883F-4E0B-BBDF-8D34F47FC2AA}"/>
    <cellStyle name="Standard 2 4 4 2" xfId="14705" xr:uid="{84DD41A4-CCEA-4B85-AD08-23F91956BAB5}"/>
    <cellStyle name="Standard 2 4 5" xfId="14706" xr:uid="{ECA5175B-436A-4DFF-A3EE-CB3065B4E525}"/>
    <cellStyle name="Standard 2 5" xfId="14707" xr:uid="{DFD7F281-B283-46A4-B18B-B2C7AE0FCC7A}"/>
    <cellStyle name="Standard 2 5 2" xfId="14708" xr:uid="{2863D931-5AB3-42C7-989B-8A3DA0E7CAC0}"/>
    <cellStyle name="Standard 2 5 2 2" xfId="14709" xr:uid="{EF70E165-744A-415E-9036-2B305CF4F015}"/>
    <cellStyle name="Standard 2 5 3" xfId="14710" xr:uid="{BD52C42E-C744-4B47-9577-514C96E20310}"/>
    <cellStyle name="Standard 2 5 3 2" xfId="14711" xr:uid="{C7B9E60E-078A-427D-AA03-B604E411DE19}"/>
    <cellStyle name="Standard 2 5 4" xfId="14712" xr:uid="{C8E8D94F-7324-487E-9F22-562CC06626BB}"/>
    <cellStyle name="Standard 2 6" xfId="14713" xr:uid="{88CD6501-97DD-499C-899B-5D6B2AF4FF19}"/>
    <cellStyle name="Standard 2 6 2" xfId="14714" xr:uid="{C5744FE7-CB9A-4FD5-BAA9-A0BB7A51A7FC}"/>
    <cellStyle name="Standard 2 7" xfId="14715" xr:uid="{B3A1B0EF-4A2D-446C-8B7A-B8C75BB8CF81}"/>
    <cellStyle name="Standard 2 7 2" xfId="14716" xr:uid="{43FCA45B-7C10-48E4-96D7-562F31633014}"/>
    <cellStyle name="Standard 2 8" xfId="14717" xr:uid="{C859D31E-09F3-48AD-B2BF-52BCD8F779C3}"/>
    <cellStyle name="Standard 2 8 2" xfId="14718" xr:uid="{5E829AA3-809E-4A69-885E-8D5A470FFB08}"/>
    <cellStyle name="Standard 2 9" xfId="14719" xr:uid="{5E19CE41-47E9-4842-A534-474FFEF34415}"/>
    <cellStyle name="Standard 3" xfId="3045" xr:uid="{BC44DBB4-03C2-4AF7-B892-4B4B0E6BF15B}"/>
    <cellStyle name="Standard 3 10" xfId="14721" xr:uid="{B8A13BF7-9242-411F-AB9A-1FA39FF613AB}"/>
    <cellStyle name="Standard 3 11" xfId="14720" xr:uid="{922CD8CE-32E8-47A4-B752-5C2A3F4B7382}"/>
    <cellStyle name="Standard 3 2" xfId="14722" xr:uid="{C7729C8B-AC68-4EF7-80A3-2F5FDB0642CD}"/>
    <cellStyle name="Standard 3 2 2" xfId="14723" xr:uid="{BBE99A29-77B9-4F9F-B916-643B7CF55FD5}"/>
    <cellStyle name="Standard 3 2 2 2" xfId="14724" xr:uid="{5B6BF484-F538-458F-A13F-E656B2151C81}"/>
    <cellStyle name="Standard 3 2 3" xfId="14725" xr:uid="{2AB64D7F-19DE-4C63-8667-3006CD936586}"/>
    <cellStyle name="Standard 3 2 3 2" xfId="14726" xr:uid="{73E80BC6-8B49-4656-AFE0-53CFDB914C1B}"/>
    <cellStyle name="Standard 3 2 4" xfId="14727" xr:uid="{CC98D79B-C69F-4BE3-A1CE-04708233D036}"/>
    <cellStyle name="Standard 3 2 5" xfId="14728" xr:uid="{859A004B-DC92-428C-B424-2A1859AA046F}"/>
    <cellStyle name="Standard 3 3" xfId="14729" xr:uid="{DC3BB6B0-8D44-4206-A615-3253BA148EE7}"/>
    <cellStyle name="Standard 3 3 2" xfId="14730" xr:uid="{481FB595-8B2A-4E83-A1B5-33859DFD43C8}"/>
    <cellStyle name="Standard 3 3 2 2" xfId="14731" xr:uid="{82555447-3863-4721-ADFA-CAFE82317993}"/>
    <cellStyle name="Standard 3 3 3" xfId="14732" xr:uid="{FB242CB9-776F-4DA1-9CC3-DD8D3FFA3D44}"/>
    <cellStyle name="Standard 3 3 3 2" xfId="14733" xr:uid="{081FB3AC-9DA0-4DB8-9E2E-736A9F8C390A}"/>
    <cellStyle name="Standard 3 3 4" xfId="14734" xr:uid="{4981E0AA-87BA-4089-87ED-34C032C8E3BD}"/>
    <cellStyle name="Standard 3 4" xfId="14735" xr:uid="{AE7B8485-34C5-4AAD-9357-EDDC01EADB4F}"/>
    <cellStyle name="Standard 3 4 2" xfId="14736" xr:uid="{3899C3F2-2155-4A16-ADBC-9864AB7FCFEB}"/>
    <cellStyle name="Standard 3 4 2 2" xfId="14737" xr:uid="{12BA498A-C6EB-45D5-ABD2-BC3D094AC1D7}"/>
    <cellStyle name="Standard 3 4 3" xfId="14738" xr:uid="{D97B1414-3E4B-4AE4-8B10-76DBB94D3033}"/>
    <cellStyle name="Standard 3 4 3 2" xfId="14739" xr:uid="{312DA894-4AFF-44E6-9CBD-1CFEE04875E5}"/>
    <cellStyle name="Standard 3 4 4" xfId="14740" xr:uid="{3D36177F-C905-485F-8B03-93511865F507}"/>
    <cellStyle name="Standard 3 4 4 2" xfId="14741" xr:uid="{CE1AEFA3-73A0-4BF6-BE0E-ADC11D4CE61D}"/>
    <cellStyle name="Standard 3 4 5" xfId="14742" xr:uid="{734B529E-506A-46C9-A983-995CF78A2E3F}"/>
    <cellStyle name="Standard 3 5" xfId="14743" xr:uid="{4C81AA6D-6319-4115-AC36-246D57B7C0CF}"/>
    <cellStyle name="Standard 3 5 2" xfId="14744" xr:uid="{B432F96D-2DE3-4A39-B891-EAF3A61632D3}"/>
    <cellStyle name="Standard 3 5 2 2" xfId="14745" xr:uid="{1D13C5AA-5586-4ABB-B443-AC590CD6E5E1}"/>
    <cellStyle name="Standard 3 5 3" xfId="14746" xr:uid="{D46261CD-411F-455F-8488-32C6E41ADD44}"/>
    <cellStyle name="Standard 3 5 3 2" xfId="14747" xr:uid="{D8291D60-CB9B-40F5-BC0F-9B07BBC03139}"/>
    <cellStyle name="Standard 3 5 4" xfId="14748" xr:uid="{C65A4751-2B93-4855-B326-F351EF396EF0}"/>
    <cellStyle name="Standard 3 6" xfId="14749" xr:uid="{1D09745B-04F9-4AE2-AFAE-C20F87EFAD50}"/>
    <cellStyle name="Standard 3 6 2" xfId="14750" xr:uid="{5E8E9962-E5AF-4CBF-8979-C8401AA87CF3}"/>
    <cellStyle name="Standard 3 7" xfId="14751" xr:uid="{A9637D64-2ADB-48DA-AAA8-C5A17B823445}"/>
    <cellStyle name="Standard 3 7 2" xfId="14752" xr:uid="{17DAE5EC-5CD7-4A25-9BAC-8EA7377EA5FF}"/>
    <cellStyle name="Standard 3 8" xfId="14753" xr:uid="{E21C0A72-1290-4BC5-987B-F5F1FFCFF0A1}"/>
    <cellStyle name="Standard 3 8 2" xfId="14754" xr:uid="{2044DB85-5689-44F8-AB28-46F5272117E0}"/>
    <cellStyle name="Standard 3 9" xfId="14755" xr:uid="{28061F17-9301-4A05-BB03-AF200E026171}"/>
    <cellStyle name="Standard_Sce_D_Extraction" xfId="3046" xr:uid="{4A3EF9C2-6B01-4D98-9464-65FAC31402E5}"/>
    <cellStyle name="Style 1" xfId="3047" xr:uid="{0CF5B06E-D8A9-4884-B668-84BF5051E171}"/>
    <cellStyle name="Style 1 10" xfId="14757" xr:uid="{6A0CDA9F-816D-49C5-A666-A991F0874D12}"/>
    <cellStyle name="Style 1 11" xfId="14758" xr:uid="{C700A11B-D2EF-428D-B017-B76F8F2D054F}"/>
    <cellStyle name="Style 1 12" xfId="14756" xr:uid="{0270732A-C5B3-4F92-AB10-2C84AD0B2D11}"/>
    <cellStyle name="Style 1 2" xfId="14759" xr:uid="{5E6087C7-6F84-445E-AD90-5F975CA31549}"/>
    <cellStyle name="Style 1 2 2" xfId="14760" xr:uid="{355399DF-B167-471B-BDD3-CEA9D1F23520}"/>
    <cellStyle name="Style 1 2 2 2" xfId="14761" xr:uid="{3632FB78-9A95-464D-8497-F32F235325EF}"/>
    <cellStyle name="Style 1 2 3" xfId="14762" xr:uid="{DDAB056B-D168-4930-86EE-E1060FAF8FEA}"/>
    <cellStyle name="Style 1 2 3 2" xfId="14763" xr:uid="{D277F9D7-20B6-4297-8714-C260F517DFC9}"/>
    <cellStyle name="Style 1 2 4" xfId="14764" xr:uid="{7A0E693A-DC24-4A19-9A6B-3B310748AC3B}"/>
    <cellStyle name="Style 1 2 5" xfId="14765" xr:uid="{E4AEA861-B532-4E48-9121-2FC3AF004B48}"/>
    <cellStyle name="Style 1 3" xfId="14766" xr:uid="{A417201D-5A48-41E5-A09C-8E9225702EFA}"/>
    <cellStyle name="Style 1 3 2" xfId="14767" xr:uid="{CB02554E-938B-444B-9CC0-084FC264FFC9}"/>
    <cellStyle name="Style 1 3 2 2" xfId="14768" xr:uid="{ACBBE647-1768-4348-BE98-D164F26C741F}"/>
    <cellStyle name="Style 1 3 3" xfId="14769" xr:uid="{4EE29CF7-164D-498A-A183-2E06617B7BF8}"/>
    <cellStyle name="Style 1 3 3 2" xfId="14770" xr:uid="{505F2591-776C-43CD-966F-9D23107B1D39}"/>
    <cellStyle name="Style 1 3 4" xfId="14771" xr:uid="{D14B5E2C-9C35-455B-8050-782A1C5725F7}"/>
    <cellStyle name="Style 1 4" xfId="14772" xr:uid="{DC872249-C03F-49DC-BF09-34095B5196D5}"/>
    <cellStyle name="Style 1 4 2" xfId="14773" xr:uid="{9ACFB634-05BF-4F0C-905E-B474F4497275}"/>
    <cellStyle name="Style 1 4 2 2" xfId="14774" xr:uid="{F6CE2231-AEB4-4EEB-805E-9D53509D8EF6}"/>
    <cellStyle name="Style 1 4 3" xfId="14775" xr:uid="{5BF48688-70D1-46EE-B1EB-388D80ECDA13}"/>
    <cellStyle name="Style 1 4 3 2" xfId="14776" xr:uid="{7B278E3C-9ACB-40CE-A142-7A4B29109AB7}"/>
    <cellStyle name="Style 1 4 4" xfId="14777" xr:uid="{E1B22630-CB7E-4A75-9847-3DFCDFE7FAE9}"/>
    <cellStyle name="Style 1 5" xfId="14778" xr:uid="{B2B91903-74AE-467A-BBC7-FDABEC2196C5}"/>
    <cellStyle name="Style 1 5 2" xfId="14779" xr:uid="{45CB14BC-33ED-41BD-9CDC-FC41E19792CF}"/>
    <cellStyle name="Style 1 5 2 2" xfId="14780" xr:uid="{D230B7C7-7953-49C0-A0A2-16DB0BA030D6}"/>
    <cellStyle name="Style 1 5 3" xfId="14781" xr:uid="{AA110EE1-35A5-43EB-A0DD-2E0C58F734BE}"/>
    <cellStyle name="Style 1 5 3 2" xfId="14782" xr:uid="{716ECD24-3CCC-4FE3-889B-07DE852C16F0}"/>
    <cellStyle name="Style 1 5 4" xfId="14783" xr:uid="{B14550D9-9C9C-4E34-B2EE-DD2609436141}"/>
    <cellStyle name="Style 1 5 4 2" xfId="14784" xr:uid="{09D6802B-490C-4502-BD84-2E33DC62BE2F}"/>
    <cellStyle name="Style 1 5 5" xfId="14785" xr:uid="{BB0A3633-8A8F-4A4A-9DFE-B33C9BA1D1B4}"/>
    <cellStyle name="Style 1 6" xfId="14786" xr:uid="{C36D2882-E54B-4186-958D-F18B33DF0EBC}"/>
    <cellStyle name="Style 1 6 2" xfId="14787" xr:uid="{039260ED-9B80-4041-9738-94E024333EFC}"/>
    <cellStyle name="Style 1 6 2 2" xfId="14788" xr:uid="{4D9CF183-2C11-441E-A03A-98D770E6A2AA}"/>
    <cellStyle name="Style 1 6 3" xfId="14789" xr:uid="{BC5669FC-541E-476A-9245-C616B225AC58}"/>
    <cellStyle name="Style 1 6 3 2" xfId="14790" xr:uid="{0B1A534F-76D6-46FF-BE3A-D663D3833CA2}"/>
    <cellStyle name="Style 1 6 4" xfId="14791" xr:uid="{A7468828-B78C-4292-A5B3-757898ABFE60}"/>
    <cellStyle name="Style 1 7" xfId="14792" xr:uid="{0739F4A1-9F14-4C4F-8045-7D18C76CBB66}"/>
    <cellStyle name="Style 1 7 2" xfId="14793" xr:uid="{8276FA94-A86F-4477-87BF-70A41B64407B}"/>
    <cellStyle name="Style 1 8" xfId="14794" xr:uid="{66692FA7-D2D7-49E6-AD85-CC931F7B4855}"/>
    <cellStyle name="Style 1 8 2" xfId="14795" xr:uid="{D8A3FE3C-BD24-4916-A652-4B9C013A11C7}"/>
    <cellStyle name="Style 1 9" xfId="14796" xr:uid="{FA832D6F-A5F0-460F-9C9B-7963A22AC9A5}"/>
    <cellStyle name="Style 1 9 2" xfId="14797" xr:uid="{9EF63B57-AFA0-423B-A0C6-08CBEC2A22DC}"/>
    <cellStyle name="Style 103" xfId="3048" xr:uid="{438CBFF6-232E-42CA-BE2C-BEB1CC49C465}"/>
    <cellStyle name="Style 103 2" xfId="3049" xr:uid="{A3EFFD83-4070-4453-A5B1-67F7FC094E80}"/>
    <cellStyle name="Style 103 3" xfId="3050" xr:uid="{FC760A55-CC31-4940-9DE6-24B14B5A0AB4}"/>
    <cellStyle name="Style 104" xfId="3051" xr:uid="{806AD932-2482-4F4D-893E-F4169B121B52}"/>
    <cellStyle name="Style 104 2" xfId="3052" xr:uid="{F911CD8F-1DFF-48EE-B416-098D3ED69F78}"/>
    <cellStyle name="Style 104 3" xfId="3053" xr:uid="{02745490-DB2B-42DE-ADFE-1B6156FF6F24}"/>
    <cellStyle name="Style 105" xfId="3054" xr:uid="{457863A3-3B0F-4AD1-8A54-62F2AB49F39B}"/>
    <cellStyle name="Style 105 2" xfId="3055" xr:uid="{0C44B788-B275-44DF-9EDF-29EE76062F95}"/>
    <cellStyle name="Style 106" xfId="3056" xr:uid="{C85FB287-2DEE-4895-A5C2-88A3127D9AA1}"/>
    <cellStyle name="Style 106 2" xfId="3057" xr:uid="{DBF30FD5-A4D7-4FC6-A25D-9BAF6AE80FB9}"/>
    <cellStyle name="Style 107" xfId="3058" xr:uid="{00767140-2D82-44CE-A06C-FB81441172C1}"/>
    <cellStyle name="Style 107 2" xfId="3059" xr:uid="{F10B8365-0D7F-402E-90F0-BE771317BBEE}"/>
    <cellStyle name="Style 108" xfId="3060" xr:uid="{79B3C238-6F9E-48A6-ADBB-DDF559303CEC}"/>
    <cellStyle name="Style 108 2" xfId="3061" xr:uid="{2F680F6B-6CF3-4A86-A798-CE08FB897137}"/>
    <cellStyle name="Style 108 3" xfId="3062" xr:uid="{0CBD3D30-28E6-4BEE-9B83-FCB6294D2E6B}"/>
    <cellStyle name="Style 109" xfId="3063" xr:uid="{90055791-76A8-4D62-A90A-67639B4BA840}"/>
    <cellStyle name="Style 109 2" xfId="3064" xr:uid="{9181B714-3E1F-4630-837D-B6461BA81AB1}"/>
    <cellStyle name="Style 110" xfId="3065" xr:uid="{7379F197-80D2-4886-9481-3810F54AC6E2}"/>
    <cellStyle name="Style 110 2" xfId="3066" xr:uid="{BED22249-9D62-478E-9FFA-C56519B9ED91}"/>
    <cellStyle name="Style 114" xfId="3067" xr:uid="{B15DFA6C-E7DD-43A4-9FA0-0A6F5C449A07}"/>
    <cellStyle name="Style 114 2" xfId="3068" xr:uid="{399AC464-C022-47AC-8D29-AA1BBC128CC8}"/>
    <cellStyle name="Style 114 3" xfId="3069" xr:uid="{6345438B-543E-4902-8677-6705A27526AF}"/>
    <cellStyle name="Style 115" xfId="3070" xr:uid="{51841F12-A9DB-4DAB-ACF6-D665B74A3A56}"/>
    <cellStyle name="Style 115 2" xfId="3071" xr:uid="{D8F7E3F5-0CCC-488F-8C6F-8394BFEB2792}"/>
    <cellStyle name="Style 115 3" xfId="3072" xr:uid="{91E2EED8-53B2-41AB-83EF-0BAA5F0BC35B}"/>
    <cellStyle name="Style 116" xfId="3073" xr:uid="{B4D56BB1-9884-4464-986D-CE64EEEAEBCD}"/>
    <cellStyle name="Style 116 2" xfId="3074" xr:uid="{3BB93285-5FE0-4111-A9B1-5CB50D6A2371}"/>
    <cellStyle name="Style 117" xfId="3075" xr:uid="{3E858534-6725-49B8-A170-8831F0489837}"/>
    <cellStyle name="Style 117 2" xfId="3076" xr:uid="{3A7AAEA7-F662-4B8B-84AA-0D927E75DCC3}"/>
    <cellStyle name="Style 118" xfId="3077" xr:uid="{A6B7F8C7-358F-4CB3-B567-6816F7E14B40}"/>
    <cellStyle name="Style 118 2" xfId="3078" xr:uid="{1AE0852E-A1B2-42D5-94AE-C43058828C69}"/>
    <cellStyle name="Style 119" xfId="3079" xr:uid="{F2C9C180-8A89-49E4-9EC0-0129A7CBBC29}"/>
    <cellStyle name="Style 119 2" xfId="3080" xr:uid="{B86E24B4-55B8-4213-A85C-188266135281}"/>
    <cellStyle name="Style 119 3" xfId="3081" xr:uid="{EC2B2927-461E-4257-93FC-DF1503604827}"/>
    <cellStyle name="Style 120" xfId="3082" xr:uid="{A523EA47-2B0E-4E93-AB5E-C86ED9FCC015}"/>
    <cellStyle name="Style 120 2" xfId="3083" xr:uid="{43B823EA-EC5C-413F-A9B5-202699FF5DDC}"/>
    <cellStyle name="Style 121" xfId="3084" xr:uid="{5F20E912-8003-46BF-BC3C-225A5A94C593}"/>
    <cellStyle name="Style 121 2" xfId="3085" xr:uid="{53EC03CF-821F-4A6F-ADB3-5D61732B4660}"/>
    <cellStyle name="Style 126" xfId="3086" xr:uid="{47700675-3F92-4C43-B1C6-9C386A6321D2}"/>
    <cellStyle name="Style 126 2" xfId="3087" xr:uid="{EC4FE6FF-C5AE-4B67-BB07-7CAB2B598BB4}"/>
    <cellStyle name="Style 126 3" xfId="3088" xr:uid="{A72FB76C-B777-4931-B1F2-78D33E365D86}"/>
    <cellStyle name="Style 127" xfId="3089" xr:uid="{BD445CC5-F14F-4DAD-8295-2C302BA84764}"/>
    <cellStyle name="Style 127 2" xfId="3090" xr:uid="{C0BFD595-1021-4193-AC1B-914D7AF9B6BC}"/>
    <cellStyle name="Style 128" xfId="3091" xr:uid="{CB4916D0-4715-47C0-9967-EFEB8C4FFB6F}"/>
    <cellStyle name="Style 128 2" xfId="3092" xr:uid="{865588C6-F34C-40AF-90FA-F0A89577C128}"/>
    <cellStyle name="Style 129" xfId="3093" xr:uid="{1947213F-8213-4769-9EC3-C09A929BD981}"/>
    <cellStyle name="Style 129 2" xfId="3094" xr:uid="{5A5B8802-68F2-4322-B7EB-AF69C809D763}"/>
    <cellStyle name="Style 130" xfId="3095" xr:uid="{A320BD99-C4C0-4C93-9AF9-2A3F3719549A}"/>
    <cellStyle name="Style 130 2" xfId="3096" xr:uid="{FAAA3132-045D-48F9-A3BB-7EE607242D35}"/>
    <cellStyle name="Style 130 3" xfId="3097" xr:uid="{1B98F77E-698B-4B09-BCB4-6A64BDBE76CD}"/>
    <cellStyle name="Style 131" xfId="3098" xr:uid="{82BF41CD-CCA7-40D1-B4C6-3AC16557A103}"/>
    <cellStyle name="Style 131 2" xfId="3099" xr:uid="{3AE68861-7EE0-4E56-A99A-139D5BE37787}"/>
    <cellStyle name="Style 132" xfId="3100" xr:uid="{6435D1C2-35FE-4AFE-9067-C45C2AF494E3}"/>
    <cellStyle name="Style 132 2" xfId="3101" xr:uid="{5D83147C-5241-45FE-A18D-D8272E73ED37}"/>
    <cellStyle name="Style 137" xfId="3102" xr:uid="{E474B689-27A9-44EA-A4E7-FCCFC4CE89BE}"/>
    <cellStyle name="Style 137 2" xfId="3103" xr:uid="{7FEDF5C4-B774-4731-A70B-9A1DE24DDE38}"/>
    <cellStyle name="Style 137 3" xfId="3104" xr:uid="{FDC96A55-7853-4795-8945-44A1678B0B6A}"/>
    <cellStyle name="Style 138" xfId="3105" xr:uid="{D6852430-F981-444A-B65B-D9184F21AF91}"/>
    <cellStyle name="Style 138 2" xfId="3106" xr:uid="{71477A97-BDE0-4FD7-80DB-1A8B13236FC5}"/>
    <cellStyle name="Style 139" xfId="3107" xr:uid="{EF3DCB65-D292-4804-8FF1-A9A16EC81BF1}"/>
    <cellStyle name="Style 139 2" xfId="3108" xr:uid="{307B6571-186C-4E8B-811C-B2A8247ED95B}"/>
    <cellStyle name="Style 140" xfId="3109" xr:uid="{58B0F10A-CBF8-4192-917C-B8B566645ECF}"/>
    <cellStyle name="Style 140 2" xfId="3110" xr:uid="{8CC92F67-3F10-4419-9519-DF21DFFAAB6B}"/>
    <cellStyle name="Style 141" xfId="3111" xr:uid="{54E58012-8983-4892-AA4E-021749C68080}"/>
    <cellStyle name="Style 141 2" xfId="3112" xr:uid="{6FD3C7E9-181C-4ED5-B527-536DEE7AAF98}"/>
    <cellStyle name="Style 141 3" xfId="3113" xr:uid="{9404DD8A-28B1-4514-B510-880601EA97B8}"/>
    <cellStyle name="Style 142" xfId="3114" xr:uid="{78AEEB3D-BF0E-4165-9778-41A0E9506132}"/>
    <cellStyle name="Style 142 2" xfId="3115" xr:uid="{180737FF-C1DA-4A38-B122-7802E607D322}"/>
    <cellStyle name="Style 143" xfId="3116" xr:uid="{671E1691-28B3-4CB8-89AB-37B3B37433D7}"/>
    <cellStyle name="Style 143 2" xfId="3117" xr:uid="{01221FA1-58CB-4FA3-9AAC-915CCFBDE3CD}"/>
    <cellStyle name="Style 148" xfId="3118" xr:uid="{C866BC2A-CF7F-4F9F-A7C1-DCCB1662CB75}"/>
    <cellStyle name="Style 148 2" xfId="3119" xr:uid="{2FB4EC69-1439-44C6-94FA-5DB5380E046F}"/>
    <cellStyle name="Style 148 3" xfId="3120" xr:uid="{41939D06-5761-456D-95A0-86D059F19DCD}"/>
    <cellStyle name="Style 149" xfId="3121" xr:uid="{C64DEF0B-A25F-41E6-A9F8-AE6303925DB3}"/>
    <cellStyle name="Style 149 2" xfId="3122" xr:uid="{E91CC59A-7669-4478-8F0B-A66EB7D5C088}"/>
    <cellStyle name="Style 150" xfId="3123" xr:uid="{C73A7555-ECD9-4DA6-B8E8-0A479098029A}"/>
    <cellStyle name="Style 150 2" xfId="3124" xr:uid="{AFCE262F-DB71-495D-AE2C-22DF2D6A4E77}"/>
    <cellStyle name="Style 151" xfId="3125" xr:uid="{48B2F241-5490-466A-90C7-1711D6B53015}"/>
    <cellStyle name="Style 151 2" xfId="3126" xr:uid="{9C3212F8-8600-410C-9AC3-E81554D34C90}"/>
    <cellStyle name="Style 152" xfId="3127" xr:uid="{16C94816-2D78-4E81-BC76-381999F2E079}"/>
    <cellStyle name="Style 152 2" xfId="3128" xr:uid="{F968B427-22FB-4DDC-92B8-81C99E9AB422}"/>
    <cellStyle name="Style 152 3" xfId="3129" xr:uid="{BFFC63C6-2993-4EA5-90CA-E6EB1B6BFF0E}"/>
    <cellStyle name="Style 153" xfId="3130" xr:uid="{1A6774FF-15C1-4D8E-9C15-91558A40513A}"/>
    <cellStyle name="Style 153 2" xfId="3131" xr:uid="{D9E97CA7-74D3-4EA1-AFCA-45D669F097AD}"/>
    <cellStyle name="Style 154" xfId="3132" xr:uid="{7E53C595-F8B4-4BC3-8648-4D34FDCAFB4B}"/>
    <cellStyle name="Style 154 2" xfId="3133" xr:uid="{FEDE75A8-C04C-4344-91FB-B3500F4E99DD}"/>
    <cellStyle name="Style 159" xfId="3134" xr:uid="{61964FC2-EFBD-48E9-8550-E7F5AE075CA6}"/>
    <cellStyle name="Style 159 2" xfId="3135" xr:uid="{28862B70-A957-4290-BB9F-B15035E8D598}"/>
    <cellStyle name="Style 159 3" xfId="3136" xr:uid="{2FAF3395-56B3-4283-B13E-45C77553B6D5}"/>
    <cellStyle name="Style 160" xfId="3137" xr:uid="{7BE4D3E8-A13E-458E-A3C0-F7D03D24FF2D}"/>
    <cellStyle name="Style 160 2" xfId="3138" xr:uid="{B4EC07AF-05BE-4FF7-9143-9500A9916DE6}"/>
    <cellStyle name="Style 161" xfId="3139" xr:uid="{8F553CB9-FAE6-4525-8C1D-A6FCD612744A}"/>
    <cellStyle name="Style 161 2" xfId="3140" xr:uid="{FE0ABD66-0151-4E9C-BD38-4F21C80A956F}"/>
    <cellStyle name="Style 162" xfId="3141" xr:uid="{C1B2FE1F-CD97-4378-BECD-99821E685A8A}"/>
    <cellStyle name="Style 162 2" xfId="3142" xr:uid="{7AC1F44F-6649-45A7-91F4-347A5B857056}"/>
    <cellStyle name="Style 163" xfId="3143" xr:uid="{E46BFA31-548F-4AB1-8275-6E1AE0F64DF9}"/>
    <cellStyle name="Style 163 2" xfId="3144" xr:uid="{328DA35C-4418-490A-9548-286CBAFE6D31}"/>
    <cellStyle name="Style 163 3" xfId="3145" xr:uid="{C9A2CB80-61EF-499B-BCDA-FDB56AE366B5}"/>
    <cellStyle name="Style 164" xfId="3146" xr:uid="{EEEA56B6-C251-4413-95C1-B7A57E56647A}"/>
    <cellStyle name="Style 164 2" xfId="3147" xr:uid="{D395F261-97C3-4745-AB29-B2E69B142EB3}"/>
    <cellStyle name="Style 165" xfId="3148" xr:uid="{1DF7FC73-84C7-4EC6-B3FA-84DE5773818C}"/>
    <cellStyle name="Style 165 2" xfId="3149" xr:uid="{683E93C9-6C6C-49B4-B5D5-922DB049EE0D}"/>
    <cellStyle name="Style 21" xfId="307" xr:uid="{E7AC63A4-50DA-4A43-9FCD-BA784667FCDC}"/>
    <cellStyle name="Style 21 10" xfId="14799" xr:uid="{EF03467B-B9C2-4660-A7FC-CCC656546373}"/>
    <cellStyle name="Style 21 10 2" xfId="14800" xr:uid="{88C622C2-AB3D-4A19-86AE-A1D6649ECD5F}"/>
    <cellStyle name="Style 21 11" xfId="14801" xr:uid="{4B42C154-768E-417E-A60E-ED4527A14B2A}"/>
    <cellStyle name="Style 21 12" xfId="14802" xr:uid="{12BC9A7F-E19C-4D08-937D-0B3269E7A5CD}"/>
    <cellStyle name="Style 21 13" xfId="14798" xr:uid="{DFBF9957-B288-4DBE-AA95-C1F45729A2EE}"/>
    <cellStyle name="Style 21 2" xfId="308" xr:uid="{E6AB9F1C-12CD-4324-95CA-7F61480D5047}"/>
    <cellStyle name="Style 21 2 10" xfId="14804" xr:uid="{9091B545-446F-47DF-BFDE-7F42118691F4}"/>
    <cellStyle name="Style 21 2 11" xfId="14805" xr:uid="{6AFE1A36-7F07-44B8-BC73-D9AAEC0E88F6}"/>
    <cellStyle name="Style 21 2 12" xfId="14803" xr:uid="{D3BDCCFF-4B77-4A51-8CDE-B61F79FFC9EF}"/>
    <cellStyle name="Style 21 2 2" xfId="3152" xr:uid="{E96B49DB-1967-4D53-99AA-E7E4C6272A32}"/>
    <cellStyle name="Style 21 2 2 2" xfId="14807" xr:uid="{68372047-9EA5-4B0B-828E-93DA745EB63F}"/>
    <cellStyle name="Style 21 2 2 2 2" xfId="14808" xr:uid="{94103FCD-02A9-432A-8DD9-0EB2861BF81B}"/>
    <cellStyle name="Style 21 2 2 3" xfId="14809" xr:uid="{C1E825C7-7953-46D6-90EF-563A18DF2815}"/>
    <cellStyle name="Style 21 2 2 3 2" xfId="14810" xr:uid="{A169DADE-A40E-49CC-ADF2-06F524680B2F}"/>
    <cellStyle name="Style 21 2 2 4" xfId="14811" xr:uid="{36A21CAB-EAAE-479A-8939-6892FA74845A}"/>
    <cellStyle name="Style 21 2 2 5" xfId="14812" xr:uid="{82630C54-1253-47EE-AA10-BE61D5DAC2C8}"/>
    <cellStyle name="Style 21 2 2 6" xfId="14806" xr:uid="{310FEC3E-607E-4E2E-B3DA-A7E6E0D05939}"/>
    <cellStyle name="Style 21 2 3" xfId="3151" xr:uid="{9916C0CC-86C3-4D48-8388-4E1C7A2C9531}"/>
    <cellStyle name="Style 21 2 3 2" xfId="14814" xr:uid="{51BB91D9-7F3F-49E5-85B4-88D380CB0DE1}"/>
    <cellStyle name="Style 21 2 3 2 2" xfId="14815" xr:uid="{6726E634-10A5-4E44-A406-696F037713B9}"/>
    <cellStyle name="Style 21 2 3 3" xfId="14816" xr:uid="{4A202213-E7CB-4DF4-A9DD-4563BBC2D624}"/>
    <cellStyle name="Style 21 2 3 3 2" xfId="14817" xr:uid="{A669D7EF-4B46-4E31-A798-0DB5258369B8}"/>
    <cellStyle name="Style 21 2 3 4" xfId="14818" xr:uid="{668CA536-0B82-4895-AC0E-D4DB769A9EF7}"/>
    <cellStyle name="Style 21 2 3 5" xfId="14813" xr:uid="{48AF1CD1-1755-45F8-8EE6-1BDC2D9AF3D7}"/>
    <cellStyle name="Style 21 2 4" xfId="14819" xr:uid="{F5D6B229-6FAF-4FCF-AA49-868AE410C709}"/>
    <cellStyle name="Style 21 2 4 2" xfId="14820" xr:uid="{71E50F36-0228-4642-A449-96709065AA0F}"/>
    <cellStyle name="Style 21 2 4 2 2" xfId="14821" xr:uid="{290769F1-41D7-4B74-904B-BE67FBCC4F1E}"/>
    <cellStyle name="Style 21 2 4 3" xfId="14822" xr:uid="{881E71C2-BBDE-4EA9-9406-890694D7A173}"/>
    <cellStyle name="Style 21 2 4 3 2" xfId="14823" xr:uid="{D1B2D7A3-EA4A-4440-81B2-28592570AA03}"/>
    <cellStyle name="Style 21 2 4 4" xfId="14824" xr:uid="{C31376BF-4CB2-424C-8686-BC70FDB512D7}"/>
    <cellStyle name="Style 21 2 5" xfId="14825" xr:uid="{AB09629B-0B02-499B-945E-F9F5055553EA}"/>
    <cellStyle name="Style 21 2 5 2" xfId="14826" xr:uid="{D8928D9D-4D9F-4CC9-9474-DC6AA08121E5}"/>
    <cellStyle name="Style 21 2 5 2 2" xfId="14827" xr:uid="{4F8B3760-90F0-429B-9E2A-A6AE6568DEE4}"/>
    <cellStyle name="Style 21 2 5 3" xfId="14828" xr:uid="{BC329DF9-E735-4710-9611-CC0A0267DCFB}"/>
    <cellStyle name="Style 21 2 5 3 2" xfId="14829" xr:uid="{A2AEB016-E941-4F12-8F13-341B53354CBD}"/>
    <cellStyle name="Style 21 2 5 4" xfId="14830" xr:uid="{4B04C821-40C0-465D-9E42-58EC23D02C64}"/>
    <cellStyle name="Style 21 2 5 4 2" xfId="14831" xr:uid="{2171999D-0332-4D0B-AC7B-BE225BE28C77}"/>
    <cellStyle name="Style 21 2 5 5" xfId="14832" xr:uid="{CB148ECD-5C9A-47A0-ABB9-7C913A0C0184}"/>
    <cellStyle name="Style 21 2 6" xfId="14833" xr:uid="{9715AE31-5042-460A-AC68-E305536BE7DF}"/>
    <cellStyle name="Style 21 2 6 2" xfId="14834" xr:uid="{BC03C05C-6927-4F19-9169-5B1C9943CB48}"/>
    <cellStyle name="Style 21 2 6 2 2" xfId="14835" xr:uid="{95E957F4-4245-4CAF-9EA2-AF89996E3878}"/>
    <cellStyle name="Style 21 2 6 3" xfId="14836" xr:uid="{B498180E-BC7C-4423-BD78-A3FF179DF99B}"/>
    <cellStyle name="Style 21 2 6 3 2" xfId="14837" xr:uid="{B2306969-274E-4DEE-8708-E612446B2203}"/>
    <cellStyle name="Style 21 2 6 4" xfId="14838" xr:uid="{007FF6A8-B6B6-4732-9499-80D452991733}"/>
    <cellStyle name="Style 21 2 7" xfId="14839" xr:uid="{5AC44AC3-8962-42BF-A90E-A9F000FA20B4}"/>
    <cellStyle name="Style 21 2 7 2" xfId="14840" xr:uid="{1160846D-1086-4787-9D5B-44C3F818153C}"/>
    <cellStyle name="Style 21 2 8" xfId="14841" xr:uid="{16FC64CA-55AA-43E2-9909-FE6CF905EDE6}"/>
    <cellStyle name="Style 21 2 8 2" xfId="14842" xr:uid="{C3861388-83DD-4C39-9CD8-43A4CDD1505F}"/>
    <cellStyle name="Style 21 2 9" xfId="14843" xr:uid="{75BB04A8-0DBC-4F9A-9759-5482F6708F89}"/>
    <cellStyle name="Style 21 2 9 2" xfId="14844" xr:uid="{D1D65C21-EAEC-4907-B8E7-3EECA8649D43}"/>
    <cellStyle name="Style 21 3" xfId="3153" xr:uid="{B48EFAD5-E5F9-431E-9D7E-F3725BDEFF1B}"/>
    <cellStyle name="Style 21 3 2" xfId="4805" xr:uid="{98998EC4-78C2-420C-BE1F-3631C4138E1A}"/>
    <cellStyle name="Style 21 3 2 2" xfId="14847" xr:uid="{7BB81EE2-A10C-4CBC-AFA1-8B22B76A0DF5}"/>
    <cellStyle name="Style 21 3 2 3" xfId="14846" xr:uid="{3594F670-5D0F-451F-9F20-9F56AD6E17F5}"/>
    <cellStyle name="Style 21 3 3" xfId="14848" xr:uid="{62E58F41-8E97-4DFB-A32D-63EA19DB3F7E}"/>
    <cellStyle name="Style 21 3 3 2" xfId="14849" xr:uid="{F3C31C6F-D80B-4385-B112-EB697D6830D9}"/>
    <cellStyle name="Style 21 3 4" xfId="14850" xr:uid="{10F2A04D-08B6-44B5-BFFC-2CA62137BBF6}"/>
    <cellStyle name="Style 21 3 5" xfId="14851" xr:uid="{749BC79E-527D-4C80-B4C3-8C21025E57D8}"/>
    <cellStyle name="Style 21 3 6" xfId="14845" xr:uid="{0359EAA2-7938-43BB-9365-53AEF016E8AF}"/>
    <cellStyle name="Style 21 4" xfId="3154" xr:uid="{75646ABA-3954-4302-9E40-C4F7A9723AEF}"/>
    <cellStyle name="Style 21 4 2" xfId="14853" xr:uid="{C569CEB3-22E5-4493-A221-B1AC7565F741}"/>
    <cellStyle name="Style 21 4 2 2" xfId="14854" xr:uid="{046A2EE9-DBFA-4907-9B38-1A2EED74EF4D}"/>
    <cellStyle name="Style 21 4 3" xfId="14855" xr:uid="{F8DF63A0-1747-43FB-A611-3F70778D4C78}"/>
    <cellStyle name="Style 21 4 3 2" xfId="14856" xr:uid="{096F73E7-1EF1-4FE8-865F-3A328400F1C8}"/>
    <cellStyle name="Style 21 4 4" xfId="14857" xr:uid="{76EC3DD9-C155-45AE-B0DA-E01B022F06A0}"/>
    <cellStyle name="Style 21 4 5" xfId="14852" xr:uid="{D5C3F8F5-57D0-4E75-B61E-13C50E7A65E1}"/>
    <cellStyle name="Style 21 5" xfId="3150" xr:uid="{1C20EB0D-4D4B-480C-ADD7-AFE7930200EB}"/>
    <cellStyle name="Style 21 5 2" xfId="14859" xr:uid="{8EE39C31-F52B-4B90-92C8-7C98B1C9F2A1}"/>
    <cellStyle name="Style 21 5 2 2" xfId="14860" xr:uid="{9BFF4288-42C0-4036-80CF-EDA255007274}"/>
    <cellStyle name="Style 21 5 3" xfId="14861" xr:uid="{71753D4C-C75E-453A-B07A-09F3CC8F9A36}"/>
    <cellStyle name="Style 21 5 3 2" xfId="14862" xr:uid="{2E52C081-7D56-4F9D-87D3-487A6F79C6F6}"/>
    <cellStyle name="Style 21 5 4" xfId="14863" xr:uid="{9BB0B094-1560-48A4-A175-2EEAB43B40F4}"/>
    <cellStyle name="Style 21 5 5" xfId="14858" xr:uid="{62C9F269-01B7-492E-82DB-57385876D0F8}"/>
    <cellStyle name="Style 21 6" xfId="14864" xr:uid="{C12F2AFC-0D9B-43E2-A2DF-19452D262599}"/>
    <cellStyle name="Style 21 6 2" xfId="14865" xr:uid="{2ED2DE3F-3003-4610-A489-8BDD8600FD79}"/>
    <cellStyle name="Style 21 6 2 2" xfId="14866" xr:uid="{32690C46-6385-4520-A95D-9FD7EDC003EF}"/>
    <cellStyle name="Style 21 6 3" xfId="14867" xr:uid="{77BD91F1-6D7B-4185-8478-023D4B0F52B8}"/>
    <cellStyle name="Style 21 6 3 2" xfId="14868" xr:uid="{9463F672-1096-4BEB-8C71-E31F3E76C850}"/>
    <cellStyle name="Style 21 6 4" xfId="14869" xr:uid="{50E519BE-E213-478C-8EDB-E20EFF9B8425}"/>
    <cellStyle name="Style 21 6 4 2" xfId="14870" xr:uid="{A8FDC800-CA4D-4CE9-85C5-56D6AE996A7A}"/>
    <cellStyle name="Style 21 6 5" xfId="14871" xr:uid="{CD060453-D4E5-4B04-B30D-4F0BB68E14FA}"/>
    <cellStyle name="Style 21 7" xfId="14872" xr:uid="{1A89C4CF-867D-454A-853C-90F8F7581D28}"/>
    <cellStyle name="Style 21 7 2" xfId="14873" xr:uid="{0C0F7B3E-A622-48D5-81AF-2CD61381471E}"/>
    <cellStyle name="Style 21 7 2 2" xfId="14874" xr:uid="{019D4E96-BF65-4875-8395-AF18704021D8}"/>
    <cellStyle name="Style 21 7 3" xfId="14875" xr:uid="{AA354C0D-A875-4338-ACB0-98920DF2B3F7}"/>
    <cellStyle name="Style 21 7 3 2" xfId="14876" xr:uid="{F23F8D1E-573F-44A2-8396-C857A201CCD9}"/>
    <cellStyle name="Style 21 7 4" xfId="14877" xr:uid="{D5D4C403-704C-4D17-A5B9-13D01AD3AE7D}"/>
    <cellStyle name="Style 21 8" xfId="14878" xr:uid="{B37DDB8F-16B7-400A-B0D2-45839C64199C}"/>
    <cellStyle name="Style 21 8 2" xfId="14879" xr:uid="{FBF70A53-CAE9-4166-9AA1-399A03326495}"/>
    <cellStyle name="Style 21 9" xfId="14880" xr:uid="{9338EBD3-DB96-4846-AB22-0A88319D0A0A}"/>
    <cellStyle name="Style 21 9 2" xfId="14881" xr:uid="{605A22AF-E870-4023-8EC0-16E4201983CA}"/>
    <cellStyle name="Style 22" xfId="309" xr:uid="{E82B1A0A-5B3E-4BE0-9C57-F75BC79E898B}"/>
    <cellStyle name="Style 22 10" xfId="14883" xr:uid="{71684B2D-AA97-4050-BAE3-293C896F0121}"/>
    <cellStyle name="Style 22 11" xfId="14884" xr:uid="{766C2696-4859-421F-87BC-3695E399076C}"/>
    <cellStyle name="Style 22 12" xfId="14882" xr:uid="{A0CE83F8-4EEC-4A76-B1E3-EA1E8658C898}"/>
    <cellStyle name="Style 22 2" xfId="3156" xr:uid="{E9254392-4714-4ADD-909F-B0D2D08CEF45}"/>
    <cellStyle name="Style 22 2 2" xfId="14886" xr:uid="{2BB532B2-B22D-4097-AD51-9D075F6CA639}"/>
    <cellStyle name="Style 22 2 2 2" xfId="14887" xr:uid="{E5AF081E-E23F-4D7C-B64A-9F190D16CAB4}"/>
    <cellStyle name="Style 22 2 3" xfId="14888" xr:uid="{C655C66F-145F-4446-B679-03248333B7A0}"/>
    <cellStyle name="Style 22 2 3 2" xfId="14889" xr:uid="{9BE3B358-FA5D-4804-A8A3-5E1281F5429D}"/>
    <cellStyle name="Style 22 2 4" xfId="14890" xr:uid="{0196CFCA-128B-4CDE-902C-958F25C976D8}"/>
    <cellStyle name="Style 22 2 5" xfId="14891" xr:uid="{2182671D-20C4-4CB0-9260-6CB75CE39E16}"/>
    <cellStyle name="Style 22 2 6" xfId="14885" xr:uid="{739BFAD6-7D4A-4647-AD30-BDA48F6F5E18}"/>
    <cellStyle name="Style 22 3" xfId="3155" xr:uid="{14A8E8C4-7582-4D9C-AC68-79C00CA8423C}"/>
    <cellStyle name="Style 22 3 2" xfId="14893" xr:uid="{D655778B-3CFA-4B12-9AD3-F6CB5AC03DD3}"/>
    <cellStyle name="Style 22 3 2 2" xfId="14894" xr:uid="{FCD5F079-B52D-4806-AD01-E8FC00E7FC4F}"/>
    <cellStyle name="Style 22 3 3" xfId="14895" xr:uid="{2DD9F6A7-A383-4EA4-9EDE-9D0BFA0DA7D2}"/>
    <cellStyle name="Style 22 3 3 2" xfId="14896" xr:uid="{36AF334A-BDB4-4D1F-BBCB-E699C48160F2}"/>
    <cellStyle name="Style 22 3 4" xfId="14897" xr:uid="{735B3F86-723B-4842-8700-4E7FC831FA70}"/>
    <cellStyle name="Style 22 3 5" xfId="14892" xr:uid="{F499DC63-7776-48D3-8A53-07C75E632DCE}"/>
    <cellStyle name="Style 22 4" xfId="14898" xr:uid="{2168AFE5-991D-406C-9A9D-CE0C03DECDBE}"/>
    <cellStyle name="Style 22 4 2" xfId="14899" xr:uid="{17DE4496-C89A-4F16-82B9-17AF3CC0782E}"/>
    <cellStyle name="Style 22 4 2 2" xfId="14900" xr:uid="{0A67CF9A-3E5C-4AF6-9135-FA44689A7029}"/>
    <cellStyle name="Style 22 4 3" xfId="14901" xr:uid="{AF8E9DD4-FFE7-4CBA-A194-D93F78D3211D}"/>
    <cellStyle name="Style 22 4 3 2" xfId="14902" xr:uid="{B52C1D07-737C-4A76-8C86-A120FE30D5D2}"/>
    <cellStyle name="Style 22 4 4" xfId="14903" xr:uid="{B7740AF4-FDEE-48C7-85A9-DD3768A967EF}"/>
    <cellStyle name="Style 22 5" xfId="14904" xr:uid="{A9734957-69ED-46B7-942D-A8CA130EBD9A}"/>
    <cellStyle name="Style 22 5 2" xfId="14905" xr:uid="{18FD3863-E2DB-479F-8B93-17B33C8D1102}"/>
    <cellStyle name="Style 22 5 2 2" xfId="14906" xr:uid="{147B12EA-F843-44F1-A730-75884F8329A0}"/>
    <cellStyle name="Style 22 5 3" xfId="14907" xr:uid="{9A773340-33BE-4530-8208-F323547D4F44}"/>
    <cellStyle name="Style 22 5 3 2" xfId="14908" xr:uid="{891CBCAA-08CF-42C4-8467-A0BAE014FAFB}"/>
    <cellStyle name="Style 22 5 4" xfId="14909" xr:uid="{7AD0A878-A37D-4491-BDBE-F65977FAADF5}"/>
    <cellStyle name="Style 22 5 4 2" xfId="14910" xr:uid="{826C1769-7AEA-4416-84D6-A7D5461D2E09}"/>
    <cellStyle name="Style 22 5 5" xfId="14911" xr:uid="{8268FF94-1EA5-41AA-BBB4-F97FDBB1D795}"/>
    <cellStyle name="Style 22 6" xfId="14912" xr:uid="{CF849543-45F7-48BE-BF4C-18F9B3AC960A}"/>
    <cellStyle name="Style 22 6 2" xfId="14913" xr:uid="{76786C3D-9C77-456F-8DBE-DB23E252E016}"/>
    <cellStyle name="Style 22 6 2 2" xfId="14914" xr:uid="{A266B8D2-8ED3-4D1D-87E8-D1A7EF938A8F}"/>
    <cellStyle name="Style 22 6 3" xfId="14915" xr:uid="{4087CFBC-2D0C-4BF9-893B-63958BB04A67}"/>
    <cellStyle name="Style 22 6 3 2" xfId="14916" xr:uid="{28BBE847-EE0C-436C-AA7E-879B3C1ED40D}"/>
    <cellStyle name="Style 22 6 4" xfId="14917" xr:uid="{01F27696-A47A-4C06-838D-3D8897950A8D}"/>
    <cellStyle name="Style 22 7" xfId="14918" xr:uid="{98A7C104-277E-4FB3-8E68-6E1BE111F3DA}"/>
    <cellStyle name="Style 22 7 2" xfId="14919" xr:uid="{081CD41A-85A0-4D60-941B-2E8FD10A5895}"/>
    <cellStyle name="Style 22 8" xfId="14920" xr:uid="{44CFDEFC-3ECB-445F-BF6E-3B7895201C0E}"/>
    <cellStyle name="Style 22 8 2" xfId="14921" xr:uid="{02FE49C3-F877-45D8-8674-A2E3C5691778}"/>
    <cellStyle name="Style 22 9" xfId="14922" xr:uid="{E7AA6535-59A8-4BF8-976B-6FEC6A3DABFF}"/>
    <cellStyle name="Style 22 9 2" xfId="14923" xr:uid="{0F21F2D1-B2C0-4A8E-B65C-98CA67A3ADE2}"/>
    <cellStyle name="Style 23" xfId="310" xr:uid="{D102CF3F-2615-4DD7-B0C7-38EBE8D4ED2E}"/>
    <cellStyle name="Style 23 10" xfId="14925" xr:uid="{BD19FDB3-D838-4376-86D0-DCE81A471866}"/>
    <cellStyle name="Style 23 11" xfId="14926" xr:uid="{D1982B4D-03B8-4675-925A-5E5343B0D198}"/>
    <cellStyle name="Style 23 12" xfId="14924" xr:uid="{A5473C94-B78F-4167-8A88-8F5460D87E5A}"/>
    <cellStyle name="Style 23 2" xfId="3158" xr:uid="{B3FF9BB8-0669-43D5-9B85-1941F5E7F0DB}"/>
    <cellStyle name="Style 23 2 2" xfId="14928" xr:uid="{BBDD5408-E3F5-4B08-B04D-908E4CCA61E4}"/>
    <cellStyle name="Style 23 2 2 2" xfId="14929" xr:uid="{BE78C1F2-BD63-4D5E-94CD-FB07549A9BEC}"/>
    <cellStyle name="Style 23 2 3" xfId="14930" xr:uid="{C9585439-2397-4394-97A4-9142E558A877}"/>
    <cellStyle name="Style 23 2 3 2" xfId="14931" xr:uid="{3A782F04-B86B-4CAE-AE49-41A2675558C5}"/>
    <cellStyle name="Style 23 2 4" xfId="14932" xr:uid="{D46F0441-E11F-43CA-9633-84BBE86C769B}"/>
    <cellStyle name="Style 23 2 5" xfId="14933" xr:uid="{9B9A7194-6F19-4A03-80F3-9F3A133AED96}"/>
    <cellStyle name="Style 23 2 6" xfId="14927" xr:uid="{A75B2C19-3C14-4558-8692-94E8EB3753B9}"/>
    <cellStyle name="Style 23 3" xfId="3157" xr:uid="{5B067D0B-C4DF-439E-9B49-D7C6568FBAB2}"/>
    <cellStyle name="Style 23 3 2" xfId="14935" xr:uid="{9143F726-DF6B-4031-BB8C-972591A6966E}"/>
    <cellStyle name="Style 23 3 2 2" xfId="14936" xr:uid="{D8D311FC-1B94-4E32-8595-7D326B86CFB7}"/>
    <cellStyle name="Style 23 3 3" xfId="14937" xr:uid="{DFF13B53-87EE-4361-A2E2-EB996DD1B145}"/>
    <cellStyle name="Style 23 3 3 2" xfId="14938" xr:uid="{1A5EADB5-C526-4413-8318-81E06D692496}"/>
    <cellStyle name="Style 23 3 4" xfId="14939" xr:uid="{6666CF7E-5CF5-4526-B4B1-A5C4889FAABF}"/>
    <cellStyle name="Style 23 3 5" xfId="14934" xr:uid="{5DDA121C-141C-4F3A-A001-73FD4FCAEF78}"/>
    <cellStyle name="Style 23 4" xfId="14940" xr:uid="{D653BD20-994E-4C6D-8942-FEBE6BDB1DD7}"/>
    <cellStyle name="Style 23 4 2" xfId="14941" xr:uid="{388867F0-5961-4CF6-BF93-641A561A9887}"/>
    <cellStyle name="Style 23 4 2 2" xfId="14942" xr:uid="{37D5A033-3EC7-4E9E-ACAE-CB805A66F498}"/>
    <cellStyle name="Style 23 4 3" xfId="14943" xr:uid="{2188CE28-F030-49E2-A965-0276D3CFE09C}"/>
    <cellStyle name="Style 23 4 3 2" xfId="14944" xr:uid="{FF2575C5-2A4F-470C-9D6E-0A2534C0AE91}"/>
    <cellStyle name="Style 23 4 4" xfId="14945" xr:uid="{64A105F2-16DB-49A9-8533-15A527EA1141}"/>
    <cellStyle name="Style 23 5" xfId="14946" xr:uid="{CB40A685-BC01-499B-800E-8C3B86CA876C}"/>
    <cellStyle name="Style 23 5 2" xfId="14947" xr:uid="{CE69076F-AC5B-4839-AE07-6098E150FD4E}"/>
    <cellStyle name="Style 23 5 2 2" xfId="14948" xr:uid="{425F1C8F-F542-4C92-B8BA-F1014D8E309F}"/>
    <cellStyle name="Style 23 5 3" xfId="14949" xr:uid="{9C0F3044-61B0-4A45-9017-3D530DAA67A9}"/>
    <cellStyle name="Style 23 5 3 2" xfId="14950" xr:uid="{E1D977D9-B0FF-4183-B9C6-245E45155CB5}"/>
    <cellStyle name="Style 23 5 4" xfId="14951" xr:uid="{6F06EE69-4835-4540-B0DF-6547BEC7F1C5}"/>
    <cellStyle name="Style 23 5 4 2" xfId="14952" xr:uid="{EC722CBC-661E-475B-A6DE-1E88045204B4}"/>
    <cellStyle name="Style 23 5 5" xfId="14953" xr:uid="{6C7EA4CE-376B-42C5-A0EA-011DB058680D}"/>
    <cellStyle name="Style 23 6" xfId="14954" xr:uid="{6D2373B6-1583-4B64-8B44-00C3FADD6145}"/>
    <cellStyle name="Style 23 6 2" xfId="14955" xr:uid="{DD06BD47-FBBD-4A4C-85F2-14F3C94EEF84}"/>
    <cellStyle name="Style 23 6 2 2" xfId="14956" xr:uid="{B9C0BDE1-21A9-473A-8752-2499015100D5}"/>
    <cellStyle name="Style 23 6 3" xfId="14957" xr:uid="{31ADA998-58F2-4E15-B6E8-94CAE5B3427B}"/>
    <cellStyle name="Style 23 6 3 2" xfId="14958" xr:uid="{ECB1A399-8387-47D8-A73F-3B1164A98C83}"/>
    <cellStyle name="Style 23 6 4" xfId="14959" xr:uid="{72E06ED8-18E3-4E49-8B34-1941B59ED308}"/>
    <cellStyle name="Style 23 7" xfId="14960" xr:uid="{795E3E56-D4BE-4491-9BF9-F414FE72218D}"/>
    <cellStyle name="Style 23 7 2" xfId="14961" xr:uid="{C20F2DD7-C5ED-46DC-A91B-A9E4004F7B67}"/>
    <cellStyle name="Style 23 8" xfId="14962" xr:uid="{499AF3BC-1AE6-47F4-BE2E-33A29858601A}"/>
    <cellStyle name="Style 23 8 2" xfId="14963" xr:uid="{A0F2DF4E-D6A0-4935-80B0-BF2DCC5605CB}"/>
    <cellStyle name="Style 23 9" xfId="14964" xr:uid="{BD933855-5FF3-4076-A781-D8BCD3B5A36E}"/>
    <cellStyle name="Style 23 9 2" xfId="14965" xr:uid="{F2DCA098-25BB-42CE-A35F-BE14C35F44B6}"/>
    <cellStyle name="Style 24" xfId="311" xr:uid="{923CC778-43DC-49D6-9C57-3FAE34494866}"/>
    <cellStyle name="Style 24 10" xfId="14967" xr:uid="{9D9143A4-409D-4E0C-8E01-4E536F680CC8}"/>
    <cellStyle name="Style 24 11" xfId="14968" xr:uid="{160D7474-99A4-47A3-9956-E63F02371FD8}"/>
    <cellStyle name="Style 24 12" xfId="14966" xr:uid="{E6CA0A99-CBFC-4D0C-892C-8575B2B53A7E}"/>
    <cellStyle name="Style 24 2" xfId="3160" xr:uid="{85EF2F7A-03E4-4B7A-92D8-3E6687B0157C}"/>
    <cellStyle name="Style 24 2 2" xfId="14970" xr:uid="{640891FF-E659-44C1-A0C5-4CEEB61627BD}"/>
    <cellStyle name="Style 24 2 2 2" xfId="14971" xr:uid="{A168FB7A-8FCD-4C08-829D-86139970BC80}"/>
    <cellStyle name="Style 24 2 3" xfId="14972" xr:uid="{2378FB73-8096-4379-8C27-9613080DC5A1}"/>
    <cellStyle name="Style 24 2 3 2" xfId="14973" xr:uid="{008288B2-9FC2-46A4-8DC8-482B2E9E9486}"/>
    <cellStyle name="Style 24 2 4" xfId="14974" xr:uid="{FB7DCDA4-80A8-47CD-8A5D-5B82D730DE7D}"/>
    <cellStyle name="Style 24 2 5" xfId="14975" xr:uid="{E402F281-1481-4E91-81CF-6A2FD245B647}"/>
    <cellStyle name="Style 24 2 6" xfId="14969" xr:uid="{2DBF42CC-B83B-42D6-81D6-719721E67B01}"/>
    <cellStyle name="Style 24 3" xfId="3159" xr:uid="{3C2C6AE1-CF4E-408D-837E-17DDB09D112A}"/>
    <cellStyle name="Style 24 3 2" xfId="14977" xr:uid="{58CD179F-3321-45D1-B861-E1546718B036}"/>
    <cellStyle name="Style 24 3 2 2" xfId="14978" xr:uid="{B095ACCB-0C24-4574-9897-4900404B7758}"/>
    <cellStyle name="Style 24 3 3" xfId="14979" xr:uid="{2E069768-C35D-4F79-A8BF-1445558311E4}"/>
    <cellStyle name="Style 24 3 3 2" xfId="14980" xr:uid="{10FF1C5A-0CAC-4D6D-AFDB-B17F455AF39A}"/>
    <cellStyle name="Style 24 3 4" xfId="14981" xr:uid="{0C5FD6BE-3B7E-454F-A5BD-824A6A826F05}"/>
    <cellStyle name="Style 24 3 5" xfId="14976" xr:uid="{6C550B83-BE7D-4C3A-85F0-C93B186B22DD}"/>
    <cellStyle name="Style 24 4" xfId="14982" xr:uid="{E7F0777E-E57B-4EBC-B455-D46A386B8E0F}"/>
    <cellStyle name="Style 24 4 2" xfId="14983" xr:uid="{2DC9BC37-FB3D-46DE-BCD5-3E15735D9A7A}"/>
    <cellStyle name="Style 24 4 2 2" xfId="14984" xr:uid="{DF191459-B0C1-4F99-9B41-0191AD0E8601}"/>
    <cellStyle name="Style 24 4 3" xfId="14985" xr:uid="{6A432D34-CE09-4F58-A470-847AB0E52214}"/>
    <cellStyle name="Style 24 4 3 2" xfId="14986" xr:uid="{770FA006-9CE3-40A9-8B52-9FF4139145ED}"/>
    <cellStyle name="Style 24 4 4" xfId="14987" xr:uid="{413680B0-5044-4E10-A78A-A570E5275565}"/>
    <cellStyle name="Style 24 5" xfId="14988" xr:uid="{F4995C4A-783C-4B7C-97B3-C631C63C281A}"/>
    <cellStyle name="Style 24 5 2" xfId="14989" xr:uid="{B1DEBCA0-8FB4-4763-B976-304B16F212BD}"/>
    <cellStyle name="Style 24 5 2 2" xfId="14990" xr:uid="{6D57D120-AAD9-4563-8F76-17C79DFF6417}"/>
    <cellStyle name="Style 24 5 3" xfId="14991" xr:uid="{6D6BB0E3-55BD-4133-9C3A-216CB73A8DC0}"/>
    <cellStyle name="Style 24 5 3 2" xfId="14992" xr:uid="{7089BD36-506C-4236-83BC-19F4D05F30F6}"/>
    <cellStyle name="Style 24 5 4" xfId="14993" xr:uid="{17FB234B-D60C-4BB4-BDDB-6DF4A1AB9650}"/>
    <cellStyle name="Style 24 5 4 2" xfId="14994" xr:uid="{2A79DEC1-61CD-46C7-8DD2-966995518659}"/>
    <cellStyle name="Style 24 5 5" xfId="14995" xr:uid="{BCFD84B5-3589-4610-8631-81D49FAA80D3}"/>
    <cellStyle name="Style 24 6" xfId="14996" xr:uid="{731D830B-0C87-4FF4-84E4-0B88627E1B6B}"/>
    <cellStyle name="Style 24 6 2" xfId="14997" xr:uid="{0D9DB308-BAE7-4341-8362-33144AF7231C}"/>
    <cellStyle name="Style 24 6 2 2" xfId="14998" xr:uid="{7C711B34-894A-47BA-8B0A-06DF436C68D5}"/>
    <cellStyle name="Style 24 6 3" xfId="14999" xr:uid="{AC73B838-E3CC-487B-ABC2-54D26FD502CB}"/>
    <cellStyle name="Style 24 6 3 2" xfId="15000" xr:uid="{B1BAB513-F978-49E0-9B9D-44B195666618}"/>
    <cellStyle name="Style 24 6 4" xfId="15001" xr:uid="{30F6AC5C-6F99-422B-A7BC-8B776149BE5A}"/>
    <cellStyle name="Style 24 7" xfId="15002" xr:uid="{B60575D1-6D00-4C92-B68A-7624E8EF58CB}"/>
    <cellStyle name="Style 24 7 2" xfId="15003" xr:uid="{EE441C19-D6F7-4802-819D-667F685D011F}"/>
    <cellStyle name="Style 24 8" xfId="15004" xr:uid="{7090F249-A699-44C5-B25E-F4FF4F9CF8E7}"/>
    <cellStyle name="Style 24 8 2" xfId="15005" xr:uid="{139644CA-7C87-4367-9CAC-1C9EC8C8E502}"/>
    <cellStyle name="Style 24 9" xfId="15006" xr:uid="{D3057B15-74DF-468F-BF33-81495E8308B5}"/>
    <cellStyle name="Style 24 9 2" xfId="15007" xr:uid="{186C306D-CCC8-4CC8-B590-3CD10BDC9EDC}"/>
    <cellStyle name="Style 25" xfId="312" xr:uid="{9B887521-74B7-4C53-9123-51F0E6DB69D9}"/>
    <cellStyle name="Style 25 10" xfId="15009" xr:uid="{F7809613-84F6-4EF9-9671-9E607F0552D5}"/>
    <cellStyle name="Style 25 10 2" xfId="15010" xr:uid="{EE2B87AC-382D-48BB-BC7A-39742535C113}"/>
    <cellStyle name="Style 25 11" xfId="15011" xr:uid="{7AD60BC8-3F0D-4591-9CDE-73183FEF5AE0}"/>
    <cellStyle name="Style 25 12" xfId="15012" xr:uid="{7D99625D-5167-47D8-A86D-0377CE2EEBFA}"/>
    <cellStyle name="Style 25 13" xfId="15008" xr:uid="{DE66848E-30C9-46A5-A453-DD8E4BD9EC06}"/>
    <cellStyle name="Style 25 2" xfId="313" xr:uid="{A9255F22-ED06-4F5B-8610-35B244C0D387}"/>
    <cellStyle name="Style 25 2 10" xfId="15014" xr:uid="{4F52E433-B8BB-4E83-A6EF-71F85C095B4F}"/>
    <cellStyle name="Style 25 2 11" xfId="15015" xr:uid="{303798A2-E456-470B-8089-B4D6F3143C1A}"/>
    <cellStyle name="Style 25 2 12" xfId="15013" xr:uid="{81E89486-8FE6-4B7B-AD69-90E3186760BB}"/>
    <cellStyle name="Style 25 2 2" xfId="4806" xr:uid="{8355C751-3411-4A28-88AF-50AF9281BC2C}"/>
    <cellStyle name="Style 25 2 2 2" xfId="15017" xr:uid="{A35282D1-2FAB-4DAA-83FF-9FC2DC3B25DB}"/>
    <cellStyle name="Style 25 2 2 2 2" xfId="15018" xr:uid="{2D4A2B06-1401-447A-B1A8-E5442DC30C5E}"/>
    <cellStyle name="Style 25 2 2 3" xfId="15019" xr:uid="{F27E952A-0392-4094-AF3C-FE5C42E05F04}"/>
    <cellStyle name="Style 25 2 2 3 2" xfId="15020" xr:uid="{0C7FB578-06F0-4EA5-A414-5C320ECF1CA2}"/>
    <cellStyle name="Style 25 2 2 4" xfId="15021" xr:uid="{AC2769BC-ADFF-4962-AA5C-D2013D45EEAA}"/>
    <cellStyle name="Style 25 2 2 5" xfId="15022" xr:uid="{D73F0676-23B0-4300-92AF-B60C403E145E}"/>
    <cellStyle name="Style 25 2 2 6" xfId="15016" xr:uid="{1672288D-7500-4200-B302-42D7B0EC72BD}"/>
    <cellStyle name="Style 25 2 3" xfId="15023" xr:uid="{A9B71E0C-77F9-4906-BE41-BC6638F7363D}"/>
    <cellStyle name="Style 25 2 3 2" xfId="15024" xr:uid="{B3DD5DAE-5780-4B48-9A24-BDE2A12F921D}"/>
    <cellStyle name="Style 25 2 3 2 2" xfId="15025" xr:uid="{192F9BCE-3C03-4D73-A0EF-67F955084130}"/>
    <cellStyle name="Style 25 2 3 3" xfId="15026" xr:uid="{CA2DF8B9-EE99-43AA-89EA-B5525E6C47C1}"/>
    <cellStyle name="Style 25 2 3 3 2" xfId="15027" xr:uid="{F4B89F60-C6DC-412A-82FA-7137B77C1BE4}"/>
    <cellStyle name="Style 25 2 3 4" xfId="15028" xr:uid="{EDE9B291-9781-4A43-80E4-6D63C6885C74}"/>
    <cellStyle name="Style 25 2 4" xfId="15029" xr:uid="{DF0E8678-FC2F-4D5E-AA02-B719487DB915}"/>
    <cellStyle name="Style 25 2 4 2" xfId="15030" xr:uid="{5C7ABA43-3313-4DA2-A971-DB04FB6BEB56}"/>
    <cellStyle name="Style 25 2 4 2 2" xfId="15031" xr:uid="{E657AF05-DF60-4BE5-BEB8-AE2E634E7C23}"/>
    <cellStyle name="Style 25 2 4 3" xfId="15032" xr:uid="{4B9C9C7A-3151-44DC-A9A2-A9A7C0CB3882}"/>
    <cellStyle name="Style 25 2 4 3 2" xfId="15033" xr:uid="{AA2B1AE3-7FB7-47D1-B5FB-97AE838BB817}"/>
    <cellStyle name="Style 25 2 4 4" xfId="15034" xr:uid="{C408596F-3935-4C3C-8182-5C91F6194F63}"/>
    <cellStyle name="Style 25 2 5" xfId="15035" xr:uid="{797062DC-E618-4F06-8CC2-4E8A361D7749}"/>
    <cellStyle name="Style 25 2 5 2" xfId="15036" xr:uid="{25AC699B-FC9C-4D8B-9D89-4A1F38D3052D}"/>
    <cellStyle name="Style 25 2 5 2 2" xfId="15037" xr:uid="{C63971FA-DE89-4BA3-A44C-B280D9E1F0E8}"/>
    <cellStyle name="Style 25 2 5 3" xfId="15038" xr:uid="{EA73942C-D778-4AB2-8317-080E98B50286}"/>
    <cellStyle name="Style 25 2 5 3 2" xfId="15039" xr:uid="{54285EE7-0E0D-4B47-99FD-C9DE852785FA}"/>
    <cellStyle name="Style 25 2 5 4" xfId="15040" xr:uid="{8784DF2F-0061-425F-BD31-9CE4A7AA5BE8}"/>
    <cellStyle name="Style 25 2 5 4 2" xfId="15041" xr:uid="{91B34D41-787A-49FF-BAA9-AD4D976D3C05}"/>
    <cellStyle name="Style 25 2 5 5" xfId="15042" xr:uid="{5C27D6AA-FB6F-4AE1-B605-DBA34040303D}"/>
    <cellStyle name="Style 25 2 6" xfId="15043" xr:uid="{EAE06B1D-5587-4F9C-8218-9C33FCDD77A9}"/>
    <cellStyle name="Style 25 2 6 2" xfId="15044" xr:uid="{1B636665-4564-4A0E-97D1-31DA3CE45AF1}"/>
    <cellStyle name="Style 25 2 6 2 2" xfId="15045" xr:uid="{72581EBF-48FC-4903-BCAC-CD237A204CF8}"/>
    <cellStyle name="Style 25 2 6 3" xfId="15046" xr:uid="{DD604ACC-C8D0-4FE1-947A-B90662B6A4C2}"/>
    <cellStyle name="Style 25 2 6 3 2" xfId="15047" xr:uid="{51A23C5A-27BF-49AE-AF75-509B9D0C5275}"/>
    <cellStyle name="Style 25 2 6 4" xfId="15048" xr:uid="{1DC381B8-1F63-46DA-85CA-B5EE9DFA49A9}"/>
    <cellStyle name="Style 25 2 7" xfId="15049" xr:uid="{09645728-0245-4F49-A32F-C56A90AAF51F}"/>
    <cellStyle name="Style 25 2 7 2" xfId="15050" xr:uid="{D618D667-411C-4994-8ED1-2641107630AE}"/>
    <cellStyle name="Style 25 2 8" xfId="15051" xr:uid="{8FF2B2D1-2387-453F-864D-AD46294E71E0}"/>
    <cellStyle name="Style 25 2 8 2" xfId="15052" xr:uid="{2877D990-CE78-4B21-913E-160065E0F39D}"/>
    <cellStyle name="Style 25 2 9" xfId="15053" xr:uid="{03A56C6D-913A-4BC8-ACFB-32AC26C83E96}"/>
    <cellStyle name="Style 25 2 9 2" xfId="15054" xr:uid="{4D865CCD-1219-46CD-ABEB-AE68B5192BA1}"/>
    <cellStyle name="Style 25 3" xfId="3162" xr:uid="{8E7A3C62-2616-4595-90F4-0C7FABD8A29E}"/>
    <cellStyle name="Style 25 3 2" xfId="4807" xr:uid="{DB30E76B-7992-43A8-8A0B-E648478192C7}"/>
    <cellStyle name="Style 25 3 2 2" xfId="15057" xr:uid="{5F5AF129-1A90-4447-88C1-2C798E3F247A}"/>
    <cellStyle name="Style 25 3 2 3" xfId="15056" xr:uid="{78E9B604-D3B8-4B85-8D17-B29398CA4AD5}"/>
    <cellStyle name="Style 25 3 3" xfId="15058" xr:uid="{0203B95D-A0F5-4AC8-8B79-8CB76E78FCD3}"/>
    <cellStyle name="Style 25 3 3 2" xfId="15059" xr:uid="{01143A0B-49D4-4F01-9C77-F97DB2039F3B}"/>
    <cellStyle name="Style 25 3 4" xfId="15060" xr:uid="{DA6C9E84-05CB-43A6-A56B-F008235DFFD9}"/>
    <cellStyle name="Style 25 3 5" xfId="15061" xr:uid="{697FD8D2-F4CB-44AF-A510-905C9DDA404A}"/>
    <cellStyle name="Style 25 3 6" xfId="15055" xr:uid="{6BDC93A6-13DB-4F93-A8E8-DF9A401A756F}"/>
    <cellStyle name="Style 25 4" xfId="3161" xr:uid="{63DCFA62-8589-4CD6-823E-0F057F005A11}"/>
    <cellStyle name="Style 25 4 2" xfId="15063" xr:uid="{E367D19D-DEB0-4559-AE46-D627BF314E01}"/>
    <cellStyle name="Style 25 4 2 2" xfId="15064" xr:uid="{1D60BF6D-E107-4754-92B0-23B5415FB490}"/>
    <cellStyle name="Style 25 4 3" xfId="15065" xr:uid="{E1A310C7-67F1-49AB-A1CD-621611430324}"/>
    <cellStyle name="Style 25 4 3 2" xfId="15066" xr:uid="{4828DF4E-C043-4270-8FA5-B53E1D272D4D}"/>
    <cellStyle name="Style 25 4 4" xfId="15067" xr:uid="{8C2E0DFD-03FF-43C6-A9CD-5B8F0B04F4CA}"/>
    <cellStyle name="Style 25 4 5" xfId="15062" xr:uid="{AC5C836F-E4D3-4172-B58C-9ACA8562989D}"/>
    <cellStyle name="Style 25 5" xfId="15068" xr:uid="{CBD027C0-13FE-4A79-9DAE-A3C50F8E4D97}"/>
    <cellStyle name="Style 25 5 2" xfId="15069" xr:uid="{FEFC6598-00E4-44C1-91F2-954065FE6F1B}"/>
    <cellStyle name="Style 25 5 2 2" xfId="15070" xr:uid="{DDE3ABA9-C41A-4225-93B1-5F3DDA729849}"/>
    <cellStyle name="Style 25 5 3" xfId="15071" xr:uid="{CA9DD963-4654-4771-9295-4909CBDB6FB8}"/>
    <cellStyle name="Style 25 5 3 2" xfId="15072" xr:uid="{2A00B977-4C17-450E-86B2-1B4FE5F564F5}"/>
    <cellStyle name="Style 25 5 4" xfId="15073" xr:uid="{6A491C52-EE5D-4283-BF05-B34F29451F65}"/>
    <cellStyle name="Style 25 6" xfId="15074" xr:uid="{DC8A02D4-826D-41EA-8A68-5B143301B949}"/>
    <cellStyle name="Style 25 6 2" xfId="15075" xr:uid="{F110ACFD-C216-4BBF-A0DA-490B1720F949}"/>
    <cellStyle name="Style 25 6 2 2" xfId="15076" xr:uid="{E196F648-8759-4715-9485-482A2D9D8797}"/>
    <cellStyle name="Style 25 6 3" xfId="15077" xr:uid="{26645E7D-E15B-4F86-8E6B-8A344D0A77F5}"/>
    <cellStyle name="Style 25 6 3 2" xfId="15078" xr:uid="{C3B07B2D-E55E-408B-A6A2-3BE6E24C94AA}"/>
    <cellStyle name="Style 25 6 4" xfId="15079" xr:uid="{72898DAF-CC31-4F1E-B24A-FB89B0AA4064}"/>
    <cellStyle name="Style 25 6 4 2" xfId="15080" xr:uid="{55007A3C-431A-469B-AAFF-BCE16C23D1CD}"/>
    <cellStyle name="Style 25 6 5" xfId="15081" xr:uid="{B5467561-B370-4CE7-9296-03ECE4E482D5}"/>
    <cellStyle name="Style 25 7" xfId="15082" xr:uid="{B5E68D75-ED49-4DB5-A0DB-46872BD7D332}"/>
    <cellStyle name="Style 25 7 2" xfId="15083" xr:uid="{3D761A35-9AAE-4121-B5E1-9ECE9DAA09A1}"/>
    <cellStyle name="Style 25 7 2 2" xfId="15084" xr:uid="{04799633-A89A-47FB-9D0E-27FCE5D80055}"/>
    <cellStyle name="Style 25 7 3" xfId="15085" xr:uid="{FDC9D1C1-899A-4985-A288-A4A5609DEF8C}"/>
    <cellStyle name="Style 25 7 3 2" xfId="15086" xr:uid="{15F061FB-1E35-43A9-AC02-8DEF35283F1E}"/>
    <cellStyle name="Style 25 7 4" xfId="15087" xr:uid="{AE23E7D3-B475-40ED-9153-592E416994EB}"/>
    <cellStyle name="Style 25 8" xfId="15088" xr:uid="{66ED9B38-C941-43A9-99D4-0FAA4828870C}"/>
    <cellStyle name="Style 25 8 2" xfId="15089" xr:uid="{F9A27640-BC19-44CD-8AC2-09D7FCB5F489}"/>
    <cellStyle name="Style 25 9" xfId="15090" xr:uid="{03AF9BE1-ED64-4B0D-B1B9-2E9D2D750D4A}"/>
    <cellStyle name="Style 25 9 2" xfId="15091" xr:uid="{50ADDB73-CAC3-4D4B-85FA-AAA2B9D8AD2A}"/>
    <cellStyle name="Style 26" xfId="314" xr:uid="{9347F462-7751-4A07-BFD3-F5D6835488A6}"/>
    <cellStyle name="Style 26 10" xfId="15093" xr:uid="{B0A4F4A3-12AC-4A5F-A23C-F13E3F8186D5}"/>
    <cellStyle name="Style 26 11" xfId="15094" xr:uid="{85E99926-5E51-40E1-9324-7BAB92B79B33}"/>
    <cellStyle name="Style 26 12" xfId="15092" xr:uid="{2540EA13-AE1C-439D-BF70-1A7B3F1B3311}"/>
    <cellStyle name="Style 26 2" xfId="3164" xr:uid="{E064617A-5DBD-4B30-8F6E-100DC59A66D6}"/>
    <cellStyle name="Style 26 2 2" xfId="15096" xr:uid="{3275318E-26CE-46C1-A3DC-3A8E696D4D37}"/>
    <cellStyle name="Style 26 2 2 2" xfId="15097" xr:uid="{F30127A8-CB2E-4449-9E05-4BA9B6E75920}"/>
    <cellStyle name="Style 26 2 3" xfId="15098" xr:uid="{688A48C1-332A-40C0-9933-E839BEDEA79E}"/>
    <cellStyle name="Style 26 2 3 2" xfId="15099" xr:uid="{873C4E4D-169F-4DF1-A859-55F359C703ED}"/>
    <cellStyle name="Style 26 2 4" xfId="15100" xr:uid="{B943AB45-759E-4EBF-886B-0BD106C98787}"/>
    <cellStyle name="Style 26 2 5" xfId="15101" xr:uid="{8774EB27-3816-4257-BEDD-84D8C5577569}"/>
    <cellStyle name="Style 26 2 6" xfId="15095" xr:uid="{346F2A6D-2077-40D0-B4B9-714563CACAA7}"/>
    <cellStyle name="Style 26 3" xfId="3163" xr:uid="{467437BE-B426-4095-9D6B-73D9419C1A0F}"/>
    <cellStyle name="Style 26 3 2" xfId="15103" xr:uid="{B62B2C27-B1D9-4B05-94ED-36AAB0B27E3C}"/>
    <cellStyle name="Style 26 3 2 2" xfId="15104" xr:uid="{12E33040-661A-4E4B-AD4D-C2D3C3A245F7}"/>
    <cellStyle name="Style 26 3 3" xfId="15105" xr:uid="{CBB85212-0325-4154-90B6-BFCCB46E9361}"/>
    <cellStyle name="Style 26 3 3 2" xfId="15106" xr:uid="{1FDB6A42-215D-4D9F-9035-9793881A2339}"/>
    <cellStyle name="Style 26 3 4" xfId="15107" xr:uid="{A3446AAD-9DF3-46FA-B741-2655C52391E2}"/>
    <cellStyle name="Style 26 3 5" xfId="15102" xr:uid="{0DD5F33F-FDC1-4217-A997-2292B42EEA2E}"/>
    <cellStyle name="Style 26 4" xfId="15108" xr:uid="{64F905BB-0133-44EC-B95D-F84D0E3C0014}"/>
    <cellStyle name="Style 26 4 2" xfId="15109" xr:uid="{9C142B49-4502-4598-9CE6-C08BFBA8B8E3}"/>
    <cellStyle name="Style 26 4 2 2" xfId="15110" xr:uid="{48183F38-BB7A-4F4F-9533-AA31BAE75185}"/>
    <cellStyle name="Style 26 4 3" xfId="15111" xr:uid="{FFD3108C-F596-48C3-BEDE-0FBCC7A90BBE}"/>
    <cellStyle name="Style 26 4 3 2" xfId="15112" xr:uid="{2758543D-D798-48FB-B90D-FF0C9835A5C6}"/>
    <cellStyle name="Style 26 4 4" xfId="15113" xr:uid="{5DF6B84F-E71B-4A51-A5DD-F2C33FD14A1B}"/>
    <cellStyle name="Style 26 5" xfId="15114" xr:uid="{84B4C08C-80DA-41BD-836C-1211CA7F526F}"/>
    <cellStyle name="Style 26 5 2" xfId="15115" xr:uid="{441B1DE9-31BD-4EA4-B3D9-F115A08FBFB3}"/>
    <cellStyle name="Style 26 5 2 2" xfId="15116" xr:uid="{74C42F73-7603-4CCA-813A-9B0E07891F82}"/>
    <cellStyle name="Style 26 5 3" xfId="15117" xr:uid="{69B4F11B-BAD9-49EF-A96D-269E6597D73E}"/>
    <cellStyle name="Style 26 5 3 2" xfId="15118" xr:uid="{7BC7574F-DB4F-4C10-8CC6-0A484C4C1517}"/>
    <cellStyle name="Style 26 5 4" xfId="15119" xr:uid="{AA0CE21B-4AC8-4916-B1B2-8374E25ECA8D}"/>
    <cellStyle name="Style 26 5 4 2" xfId="15120" xr:uid="{F9C05EF5-D92C-4A03-8133-FF7648FB2BA7}"/>
    <cellStyle name="Style 26 5 5" xfId="15121" xr:uid="{515016CB-3552-4B9D-A396-422679383C12}"/>
    <cellStyle name="Style 26 6" xfId="15122" xr:uid="{9308DB66-450D-4F4C-88A2-C3FD1AC2F25F}"/>
    <cellStyle name="Style 26 6 2" xfId="15123" xr:uid="{CBF7B7AF-42B7-42C0-A3B3-4254EAA6F9D2}"/>
    <cellStyle name="Style 26 6 2 2" xfId="15124" xr:uid="{BFE6EC23-AF35-41C2-948B-BABECFCFFB5C}"/>
    <cellStyle name="Style 26 6 3" xfId="15125" xr:uid="{9C8C9364-CA98-4795-A83B-618296DD5688}"/>
    <cellStyle name="Style 26 6 3 2" xfId="15126" xr:uid="{616AF6E4-4C20-4061-A92F-928A5DDEF695}"/>
    <cellStyle name="Style 26 6 4" xfId="15127" xr:uid="{CC596BAA-7BA5-4715-A4B3-C0E369E0FADA}"/>
    <cellStyle name="Style 26 7" xfId="15128" xr:uid="{817460FB-0E75-4DA7-9EE6-0BCC41D6104F}"/>
    <cellStyle name="Style 26 7 2" xfId="15129" xr:uid="{3055F4ED-6F34-4585-B5A4-B75E6F759D10}"/>
    <cellStyle name="Style 26 8" xfId="15130" xr:uid="{430FF81B-14F7-4DA0-BBAA-AFB97579A838}"/>
    <cellStyle name="Style 26 8 2" xfId="15131" xr:uid="{8CDFBE74-D835-4762-AE2B-838C1F6B2595}"/>
    <cellStyle name="Style 26 9" xfId="15132" xr:uid="{66C19CA3-05D4-438F-A71D-210A7F0836EA}"/>
    <cellStyle name="Style 26 9 2" xfId="15133" xr:uid="{DD5557A1-4F4B-4B6D-B526-FD4D982E3DF6}"/>
    <cellStyle name="Style 27" xfId="3165" xr:uid="{05D9B274-14B1-454B-9845-660A5BEF2897}"/>
    <cellStyle name="Style 27 2" xfId="3166" xr:uid="{F8BE3F72-EAB3-42B5-A642-03589CF458A4}"/>
    <cellStyle name="Style 35" xfId="3167" xr:uid="{238EFAF9-E884-46F8-807A-22A7EA6641E7}"/>
    <cellStyle name="Style 35 2" xfId="3168" xr:uid="{70714536-75F4-41A9-AD26-2088EF7CC15B}"/>
    <cellStyle name="Style 35 3" xfId="3169" xr:uid="{69F7F54B-E0A1-4B9D-A0A1-27472DE0A820}"/>
    <cellStyle name="Style 36" xfId="3170" xr:uid="{0710D03A-2B9E-40E4-89A0-E02E2C28B769}"/>
    <cellStyle name="Style 36 2" xfId="3171" xr:uid="{43118C59-3D80-4BD5-AA10-580816BA93B3}"/>
    <cellStyle name="Style 37" xfId="3172" xr:uid="{0589FCC3-FA8D-4F50-A393-078FA2096482}"/>
    <cellStyle name="Style 37 2" xfId="3173" xr:uid="{694F544A-4DAC-40A2-84ED-1402AD5E30B3}"/>
    <cellStyle name="Style 38" xfId="3174" xr:uid="{B77D2F14-C8A2-4398-BA51-255BA4850D4A}"/>
    <cellStyle name="Style 38 2" xfId="3175" xr:uid="{47C4AA83-70EF-4247-82E2-3891E2B697BD}"/>
    <cellStyle name="Style 39" xfId="3176" xr:uid="{12012F21-625C-47AB-BE27-3C9423CBDE6D}"/>
    <cellStyle name="Style 39 2" xfId="3177" xr:uid="{B589F3DE-59DB-48F6-A152-1501EA2D0738}"/>
    <cellStyle name="Style 39 3" xfId="3178" xr:uid="{B6FE2AB9-197F-4C5A-8192-1B53C50AEBF3}"/>
    <cellStyle name="Style 40" xfId="3179" xr:uid="{EF6EA09D-C7AD-46AB-AB50-5B405D8BADDB}"/>
    <cellStyle name="Style 40 2" xfId="3180" xr:uid="{5A0C7569-10A0-40C2-AF53-3C6060BEE4A1}"/>
    <cellStyle name="Style 41" xfId="3181" xr:uid="{19A400CB-23B7-427B-BF1A-262E1A3C1EEB}"/>
    <cellStyle name="Style 41 2" xfId="3182" xr:uid="{87FD2D58-4CF8-4370-A1EB-8377F07865EF}"/>
    <cellStyle name="Style 46" xfId="3183" xr:uid="{043D7378-ACDD-4D8F-8E8F-27CFB590B576}"/>
    <cellStyle name="Style 46 2" xfId="3184" xr:uid="{FF3BDF80-5270-4954-8A56-6599EABB1105}"/>
    <cellStyle name="Style 46 3" xfId="3185" xr:uid="{6F440BBE-C45C-4D2A-95C2-D35B1FFDE4B7}"/>
    <cellStyle name="Style 47" xfId="3186" xr:uid="{ED6043BB-E5FC-4C5A-88AA-05CF0E979DFB}"/>
    <cellStyle name="Style 47 2" xfId="3187" xr:uid="{6859FF90-5614-42ED-82C1-33513876D12B}"/>
    <cellStyle name="Style 48" xfId="3188" xr:uid="{2F187149-4620-4A11-8D42-BFC1E3463BE4}"/>
    <cellStyle name="Style 48 2" xfId="3189" xr:uid="{85547924-8027-4943-9268-74C7493A2BD4}"/>
    <cellStyle name="Style 49" xfId="3190" xr:uid="{F3F3F7B2-F725-42E9-B1B0-8030BEDCEB02}"/>
    <cellStyle name="Style 49 2" xfId="3191" xr:uid="{90FED202-38F0-4E79-9CEA-A20A86920C53}"/>
    <cellStyle name="Style 50" xfId="3192" xr:uid="{63D1F4C1-1374-4948-89C2-DFF5F423E2B8}"/>
    <cellStyle name="Style 50 2" xfId="3193" xr:uid="{9550AA93-7674-42C1-91E1-58E501B71848}"/>
    <cellStyle name="Style 50 3" xfId="3194" xr:uid="{FA0C3B0C-82DD-4CC5-8213-15FBDC6DACC9}"/>
    <cellStyle name="Style 51" xfId="3195" xr:uid="{DE01E2F1-4A12-455F-A8D8-AAFC5341B33D}"/>
    <cellStyle name="Style 51 2" xfId="3196" xr:uid="{9B2855D3-8167-4ADA-88EE-86557AFCFB55}"/>
    <cellStyle name="Style 52" xfId="3197" xr:uid="{98AD829C-E3A2-48AA-8F77-26CAAA94D2BC}"/>
    <cellStyle name="Style 52 2" xfId="3198" xr:uid="{748CF198-E676-44EB-A8B2-2EE6460D6D51}"/>
    <cellStyle name="Style 58" xfId="3199" xr:uid="{24FA162C-BAE2-4932-9B4F-6C8ED08AF00D}"/>
    <cellStyle name="Style 58 2" xfId="3200" xr:uid="{6B5660C7-76FE-41CB-98F0-B82EA1A588A9}"/>
    <cellStyle name="Style 58 3" xfId="3201" xr:uid="{CA6ED8AC-2070-4D51-9EE3-D45A90CF7048}"/>
    <cellStyle name="Style 59" xfId="3202" xr:uid="{238FBB80-BEB2-44E1-A7C7-3B18CB6194AA}"/>
    <cellStyle name="Style 59 2" xfId="3203" xr:uid="{B7B58AC4-4058-4FE7-AD4A-596B3DA659EA}"/>
    <cellStyle name="Style 60" xfId="3204" xr:uid="{0D289003-2E78-40BC-9B1E-6496431C3D1D}"/>
    <cellStyle name="Style 60 2" xfId="3205" xr:uid="{9CE875B7-FCD3-4799-BEBB-1806838CE3B1}"/>
    <cellStyle name="Style 61" xfId="3206" xr:uid="{DBE0C8B3-B7F4-4B21-AC03-B816C548E3D6}"/>
    <cellStyle name="Style 61 2" xfId="3207" xr:uid="{224BF902-FAE8-4B7C-939C-B9EA06C9CDA3}"/>
    <cellStyle name="Style 62" xfId="3208" xr:uid="{1C0E8215-36BF-4328-8999-F918F61BFBA9}"/>
    <cellStyle name="Style 62 2" xfId="3209" xr:uid="{B45A6B65-908F-468B-9F40-8256CE5622E9}"/>
    <cellStyle name="Style 62 3" xfId="3210" xr:uid="{33C552D9-F9A0-40BC-BD0D-C5A5515A8F50}"/>
    <cellStyle name="Style 63" xfId="3211" xr:uid="{79B2C7A9-A5E7-4665-B03D-46C18220DB0B}"/>
    <cellStyle name="Style 63 2" xfId="3212" xr:uid="{6A7F9EB2-42FC-48BE-8F89-F60EA927357D}"/>
    <cellStyle name="Style 64" xfId="3213" xr:uid="{3C52F6C0-22A0-4BAD-8F0F-1C423398FE01}"/>
    <cellStyle name="Style 64 2" xfId="3214" xr:uid="{3F9AC0DD-A4EE-4603-8F97-7CA3AAC5E2FC}"/>
    <cellStyle name="Style 69" xfId="3215" xr:uid="{A9040C5C-36D5-4885-A924-7737198EFCD2}"/>
    <cellStyle name="Style 69 2" xfId="3216" xr:uid="{98C4D456-BC48-4BB3-AD3E-0FA855BA43D5}"/>
    <cellStyle name="Style 69 3" xfId="3217" xr:uid="{E9F763B1-3273-45CE-9B1E-25C5654B429C}"/>
    <cellStyle name="Style 70" xfId="3218" xr:uid="{09369447-019A-477C-B6D5-AEA4688D0D55}"/>
    <cellStyle name="Style 70 2" xfId="3219" xr:uid="{09D136EF-D31E-4D89-9785-27144B517C6A}"/>
    <cellStyle name="Style 71" xfId="3220" xr:uid="{291F5B00-5E98-4CFE-93C0-F098C5A47DF0}"/>
    <cellStyle name="Style 71 2" xfId="3221" xr:uid="{97577143-44DE-4E12-AC7F-75DE34ECA834}"/>
    <cellStyle name="Style 72" xfId="3222" xr:uid="{B0B638EF-76FE-4170-A7F1-43037FB9F674}"/>
    <cellStyle name="Style 72 2" xfId="3223" xr:uid="{FD5A2134-9A40-44DA-A6FF-7571E55A24D6}"/>
    <cellStyle name="Style 73" xfId="3224" xr:uid="{777D4734-E7E7-445D-BB8F-FE7D3003A369}"/>
    <cellStyle name="Style 73 2" xfId="3225" xr:uid="{36DC29C2-9714-41CF-BFA8-4BD14C9D60AA}"/>
    <cellStyle name="Style 73 3" xfId="3226" xr:uid="{D0F29F5C-06DD-42D3-86ED-FFEE67BE2ED6}"/>
    <cellStyle name="Style 74" xfId="3227" xr:uid="{A0193B6D-2FC4-422E-A906-54E362D9F57C}"/>
    <cellStyle name="Style 74 2" xfId="3228" xr:uid="{AF389243-A222-40BA-BEE0-E0C37A680568}"/>
    <cellStyle name="Style 75" xfId="3229" xr:uid="{5F621406-D8F6-435F-9435-A80EC19187BC}"/>
    <cellStyle name="Style 75 2" xfId="3230" xr:uid="{9973D7F6-025C-4A5A-9BF0-7746F5263E84}"/>
    <cellStyle name="Style 80" xfId="3231" xr:uid="{79348A53-9911-4E0A-9559-C997197A3AFD}"/>
    <cellStyle name="Style 80 2" xfId="3232" xr:uid="{AB620831-7C69-4B8C-B00F-A13D6A4A1812}"/>
    <cellStyle name="Style 80 3" xfId="3233" xr:uid="{F0A8EC94-3043-48DB-8003-1B185A4F1C1D}"/>
    <cellStyle name="Style 81" xfId="3234" xr:uid="{A890FD46-B956-480F-97AF-888E8F92338A}"/>
    <cellStyle name="Style 81 2" xfId="3235" xr:uid="{7DC02FAC-82B8-46A3-B76E-FAB04D13BE30}"/>
    <cellStyle name="Style 81 3" xfId="3236" xr:uid="{DF02583D-1796-487C-9734-932330CA4F0C}"/>
    <cellStyle name="Style 82" xfId="3237" xr:uid="{1800ACF3-F85D-4F1E-9F93-DE5967566334}"/>
    <cellStyle name="Style 82 2" xfId="3238" xr:uid="{3034E741-EA6E-43ED-9074-E2F7327A223A}"/>
    <cellStyle name="Style 83" xfId="3239" xr:uid="{11F59C3E-1E53-416A-9212-78C21572C3DC}"/>
    <cellStyle name="Style 83 2" xfId="3240" xr:uid="{D273339A-4288-42EC-8393-1CFC7A48D2D6}"/>
    <cellStyle name="Style 84" xfId="3241" xr:uid="{DD6C7C19-32BD-4556-87D7-049851B4353B}"/>
    <cellStyle name="Style 84 2" xfId="3242" xr:uid="{E53E1A01-6685-4D01-AD5C-848E2C0C9F99}"/>
    <cellStyle name="Style 85" xfId="3243" xr:uid="{8F8F598E-8958-4976-8940-7A8CE7F4561B}"/>
    <cellStyle name="Style 85 2" xfId="3244" xr:uid="{1348CF39-19EC-480D-A194-3213DF9D2336}"/>
    <cellStyle name="Style 85 3" xfId="3245" xr:uid="{C51C6BA2-F4A1-43B1-89C8-3BC0A3B6F0C6}"/>
    <cellStyle name="Style 86" xfId="3246" xr:uid="{003F38C7-02B5-4083-9BAE-91585272C2C7}"/>
    <cellStyle name="Style 86 2" xfId="3247" xr:uid="{D8919575-6B69-4D1F-884D-7DEA3A13155B}"/>
    <cellStyle name="Style 87" xfId="3248" xr:uid="{E905169A-F915-4B5C-87BA-9F17CA6A54CE}"/>
    <cellStyle name="Style 87 2" xfId="3249" xr:uid="{6CA6CDE9-CA4D-4152-9FDE-E8512646FB21}"/>
    <cellStyle name="Style 93" xfId="3250" xr:uid="{B508F25B-C8F7-4194-952A-D1CEC6B29AED}"/>
    <cellStyle name="Style 93 2" xfId="3251" xr:uid="{4A351DB8-798D-48E4-B943-712371E8E41E}"/>
    <cellStyle name="Style 93 3" xfId="3252" xr:uid="{20FF8E65-E35F-4C90-ADD5-DF58F2A7A512}"/>
    <cellStyle name="Style 94" xfId="3253" xr:uid="{B2D6D676-CDEB-4D56-9488-7B360513A0C6}"/>
    <cellStyle name="Style 94 2" xfId="3254" xr:uid="{9D264700-D4A8-42F4-B449-CC4EB4B3BAE4}"/>
    <cellStyle name="Style 95" xfId="3255" xr:uid="{58FF2E71-1B32-4CAA-B5A5-F6737633E346}"/>
    <cellStyle name="Style 95 2" xfId="3256" xr:uid="{CCCBFEB0-A076-4FF3-9DA7-4FA6A0E199C5}"/>
    <cellStyle name="Style 96" xfId="3257" xr:uid="{118A5A69-2B86-4755-AA92-A6EEEB921D22}"/>
    <cellStyle name="Style 96 2" xfId="3258" xr:uid="{6FFF8D38-56EF-406B-82DC-362A26B07FE9}"/>
    <cellStyle name="Style 97" xfId="3259" xr:uid="{58ECB43B-E473-4A57-B11E-F73BE2A543C0}"/>
    <cellStyle name="Style 97 2" xfId="3260" xr:uid="{086D1057-A1B2-409D-AF0C-F20047192EA2}"/>
    <cellStyle name="Style 97 3" xfId="3261" xr:uid="{600E7262-62B4-4031-9723-5CFCE8D30986}"/>
    <cellStyle name="Style 98" xfId="3262" xr:uid="{5143D5C1-CCE8-4CFD-8600-64925CB1220D}"/>
    <cellStyle name="Style 98 2" xfId="3263" xr:uid="{9246B12A-4C26-435F-9353-3F2681C462AF}"/>
    <cellStyle name="Style 99" xfId="3264" xr:uid="{7254B866-89FC-4B88-AEEB-94841719B6AD}"/>
    <cellStyle name="Style 99 2" xfId="3265" xr:uid="{5C14B2DF-478B-4EB2-B875-C6781FD99B8C}"/>
    <cellStyle name="tableau | cellule | normal | decimal 1" xfId="333" xr:uid="{2034D116-11F9-4FF6-84ED-0C0DC446ABFF}"/>
    <cellStyle name="tableau | cellule | normal | decimal 1 10" xfId="15135" xr:uid="{6AC49138-42E3-4EC8-84B7-03D50197C8CD}"/>
    <cellStyle name="tableau | cellule | normal | decimal 1 11" xfId="15136" xr:uid="{4743F216-8324-4E0E-9AAB-9F5C9826AC27}"/>
    <cellStyle name="tableau | cellule | normal | decimal 1 12" xfId="15134" xr:uid="{EC31D9BD-4F08-4A11-B62F-1A142A3035CF}"/>
    <cellStyle name="tableau | cellule | normal | decimal 1 2" xfId="15137" xr:uid="{60298A1B-1D68-4837-8CCB-341F02F55DE5}"/>
    <cellStyle name="tableau | cellule | normal | decimal 1 2 2" xfId="15138" xr:uid="{9C0BB9C1-00FB-4E79-A338-BF15B1EB4C16}"/>
    <cellStyle name="tableau | cellule | normal | decimal 1 2 2 2" xfId="15139" xr:uid="{905BA167-4481-47EC-9BF5-CA8A3B6EB60D}"/>
    <cellStyle name="tableau | cellule | normal | decimal 1 2 3" xfId="15140" xr:uid="{206BA010-D67A-4A9E-B46A-DC2CE9CBF72E}"/>
    <cellStyle name="tableau | cellule | normal | decimal 1 2 3 2" xfId="15141" xr:uid="{78B46F02-D5E6-44A5-B209-488E468769B4}"/>
    <cellStyle name="tableau | cellule | normal | decimal 1 2 4" xfId="15142" xr:uid="{C18F1DBA-756F-4BC1-BFEA-68375BEF8AB1}"/>
    <cellStyle name="tableau | cellule | normal | decimal 1 2 5" xfId="15143" xr:uid="{420EF5F1-5109-4157-9D22-D04FC5A03B31}"/>
    <cellStyle name="tableau | cellule | normal | decimal 1 3" xfId="15144" xr:uid="{61050929-BFA8-4A77-AE3D-A65BA7E3679B}"/>
    <cellStyle name="tableau | cellule | normal | decimal 1 3 2" xfId="15145" xr:uid="{F96D826C-1B29-433E-A79D-4F8DD3C60D5B}"/>
    <cellStyle name="tableau | cellule | normal | decimal 1 3 2 2" xfId="15146" xr:uid="{649F606F-F419-4E7F-AE06-D2F606E09D16}"/>
    <cellStyle name="tableau | cellule | normal | decimal 1 3 3" xfId="15147" xr:uid="{CEF8BA8F-44BC-40EE-9A2E-3D0D145E2184}"/>
    <cellStyle name="tableau | cellule | normal | decimal 1 3 3 2" xfId="15148" xr:uid="{E42EA8D7-C8D3-424D-8337-0F7270EE4794}"/>
    <cellStyle name="tableau | cellule | normal | decimal 1 3 4" xfId="15149" xr:uid="{84F46036-45ED-484E-BEE1-10ED130AF40C}"/>
    <cellStyle name="tableau | cellule | normal | decimal 1 4" xfId="15150" xr:uid="{34E48B8B-54C8-44A8-8967-470797F4ED41}"/>
    <cellStyle name="tableau | cellule | normal | decimal 1 4 2" xfId="15151" xr:uid="{E25A373B-8288-40DB-B083-01725692DC9B}"/>
    <cellStyle name="tableau | cellule | normal | decimal 1 4 2 2" xfId="15152" xr:uid="{3E2C3D95-A5DE-4971-912F-96BA15910C18}"/>
    <cellStyle name="tableau | cellule | normal | decimal 1 4 3" xfId="15153" xr:uid="{202BBA7F-6187-4B34-8C9F-7EFC4B58EC1C}"/>
    <cellStyle name="tableau | cellule | normal | decimal 1 4 3 2" xfId="15154" xr:uid="{84DE3099-3AAD-44C6-B93C-3CB25109C926}"/>
    <cellStyle name="tableau | cellule | normal | decimal 1 4 4" xfId="15155" xr:uid="{B9AFE28C-DFBE-4551-804E-571BB4E0B11D}"/>
    <cellStyle name="tableau | cellule | normal | decimal 1 5" xfId="15156" xr:uid="{6A4B0373-818E-43FC-8A8B-A392054879CA}"/>
    <cellStyle name="tableau | cellule | normal | decimal 1 5 2" xfId="15157" xr:uid="{E811FF71-7871-413A-B0FD-C772E1D560E8}"/>
    <cellStyle name="tableau | cellule | normal | decimal 1 5 2 2" xfId="15158" xr:uid="{9EEF43A1-CE8B-4F2E-9EC7-E14A8C346244}"/>
    <cellStyle name="tableau | cellule | normal | decimal 1 5 3" xfId="15159" xr:uid="{8FCF8161-185E-482E-9BA3-BBCC7CF29906}"/>
    <cellStyle name="tableau | cellule | normal | decimal 1 5 3 2" xfId="15160" xr:uid="{B80FF972-B8F6-4793-9282-0246CF940E45}"/>
    <cellStyle name="tableau | cellule | normal | decimal 1 5 4" xfId="15161" xr:uid="{3FF2B2D7-0D6D-4BE0-90D8-AEFDA2365794}"/>
    <cellStyle name="tableau | cellule | normal | decimal 1 5 4 2" xfId="15162" xr:uid="{1F2C36F5-EF1D-49CF-AA14-3AF41070F75F}"/>
    <cellStyle name="tableau | cellule | normal | decimal 1 5 5" xfId="15163" xr:uid="{330ED59F-7186-4077-BF2C-EABBF09261B0}"/>
    <cellStyle name="tableau | cellule | normal | decimal 1 6" xfId="15164" xr:uid="{FA1C2874-D319-4271-BCEB-E346D160318F}"/>
    <cellStyle name="tableau | cellule | normal | decimal 1 6 2" xfId="15165" xr:uid="{997BEE27-82DB-4F68-BABD-15883063EAA0}"/>
    <cellStyle name="tableau | cellule | normal | decimal 1 6 2 2" xfId="15166" xr:uid="{615018D8-F32E-4E02-8A0B-8BED3EBEBCD6}"/>
    <cellStyle name="tableau | cellule | normal | decimal 1 6 3" xfId="15167" xr:uid="{073358AB-C8D4-455D-A928-AB24197D9296}"/>
    <cellStyle name="tableau | cellule | normal | decimal 1 6 3 2" xfId="15168" xr:uid="{4B886B31-7C7D-493B-9D4B-89727A0E9D19}"/>
    <cellStyle name="tableau | cellule | normal | decimal 1 6 4" xfId="15169" xr:uid="{24E59A48-7261-4AAE-8EA5-F94279E73812}"/>
    <cellStyle name="tableau | cellule | normal | decimal 1 7" xfId="15170" xr:uid="{17E94CFE-E024-465F-B62E-33ED004CC0AD}"/>
    <cellStyle name="tableau | cellule | normal | decimal 1 7 2" xfId="15171" xr:uid="{AC0F6BC3-A66F-4296-9495-F9C4211AEFC8}"/>
    <cellStyle name="tableau | cellule | normal | decimal 1 8" xfId="15172" xr:uid="{F01DDB26-8A68-44F7-B8EF-7AC261E6170A}"/>
    <cellStyle name="tableau | cellule | normal | decimal 1 8 2" xfId="15173" xr:uid="{7D361F08-C54B-4607-BF46-D158629C58AB}"/>
    <cellStyle name="tableau | cellule | normal | decimal 1 9" xfId="15174" xr:uid="{3F9F8546-1A92-44D1-AD14-11A3E86F1A79}"/>
    <cellStyle name="tableau | cellule | normal | decimal 1 9 2" xfId="15175" xr:uid="{D67D51F4-32A5-4C29-B22E-4B5958B5E0E1}"/>
    <cellStyle name="tableau | cellule | normal | pourcentage | decimal 1" xfId="334" xr:uid="{C5543C45-EF01-4354-B4B4-6EC570EAF06E}"/>
    <cellStyle name="tableau | cellule | normal | pourcentage | decimal 1 10" xfId="15177" xr:uid="{6DC773DE-F516-4D49-9C0C-0DE6AF57C723}"/>
    <cellStyle name="tableau | cellule | normal | pourcentage | decimal 1 11" xfId="15178" xr:uid="{E009288C-2AD3-4F82-B8B6-F8F7477809BE}"/>
    <cellStyle name="tableau | cellule | normal | pourcentage | decimal 1 12" xfId="15176" xr:uid="{0D7C41CB-D3F7-4454-85A3-5D1835A61A9D}"/>
    <cellStyle name="tableau | cellule | normal | pourcentage | decimal 1 2" xfId="15179" xr:uid="{7AF5AC64-D875-4B71-8E7D-00C3F30D70F5}"/>
    <cellStyle name="tableau | cellule | normal | pourcentage | decimal 1 2 2" xfId="15180" xr:uid="{156EF176-80C0-4A06-A088-FAC11AB5F527}"/>
    <cellStyle name="tableau | cellule | normal | pourcentage | decimal 1 2 2 2" xfId="15181" xr:uid="{8EC97B7C-841C-4646-9D09-381CBFD666EF}"/>
    <cellStyle name="tableau | cellule | normal | pourcentage | decimal 1 2 3" xfId="15182" xr:uid="{D2DDEF8E-99F6-4B92-8843-E523A63B5576}"/>
    <cellStyle name="tableau | cellule | normal | pourcentage | decimal 1 2 3 2" xfId="15183" xr:uid="{458C0D07-4FA7-4EE6-80EA-7D04D62D1510}"/>
    <cellStyle name="tableau | cellule | normal | pourcentage | decimal 1 2 4" xfId="15184" xr:uid="{3F668E64-B19A-46BE-B419-76C7C277BD06}"/>
    <cellStyle name="tableau | cellule | normal | pourcentage | decimal 1 2 5" xfId="15185" xr:uid="{383303C1-DF8B-4EAA-9A34-4910E25C114A}"/>
    <cellStyle name="tableau | cellule | normal | pourcentage | decimal 1 3" xfId="15186" xr:uid="{82A0203F-C9E0-434E-B6A8-07665D853C0F}"/>
    <cellStyle name="tableau | cellule | normal | pourcentage | decimal 1 3 2" xfId="15187" xr:uid="{3F2854C0-DACB-4992-A28A-28252458AEC1}"/>
    <cellStyle name="tableau | cellule | normal | pourcentage | decimal 1 3 2 2" xfId="15188" xr:uid="{B0FD22DB-1E95-4468-B1BA-CECC5CA0200A}"/>
    <cellStyle name="tableau | cellule | normal | pourcentage | decimal 1 3 3" xfId="15189" xr:uid="{3F7B6357-C2B2-4D94-8259-BAE9ED6E2584}"/>
    <cellStyle name="tableau | cellule | normal | pourcentage | decimal 1 3 3 2" xfId="15190" xr:uid="{CFCF0E98-05AB-4217-B366-27B800F55A00}"/>
    <cellStyle name="tableau | cellule | normal | pourcentage | decimal 1 3 4" xfId="15191" xr:uid="{376EED0F-73D7-4A30-ABAA-A2DB7A15DE07}"/>
    <cellStyle name="tableau | cellule | normal | pourcentage | decimal 1 4" xfId="15192" xr:uid="{3DE21B95-0E6A-4525-9DE6-0A7724493C30}"/>
    <cellStyle name="tableau | cellule | normal | pourcentage | decimal 1 4 2" xfId="15193" xr:uid="{1D1473BB-5B62-4FDC-97CC-76F3FD29046D}"/>
    <cellStyle name="tableau | cellule | normal | pourcentage | decimal 1 4 2 2" xfId="15194" xr:uid="{E12A261D-7F93-4F87-A731-4D88132358F1}"/>
    <cellStyle name="tableau | cellule | normal | pourcentage | decimal 1 4 3" xfId="15195" xr:uid="{E02AC920-EF12-4D2A-9077-0653FD6CDABA}"/>
    <cellStyle name="tableau | cellule | normal | pourcentage | decimal 1 4 3 2" xfId="15196" xr:uid="{850DBE9F-6220-4060-89C0-BFF8113E017D}"/>
    <cellStyle name="tableau | cellule | normal | pourcentage | decimal 1 4 4" xfId="15197" xr:uid="{FBA654D5-5975-4EDF-A858-A37BE4DCCC0D}"/>
    <cellStyle name="tableau | cellule | normal | pourcentage | decimal 1 5" xfId="15198" xr:uid="{8C0BF58C-0593-4F77-8D07-F3A0930CF6C0}"/>
    <cellStyle name="tableau | cellule | normal | pourcentage | decimal 1 5 2" xfId="15199" xr:uid="{750CBD37-2D33-4517-B337-9246F0870B87}"/>
    <cellStyle name="tableau | cellule | normal | pourcentage | decimal 1 5 2 2" xfId="15200" xr:uid="{50E473C8-E1B1-4983-97A1-ACE854DCF24E}"/>
    <cellStyle name="tableau | cellule | normal | pourcentage | decimal 1 5 3" xfId="15201" xr:uid="{6EF0B4D2-6480-4AC1-B84F-1BA4A6AF922E}"/>
    <cellStyle name="tableau | cellule | normal | pourcentage | decimal 1 5 3 2" xfId="15202" xr:uid="{C23E75B7-B8BC-48A8-B0CA-36FECEE2DFA2}"/>
    <cellStyle name="tableau | cellule | normal | pourcentage | decimal 1 5 4" xfId="15203" xr:uid="{30D386CB-A1D5-4297-A577-0D0052B151CA}"/>
    <cellStyle name="tableau | cellule | normal | pourcentage | decimal 1 5 4 2" xfId="15204" xr:uid="{9EDDE133-7924-4FA9-8D9B-CF183C4FAFD0}"/>
    <cellStyle name="tableau | cellule | normal | pourcentage | decimal 1 5 5" xfId="15205" xr:uid="{10820523-93A9-4EC0-A88C-9282B7D02C5C}"/>
    <cellStyle name="tableau | cellule | normal | pourcentage | decimal 1 6" xfId="15206" xr:uid="{D945F2EF-2087-448F-987F-E00ADB298E0B}"/>
    <cellStyle name="tableau | cellule | normal | pourcentage | decimal 1 6 2" xfId="15207" xr:uid="{2E61FD48-A5E0-445D-880B-5FD0A75FD588}"/>
    <cellStyle name="tableau | cellule | normal | pourcentage | decimal 1 6 2 2" xfId="15208" xr:uid="{509DB770-E7E7-4448-A2A7-9385FB9F0693}"/>
    <cellStyle name="tableau | cellule | normal | pourcentage | decimal 1 6 3" xfId="15209" xr:uid="{2EBA7B1E-B132-4023-999C-2E6DA92B9C9C}"/>
    <cellStyle name="tableau | cellule | normal | pourcentage | decimal 1 6 3 2" xfId="15210" xr:uid="{D46B1C66-D11F-40F0-A7FA-B92723DA3A40}"/>
    <cellStyle name="tableau | cellule | normal | pourcentage | decimal 1 6 4" xfId="15211" xr:uid="{D5B3B237-1A22-4D80-BFEE-090C8EBEDCFE}"/>
    <cellStyle name="tableau | cellule | normal | pourcentage | decimal 1 7" xfId="15212" xr:uid="{7D285A15-95BF-4962-9F56-5316C870B1C9}"/>
    <cellStyle name="tableau | cellule | normal | pourcentage | decimal 1 7 2" xfId="15213" xr:uid="{66CAC304-86A9-4161-9A11-2C9CEE12AC5A}"/>
    <cellStyle name="tableau | cellule | normal | pourcentage | decimal 1 8" xfId="15214" xr:uid="{1C09A8BE-530F-41FE-B777-4A71D704D8A9}"/>
    <cellStyle name="tableau | cellule | normal | pourcentage | decimal 1 8 2" xfId="15215" xr:uid="{38F82BEF-9662-4A31-B2F4-201945618B4B}"/>
    <cellStyle name="tableau | cellule | normal | pourcentage | decimal 1 9" xfId="15216" xr:uid="{3D78FD29-2DFC-4427-BF8A-8B08B5AB583C}"/>
    <cellStyle name="tableau | cellule | normal | pourcentage | decimal 1 9 2" xfId="15217" xr:uid="{204C5DE4-AF51-4856-A9D8-04517F6E4EE6}"/>
    <cellStyle name="tableau | cellule | total | decimal 1" xfId="335" xr:uid="{78CF8FB0-E0B2-47EE-81EA-C98C606619B8}"/>
    <cellStyle name="tableau | cellule | total | decimal 1 10" xfId="15219" xr:uid="{05CB1F7B-F322-4806-921E-D619B9A8EA6F}"/>
    <cellStyle name="tableau | cellule | total | decimal 1 11" xfId="15220" xr:uid="{16B4A93D-1855-4843-80C0-AAD402C3448A}"/>
    <cellStyle name="tableau | cellule | total | decimal 1 12" xfId="15218" xr:uid="{26CBD0F9-C55F-48B1-8E16-CE05FE3C061B}"/>
    <cellStyle name="tableau | cellule | total | decimal 1 2" xfId="15221" xr:uid="{6DB6B8E2-E97C-4BA2-BFC0-12DA1EE2D2DB}"/>
    <cellStyle name="tableau | cellule | total | decimal 1 2 2" xfId="15222" xr:uid="{FC72A2C0-591A-4EF7-809A-B333CC937EE3}"/>
    <cellStyle name="tableau | cellule | total | decimal 1 2 2 2" xfId="15223" xr:uid="{749CB420-A2C2-44FC-8F8B-794B6164FE5B}"/>
    <cellStyle name="tableau | cellule | total | decimal 1 2 3" xfId="15224" xr:uid="{89FDF816-A881-48A8-9BB8-C98F4C4E9C11}"/>
    <cellStyle name="tableau | cellule | total | decimal 1 2 3 2" xfId="15225" xr:uid="{14EC8216-2D32-46B0-9C63-BD72D639C10A}"/>
    <cellStyle name="tableau | cellule | total | decimal 1 2 4" xfId="15226" xr:uid="{B36AF2EB-B490-44F7-A3E8-9C5F05F35904}"/>
    <cellStyle name="tableau | cellule | total | decimal 1 2 5" xfId="15227" xr:uid="{1F1647C4-4D62-4308-9D11-BA87FD240108}"/>
    <cellStyle name="tableau | cellule | total | decimal 1 3" xfId="15228" xr:uid="{75EFB62D-368A-4588-8B42-C0128D688960}"/>
    <cellStyle name="tableau | cellule | total | decimal 1 3 2" xfId="15229" xr:uid="{42B3DFD8-ADC4-48BB-8539-B5F64208A734}"/>
    <cellStyle name="tableau | cellule | total | decimal 1 3 2 2" xfId="15230" xr:uid="{E42F488D-0C0D-43E2-BA12-66A9C4C6E355}"/>
    <cellStyle name="tableau | cellule | total | decimal 1 3 3" xfId="15231" xr:uid="{66B8FBE7-0011-49C4-8A0C-A0B7BF74AAEA}"/>
    <cellStyle name="tableau | cellule | total | decimal 1 3 3 2" xfId="15232" xr:uid="{CD9967F9-4D0E-49EF-A7CC-BEA2F88A2650}"/>
    <cellStyle name="tableau | cellule | total | decimal 1 3 4" xfId="15233" xr:uid="{69B8CE28-B4AA-45DD-8042-5A199DA6F9C5}"/>
    <cellStyle name="tableau | cellule | total | decimal 1 4" xfId="15234" xr:uid="{6F552B81-8DDC-4022-BAD3-B54D84A812D3}"/>
    <cellStyle name="tableau | cellule | total | decimal 1 4 2" xfId="15235" xr:uid="{7F0DCAC1-44FF-4D49-91EB-1473F82D9006}"/>
    <cellStyle name="tableau | cellule | total | decimal 1 4 2 2" xfId="15236" xr:uid="{C9A9AFAE-C056-4001-84B8-4868124160D1}"/>
    <cellStyle name="tableau | cellule | total | decimal 1 4 3" xfId="15237" xr:uid="{3094E3F5-48E1-453B-A69C-0BA462F86AFA}"/>
    <cellStyle name="tableau | cellule | total | decimal 1 4 3 2" xfId="15238" xr:uid="{9C5C66DE-08EA-4BC8-AC3A-85AD06758FB3}"/>
    <cellStyle name="tableau | cellule | total | decimal 1 4 4" xfId="15239" xr:uid="{66A164F9-41BD-4EC8-A35A-3F417E478795}"/>
    <cellStyle name="tableau | cellule | total | decimal 1 5" xfId="15240" xr:uid="{0DC7ED77-E33D-4964-921E-CB13DBA8D268}"/>
    <cellStyle name="tableau | cellule | total | decimal 1 5 2" xfId="15241" xr:uid="{54B7515B-6571-4587-83AB-4CBA25545CD8}"/>
    <cellStyle name="tableau | cellule | total | decimal 1 5 2 2" xfId="15242" xr:uid="{C4A85C45-46C1-458D-BB79-62FEBEB2ECD8}"/>
    <cellStyle name="tableau | cellule | total | decimal 1 5 3" xfId="15243" xr:uid="{6CE6FF05-24D4-46DE-ABE4-A146C372C7F0}"/>
    <cellStyle name="tableau | cellule | total | decimal 1 5 3 2" xfId="15244" xr:uid="{99A2B317-5FE1-4E2D-8734-B06469920199}"/>
    <cellStyle name="tableau | cellule | total | decimal 1 5 4" xfId="15245" xr:uid="{DCD14BDA-A6BE-4630-9B82-657EC7118544}"/>
    <cellStyle name="tableau | cellule | total | decimal 1 5 4 2" xfId="15246" xr:uid="{18F49084-B2A1-4E0B-8028-C193CB0F675E}"/>
    <cellStyle name="tableau | cellule | total | decimal 1 5 5" xfId="15247" xr:uid="{81614BB3-68F7-4220-A369-6A97C446BB85}"/>
    <cellStyle name="tableau | cellule | total | decimal 1 6" xfId="15248" xr:uid="{7DF58A6B-4839-4516-ABAE-4ADB4B5F6765}"/>
    <cellStyle name="tableau | cellule | total | decimal 1 6 2" xfId="15249" xr:uid="{C8384A19-C20C-4535-974B-8626C60E4550}"/>
    <cellStyle name="tableau | cellule | total | decimal 1 6 2 2" xfId="15250" xr:uid="{09AD8564-458F-41D3-8771-536479DF02DC}"/>
    <cellStyle name="tableau | cellule | total | decimal 1 6 3" xfId="15251" xr:uid="{295CAA48-689B-47F6-8867-3FDC2B4A621C}"/>
    <cellStyle name="tableau | cellule | total | decimal 1 6 3 2" xfId="15252" xr:uid="{849E8640-1314-4F81-940A-D6B6991AB230}"/>
    <cellStyle name="tableau | cellule | total | decimal 1 6 4" xfId="15253" xr:uid="{85A3BF44-8FA6-48A4-8616-D18B09FAF05A}"/>
    <cellStyle name="tableau | cellule | total | decimal 1 7" xfId="15254" xr:uid="{9211B07C-3B10-4D5C-8719-4AB7343D1F60}"/>
    <cellStyle name="tableau | cellule | total | decimal 1 7 2" xfId="15255" xr:uid="{9C454DF1-35D5-4305-9538-7935B2A178DF}"/>
    <cellStyle name="tableau | cellule | total | decimal 1 8" xfId="15256" xr:uid="{59A50804-261C-422A-B8F5-BC27C745BAD0}"/>
    <cellStyle name="tableau | cellule | total | decimal 1 8 2" xfId="15257" xr:uid="{AEE97C46-94BA-4898-8EF5-F32D4D2EC656}"/>
    <cellStyle name="tableau | cellule | total | decimal 1 9" xfId="15258" xr:uid="{8FB9CEE7-4C00-4450-A5DE-CD229923EF9B}"/>
    <cellStyle name="tableau | cellule | total | decimal 1 9 2" xfId="15259" xr:uid="{1CE197AD-347F-44E1-800B-FAE284AA26A5}"/>
    <cellStyle name="tableau | coin superieur gauche" xfId="336" xr:uid="{075CC269-0800-4A9B-BB45-4913AB4AA862}"/>
    <cellStyle name="tableau | coin superieur gauche 10" xfId="15261" xr:uid="{57C2F487-D598-454C-8556-CDFB101A4E22}"/>
    <cellStyle name="tableau | coin superieur gauche 11" xfId="15262" xr:uid="{3E47D477-62BF-4A4E-8106-C50EE44903EA}"/>
    <cellStyle name="tableau | coin superieur gauche 12" xfId="15260" xr:uid="{BE07800D-E082-47B7-95F2-AEEBD99CBD82}"/>
    <cellStyle name="tableau | coin superieur gauche 2" xfId="15263" xr:uid="{460F127D-F856-4A0C-96C4-5F520C3983FC}"/>
    <cellStyle name="tableau | coin superieur gauche 2 2" xfId="15264" xr:uid="{6D0C2B62-6997-45E5-95B7-9C32AE855F36}"/>
    <cellStyle name="tableau | coin superieur gauche 2 2 2" xfId="15265" xr:uid="{3CED2391-87A3-450A-9BAC-6BB6C0984E52}"/>
    <cellStyle name="tableau | coin superieur gauche 2 3" xfId="15266" xr:uid="{4D91547A-FF83-436B-90BD-59DA462CEA62}"/>
    <cellStyle name="tableau | coin superieur gauche 2 3 2" xfId="15267" xr:uid="{231B1CEC-0C52-4837-A677-26A09D73FD91}"/>
    <cellStyle name="tableau | coin superieur gauche 2 4" xfId="15268" xr:uid="{09609267-3248-4421-B8D1-6F8F7EA0B500}"/>
    <cellStyle name="tableau | coin superieur gauche 2 5" xfId="15269" xr:uid="{3DD3FDF2-434F-4C3A-981C-08EB2053756D}"/>
    <cellStyle name="tableau | coin superieur gauche 3" xfId="15270" xr:uid="{3A8F39CF-0D73-4FC0-BA4D-B303D384E3DD}"/>
    <cellStyle name="tableau | coin superieur gauche 3 2" xfId="15271" xr:uid="{5A548263-E924-4ACD-9FFC-211C14A52007}"/>
    <cellStyle name="tableau | coin superieur gauche 3 2 2" xfId="15272" xr:uid="{BA3AF707-4AF4-438E-B359-167F731E2C97}"/>
    <cellStyle name="tableau | coin superieur gauche 3 3" xfId="15273" xr:uid="{B1E524D5-9961-41E3-9802-E4414EFDCCC6}"/>
    <cellStyle name="tableau | coin superieur gauche 3 3 2" xfId="15274" xr:uid="{CA2FF4D9-8597-4791-87FC-52C43CC5D818}"/>
    <cellStyle name="tableau | coin superieur gauche 3 4" xfId="15275" xr:uid="{B94547DC-B6B2-47FF-BF89-421B7B29B057}"/>
    <cellStyle name="tableau | coin superieur gauche 4" xfId="15276" xr:uid="{A1256E2F-6535-4AFD-A88A-290EC25FCDB3}"/>
    <cellStyle name="tableau | coin superieur gauche 4 2" xfId="15277" xr:uid="{72034A21-80E0-4B9C-AC47-CE8CDFBCE7A4}"/>
    <cellStyle name="tableau | coin superieur gauche 4 2 2" xfId="15278" xr:uid="{A9640CF2-7494-4E69-B4D7-65AEC8D7A3EE}"/>
    <cellStyle name="tableau | coin superieur gauche 4 3" xfId="15279" xr:uid="{F989239E-C618-4297-BD7D-6A874FE79689}"/>
    <cellStyle name="tableau | coin superieur gauche 4 3 2" xfId="15280" xr:uid="{4C9C5E72-06AF-4FEB-88B6-19032231FD0F}"/>
    <cellStyle name="tableau | coin superieur gauche 4 4" xfId="15281" xr:uid="{BDF41E58-000E-412D-9DAE-123F9ECCEE7C}"/>
    <cellStyle name="tableau | coin superieur gauche 5" xfId="15282" xr:uid="{7F1BC742-25BD-42D3-ACB5-CC54344279BB}"/>
    <cellStyle name="tableau | coin superieur gauche 5 2" xfId="15283" xr:uid="{AEF54D96-59DF-4D29-855E-D1FB641E96C2}"/>
    <cellStyle name="tableau | coin superieur gauche 5 2 2" xfId="15284" xr:uid="{A7E4E4DD-2A77-4114-9DC4-A394AEA38DD1}"/>
    <cellStyle name="tableau | coin superieur gauche 5 3" xfId="15285" xr:uid="{989B944E-F123-431B-898C-567F13DD5564}"/>
    <cellStyle name="tableau | coin superieur gauche 5 3 2" xfId="15286" xr:uid="{9117EE27-293D-436D-A3C3-4873041DA0D2}"/>
    <cellStyle name="tableau | coin superieur gauche 5 4" xfId="15287" xr:uid="{53488621-EC7C-4412-A8EC-58AECB0AE6EE}"/>
    <cellStyle name="tableau | coin superieur gauche 5 4 2" xfId="15288" xr:uid="{E2552E88-BB0E-4415-BCDB-9A93319ECB51}"/>
    <cellStyle name="tableau | coin superieur gauche 5 5" xfId="15289" xr:uid="{9897FFA9-5A33-410A-9EB3-BD552C1009F5}"/>
    <cellStyle name="tableau | coin superieur gauche 6" xfId="15290" xr:uid="{0E0A3806-8C2D-467C-ADC0-F58F5D40C84C}"/>
    <cellStyle name="tableau | coin superieur gauche 6 2" xfId="15291" xr:uid="{762D8BDC-EB8F-4B84-9589-FD88B5B68371}"/>
    <cellStyle name="tableau | coin superieur gauche 6 2 2" xfId="15292" xr:uid="{688F469A-A582-424D-A331-E87BDF7BF6E7}"/>
    <cellStyle name="tableau | coin superieur gauche 6 3" xfId="15293" xr:uid="{DCFE3DEB-72EA-4A21-9E31-85E80447A581}"/>
    <cellStyle name="tableau | coin superieur gauche 6 3 2" xfId="15294" xr:uid="{347D6CC9-9465-4A24-A68B-1DE264F5ACA1}"/>
    <cellStyle name="tableau | coin superieur gauche 6 4" xfId="15295" xr:uid="{7C43C114-0511-42D1-AD15-4DE234F92228}"/>
    <cellStyle name="tableau | coin superieur gauche 7" xfId="15296" xr:uid="{E23659CC-EE3C-4C94-A1FD-FFA2758C76DE}"/>
    <cellStyle name="tableau | coin superieur gauche 7 2" xfId="15297" xr:uid="{AC09A6B5-2004-4552-91EC-7C0741D675B2}"/>
    <cellStyle name="tableau | coin superieur gauche 8" xfId="15298" xr:uid="{8FC1D67B-1606-41D6-BE47-8ABF4B03F3C1}"/>
    <cellStyle name="tableau | coin superieur gauche 8 2" xfId="15299" xr:uid="{D898F26D-8FBC-411B-AA80-8BF76EC0CD9A}"/>
    <cellStyle name="tableau | coin superieur gauche 9" xfId="15300" xr:uid="{99F97C52-857B-43B5-B46A-094583F81F1E}"/>
    <cellStyle name="tableau | coin superieur gauche 9 2" xfId="15301" xr:uid="{815841A6-D50E-4EEC-B1F4-C7635E8432DE}"/>
    <cellStyle name="tableau | entete-colonne | series" xfId="337" xr:uid="{C50C3344-EA5D-4F26-8B6A-7BFBE89465A5}"/>
    <cellStyle name="tableau | entete-colonne | series 10" xfId="15303" xr:uid="{BB42E858-EA73-4DA8-8B04-6A3C747E9D10}"/>
    <cellStyle name="tableau | entete-colonne | series 11" xfId="15304" xr:uid="{D0159AE2-AD4D-4638-85B3-FA34279D9FCB}"/>
    <cellStyle name="tableau | entete-colonne | series 12" xfId="15302" xr:uid="{4092CC4B-22E3-47F0-AFBB-F7514C42DE3D}"/>
    <cellStyle name="tableau | entete-colonne | series 2" xfId="15305" xr:uid="{CE7177BF-A667-4130-8995-7AABA3D62270}"/>
    <cellStyle name="tableau | entete-colonne | series 2 2" xfId="15306" xr:uid="{0612A782-9D2B-45AF-9E8C-08BC58EF7F59}"/>
    <cellStyle name="tableau | entete-colonne | series 2 2 2" xfId="15307" xr:uid="{99510B96-9A54-4897-BA1C-FC36D7F9351A}"/>
    <cellStyle name="tableau | entete-colonne | series 2 3" xfId="15308" xr:uid="{5ACC75BB-6F9F-4055-8844-39901E9AF29A}"/>
    <cellStyle name="tableau | entete-colonne | series 2 3 2" xfId="15309" xr:uid="{03DC6E18-42B2-446F-BB88-5838BFCFED75}"/>
    <cellStyle name="tableau | entete-colonne | series 2 4" xfId="15310" xr:uid="{7AC92707-0E7F-4592-AC6C-5E01700D21D1}"/>
    <cellStyle name="tableau | entete-colonne | series 2 5" xfId="15311" xr:uid="{85A8EF62-6412-4772-9400-0E475C9E24C2}"/>
    <cellStyle name="tableau | entete-colonne | series 3" xfId="15312" xr:uid="{DCE2BD3A-A8CE-4E99-9F86-32A5737DDA14}"/>
    <cellStyle name="tableau | entete-colonne | series 3 2" xfId="15313" xr:uid="{414F795A-3BC9-4AAB-8204-C25E9679B986}"/>
    <cellStyle name="tableau | entete-colonne | series 3 2 2" xfId="15314" xr:uid="{03467B17-864D-45A6-9CD8-1246CA5D8613}"/>
    <cellStyle name="tableau | entete-colonne | series 3 3" xfId="15315" xr:uid="{CB76C8E7-D78D-43BB-A856-D32AE9984147}"/>
    <cellStyle name="tableau | entete-colonne | series 3 3 2" xfId="15316" xr:uid="{67F28EB6-66CC-49FB-BB1F-647C7625A63C}"/>
    <cellStyle name="tableau | entete-colonne | series 3 4" xfId="15317" xr:uid="{B1D85DA2-765B-45F6-BFF1-6A4C71D6DEDD}"/>
    <cellStyle name="tableau | entete-colonne | series 4" xfId="15318" xr:uid="{E331E177-7750-441D-BC8A-3CA591352889}"/>
    <cellStyle name="tableau | entete-colonne | series 4 2" xfId="15319" xr:uid="{AC3CF4D4-187F-4FFD-B9B7-6BB99F53A8A7}"/>
    <cellStyle name="tableau | entete-colonne | series 4 2 2" xfId="15320" xr:uid="{2A967887-B30D-4986-91C4-0FB028E9081D}"/>
    <cellStyle name="tableau | entete-colonne | series 4 3" xfId="15321" xr:uid="{6549BFE7-373C-467D-A400-D18FDF0DF529}"/>
    <cellStyle name="tableau | entete-colonne | series 4 3 2" xfId="15322" xr:uid="{DFB23896-47CD-45A8-B070-61F0D884133C}"/>
    <cellStyle name="tableau | entete-colonne | series 4 4" xfId="15323" xr:uid="{707F7673-FCC2-43F2-805B-3CA815FE1342}"/>
    <cellStyle name="tableau | entete-colonne | series 5" xfId="15324" xr:uid="{6414BBAA-C59E-4978-B701-6B78A79E9CDC}"/>
    <cellStyle name="tableau | entete-colonne | series 5 2" xfId="15325" xr:uid="{85C97636-3430-432A-BE88-AFE4853C2D22}"/>
    <cellStyle name="tableau | entete-colonne | series 5 2 2" xfId="15326" xr:uid="{94EFF231-605A-4F51-8F24-2D04B9815AD9}"/>
    <cellStyle name="tableau | entete-colonne | series 5 3" xfId="15327" xr:uid="{04698654-1716-4DA3-9146-58E4712EEEE9}"/>
    <cellStyle name="tableau | entete-colonne | series 5 3 2" xfId="15328" xr:uid="{4A7C41B3-7F66-45E9-AE96-4D6A7B953661}"/>
    <cellStyle name="tableau | entete-colonne | series 5 4" xfId="15329" xr:uid="{9124DDBF-B02C-4881-8947-A0A4317EBBB5}"/>
    <cellStyle name="tableau | entete-colonne | series 5 4 2" xfId="15330" xr:uid="{620554F0-F9E5-4EC3-8D46-800E4AEB0B16}"/>
    <cellStyle name="tableau | entete-colonne | series 5 5" xfId="15331" xr:uid="{3ED8BF91-7E81-4506-9E1D-8DF5B9B83C9F}"/>
    <cellStyle name="tableau | entete-colonne | series 6" xfId="15332" xr:uid="{E9BD133B-AEEA-4F17-A0F9-BD7E7A8F78AE}"/>
    <cellStyle name="tableau | entete-colonne | series 6 2" xfId="15333" xr:uid="{F5B77364-B22C-4F4D-A9FA-8F0A12007DAD}"/>
    <cellStyle name="tableau | entete-colonne | series 6 2 2" xfId="15334" xr:uid="{CC3F0DD0-0DCE-4FA6-85FC-9B035132EDB9}"/>
    <cellStyle name="tableau | entete-colonne | series 6 3" xfId="15335" xr:uid="{125E881E-12AC-4EF6-B1D4-043DF302CAE5}"/>
    <cellStyle name="tableau | entete-colonne | series 6 3 2" xfId="15336" xr:uid="{A377EDD9-0F90-4237-A302-A3CB2475FB78}"/>
    <cellStyle name="tableau | entete-colonne | series 6 4" xfId="15337" xr:uid="{91E18854-B7D3-4CD6-9526-F3DBAAC272AE}"/>
    <cellStyle name="tableau | entete-colonne | series 7" xfId="15338" xr:uid="{AA2C62CA-5F37-404D-A52A-55719D37D2B3}"/>
    <cellStyle name="tableau | entete-colonne | series 7 2" xfId="15339" xr:uid="{6B4D1884-508C-4E9B-89EF-79C752B9135D}"/>
    <cellStyle name="tableau | entete-colonne | series 8" xfId="15340" xr:uid="{F5E3CB25-9A41-4962-9C16-A3F10F0C166E}"/>
    <cellStyle name="tableau | entete-colonne | series 8 2" xfId="15341" xr:uid="{ECF969A8-32D3-42B8-805D-D527446E0B24}"/>
    <cellStyle name="tableau | entete-colonne | series 9" xfId="15342" xr:uid="{A21CB319-C373-430D-A9BC-FA833E56C730}"/>
    <cellStyle name="tableau | entete-colonne | series 9 2" xfId="15343" xr:uid="{01746046-2646-452E-A730-E9726CAFB190}"/>
    <cellStyle name="tableau | entete-ligne | normal" xfId="338" xr:uid="{913C9C49-D817-44CD-884E-4618333CC79F}"/>
    <cellStyle name="tableau | entete-ligne | normal 10" xfId="15345" xr:uid="{56CC7462-BE6A-4F92-9A5E-C041F5EEE67C}"/>
    <cellStyle name="tableau | entete-ligne | normal 11" xfId="15346" xr:uid="{84C2835A-4AA5-485C-ACD8-0F0DAED8DA8B}"/>
    <cellStyle name="tableau | entete-ligne | normal 12" xfId="15344" xr:uid="{29F94C43-FEAB-4725-B690-316543D8BCF9}"/>
    <cellStyle name="tableau | entete-ligne | normal 2" xfId="15347" xr:uid="{3021694F-A3FD-4264-ACCA-C11F002526B9}"/>
    <cellStyle name="tableau | entete-ligne | normal 2 2" xfId="15348" xr:uid="{CA1522C8-E31F-4F4B-B2EA-72444DE50956}"/>
    <cellStyle name="tableau | entete-ligne | normal 2 2 2" xfId="15349" xr:uid="{B98AA274-AF47-47C8-BC1A-B52B9B04A6BE}"/>
    <cellStyle name="tableau | entete-ligne | normal 2 3" xfId="15350" xr:uid="{F6F5DEEE-14B0-4DE1-A665-380CB3B4C5C3}"/>
    <cellStyle name="tableau | entete-ligne | normal 2 3 2" xfId="15351" xr:uid="{6A2906E7-1012-49DE-A269-329AAFCE8082}"/>
    <cellStyle name="tableau | entete-ligne | normal 2 4" xfId="15352" xr:uid="{321BB869-BACF-44C4-9A32-18BEAE3D02D7}"/>
    <cellStyle name="tableau | entete-ligne | normal 2 5" xfId="15353" xr:uid="{3EB753F4-DEFC-4DAC-B3F2-A6A2818EB61C}"/>
    <cellStyle name="tableau | entete-ligne | normal 3" xfId="15354" xr:uid="{03D8E9DF-F13D-4184-9167-4066C9B79BE3}"/>
    <cellStyle name="tableau | entete-ligne | normal 3 2" xfId="15355" xr:uid="{08613590-EF69-44B8-9C1A-046CC7D0CD8B}"/>
    <cellStyle name="tableau | entete-ligne | normal 3 2 2" xfId="15356" xr:uid="{88766E40-6E7D-4E97-8BCC-DA2D1ACEE116}"/>
    <cellStyle name="tableau | entete-ligne | normal 3 3" xfId="15357" xr:uid="{349CA127-5A83-4691-B504-9A2EECED391C}"/>
    <cellStyle name="tableau | entete-ligne | normal 3 3 2" xfId="15358" xr:uid="{9EE78C31-65B0-4F7C-9C84-7FC263F1A63D}"/>
    <cellStyle name="tableau | entete-ligne | normal 3 4" xfId="15359" xr:uid="{7AC4FED1-6FF3-4034-89A9-BF694C7729FC}"/>
    <cellStyle name="tableau | entete-ligne | normal 4" xfId="15360" xr:uid="{8589B912-F4C1-4171-BF92-605D792F00D2}"/>
    <cellStyle name="tableau | entete-ligne | normal 4 2" xfId="15361" xr:uid="{84C10819-BA85-473B-BBE7-15BC06D613C2}"/>
    <cellStyle name="tableau | entete-ligne | normal 4 2 2" xfId="15362" xr:uid="{40771171-8B79-4769-AC03-AA8DB29F753E}"/>
    <cellStyle name="tableau | entete-ligne | normal 4 3" xfId="15363" xr:uid="{096A1AB1-4310-481D-BF68-F49CA085DE41}"/>
    <cellStyle name="tableau | entete-ligne | normal 4 3 2" xfId="15364" xr:uid="{D223D2E5-64D1-4F71-A7B2-0E1E5E97F5E9}"/>
    <cellStyle name="tableau | entete-ligne | normal 4 4" xfId="15365" xr:uid="{7F921469-2046-4463-8436-FAA992249782}"/>
    <cellStyle name="tableau | entete-ligne | normal 5" xfId="15366" xr:uid="{A1B21B6E-6A14-435C-AE5B-136AF9CF3EBC}"/>
    <cellStyle name="tableau | entete-ligne | normal 5 2" xfId="15367" xr:uid="{C5245C24-EF52-459D-A30D-ADD473D81ACA}"/>
    <cellStyle name="tableau | entete-ligne | normal 5 2 2" xfId="15368" xr:uid="{8DB59E4E-FC0E-44AB-A7AF-FD8398F687E3}"/>
    <cellStyle name="tableau | entete-ligne | normal 5 3" xfId="15369" xr:uid="{C676154F-E645-4D37-B915-481605C875CD}"/>
    <cellStyle name="tableau | entete-ligne | normal 5 3 2" xfId="15370" xr:uid="{192755D4-44E5-4CAF-A094-813148C0C0C3}"/>
    <cellStyle name="tableau | entete-ligne | normal 5 4" xfId="15371" xr:uid="{EFE4E521-4BB6-4CE6-B6B2-CF7F972BB950}"/>
    <cellStyle name="tableau | entete-ligne | normal 5 4 2" xfId="15372" xr:uid="{CA171585-17EA-4DF6-9046-E5938854EECA}"/>
    <cellStyle name="tableau | entete-ligne | normal 5 5" xfId="15373" xr:uid="{57921FD0-05C8-4554-BB0B-D72CAFDB5101}"/>
    <cellStyle name="tableau | entete-ligne | normal 6" xfId="15374" xr:uid="{914B4A65-A038-46C5-A2A5-FE571FC8E021}"/>
    <cellStyle name="tableau | entete-ligne | normal 6 2" xfId="15375" xr:uid="{713561B7-7607-4837-8A27-F24BB93650E6}"/>
    <cellStyle name="tableau | entete-ligne | normal 6 2 2" xfId="15376" xr:uid="{88831B8C-DFD6-4F1C-A4F2-8A5813B2A09B}"/>
    <cellStyle name="tableau | entete-ligne | normal 6 3" xfId="15377" xr:uid="{80BFEED4-77AD-4E98-A862-CD038DA5DB50}"/>
    <cellStyle name="tableau | entete-ligne | normal 6 3 2" xfId="15378" xr:uid="{967AA571-48C9-42FE-B0C8-270BDC5EAAD6}"/>
    <cellStyle name="tableau | entete-ligne | normal 6 4" xfId="15379" xr:uid="{E0B6924D-0468-4A5C-BD3B-C158B8704807}"/>
    <cellStyle name="tableau | entete-ligne | normal 7" xfId="15380" xr:uid="{074A4040-5CFE-4F71-88E4-6807B6D2F3DB}"/>
    <cellStyle name="tableau | entete-ligne | normal 7 2" xfId="15381" xr:uid="{3918F0BA-2452-4317-A271-DE51AA4DE8A2}"/>
    <cellStyle name="tableau | entete-ligne | normal 8" xfId="15382" xr:uid="{CE866398-66D1-42B9-98A2-895BB6E9FEC8}"/>
    <cellStyle name="tableau | entete-ligne | normal 8 2" xfId="15383" xr:uid="{890DC63D-ECF6-4B42-9BBF-E5289C92804D}"/>
    <cellStyle name="tableau | entete-ligne | normal 9" xfId="15384" xr:uid="{46A47928-D1AF-4C68-833C-82581EA9A1DD}"/>
    <cellStyle name="tableau | entete-ligne | normal 9 2" xfId="15385" xr:uid="{3AD9ECF3-7DA9-45E7-A638-7E2E187A57E7}"/>
    <cellStyle name="tableau | entete-ligne | total" xfId="339" xr:uid="{140547B9-2318-4DD2-98DB-C98D0C749436}"/>
    <cellStyle name="tableau | entete-ligne | total 10" xfId="15387" xr:uid="{73EC93F0-4DEB-4008-BECB-DF00CFA9EA67}"/>
    <cellStyle name="tableau | entete-ligne | total 11" xfId="15388" xr:uid="{ADC5FD80-1644-4416-8C41-7F43D9803C59}"/>
    <cellStyle name="tableau | entete-ligne | total 12" xfId="15386" xr:uid="{8C357C89-83F7-44E7-86F1-F481C0107760}"/>
    <cellStyle name="tableau | entete-ligne | total 2" xfId="15389" xr:uid="{2F122D74-C8CD-4D02-BFCB-8149179DD0C7}"/>
    <cellStyle name="tableau | entete-ligne | total 2 2" xfId="15390" xr:uid="{BE03AFCD-8AFD-4C5D-B003-4AE2966092B9}"/>
    <cellStyle name="tableau | entete-ligne | total 2 2 2" xfId="15391" xr:uid="{109BA055-5C8C-47DE-983F-A4C1A8E78204}"/>
    <cellStyle name="tableau | entete-ligne | total 2 3" xfId="15392" xr:uid="{D624F2A8-6E9E-4F45-A0F6-5A46EDDAAA37}"/>
    <cellStyle name="tableau | entete-ligne | total 2 3 2" xfId="15393" xr:uid="{FB81EB20-2A8E-41D9-8589-15BED315C48A}"/>
    <cellStyle name="tableau | entete-ligne | total 2 4" xfId="15394" xr:uid="{E1E18661-7978-4228-BC2C-A95C544AFE7C}"/>
    <cellStyle name="tableau | entete-ligne | total 2 5" xfId="15395" xr:uid="{D45843EE-0025-43CF-96F0-A7B87B496CE6}"/>
    <cellStyle name="tableau | entete-ligne | total 3" xfId="15396" xr:uid="{19EB7FC8-B168-4B0E-9B32-33618224A989}"/>
    <cellStyle name="tableau | entete-ligne | total 3 2" xfId="15397" xr:uid="{61FFBED0-6537-44B2-85B4-6C6A5717E1BA}"/>
    <cellStyle name="tableau | entete-ligne | total 3 2 2" xfId="15398" xr:uid="{44DBEA1C-9564-4626-8EF9-A70D5FD5EDE2}"/>
    <cellStyle name="tableau | entete-ligne | total 3 3" xfId="15399" xr:uid="{B0C29678-86FD-4567-9FCA-C59CA2E40028}"/>
    <cellStyle name="tableau | entete-ligne | total 3 3 2" xfId="15400" xr:uid="{D36ED8FC-0E74-4E7B-81D9-C6FD42447D8D}"/>
    <cellStyle name="tableau | entete-ligne | total 3 4" xfId="15401" xr:uid="{7AB1819A-2580-44CA-A6CE-FE2ABD1106F6}"/>
    <cellStyle name="tableau | entete-ligne | total 4" xfId="15402" xr:uid="{6655A78D-3154-43A6-8460-D4B501CBE24F}"/>
    <cellStyle name="tableau | entete-ligne | total 4 2" xfId="15403" xr:uid="{44006A33-7C0F-4E35-A814-7B684757D9CD}"/>
    <cellStyle name="tableau | entete-ligne | total 4 2 2" xfId="15404" xr:uid="{EA44EEA9-0131-4382-8FE4-439780E20134}"/>
    <cellStyle name="tableau | entete-ligne | total 4 3" xfId="15405" xr:uid="{8F79E000-8EA2-4464-B283-B364B21118BE}"/>
    <cellStyle name="tableau | entete-ligne | total 4 3 2" xfId="15406" xr:uid="{817A5749-895C-44FD-92E0-B172AABB851C}"/>
    <cellStyle name="tableau | entete-ligne | total 4 4" xfId="15407" xr:uid="{BE317FE9-2690-4DAA-9AB3-A83A25E725CE}"/>
    <cellStyle name="tableau | entete-ligne | total 5" xfId="15408" xr:uid="{853F1157-1869-4384-86F7-C5FCDC9EDC83}"/>
    <cellStyle name="tableau | entete-ligne | total 5 2" xfId="15409" xr:uid="{A61B2719-D5A9-4F67-8F9E-4D1FCE011288}"/>
    <cellStyle name="tableau | entete-ligne | total 5 2 2" xfId="15410" xr:uid="{74C5693A-550D-48BF-9B37-13B2ED9B8D9F}"/>
    <cellStyle name="tableau | entete-ligne | total 5 3" xfId="15411" xr:uid="{8A710A73-7000-484D-8EC8-6F6C6775669B}"/>
    <cellStyle name="tableau | entete-ligne | total 5 3 2" xfId="15412" xr:uid="{309156E2-FFF6-474C-B511-F305418A807D}"/>
    <cellStyle name="tableau | entete-ligne | total 5 4" xfId="15413" xr:uid="{890CF237-9241-45E5-ACE2-69AAC7EBE7B2}"/>
    <cellStyle name="tableau | entete-ligne | total 5 4 2" xfId="15414" xr:uid="{B1DA9D8E-4CAE-47FC-B2FE-5D326132116B}"/>
    <cellStyle name="tableau | entete-ligne | total 5 5" xfId="15415" xr:uid="{23F03838-2D16-409E-9883-9D24466101C6}"/>
    <cellStyle name="tableau | entete-ligne | total 6" xfId="15416" xr:uid="{A57836A6-D6D2-470A-8B71-2832BAB0E1CD}"/>
    <cellStyle name="tableau | entete-ligne | total 6 2" xfId="15417" xr:uid="{1E3406D8-37F0-4778-AA54-408585FE8086}"/>
    <cellStyle name="tableau | entete-ligne | total 6 2 2" xfId="15418" xr:uid="{C08B90E3-6A83-4FE5-A762-1217F4CDD00C}"/>
    <cellStyle name="tableau | entete-ligne | total 6 3" xfId="15419" xr:uid="{FB711B23-32C2-4B81-8EA2-88EE5EE951F2}"/>
    <cellStyle name="tableau | entete-ligne | total 6 3 2" xfId="15420" xr:uid="{D2092B22-C830-4C8D-84F8-FF3C1D6B8741}"/>
    <cellStyle name="tableau | entete-ligne | total 6 4" xfId="15421" xr:uid="{90A1B4E1-42EF-45BC-9222-84F6590BAD96}"/>
    <cellStyle name="tableau | entete-ligne | total 7" xfId="15422" xr:uid="{E8BCB848-D718-4611-9D81-D8A8CC405528}"/>
    <cellStyle name="tableau | entete-ligne | total 7 2" xfId="15423" xr:uid="{CA0877D6-20DD-482D-9E96-98D7421C659C}"/>
    <cellStyle name="tableau | entete-ligne | total 8" xfId="15424" xr:uid="{35084920-BCA8-45DA-9902-9BA9CA870AA8}"/>
    <cellStyle name="tableau | entete-ligne | total 8 2" xfId="15425" xr:uid="{1C941D40-8A95-4861-836C-101415CA2636}"/>
    <cellStyle name="tableau | entete-ligne | total 9" xfId="15426" xr:uid="{9C21613E-1B76-4518-A306-C887D6C8A147}"/>
    <cellStyle name="tableau | entete-ligne | total 9 2" xfId="15427" xr:uid="{5FC77BB5-8A09-41C8-9E91-EFA46A18955D}"/>
    <cellStyle name="tableau | ligne-titre | niveau1" xfId="340" xr:uid="{F024DC8D-7863-4E76-B28B-C5D4CC79CD32}"/>
    <cellStyle name="tableau | ligne-titre | niveau1 10" xfId="15429" xr:uid="{4B41B521-6F28-4055-8284-5EBD1C36A270}"/>
    <cellStyle name="tableau | ligne-titre | niveau1 11" xfId="15430" xr:uid="{0D9FA739-08B5-4F8F-9CDF-634CA1B552E2}"/>
    <cellStyle name="tableau | ligne-titre | niveau1 12" xfId="15428" xr:uid="{A9CE6329-9A66-4DDD-A002-5330E8A08D33}"/>
    <cellStyle name="tableau | ligne-titre | niveau1 2" xfId="15431" xr:uid="{655218AD-8043-4011-A0C4-D0BDBD052177}"/>
    <cellStyle name="tableau | ligne-titre | niveau1 2 2" xfId="15432" xr:uid="{4C6994A7-AF31-49B6-817E-83BF1E30F849}"/>
    <cellStyle name="tableau | ligne-titre | niveau1 2 2 2" xfId="15433" xr:uid="{254CD183-0F96-4024-B4E3-BA43FBDF383C}"/>
    <cellStyle name="tableau | ligne-titre | niveau1 2 3" xfId="15434" xr:uid="{E69126E3-B300-4C01-BC37-8E61574A583E}"/>
    <cellStyle name="tableau | ligne-titre | niveau1 2 3 2" xfId="15435" xr:uid="{935EA2F9-0AE5-4854-95D3-C5E39A668F68}"/>
    <cellStyle name="tableau | ligne-titre | niveau1 2 4" xfId="15436" xr:uid="{9DE49F7E-4597-4DB4-AC91-0661C59A8F03}"/>
    <cellStyle name="tableau | ligne-titre | niveau1 2 5" xfId="15437" xr:uid="{8A63EB60-2FE0-419D-9545-46D4DE8C246B}"/>
    <cellStyle name="tableau | ligne-titre | niveau1 3" xfId="15438" xr:uid="{56BE2D4F-1321-4BF8-ABCC-9E6EAEA35884}"/>
    <cellStyle name="tableau | ligne-titre | niveau1 3 2" xfId="15439" xr:uid="{AE7C0339-766E-44A8-9E69-DA960B52481C}"/>
    <cellStyle name="tableau | ligne-titre | niveau1 3 2 2" xfId="15440" xr:uid="{53F69E32-6DF1-4334-8301-98033EF46027}"/>
    <cellStyle name="tableau | ligne-titre | niveau1 3 3" xfId="15441" xr:uid="{99E8D895-B555-43EB-B170-0F6E77D3F604}"/>
    <cellStyle name="tableau | ligne-titre | niveau1 3 3 2" xfId="15442" xr:uid="{30C860E3-9874-4312-BFE2-E516ED63D90A}"/>
    <cellStyle name="tableau | ligne-titre | niveau1 3 4" xfId="15443" xr:uid="{5EFB1D54-710E-47B1-9C1E-88C656CABF4F}"/>
    <cellStyle name="tableau | ligne-titre | niveau1 4" xfId="15444" xr:uid="{B7AF6E03-53F0-4CF9-A4E2-B5FFB97B667F}"/>
    <cellStyle name="tableau | ligne-titre | niveau1 4 2" xfId="15445" xr:uid="{4BCA5331-5650-4176-A285-0E3183B4E066}"/>
    <cellStyle name="tableau | ligne-titre | niveau1 4 2 2" xfId="15446" xr:uid="{1E7FDB49-6A5E-4379-960B-2B046B27D73B}"/>
    <cellStyle name="tableau | ligne-titre | niveau1 4 3" xfId="15447" xr:uid="{ACDD2889-770D-44C5-85EF-AD56ED3D1070}"/>
    <cellStyle name="tableau | ligne-titre | niveau1 4 3 2" xfId="15448" xr:uid="{06BE2905-EDC5-458F-8035-34D3A860F6FF}"/>
    <cellStyle name="tableau | ligne-titre | niveau1 4 4" xfId="15449" xr:uid="{24112B50-0BDB-470D-AAC3-D72B3E8657A9}"/>
    <cellStyle name="tableau | ligne-titre | niveau1 5" xfId="15450" xr:uid="{C937F785-7F14-4E09-B4BB-BF4B07515C07}"/>
    <cellStyle name="tableau | ligne-titre | niveau1 5 2" xfId="15451" xr:uid="{EED3823A-733D-4302-8B9E-8C0E9D8BF507}"/>
    <cellStyle name="tableau | ligne-titre | niveau1 5 2 2" xfId="15452" xr:uid="{8D1FF321-6009-463A-B95A-C418853C586C}"/>
    <cellStyle name="tableau | ligne-titre | niveau1 5 3" xfId="15453" xr:uid="{FF9890E9-21C8-4CE8-A616-2DF02A7EDAE5}"/>
    <cellStyle name="tableau | ligne-titre | niveau1 5 3 2" xfId="15454" xr:uid="{F8579B7E-ED34-4EF4-BAC2-7AD87DB9C818}"/>
    <cellStyle name="tableau | ligne-titre | niveau1 5 4" xfId="15455" xr:uid="{EFD7C569-81A6-4775-A67E-B95AF799D9F0}"/>
    <cellStyle name="tableau | ligne-titre | niveau1 5 4 2" xfId="15456" xr:uid="{82A68599-4768-42DA-B6CE-AF64DAAC901C}"/>
    <cellStyle name="tableau | ligne-titre | niveau1 5 5" xfId="15457" xr:uid="{6B0C9970-14E3-49E9-834B-2EA2333B3339}"/>
    <cellStyle name="tableau | ligne-titre | niveau1 6" xfId="15458" xr:uid="{CCD3CA7F-EA3B-4D14-A543-429B491392DE}"/>
    <cellStyle name="tableau | ligne-titre | niveau1 6 2" xfId="15459" xr:uid="{F6A9BE93-524D-4893-B194-28456881EC4D}"/>
    <cellStyle name="tableau | ligne-titre | niveau1 6 2 2" xfId="15460" xr:uid="{6AC4EFBB-EDAE-43EC-A87A-FC349480CC82}"/>
    <cellStyle name="tableau | ligne-titre | niveau1 6 3" xfId="15461" xr:uid="{4B361997-A7EE-4DF0-9409-69DDEAB3C956}"/>
    <cellStyle name="tableau | ligne-titre | niveau1 6 3 2" xfId="15462" xr:uid="{CE122344-E572-41FD-B4AD-AF56237E0945}"/>
    <cellStyle name="tableau | ligne-titre | niveau1 6 4" xfId="15463" xr:uid="{5EE68606-70F2-4409-8C16-18CA7BF84584}"/>
    <cellStyle name="tableau | ligne-titre | niveau1 7" xfId="15464" xr:uid="{CD756777-8EC7-4D02-8B66-D4E0DC47B8DE}"/>
    <cellStyle name="tableau | ligne-titre | niveau1 7 2" xfId="15465" xr:uid="{9F18665E-19BF-45A1-BC64-ECA1D3F06D5A}"/>
    <cellStyle name="tableau | ligne-titre | niveau1 8" xfId="15466" xr:uid="{7F6F1E37-1A8A-4AA8-A636-D6036D12B6D4}"/>
    <cellStyle name="tableau | ligne-titre | niveau1 8 2" xfId="15467" xr:uid="{ACD4B432-F587-4A44-A451-866E5542A7EC}"/>
    <cellStyle name="tableau | ligne-titre | niveau1 9" xfId="15468" xr:uid="{95895341-AC49-4A3E-93D8-AFDBC446C2DD}"/>
    <cellStyle name="tableau | ligne-titre | niveau1 9 2" xfId="15469" xr:uid="{FABE98AE-3506-4AAE-9DAF-BE527F922E7A}"/>
    <cellStyle name="tableau | ligne-titre | niveau2" xfId="341" xr:uid="{3EBC0F72-7D10-408F-9C6C-A712588A5B50}"/>
    <cellStyle name="tableau | ligne-titre | niveau2 10" xfId="15471" xr:uid="{25A8BF3A-4D0B-4EAB-97FC-EC8F0EBAC081}"/>
    <cellStyle name="tableau | ligne-titre | niveau2 11" xfId="15472" xr:uid="{0D76197F-55CA-4FF0-922E-CF16FA47ACE8}"/>
    <cellStyle name="tableau | ligne-titre | niveau2 12" xfId="15470" xr:uid="{EED2B480-1A48-4668-A488-0B141120AFD5}"/>
    <cellStyle name="tableau | ligne-titre | niveau2 2" xfId="15473" xr:uid="{E4ACF14E-EE00-4D7B-B363-5688EF039470}"/>
    <cellStyle name="tableau | ligne-titre | niveau2 2 2" xfId="15474" xr:uid="{B35D78F1-D7E0-4F55-B86B-0855F8F9C093}"/>
    <cellStyle name="tableau | ligne-titre | niveau2 2 2 2" xfId="15475" xr:uid="{9E14493D-DDB0-4791-BFD3-E7FE2EA3AC82}"/>
    <cellStyle name="tableau | ligne-titre | niveau2 2 3" xfId="15476" xr:uid="{B4BE962C-214D-4533-8701-46E4355DAA8D}"/>
    <cellStyle name="tableau | ligne-titre | niveau2 2 3 2" xfId="15477" xr:uid="{F70A85C5-063A-46E9-8CFC-043F9BA60D7C}"/>
    <cellStyle name="tableau | ligne-titre | niveau2 2 4" xfId="15478" xr:uid="{E3D512D0-AFA4-4294-9EE5-268D718B7FE8}"/>
    <cellStyle name="tableau | ligne-titre | niveau2 2 5" xfId="15479" xr:uid="{C1FB4D40-B3BA-4616-BC58-7E5E1D5C2B0D}"/>
    <cellStyle name="tableau | ligne-titre | niveau2 3" xfId="15480" xr:uid="{42D70D3F-C257-4729-BD25-EC8C5C1C65F8}"/>
    <cellStyle name="tableau | ligne-titre | niveau2 3 2" xfId="15481" xr:uid="{EFE77878-DFBF-48D3-9179-0C3A80A2ECD6}"/>
    <cellStyle name="tableau | ligne-titre | niveau2 3 2 2" xfId="15482" xr:uid="{A703EB8B-3E57-4040-93D7-5EAEB599FFDC}"/>
    <cellStyle name="tableau | ligne-titre | niveau2 3 3" xfId="15483" xr:uid="{FFE29276-1E67-4CD8-99AE-20CFB287E8A1}"/>
    <cellStyle name="tableau | ligne-titre | niveau2 3 3 2" xfId="15484" xr:uid="{210C0F93-608C-4711-B1F0-484048F9D640}"/>
    <cellStyle name="tableau | ligne-titre | niveau2 3 4" xfId="15485" xr:uid="{D3774070-8B5A-4D6F-B763-084A44E4A9B9}"/>
    <cellStyle name="tableau | ligne-titre | niveau2 4" xfId="15486" xr:uid="{4DD8AE81-F2EE-47CE-A18A-A58F3E71FAFD}"/>
    <cellStyle name="tableau | ligne-titre | niveau2 4 2" xfId="15487" xr:uid="{ECBB04A6-7C95-4573-8E99-9E5D8BC9322C}"/>
    <cellStyle name="tableau | ligne-titre | niveau2 4 2 2" xfId="15488" xr:uid="{6765918B-1A0B-4A3E-953A-6DC761D551BC}"/>
    <cellStyle name="tableau | ligne-titre | niveau2 4 3" xfId="15489" xr:uid="{F251DA41-D535-4E75-A877-BBADCC34F433}"/>
    <cellStyle name="tableau | ligne-titre | niveau2 4 3 2" xfId="15490" xr:uid="{3A37FC6F-B8A7-407E-9359-762FB08A5DD7}"/>
    <cellStyle name="tableau | ligne-titre | niveau2 4 4" xfId="15491" xr:uid="{606FBB2E-ABAC-4553-955A-08ED1BEFD757}"/>
    <cellStyle name="tableau | ligne-titre | niveau2 5" xfId="15492" xr:uid="{9616F514-4339-4FCA-9D98-7F43104A1D0C}"/>
    <cellStyle name="tableau | ligne-titre | niveau2 5 2" xfId="15493" xr:uid="{57F67136-65EA-47AE-8D76-688705625A97}"/>
    <cellStyle name="tableau | ligne-titre | niveau2 5 2 2" xfId="15494" xr:uid="{931132A3-91B4-494F-B1F2-A70C55620615}"/>
    <cellStyle name="tableau | ligne-titre | niveau2 5 3" xfId="15495" xr:uid="{67B143A8-756E-40D6-9ED5-2D96FE60A4F1}"/>
    <cellStyle name="tableau | ligne-titre | niveau2 5 3 2" xfId="15496" xr:uid="{E34CD2F1-A35C-444E-8444-CA35F78EC92D}"/>
    <cellStyle name="tableau | ligne-titre | niveau2 5 4" xfId="15497" xr:uid="{BDC3DB04-8C6E-4B36-9F2D-84456FC261FA}"/>
    <cellStyle name="tableau | ligne-titre | niveau2 5 4 2" xfId="15498" xr:uid="{16097683-7890-44A5-9405-7EA60628DF2B}"/>
    <cellStyle name="tableau | ligne-titre | niveau2 5 5" xfId="15499" xr:uid="{475761A4-B8A1-4C14-8E5F-EE7577E94024}"/>
    <cellStyle name="tableau | ligne-titre | niveau2 6" xfId="15500" xr:uid="{AD805219-9CC2-4843-9719-A357D66DE89A}"/>
    <cellStyle name="tableau | ligne-titre | niveau2 6 2" xfId="15501" xr:uid="{6697FB33-2579-412A-98C6-C7498A3BA4C9}"/>
    <cellStyle name="tableau | ligne-titre | niveau2 6 2 2" xfId="15502" xr:uid="{17285688-A753-4774-A9BA-C83829A64967}"/>
    <cellStyle name="tableau | ligne-titre | niveau2 6 3" xfId="15503" xr:uid="{8DD74F92-74D7-4BA8-8F85-C2939C3B90AA}"/>
    <cellStyle name="tableau | ligne-titre | niveau2 6 3 2" xfId="15504" xr:uid="{36AF9DF7-A48D-463F-8215-C86AA95AD2AA}"/>
    <cellStyle name="tableau | ligne-titre | niveau2 6 4" xfId="15505" xr:uid="{09AC8F6F-BBFF-4E23-BC27-20C7414A47EC}"/>
    <cellStyle name="tableau | ligne-titre | niveau2 7" xfId="15506" xr:uid="{FE0DBAAD-E251-454F-A501-3B439947A3C8}"/>
    <cellStyle name="tableau | ligne-titre | niveau2 7 2" xfId="15507" xr:uid="{A6FF62DF-55B5-442D-A428-F17B3E57525B}"/>
    <cellStyle name="tableau | ligne-titre | niveau2 8" xfId="15508" xr:uid="{36356495-03FC-467E-84DF-0FA44A180B31}"/>
    <cellStyle name="tableau | ligne-titre | niveau2 8 2" xfId="15509" xr:uid="{897D42DF-61EF-437D-A8D1-968FC6BD3F79}"/>
    <cellStyle name="tableau | ligne-titre | niveau2 9" xfId="15510" xr:uid="{46800849-C002-4B05-9D36-1BA35D1A621B}"/>
    <cellStyle name="tableau | ligne-titre | niveau2 9 2" xfId="15511" xr:uid="{E8C0609F-E158-4363-A12F-F2FF1EDD1910}"/>
    <cellStyle name="Title" xfId="3" builtinId="15" customBuiltin="1"/>
    <cellStyle name="Title 10" xfId="3266" xr:uid="{5DA02487-B2B5-4825-BCDF-DD72897E4388}"/>
    <cellStyle name="Title 10 10" xfId="15513" xr:uid="{99709FE5-85A5-4FF4-81C9-8A25376A4EFA}"/>
    <cellStyle name="Title 10 11" xfId="15514" xr:uid="{112DC458-DDD5-410C-86FF-9BA4B2832A69}"/>
    <cellStyle name="Title 10 12" xfId="15512" xr:uid="{F7F98E9A-D880-4382-ABA0-ED6E5324A3F6}"/>
    <cellStyle name="Title 10 2" xfId="15515" xr:uid="{8452AD0A-614A-4224-98BF-0D42E7177F90}"/>
    <cellStyle name="Title 10 2 2" xfId="15516" xr:uid="{37748496-09E3-4790-8732-3B86A0ACD7B4}"/>
    <cellStyle name="Title 10 2 2 2" xfId="15517" xr:uid="{50760643-011A-46C6-9BE5-FDFBCAD6F88E}"/>
    <cellStyle name="Title 10 2 3" xfId="15518" xr:uid="{B685BB01-1C49-4D38-9F05-89CD5F0942BA}"/>
    <cellStyle name="Title 10 2 3 2" xfId="15519" xr:uid="{355C938B-24C3-4A89-A87F-B513791379E2}"/>
    <cellStyle name="Title 10 2 4" xfId="15520" xr:uid="{1D33AD4F-6FDA-44CA-93A9-6DADCA9AB2E6}"/>
    <cellStyle name="Title 10 2 5" xfId="15521" xr:uid="{730E846A-65C2-4593-80E5-B471B84EA4ED}"/>
    <cellStyle name="Title 10 3" xfId="15522" xr:uid="{72C0B165-EC90-4785-9A24-42D7D373319E}"/>
    <cellStyle name="Title 10 3 2" xfId="15523" xr:uid="{E58F6ACA-01A8-4C8A-8A68-8E049D66A4A3}"/>
    <cellStyle name="Title 10 3 2 2" xfId="15524" xr:uid="{BFB96EEC-2B3E-4D2E-B20E-7F652AA855C8}"/>
    <cellStyle name="Title 10 3 3" xfId="15525" xr:uid="{4523DBE0-76A9-4E1F-AB0E-6EEA2A64A3F5}"/>
    <cellStyle name="Title 10 3 3 2" xfId="15526" xr:uid="{9361C7C9-F0BD-4575-B2CC-0F9B0C961016}"/>
    <cellStyle name="Title 10 3 4" xfId="15527" xr:uid="{AB5B1DBB-C3F7-42ED-A705-2FC03088C864}"/>
    <cellStyle name="Title 10 4" xfId="15528" xr:uid="{2480C6E3-BB74-411D-B512-88C4A63B68FE}"/>
    <cellStyle name="Title 10 4 2" xfId="15529" xr:uid="{A5A68385-74F3-4A7B-89ED-A1AC786513F3}"/>
    <cellStyle name="Title 10 4 2 2" xfId="15530" xr:uid="{BE260B66-E14F-4E41-9A42-B01233A30242}"/>
    <cellStyle name="Title 10 4 3" xfId="15531" xr:uid="{3CB5064B-348B-4A3D-88EC-56724AB4C81D}"/>
    <cellStyle name="Title 10 4 3 2" xfId="15532" xr:uid="{C86AB924-40D4-42F1-B24B-D54BB035C5BB}"/>
    <cellStyle name="Title 10 4 4" xfId="15533" xr:uid="{51D0A23C-2EAD-4E62-BD57-7B60515B6EF3}"/>
    <cellStyle name="Title 10 5" xfId="15534" xr:uid="{5B07AA3C-F716-44A7-B172-904DB1C900A3}"/>
    <cellStyle name="Title 10 5 2" xfId="15535" xr:uid="{18D802FB-DD07-44D4-91DC-3B2255B56580}"/>
    <cellStyle name="Title 10 5 2 2" xfId="15536" xr:uid="{2D078792-6890-4292-838A-43346EE8CD56}"/>
    <cellStyle name="Title 10 5 3" xfId="15537" xr:uid="{0D8B026D-B5D9-4D47-82BC-B48A2FB26779}"/>
    <cellStyle name="Title 10 5 3 2" xfId="15538" xr:uid="{51382765-1FB1-4015-871D-4DA2504FF6C3}"/>
    <cellStyle name="Title 10 5 4" xfId="15539" xr:uid="{DE97DD70-1B0F-48CD-BC06-0D82CC51A3CA}"/>
    <cellStyle name="Title 10 5 4 2" xfId="15540" xr:uid="{FC33C0BC-D0EF-4321-8025-6B1C65547D16}"/>
    <cellStyle name="Title 10 5 5" xfId="15541" xr:uid="{FD3406CA-B364-4028-8CFB-FEC90DA8B5AA}"/>
    <cellStyle name="Title 10 6" xfId="15542" xr:uid="{8183621F-BF6A-4BCD-B6C6-57411155D538}"/>
    <cellStyle name="Title 10 6 2" xfId="15543" xr:uid="{B157B8D9-3AD1-4C1D-AA69-39877AADCC39}"/>
    <cellStyle name="Title 10 6 2 2" xfId="15544" xr:uid="{01E6D686-6E4E-4219-80E7-ACC2F02F653C}"/>
    <cellStyle name="Title 10 6 3" xfId="15545" xr:uid="{94D772BC-AA87-460D-94A6-9E4F08F9F263}"/>
    <cellStyle name="Title 10 6 3 2" xfId="15546" xr:uid="{41167321-D2C1-46D4-9B9E-F4FBF6B1620B}"/>
    <cellStyle name="Title 10 6 4" xfId="15547" xr:uid="{AA1A6D64-E426-4E82-875A-D10570B1D166}"/>
    <cellStyle name="Title 10 7" xfId="15548" xr:uid="{351B636A-BC03-4E2E-9688-8A486CA45D56}"/>
    <cellStyle name="Title 10 7 2" xfId="15549" xr:uid="{347AFF7E-AD04-4BDE-8888-A99714B0E73F}"/>
    <cellStyle name="Title 10 8" xfId="15550" xr:uid="{744798C8-AA17-4474-B338-90A0C9E41ACF}"/>
    <cellStyle name="Title 10 8 2" xfId="15551" xr:uid="{376E2618-F83F-4EF4-9A69-270B4AF90B5B}"/>
    <cellStyle name="Title 10 9" xfId="15552" xr:uid="{47AFB9ED-B909-489C-B299-C196B29F84FA}"/>
    <cellStyle name="Title 10 9 2" xfId="15553" xr:uid="{513D998F-301F-4C47-9684-C9DF4EDE3B25}"/>
    <cellStyle name="Title 11" xfId="3267" xr:uid="{B0C8137E-3915-42DA-AF02-79A7A7990570}"/>
    <cellStyle name="Title 11 10" xfId="15555" xr:uid="{FA13FE1B-C29C-4A4E-9966-A14E82BE9EC6}"/>
    <cellStyle name="Title 11 11" xfId="15556" xr:uid="{094B6F0D-0FF3-4A46-83A4-9E50ECD16577}"/>
    <cellStyle name="Title 11 12" xfId="15554" xr:uid="{9A0506FC-150E-4242-8B21-9866D5039815}"/>
    <cellStyle name="Title 11 2" xfId="15557" xr:uid="{B1D66E6E-3425-400A-A568-2A7A8BD670E5}"/>
    <cellStyle name="Title 11 2 2" xfId="15558" xr:uid="{A1CD911C-A059-4A91-B732-FCFBE3323E54}"/>
    <cellStyle name="Title 11 2 2 2" xfId="15559" xr:uid="{210DA091-E132-41A8-BC7D-8DBA5CC8FE1C}"/>
    <cellStyle name="Title 11 2 3" xfId="15560" xr:uid="{C83552F9-6826-4EB0-A5CA-BBF34D1DB89E}"/>
    <cellStyle name="Title 11 2 3 2" xfId="15561" xr:uid="{60800682-0A05-4207-8DE8-9428E8850E7A}"/>
    <cellStyle name="Title 11 2 4" xfId="15562" xr:uid="{42C2A1A9-72EA-44F7-89D4-5C7659471D1D}"/>
    <cellStyle name="Title 11 2 5" xfId="15563" xr:uid="{D6E4F9EE-D2E8-4225-85AD-3F5FEC2D230C}"/>
    <cellStyle name="Title 11 3" xfId="15564" xr:uid="{D9EE6C6D-0FED-4FC8-ACCC-9A8EC84B3FE2}"/>
    <cellStyle name="Title 11 3 2" xfId="15565" xr:uid="{DEF40457-A54B-4662-BA4E-70D50C2886D2}"/>
    <cellStyle name="Title 11 3 2 2" xfId="15566" xr:uid="{C27761BA-F6F4-4A34-A8D3-A924D1F407E7}"/>
    <cellStyle name="Title 11 3 3" xfId="15567" xr:uid="{9B85AA1B-ADBD-4441-B65A-CFD5FB0F21D3}"/>
    <cellStyle name="Title 11 3 3 2" xfId="15568" xr:uid="{D3FA969B-CF66-409E-BD33-3F2DF470199C}"/>
    <cellStyle name="Title 11 3 4" xfId="15569" xr:uid="{F2D315F9-8302-465E-BB33-429D6900B9E0}"/>
    <cellStyle name="Title 11 4" xfId="15570" xr:uid="{AD15DDE8-E406-4F15-AC19-A8AEA1D90B60}"/>
    <cellStyle name="Title 11 4 2" xfId="15571" xr:uid="{C12CBE6A-30ED-427E-B9F4-71356D2A210A}"/>
    <cellStyle name="Title 11 4 2 2" xfId="15572" xr:uid="{CCD09527-3879-4F27-B3F8-360CA7E9BD48}"/>
    <cellStyle name="Title 11 4 3" xfId="15573" xr:uid="{A5DE6195-7CD9-4978-AEF9-FDB9E3257168}"/>
    <cellStyle name="Title 11 4 3 2" xfId="15574" xr:uid="{81892EE4-D6EB-4340-A516-7180BBDFC18E}"/>
    <cellStyle name="Title 11 4 4" xfId="15575" xr:uid="{BFDE8DF6-1313-409F-A30D-2B9074B7E10D}"/>
    <cellStyle name="Title 11 5" xfId="15576" xr:uid="{283409F5-C713-4574-A1C3-D05063563A3F}"/>
    <cellStyle name="Title 11 5 2" xfId="15577" xr:uid="{E2A8A5C7-4AEA-4E9A-886A-704CB3862C3E}"/>
    <cellStyle name="Title 11 5 2 2" xfId="15578" xr:uid="{5CF3B2FD-0259-4198-AEC1-408D9EC86885}"/>
    <cellStyle name="Title 11 5 3" xfId="15579" xr:uid="{5F8E47A4-BB4F-4502-9F6E-B390998E8D30}"/>
    <cellStyle name="Title 11 5 3 2" xfId="15580" xr:uid="{EF528A18-432D-4775-ACC3-C34EB73BE991}"/>
    <cellStyle name="Title 11 5 4" xfId="15581" xr:uid="{ED345AF2-BB79-4A80-9254-EBCAF1FB4D10}"/>
    <cellStyle name="Title 11 5 4 2" xfId="15582" xr:uid="{3993F43A-2B09-4322-8B5A-E9A30565CA63}"/>
    <cellStyle name="Title 11 5 5" xfId="15583" xr:uid="{1B5A1495-5205-4E5E-8D23-E9E16B20195D}"/>
    <cellStyle name="Title 11 6" xfId="15584" xr:uid="{876851E7-A534-4522-9B1C-54B5702C219F}"/>
    <cellStyle name="Title 11 6 2" xfId="15585" xr:uid="{D3F370A0-924B-40EB-870C-B795B190D0AD}"/>
    <cellStyle name="Title 11 6 2 2" xfId="15586" xr:uid="{A7721980-C31B-47FF-BA09-206152EC81CE}"/>
    <cellStyle name="Title 11 6 3" xfId="15587" xr:uid="{6AA981F5-A553-4B75-97EE-80BBCF017740}"/>
    <cellStyle name="Title 11 6 3 2" xfId="15588" xr:uid="{FDD32AF0-7A24-4BBE-998C-C6038A5C2589}"/>
    <cellStyle name="Title 11 6 4" xfId="15589" xr:uid="{5987093B-43BE-420A-AB3F-C20673A8C100}"/>
    <cellStyle name="Title 11 7" xfId="15590" xr:uid="{AB4B34A6-521B-47EF-889F-160D36345DA8}"/>
    <cellStyle name="Title 11 7 2" xfId="15591" xr:uid="{D8D4BB6C-DE32-4283-91B9-36E20290417A}"/>
    <cellStyle name="Title 11 8" xfId="15592" xr:uid="{9BA9018B-3587-443B-9BF9-1ECCA5D22D2F}"/>
    <cellStyle name="Title 11 8 2" xfId="15593" xr:uid="{B2E9DCC6-458B-41CC-90E3-BFD7DFD6526E}"/>
    <cellStyle name="Title 11 9" xfId="15594" xr:uid="{51C8C20A-7CA5-4ED8-B524-F9011804CAF1}"/>
    <cellStyle name="Title 11 9 2" xfId="15595" xr:uid="{3CC782CB-1A1C-446B-99D6-100F20F9A2F7}"/>
    <cellStyle name="Title 12" xfId="3268" xr:uid="{3892C639-5858-41BB-ABDC-7D7E6AE0B9B8}"/>
    <cellStyle name="Title 12 10" xfId="15597" xr:uid="{4FFC0360-C1B6-49B1-A230-AFBE82F2576F}"/>
    <cellStyle name="Title 12 11" xfId="15598" xr:uid="{A993DA45-DD57-401C-802D-F56BD1F40F82}"/>
    <cellStyle name="Title 12 12" xfId="15596" xr:uid="{F9B0E71C-B2FF-43B0-8900-22A063FBD62D}"/>
    <cellStyle name="Title 12 2" xfId="15599" xr:uid="{D2AEE928-9405-4F40-BD6E-7C6C8E58FDDD}"/>
    <cellStyle name="Title 12 2 2" xfId="15600" xr:uid="{7744F955-5BA0-4DCD-AE8D-F01D599E0FE0}"/>
    <cellStyle name="Title 12 2 2 2" xfId="15601" xr:uid="{AEB07789-8D68-43CB-9D0A-9BD803D4FFCC}"/>
    <cellStyle name="Title 12 2 3" xfId="15602" xr:uid="{11030CEB-552A-478B-A899-0F176E98D30F}"/>
    <cellStyle name="Title 12 2 3 2" xfId="15603" xr:uid="{E3ADB1E2-B39B-4DED-BDEA-98D651248716}"/>
    <cellStyle name="Title 12 2 4" xfId="15604" xr:uid="{78141DAC-3F9E-47B8-8AE8-C51D3F79B741}"/>
    <cellStyle name="Title 12 2 5" xfId="15605" xr:uid="{F04FFFD8-C4FC-4C42-92A0-74830DF215CF}"/>
    <cellStyle name="Title 12 3" xfId="15606" xr:uid="{127ECA4F-7696-42D6-84B2-67CA2D336626}"/>
    <cellStyle name="Title 12 3 2" xfId="15607" xr:uid="{E5EBE14B-B2BF-4094-94C2-6BD4B04C0660}"/>
    <cellStyle name="Title 12 3 2 2" xfId="15608" xr:uid="{DB311FBB-3D37-4046-8A52-A9ADD34A4724}"/>
    <cellStyle name="Title 12 3 3" xfId="15609" xr:uid="{D304AEC6-B8E8-4D07-A831-797E370D92B5}"/>
    <cellStyle name="Title 12 3 3 2" xfId="15610" xr:uid="{0460C96B-C8AD-4872-ADAB-F7D63B130C0C}"/>
    <cellStyle name="Title 12 3 4" xfId="15611" xr:uid="{2F41D370-E69C-464D-AE7A-5053394467BE}"/>
    <cellStyle name="Title 12 4" xfId="15612" xr:uid="{0988D5BF-C9AE-4949-8844-7DACFD4BFD02}"/>
    <cellStyle name="Title 12 4 2" xfId="15613" xr:uid="{10AA8401-FBEC-4FEF-9D45-692321AE6310}"/>
    <cellStyle name="Title 12 4 2 2" xfId="15614" xr:uid="{05C553C4-AF96-4D5C-A925-E04A36CD2472}"/>
    <cellStyle name="Title 12 4 3" xfId="15615" xr:uid="{EED38064-41E7-4895-9E98-FF08AB45B67C}"/>
    <cellStyle name="Title 12 4 3 2" xfId="15616" xr:uid="{E79B456B-D775-47DD-B0FB-A69242371405}"/>
    <cellStyle name="Title 12 4 4" xfId="15617" xr:uid="{DAB8F7D0-A8F6-4C73-87FA-D5BB6735B9F6}"/>
    <cellStyle name="Title 12 5" xfId="15618" xr:uid="{6325DDC6-7902-4951-BD62-9AF6DBC5E2A7}"/>
    <cellStyle name="Title 12 5 2" xfId="15619" xr:uid="{7EDB347C-814A-4372-ABE2-E9EC1C172204}"/>
    <cellStyle name="Title 12 5 2 2" xfId="15620" xr:uid="{A37A95DD-23BB-460C-9900-3D8A1D6803E4}"/>
    <cellStyle name="Title 12 5 3" xfId="15621" xr:uid="{3DD4C465-FCE8-4F1E-859D-3A2904EEF433}"/>
    <cellStyle name="Title 12 5 3 2" xfId="15622" xr:uid="{0E471DC6-E386-4B53-B210-F022F540F072}"/>
    <cellStyle name="Title 12 5 4" xfId="15623" xr:uid="{A31190EA-D0AD-4328-954B-603A4E748419}"/>
    <cellStyle name="Title 12 5 4 2" xfId="15624" xr:uid="{59D08E7A-BBC8-484D-8B1F-0D7653D80343}"/>
    <cellStyle name="Title 12 5 5" xfId="15625" xr:uid="{8BEC2856-DBF8-4B77-A4F9-43CD3A37EA50}"/>
    <cellStyle name="Title 12 6" xfId="15626" xr:uid="{1BEED70B-2116-43DE-BB9B-DAA581CCD920}"/>
    <cellStyle name="Title 12 6 2" xfId="15627" xr:uid="{B3712605-7332-4715-B9D8-C98AB29A2894}"/>
    <cellStyle name="Title 12 6 2 2" xfId="15628" xr:uid="{8D67EBA6-9E37-43C5-ADDB-458359CE7935}"/>
    <cellStyle name="Title 12 6 3" xfId="15629" xr:uid="{73C7668C-F3AD-4CD3-8448-3CEBDAFED1D5}"/>
    <cellStyle name="Title 12 6 3 2" xfId="15630" xr:uid="{ADF73593-9646-48A9-A033-599243DC226F}"/>
    <cellStyle name="Title 12 6 4" xfId="15631" xr:uid="{C666A871-697F-4F1F-B12D-7B9780C5C284}"/>
    <cellStyle name="Title 12 7" xfId="15632" xr:uid="{AC50798B-B40A-4B19-BDD5-A2DDF077FBB4}"/>
    <cellStyle name="Title 12 7 2" xfId="15633" xr:uid="{4B645E70-14BC-4BDB-9EFD-E679BD52EF94}"/>
    <cellStyle name="Title 12 8" xfId="15634" xr:uid="{516676B4-39B1-4990-8026-19E9AF3CB16E}"/>
    <cellStyle name="Title 12 8 2" xfId="15635" xr:uid="{6861B160-3604-4AE5-82BB-43BA49732258}"/>
    <cellStyle name="Title 12 9" xfId="15636" xr:uid="{BDB3C935-7849-47CE-B5D2-90357CEBC719}"/>
    <cellStyle name="Title 12 9 2" xfId="15637" xr:uid="{759D27AC-BE83-4A77-B058-DA46FC865932}"/>
    <cellStyle name="Title 13" xfId="3269" xr:uid="{1AA69DC5-28F2-4DD6-9F2F-4019D71621C3}"/>
    <cellStyle name="Title 13 10" xfId="15639" xr:uid="{7DCC132C-6F2C-4734-822B-C46D6787934A}"/>
    <cellStyle name="Title 13 11" xfId="15640" xr:uid="{D8C801EC-27FD-4B47-969B-04CFA5A5B12B}"/>
    <cellStyle name="Title 13 12" xfId="15638" xr:uid="{BB141863-A2A0-4FF6-B082-89116AEDC7C0}"/>
    <cellStyle name="Title 13 2" xfId="15641" xr:uid="{B516C235-ED99-414C-B291-6BF88D4868B7}"/>
    <cellStyle name="Title 13 2 2" xfId="15642" xr:uid="{3CC0A407-87E7-4370-A46C-793257747F94}"/>
    <cellStyle name="Title 13 2 2 2" xfId="15643" xr:uid="{7DA2C07C-8408-4CAE-9F5B-CB4641FFC2B3}"/>
    <cellStyle name="Title 13 2 3" xfId="15644" xr:uid="{688FF615-087F-4F2C-8846-9F2AE9079BFB}"/>
    <cellStyle name="Title 13 2 3 2" xfId="15645" xr:uid="{EA64CB95-2B0C-4F94-9705-A4AF3B7A5614}"/>
    <cellStyle name="Title 13 2 4" xfId="15646" xr:uid="{FCFA68C3-C12C-4168-A77E-3C7A0C0A4AFC}"/>
    <cellStyle name="Title 13 2 5" xfId="15647" xr:uid="{C125B4C4-A653-43DF-A753-898C863AB5E8}"/>
    <cellStyle name="Title 13 3" xfId="15648" xr:uid="{543CCAEF-86D1-4D62-9E2A-DB5F1F0EAC77}"/>
    <cellStyle name="Title 13 3 2" xfId="15649" xr:uid="{C6D06CEB-3D9A-40BB-B2B7-03724A00E703}"/>
    <cellStyle name="Title 13 3 2 2" xfId="15650" xr:uid="{FFBF7F3D-AE8F-40D9-8374-2FA2C393F730}"/>
    <cellStyle name="Title 13 3 3" xfId="15651" xr:uid="{DBFF495F-B351-4641-BFE7-94E10736AC07}"/>
    <cellStyle name="Title 13 3 3 2" xfId="15652" xr:uid="{958AB489-7D6A-426D-8D25-A49943734A0D}"/>
    <cellStyle name="Title 13 3 4" xfId="15653" xr:uid="{CC4C177C-E4B3-4015-B376-63323D06B9C0}"/>
    <cellStyle name="Title 13 4" xfId="15654" xr:uid="{82986B56-EA52-4692-8DCB-CBDCCFEA5311}"/>
    <cellStyle name="Title 13 4 2" xfId="15655" xr:uid="{1DB36A28-6787-4BBE-842E-94D2211F2926}"/>
    <cellStyle name="Title 13 4 2 2" xfId="15656" xr:uid="{9465DB8B-7528-4CD6-96D1-72200324C0B1}"/>
    <cellStyle name="Title 13 4 3" xfId="15657" xr:uid="{8CC18A42-89E1-43DF-8513-94C2CBA6DA58}"/>
    <cellStyle name="Title 13 4 3 2" xfId="15658" xr:uid="{623FEAAB-9676-44E5-899C-6E32C2380F76}"/>
    <cellStyle name="Title 13 4 4" xfId="15659" xr:uid="{913795AC-C9FA-4EC5-9FE3-58CD77678FE0}"/>
    <cellStyle name="Title 13 5" xfId="15660" xr:uid="{1542A7C1-3B77-424B-A559-A3D763632244}"/>
    <cellStyle name="Title 13 5 2" xfId="15661" xr:uid="{B5B8CC0A-A846-4C16-A61B-36AA78F1838B}"/>
    <cellStyle name="Title 13 5 2 2" xfId="15662" xr:uid="{48FE0210-CB93-4D02-9CFF-464AE05AD32E}"/>
    <cellStyle name="Title 13 5 3" xfId="15663" xr:uid="{83548FB2-DECC-4C76-BCB5-3F38C42BDAE2}"/>
    <cellStyle name="Title 13 5 3 2" xfId="15664" xr:uid="{A399A2B0-40DD-4E25-879B-12968289C7E6}"/>
    <cellStyle name="Title 13 5 4" xfId="15665" xr:uid="{38A320A2-B385-4B1B-A605-3BCDEABCC86D}"/>
    <cellStyle name="Title 13 5 4 2" xfId="15666" xr:uid="{1165B175-65C8-44BA-ADCF-39F89BB27D0C}"/>
    <cellStyle name="Title 13 5 5" xfId="15667" xr:uid="{53A3D3B9-31A1-43EE-BD4C-57954288F8DE}"/>
    <cellStyle name="Title 13 6" xfId="15668" xr:uid="{C6632C2E-5682-4AB9-9662-08DB6587A145}"/>
    <cellStyle name="Title 13 6 2" xfId="15669" xr:uid="{DB43B95A-1917-4D7F-A4A8-4B22F8C6AD9E}"/>
    <cellStyle name="Title 13 6 2 2" xfId="15670" xr:uid="{9314D6A5-45B5-4C5E-83A6-43165F511F00}"/>
    <cellStyle name="Title 13 6 3" xfId="15671" xr:uid="{E1DE3D51-55DD-4E87-9FFA-006E76CFB83F}"/>
    <cellStyle name="Title 13 6 3 2" xfId="15672" xr:uid="{DE6B8E78-AC18-4128-83EE-122F9AF9538C}"/>
    <cellStyle name="Title 13 6 4" xfId="15673" xr:uid="{F9E88B76-17B7-4936-9118-E617174E5BB6}"/>
    <cellStyle name="Title 13 7" xfId="15674" xr:uid="{B378A3A1-58B8-480E-A362-FD58F0D76DB5}"/>
    <cellStyle name="Title 13 7 2" xfId="15675" xr:uid="{DBF4F209-DABF-4CB2-991D-9F8CC6667ED9}"/>
    <cellStyle name="Title 13 8" xfId="15676" xr:uid="{6FD1BA3F-A1E1-46CA-9CE1-6F7253BDA7E9}"/>
    <cellStyle name="Title 13 8 2" xfId="15677" xr:uid="{70DE122D-3891-40B4-A577-D553B6E90E87}"/>
    <cellStyle name="Title 13 9" xfId="15678" xr:uid="{8B77D088-6744-4FC5-9536-E1F2CD07B8A1}"/>
    <cellStyle name="Title 13 9 2" xfId="15679" xr:uid="{7D60835B-9D4A-4314-A4C6-D0B55CE93B42}"/>
    <cellStyle name="Title 14" xfId="3270" xr:uid="{2DB8C2B3-E4F6-45A6-B61A-37586C98CF76}"/>
    <cellStyle name="Title 14 10" xfId="15681" xr:uid="{50A55DCC-7C09-4124-A737-D9448348662E}"/>
    <cellStyle name="Title 14 11" xfId="15682" xr:uid="{29543CEC-C9DD-4206-966B-8644508E5692}"/>
    <cellStyle name="Title 14 12" xfId="15680" xr:uid="{6B2B0FE6-5DB0-4958-9036-12473E70A113}"/>
    <cellStyle name="Title 14 2" xfId="15683" xr:uid="{B716FB34-BC48-49FE-883C-C1F7906C249A}"/>
    <cellStyle name="Title 14 2 2" xfId="15684" xr:uid="{A3338A3E-F04F-4D09-A59B-1334E369A3D8}"/>
    <cellStyle name="Title 14 2 2 2" xfId="15685" xr:uid="{3B91CE49-3E5D-49BE-8A9C-056A40D7EB95}"/>
    <cellStyle name="Title 14 2 3" xfId="15686" xr:uid="{1FEF3AE2-30E8-4A41-A598-D41DD08837D0}"/>
    <cellStyle name="Title 14 2 3 2" xfId="15687" xr:uid="{CE74C71D-7C32-49B5-9194-7FAC2F5C9C8F}"/>
    <cellStyle name="Title 14 2 4" xfId="15688" xr:uid="{2897B64A-1236-420E-9B87-045017DBCC26}"/>
    <cellStyle name="Title 14 2 5" xfId="15689" xr:uid="{181FC888-8265-4A9D-9229-328583F269BC}"/>
    <cellStyle name="Title 14 3" xfId="15690" xr:uid="{9EAF1ED3-B7D9-49DE-9351-87986433B5AF}"/>
    <cellStyle name="Title 14 3 2" xfId="15691" xr:uid="{673D51BE-199B-4C0C-9A62-2E3DFEB7F55C}"/>
    <cellStyle name="Title 14 3 2 2" xfId="15692" xr:uid="{8B6BCAA8-8EE0-4CD4-975E-954CA16428C6}"/>
    <cellStyle name="Title 14 3 3" xfId="15693" xr:uid="{6BBFB87C-816F-437C-B2E5-21DAEAE2141E}"/>
    <cellStyle name="Title 14 3 3 2" xfId="15694" xr:uid="{EA863E4B-9799-468F-BE46-D202A135E5BC}"/>
    <cellStyle name="Title 14 3 4" xfId="15695" xr:uid="{432A236D-73B0-4F1E-9B60-E83DEF7FFEBA}"/>
    <cellStyle name="Title 14 4" xfId="15696" xr:uid="{7C033D0D-020B-4051-B152-8803B7B75A60}"/>
    <cellStyle name="Title 14 4 2" xfId="15697" xr:uid="{96EB1BC1-1591-4E9F-9A3B-66969B796536}"/>
    <cellStyle name="Title 14 4 2 2" xfId="15698" xr:uid="{77648729-B587-4D56-926A-6F1C02AF9919}"/>
    <cellStyle name="Title 14 4 3" xfId="15699" xr:uid="{312CF5B9-3633-400E-A34B-1F1AC67209F3}"/>
    <cellStyle name="Title 14 4 3 2" xfId="15700" xr:uid="{586FB742-9DC2-48F3-8715-B747A07AE1A0}"/>
    <cellStyle name="Title 14 4 4" xfId="15701" xr:uid="{4CD4E5D8-B1B3-4418-9955-09D3CDD967C0}"/>
    <cellStyle name="Title 14 5" xfId="15702" xr:uid="{4590B91F-BD8E-4EB0-808D-63BCF4BDD54E}"/>
    <cellStyle name="Title 14 5 2" xfId="15703" xr:uid="{6CB25423-A71B-4610-AC39-C01AD6FAB567}"/>
    <cellStyle name="Title 14 5 2 2" xfId="15704" xr:uid="{1A32F48B-0AE7-43C0-856A-09A2ACADEEBF}"/>
    <cellStyle name="Title 14 5 3" xfId="15705" xr:uid="{35F0B127-49A5-498B-9E6D-D5135B6A8CA3}"/>
    <cellStyle name="Title 14 5 3 2" xfId="15706" xr:uid="{632F57E7-A6E1-443A-BD19-E29DB7181BC9}"/>
    <cellStyle name="Title 14 5 4" xfId="15707" xr:uid="{B2AC1851-B6BE-4E40-BEE0-24FBF6DFF13A}"/>
    <cellStyle name="Title 14 5 4 2" xfId="15708" xr:uid="{A4206822-06DF-436D-B513-CC99915382E2}"/>
    <cellStyle name="Title 14 5 5" xfId="15709" xr:uid="{E656E51D-1670-4AC1-9257-8C5FC38CF599}"/>
    <cellStyle name="Title 14 6" xfId="15710" xr:uid="{35529C97-44AD-497E-ABF0-9EA19021192C}"/>
    <cellStyle name="Title 14 6 2" xfId="15711" xr:uid="{F8A0DFE7-195D-46FB-A7B1-DBA94885450D}"/>
    <cellStyle name="Title 14 6 2 2" xfId="15712" xr:uid="{CD5BB19E-2188-44A8-B883-266BAF2D5BA3}"/>
    <cellStyle name="Title 14 6 3" xfId="15713" xr:uid="{F92A224B-C416-4E68-ACFA-41A8BD84299F}"/>
    <cellStyle name="Title 14 6 3 2" xfId="15714" xr:uid="{D4B6205C-A388-43B0-84BE-D15EA7E92237}"/>
    <cellStyle name="Title 14 6 4" xfId="15715" xr:uid="{243F1C56-215F-4FB9-AAFA-A94E09135645}"/>
    <cellStyle name="Title 14 7" xfId="15716" xr:uid="{465B2104-6726-4885-81CC-C9812E6AA681}"/>
    <cellStyle name="Title 14 7 2" xfId="15717" xr:uid="{5A65AFC4-CF0D-4E2F-B4AF-6A2D8456E1D0}"/>
    <cellStyle name="Title 14 8" xfId="15718" xr:uid="{F4FCCB4F-23A9-4B1F-82E6-4F1F96C788B5}"/>
    <cellStyle name="Title 14 8 2" xfId="15719" xr:uid="{9D1075E8-35CF-4D34-B64A-99EC4DE8C4C1}"/>
    <cellStyle name="Title 14 9" xfId="15720" xr:uid="{8F109BDA-2D93-46A5-8B1C-6647E51DCE25}"/>
    <cellStyle name="Title 14 9 2" xfId="15721" xr:uid="{6A34ED8C-1645-42BE-AC6F-7BD8135E8B1B}"/>
    <cellStyle name="Title 15" xfId="3271" xr:uid="{09249ED9-41A1-48EC-B88F-FC3521E75EB0}"/>
    <cellStyle name="Title 15 10" xfId="15723" xr:uid="{E24D27A9-914F-402B-A0FB-50348417E8ED}"/>
    <cellStyle name="Title 15 11" xfId="15724" xr:uid="{C68D50E3-DC8E-4BE6-BBE1-4427BB0FD910}"/>
    <cellStyle name="Title 15 12" xfId="15722" xr:uid="{BF16E73F-F9F4-4745-BD66-C669B111FBEA}"/>
    <cellStyle name="Title 15 2" xfId="15725" xr:uid="{89BB7AB5-E918-490F-A0DC-76F7BEFE16E2}"/>
    <cellStyle name="Title 15 2 2" xfId="15726" xr:uid="{B14354C1-9609-42CF-9D9E-B592618702B6}"/>
    <cellStyle name="Title 15 2 2 2" xfId="15727" xr:uid="{4DA6FACE-72DB-49D6-B93D-40AEAEBB6251}"/>
    <cellStyle name="Title 15 2 3" xfId="15728" xr:uid="{F4977201-30AC-4D58-9AAB-EA798DC492E1}"/>
    <cellStyle name="Title 15 2 3 2" xfId="15729" xr:uid="{2C80FCA4-8532-460F-A414-393FAC6A5D83}"/>
    <cellStyle name="Title 15 2 4" xfId="15730" xr:uid="{E8267931-674C-4DCB-AA29-20989E97A702}"/>
    <cellStyle name="Title 15 2 5" xfId="15731" xr:uid="{27E263E9-789F-4ED8-964A-FFD13AB90688}"/>
    <cellStyle name="Title 15 3" xfId="15732" xr:uid="{3B38E0F0-7B6E-47FD-B9FA-3E678B2508C6}"/>
    <cellStyle name="Title 15 3 2" xfId="15733" xr:uid="{BA90A849-1186-4198-8163-6756BC50F851}"/>
    <cellStyle name="Title 15 3 2 2" xfId="15734" xr:uid="{9B74F322-79BB-455C-9C35-83733986127A}"/>
    <cellStyle name="Title 15 3 3" xfId="15735" xr:uid="{FA36F98C-847C-4CA2-9F7D-EE831698C876}"/>
    <cellStyle name="Title 15 3 3 2" xfId="15736" xr:uid="{16CBB2EB-BD07-4E54-B17C-23B21D395BE0}"/>
    <cellStyle name="Title 15 3 4" xfId="15737" xr:uid="{19A0B038-9DEA-4E63-8024-DB7CC0C6516A}"/>
    <cellStyle name="Title 15 4" xfId="15738" xr:uid="{764F7F7C-1280-4789-B218-031B8ADD2203}"/>
    <cellStyle name="Title 15 4 2" xfId="15739" xr:uid="{9E2C0F7A-4741-4F0D-9461-1811D26B3486}"/>
    <cellStyle name="Title 15 4 2 2" xfId="15740" xr:uid="{202CF6CB-41C8-4069-A390-2DA86F4A7B37}"/>
    <cellStyle name="Title 15 4 3" xfId="15741" xr:uid="{509DDD8E-CB5C-405F-83CE-57160D8C8172}"/>
    <cellStyle name="Title 15 4 3 2" xfId="15742" xr:uid="{0B8132AC-C869-4665-92C4-8FA5493D66F2}"/>
    <cellStyle name="Title 15 4 4" xfId="15743" xr:uid="{CD944EDB-C575-4012-A9CB-1B06187594D2}"/>
    <cellStyle name="Title 15 5" xfId="15744" xr:uid="{84D2765A-70AB-41DB-B793-6F732AC8C832}"/>
    <cellStyle name="Title 15 5 2" xfId="15745" xr:uid="{E3448CAC-BD83-4BD2-AC3D-200AC882C279}"/>
    <cellStyle name="Title 15 5 2 2" xfId="15746" xr:uid="{23BDC018-8638-4605-BE80-48892CE73A2B}"/>
    <cellStyle name="Title 15 5 3" xfId="15747" xr:uid="{B5C11DD0-FA5C-4969-A388-4DB066941389}"/>
    <cellStyle name="Title 15 5 3 2" xfId="15748" xr:uid="{A8B13C70-3A80-4C83-8099-018013C035D7}"/>
    <cellStyle name="Title 15 5 4" xfId="15749" xr:uid="{095700E5-FF39-4350-9B5D-636B898E0AEC}"/>
    <cellStyle name="Title 15 5 4 2" xfId="15750" xr:uid="{D9816C5E-0C81-42A9-9B65-A8AD62AFE819}"/>
    <cellStyle name="Title 15 5 5" xfId="15751" xr:uid="{0F14115F-29A5-41A1-AC17-A3057DBE4E31}"/>
    <cellStyle name="Title 15 6" xfId="15752" xr:uid="{3A4B14FE-38A3-4811-80AC-F4DD66B6D6D0}"/>
    <cellStyle name="Title 15 6 2" xfId="15753" xr:uid="{2CEEE8BD-F2A5-4E6C-B975-614383209C85}"/>
    <cellStyle name="Title 15 6 2 2" xfId="15754" xr:uid="{69B144A6-B5D9-4979-B4D2-29092424C0D8}"/>
    <cellStyle name="Title 15 6 3" xfId="15755" xr:uid="{8B9C3872-284A-400A-8321-12518461AA37}"/>
    <cellStyle name="Title 15 6 3 2" xfId="15756" xr:uid="{66D75E2D-9746-4C4A-9AD0-86D76E7D3A39}"/>
    <cellStyle name="Title 15 6 4" xfId="15757" xr:uid="{E46371AE-A573-4743-AE89-08709ED031DC}"/>
    <cellStyle name="Title 15 7" xfId="15758" xr:uid="{FA1D219B-ED36-494E-A167-50EAC9CA4648}"/>
    <cellStyle name="Title 15 7 2" xfId="15759" xr:uid="{4C4539D6-4FB1-42F8-AC8A-E5D5C33C81E1}"/>
    <cellStyle name="Title 15 8" xfId="15760" xr:uid="{7F77D8DB-815C-43C0-B36F-4B48CA72B850}"/>
    <cellStyle name="Title 15 8 2" xfId="15761" xr:uid="{B7239B8F-977D-4A2F-A0EE-C7B5332C3F02}"/>
    <cellStyle name="Title 15 9" xfId="15762" xr:uid="{7C167A1E-C66B-4AF7-96B2-E78B40C0AE74}"/>
    <cellStyle name="Title 15 9 2" xfId="15763" xr:uid="{A26EE4C1-BD89-4C1A-8EDB-A79505C25F5D}"/>
    <cellStyle name="Title 16" xfId="3272" xr:uid="{88061F00-E26B-496D-9A06-F9A99FC4B049}"/>
    <cellStyle name="Title 16 10" xfId="15765" xr:uid="{778C6AA6-5F50-4771-AF07-84AB321F2E0A}"/>
    <cellStyle name="Title 16 11" xfId="15766" xr:uid="{1829D81A-9458-4D9C-8D08-72E410905686}"/>
    <cellStyle name="Title 16 12" xfId="15764" xr:uid="{7976CE70-299A-416D-9688-D77F14B173B7}"/>
    <cellStyle name="Title 16 2" xfId="15767" xr:uid="{ED515247-CD26-4507-96F6-71E57FF02370}"/>
    <cellStyle name="Title 16 2 2" xfId="15768" xr:uid="{9B7B315C-0E32-44EC-8987-BC74E43529EF}"/>
    <cellStyle name="Title 16 2 2 2" xfId="15769" xr:uid="{F0C77414-D4E7-40C8-B6C8-9AAA809A77AC}"/>
    <cellStyle name="Title 16 2 3" xfId="15770" xr:uid="{9D2E9EB5-368A-4D47-8B29-EC59F641C333}"/>
    <cellStyle name="Title 16 2 3 2" xfId="15771" xr:uid="{AE568A06-653D-4332-AE18-60D9C69F18DE}"/>
    <cellStyle name="Title 16 2 4" xfId="15772" xr:uid="{92F876D3-D41E-4567-BA13-153B74FE2659}"/>
    <cellStyle name="Title 16 2 5" xfId="15773" xr:uid="{995002C1-5673-4F30-A278-8445F432F22B}"/>
    <cellStyle name="Title 16 3" xfId="15774" xr:uid="{7FFE1BF4-520D-459A-AD2B-8AB50BE2B439}"/>
    <cellStyle name="Title 16 3 2" xfId="15775" xr:uid="{5F309EA0-A638-487A-B4B4-62DABA0A070B}"/>
    <cellStyle name="Title 16 3 2 2" xfId="15776" xr:uid="{68DB5311-0AF1-4CEF-B0A4-9C4C5687948D}"/>
    <cellStyle name="Title 16 3 3" xfId="15777" xr:uid="{5FAED25D-3BD1-422D-96DC-3EAA3BAC84A0}"/>
    <cellStyle name="Title 16 3 3 2" xfId="15778" xr:uid="{1C2E52A8-664E-48CD-B73A-FD011EDC9A1F}"/>
    <cellStyle name="Title 16 3 4" xfId="15779" xr:uid="{C4C67B27-5C1D-4003-B787-D76D2BBC5E52}"/>
    <cellStyle name="Title 16 4" xfId="15780" xr:uid="{6E6BFC68-D655-40E3-B0D4-517E34A4556C}"/>
    <cellStyle name="Title 16 4 2" xfId="15781" xr:uid="{1E56BA7B-6DA1-4D0D-8B0F-1628A448FC94}"/>
    <cellStyle name="Title 16 4 2 2" xfId="15782" xr:uid="{31EFE83E-6068-4154-8128-793D714669B4}"/>
    <cellStyle name="Title 16 4 3" xfId="15783" xr:uid="{29EDB733-A1B2-49F9-BC51-88487BF7353A}"/>
    <cellStyle name="Title 16 4 3 2" xfId="15784" xr:uid="{5FA9FC3D-2445-452D-B1F3-6E7852850AA4}"/>
    <cellStyle name="Title 16 4 4" xfId="15785" xr:uid="{BE5B9D26-E362-4332-B6CF-A4FDDB633F1F}"/>
    <cellStyle name="Title 16 5" xfId="15786" xr:uid="{07896815-05C0-489F-912C-3983C8501DBF}"/>
    <cellStyle name="Title 16 5 2" xfId="15787" xr:uid="{81B33133-50DB-420F-891D-774426665049}"/>
    <cellStyle name="Title 16 5 2 2" xfId="15788" xr:uid="{1507A073-FAAD-4996-BF33-DB169983D45D}"/>
    <cellStyle name="Title 16 5 3" xfId="15789" xr:uid="{34E56BF7-3FC3-4F63-9B1C-A95CB368E205}"/>
    <cellStyle name="Title 16 5 3 2" xfId="15790" xr:uid="{D0B109E6-46FF-4E4F-AA1F-2AF90CE6EE12}"/>
    <cellStyle name="Title 16 5 4" xfId="15791" xr:uid="{775255B6-62C2-4F6D-9EEF-2E00C3DC8246}"/>
    <cellStyle name="Title 16 5 4 2" xfId="15792" xr:uid="{EFE03175-92D6-4932-BAC0-CA41361D4A5C}"/>
    <cellStyle name="Title 16 5 5" xfId="15793" xr:uid="{F808A8CA-DFD7-419C-88DD-22A4C0DA71DA}"/>
    <cellStyle name="Title 16 6" xfId="15794" xr:uid="{141D540A-5903-4EE9-838D-AC37771F3D96}"/>
    <cellStyle name="Title 16 6 2" xfId="15795" xr:uid="{BF659ACF-921F-40A8-90D0-1B1DC83AD300}"/>
    <cellStyle name="Title 16 6 2 2" xfId="15796" xr:uid="{1CC57586-9B69-41DF-B2DC-70CF2F72E32F}"/>
    <cellStyle name="Title 16 6 3" xfId="15797" xr:uid="{38C163DF-7835-48FF-9E6B-77FD64AE5E2C}"/>
    <cellStyle name="Title 16 6 3 2" xfId="15798" xr:uid="{BD70D2D3-2B73-4E63-8CAA-DFE780796C2E}"/>
    <cellStyle name="Title 16 6 4" xfId="15799" xr:uid="{C34247D7-21BD-4EB0-A537-23CA1384D20B}"/>
    <cellStyle name="Title 16 7" xfId="15800" xr:uid="{FCBBE39C-CE8B-4890-93B0-2E5FAD10C2B8}"/>
    <cellStyle name="Title 16 7 2" xfId="15801" xr:uid="{63DE1944-95D7-4173-9035-CFAD2B535B6F}"/>
    <cellStyle name="Title 16 8" xfId="15802" xr:uid="{A940C989-82B6-4727-B007-9125E971BFEE}"/>
    <cellStyle name="Title 16 8 2" xfId="15803" xr:uid="{4AD94826-6124-4126-9DBB-58AF33741E25}"/>
    <cellStyle name="Title 16 9" xfId="15804" xr:uid="{C3BCE40D-EBB5-4248-8C34-199C9A2A4592}"/>
    <cellStyle name="Title 16 9 2" xfId="15805" xr:uid="{3CEFC8C9-E265-4CCE-8DD4-1E621DFD3199}"/>
    <cellStyle name="Title 17" xfId="3273" xr:uid="{512E01BB-7A98-4CE0-AFAB-8EAFED1BD73D}"/>
    <cellStyle name="Title 17 10" xfId="15807" xr:uid="{18BD8894-0AD1-4C28-94AE-70CB14DC8EDE}"/>
    <cellStyle name="Title 17 11" xfId="15808" xr:uid="{3E6D74FA-F042-46C8-8B51-0E07F358FE53}"/>
    <cellStyle name="Title 17 12" xfId="15806" xr:uid="{A27984A7-E660-4C8E-8E86-584C513FF690}"/>
    <cellStyle name="Title 17 2" xfId="15809" xr:uid="{FE1C22A5-9BDC-48E3-8765-799F15805FC6}"/>
    <cellStyle name="Title 17 2 2" xfId="15810" xr:uid="{B680D1DC-15FB-4790-85AF-6CB9552C961E}"/>
    <cellStyle name="Title 17 2 2 2" xfId="15811" xr:uid="{759DD93B-DC95-4F3A-AD17-C51AC505A49F}"/>
    <cellStyle name="Title 17 2 3" xfId="15812" xr:uid="{85F45E8A-CC99-4255-AAB8-5D1E12081E0D}"/>
    <cellStyle name="Title 17 2 3 2" xfId="15813" xr:uid="{8EE16492-26A8-48D5-8285-194B00C93C0A}"/>
    <cellStyle name="Title 17 2 4" xfId="15814" xr:uid="{43E8A817-4D9F-4553-B950-8DAF9E3B8327}"/>
    <cellStyle name="Title 17 2 5" xfId="15815" xr:uid="{70D6A123-DE91-4741-ACF7-58578198BE4B}"/>
    <cellStyle name="Title 17 3" xfId="15816" xr:uid="{174B4D99-B256-484B-B39A-6FBB537C19C5}"/>
    <cellStyle name="Title 17 3 2" xfId="15817" xr:uid="{3DBF5AD3-0B9C-4B74-881F-231FFFD1272F}"/>
    <cellStyle name="Title 17 3 2 2" xfId="15818" xr:uid="{1B87182C-5EC1-4E6F-87FA-EF2E1FF83A9B}"/>
    <cellStyle name="Title 17 3 3" xfId="15819" xr:uid="{AC1A9457-7CB4-48DD-8A0B-3C51A63E3A43}"/>
    <cellStyle name="Title 17 3 3 2" xfId="15820" xr:uid="{8DE5257B-E7E3-4901-AC28-985D1676D82F}"/>
    <cellStyle name="Title 17 3 4" xfId="15821" xr:uid="{E2D5B8C5-62CA-4671-A511-D4A7C8C05F17}"/>
    <cellStyle name="Title 17 4" xfId="15822" xr:uid="{C0383CB8-7C46-49B6-A213-512DF7AF9398}"/>
    <cellStyle name="Title 17 4 2" xfId="15823" xr:uid="{75B7A6D7-6EA1-4B57-B81E-8A56C1E5884C}"/>
    <cellStyle name="Title 17 4 2 2" xfId="15824" xr:uid="{DCB3B90D-39B5-4BC9-83FE-DB79E4F151A6}"/>
    <cellStyle name="Title 17 4 3" xfId="15825" xr:uid="{86F61FD9-C316-4AE1-AE65-413A73088B75}"/>
    <cellStyle name="Title 17 4 3 2" xfId="15826" xr:uid="{A016F082-3913-4311-B2FF-DEE653891F73}"/>
    <cellStyle name="Title 17 4 4" xfId="15827" xr:uid="{31F521E6-D141-4D09-B007-C6DE62E02B20}"/>
    <cellStyle name="Title 17 5" xfId="15828" xr:uid="{041B7452-3ED4-4DE6-8582-0CC2384B62B6}"/>
    <cellStyle name="Title 17 5 2" xfId="15829" xr:uid="{CDE5E757-C7CD-4B96-90EF-5652F970D2FE}"/>
    <cellStyle name="Title 17 5 2 2" xfId="15830" xr:uid="{4E66318E-CA35-492F-900B-D0FD96419B92}"/>
    <cellStyle name="Title 17 5 3" xfId="15831" xr:uid="{8DC6173B-FC0B-42A9-869E-9B078621B223}"/>
    <cellStyle name="Title 17 5 3 2" xfId="15832" xr:uid="{EF86802C-D881-42A7-AA93-AEB1FE1A906A}"/>
    <cellStyle name="Title 17 5 4" xfId="15833" xr:uid="{B6270A0A-F14F-414F-9D79-0C4E70043484}"/>
    <cellStyle name="Title 17 5 4 2" xfId="15834" xr:uid="{D644C99A-C710-4F6A-A7A5-02C6119CB3A0}"/>
    <cellStyle name="Title 17 5 5" xfId="15835" xr:uid="{D160C6CF-188B-4578-927E-73D861C8040C}"/>
    <cellStyle name="Title 17 6" xfId="15836" xr:uid="{4D4DA24F-D024-4ECC-8054-081613BCB87A}"/>
    <cellStyle name="Title 17 6 2" xfId="15837" xr:uid="{022BAFA3-EFF4-4710-A3DA-21E4C984769F}"/>
    <cellStyle name="Title 17 6 2 2" xfId="15838" xr:uid="{8BFC35C0-BB84-4C43-9AB6-0BBC4E9D43E6}"/>
    <cellStyle name="Title 17 6 3" xfId="15839" xr:uid="{509B3C5E-77E3-4DB8-B177-89CCBDF5AE7E}"/>
    <cellStyle name="Title 17 6 3 2" xfId="15840" xr:uid="{E577D654-08A7-4551-BF54-A13F3C3A55CC}"/>
    <cellStyle name="Title 17 6 4" xfId="15841" xr:uid="{0D12BF45-8D63-44C4-B964-A55767BF6AD2}"/>
    <cellStyle name="Title 17 7" xfId="15842" xr:uid="{02580E63-8783-402B-8047-46A883048130}"/>
    <cellStyle name="Title 17 7 2" xfId="15843" xr:uid="{5F897E2F-94FA-4AD2-AC3A-C8688E808800}"/>
    <cellStyle name="Title 17 8" xfId="15844" xr:uid="{A6E5B56E-B4F8-494C-AA6C-B32D04A6211E}"/>
    <cellStyle name="Title 17 8 2" xfId="15845" xr:uid="{E5AD3512-4EB1-49AB-85DB-6064BFDB1BB7}"/>
    <cellStyle name="Title 17 9" xfId="15846" xr:uid="{052C4D98-7BC6-4C6D-8E83-927824B75DD1}"/>
    <cellStyle name="Title 17 9 2" xfId="15847" xr:uid="{1D827411-FDB4-463B-B528-A4553746E054}"/>
    <cellStyle name="Title 18" xfId="3274" xr:uid="{FB8BACE6-57E7-4368-AC6E-9D67916F28DC}"/>
    <cellStyle name="Title 18 10" xfId="15849" xr:uid="{377D2813-D3DA-4A5E-9160-722E763A5A64}"/>
    <cellStyle name="Title 18 11" xfId="15850" xr:uid="{B78CC19E-35DA-4E0C-8713-DCCD7142F4DD}"/>
    <cellStyle name="Title 18 12" xfId="15848" xr:uid="{D9B91EBC-022C-4969-ADFD-7765DBAC03B3}"/>
    <cellStyle name="Title 18 2" xfId="15851" xr:uid="{F801D5C4-B5B9-4713-B3B9-23E866D78EDD}"/>
    <cellStyle name="Title 18 2 2" xfId="15852" xr:uid="{4A28029E-20CD-4906-B7A1-0E44F6CA644C}"/>
    <cellStyle name="Title 18 2 2 2" xfId="15853" xr:uid="{FC2626C7-6144-449D-A2EA-3F10114DDA6C}"/>
    <cellStyle name="Title 18 2 3" xfId="15854" xr:uid="{DCCF9300-66C5-4441-830B-5EB52C45735E}"/>
    <cellStyle name="Title 18 2 3 2" xfId="15855" xr:uid="{55098038-205D-4273-A9A5-E6980340F6C4}"/>
    <cellStyle name="Title 18 2 4" xfId="15856" xr:uid="{9C7309B3-E285-477B-ADE8-C05A6D4ECE42}"/>
    <cellStyle name="Title 18 2 5" xfId="15857" xr:uid="{22B351F5-046B-454C-B930-017C6BE25317}"/>
    <cellStyle name="Title 18 3" xfId="15858" xr:uid="{0B92B3B9-F822-48E3-B92D-4F1C58774FBD}"/>
    <cellStyle name="Title 18 3 2" xfId="15859" xr:uid="{F7BAD039-94F5-45A4-A1F1-ABF176642189}"/>
    <cellStyle name="Title 18 3 2 2" xfId="15860" xr:uid="{50C802BB-2A2B-48F7-AA0F-72447BF7B613}"/>
    <cellStyle name="Title 18 3 3" xfId="15861" xr:uid="{CA70842B-8921-47E3-BC74-D8F48A3ACA19}"/>
    <cellStyle name="Title 18 3 3 2" xfId="15862" xr:uid="{BFE00BAB-A8CD-431D-A217-6CFC5F61C855}"/>
    <cellStyle name="Title 18 3 4" xfId="15863" xr:uid="{9D5FB644-244F-4EDE-B104-3857F5160BFB}"/>
    <cellStyle name="Title 18 4" xfId="15864" xr:uid="{88C8C2B8-2394-4C85-9742-621A783D5DDB}"/>
    <cellStyle name="Title 18 4 2" xfId="15865" xr:uid="{2D45FDFD-832D-4449-8979-AD9479F273E8}"/>
    <cellStyle name="Title 18 4 2 2" xfId="15866" xr:uid="{F25D2A09-1EF3-44F5-BE75-15FDC537A9FB}"/>
    <cellStyle name="Title 18 4 3" xfId="15867" xr:uid="{F4B4A4EC-17B8-4818-B594-3E7D1E8A6528}"/>
    <cellStyle name="Title 18 4 3 2" xfId="15868" xr:uid="{72440E3E-F718-44AB-A7C7-B33C0EE80040}"/>
    <cellStyle name="Title 18 4 4" xfId="15869" xr:uid="{B500B4B9-5F60-4B00-BD13-E1488FD541A7}"/>
    <cellStyle name="Title 18 5" xfId="15870" xr:uid="{0C89AC47-F063-4EA9-9AC3-669032CF69CD}"/>
    <cellStyle name="Title 18 5 2" xfId="15871" xr:uid="{A7E0A768-2959-4A8A-862F-AE4533EE04C1}"/>
    <cellStyle name="Title 18 5 2 2" xfId="15872" xr:uid="{10FD5D49-9E4D-4502-877C-0E0A85395B93}"/>
    <cellStyle name="Title 18 5 3" xfId="15873" xr:uid="{B1F373DF-FEC1-4C27-9080-BCBA2905E682}"/>
    <cellStyle name="Title 18 5 3 2" xfId="15874" xr:uid="{AB9628DF-B211-4614-BAC6-9C76D497E035}"/>
    <cellStyle name="Title 18 5 4" xfId="15875" xr:uid="{FE399BA3-30F5-4EE6-87DC-E424A001E191}"/>
    <cellStyle name="Title 18 5 4 2" xfId="15876" xr:uid="{45672E00-456C-4842-BCA3-867EF7DD47CE}"/>
    <cellStyle name="Title 18 5 5" xfId="15877" xr:uid="{3BE95AB4-78E3-41B0-9D15-9A081D6A36B5}"/>
    <cellStyle name="Title 18 6" xfId="15878" xr:uid="{909E4C81-CB07-4E27-B0FD-54AD00854D33}"/>
    <cellStyle name="Title 18 6 2" xfId="15879" xr:uid="{DD7C4351-7934-46B4-A12F-2BC706088B56}"/>
    <cellStyle name="Title 18 6 2 2" xfId="15880" xr:uid="{7E2F6D57-18BB-4041-897D-4CB06A918DB3}"/>
    <cellStyle name="Title 18 6 3" xfId="15881" xr:uid="{7E351723-837A-43AB-A71C-420A926C22E1}"/>
    <cellStyle name="Title 18 6 3 2" xfId="15882" xr:uid="{532A16E7-0390-4FD1-A1FC-2B28A404936A}"/>
    <cellStyle name="Title 18 6 4" xfId="15883" xr:uid="{AF50C98B-7ABD-48CD-8058-89F08478C873}"/>
    <cellStyle name="Title 18 7" xfId="15884" xr:uid="{96D74FB4-E0D4-4D34-96E4-DE7A12E24555}"/>
    <cellStyle name="Title 18 7 2" xfId="15885" xr:uid="{D32650BB-2A89-42B3-921B-17EA49874FC5}"/>
    <cellStyle name="Title 18 8" xfId="15886" xr:uid="{74F54DC3-5969-4F13-B945-338C3888D5BA}"/>
    <cellStyle name="Title 18 8 2" xfId="15887" xr:uid="{15F0BC13-DCCB-4ED3-A48D-F33B8EC485FD}"/>
    <cellStyle name="Title 18 9" xfId="15888" xr:uid="{029C12CF-B2BE-4D78-B314-954CD69578DE}"/>
    <cellStyle name="Title 18 9 2" xfId="15889" xr:uid="{15E2053A-63E6-4F42-869A-83BA2FAFBDD9}"/>
    <cellStyle name="Title 19" xfId="3275" xr:uid="{DE0AA0F4-934C-419A-81BD-0BE124E95E34}"/>
    <cellStyle name="Title 19 10" xfId="15891" xr:uid="{A8F6CD58-2CE5-4A2E-A5B8-3CD343104B4B}"/>
    <cellStyle name="Title 19 11" xfId="15892" xr:uid="{FA6933DE-D109-4A35-AC6D-21B2C501B784}"/>
    <cellStyle name="Title 19 12" xfId="15890" xr:uid="{CE6F1373-FAF8-48E4-97F0-58994A109A7C}"/>
    <cellStyle name="Title 19 2" xfId="15893" xr:uid="{2713E90C-FB56-47FA-94B3-6F412481EAA8}"/>
    <cellStyle name="Title 19 2 2" xfId="15894" xr:uid="{C3310827-A4D4-494E-BB74-A2744503FACC}"/>
    <cellStyle name="Title 19 2 2 2" xfId="15895" xr:uid="{9C5C9A42-AB59-4163-BF31-43270911A79D}"/>
    <cellStyle name="Title 19 2 3" xfId="15896" xr:uid="{A0B0F76B-BBD0-4081-BB9C-3FA7056CDF62}"/>
    <cellStyle name="Title 19 2 3 2" xfId="15897" xr:uid="{00EA2FA9-74F0-4333-A58F-08242EC238AE}"/>
    <cellStyle name="Title 19 2 4" xfId="15898" xr:uid="{8147A740-B195-4C98-9224-78AACD33AD82}"/>
    <cellStyle name="Title 19 2 5" xfId="15899" xr:uid="{BF9AF0C2-7894-4E73-9FBC-DB81BD85E2F3}"/>
    <cellStyle name="Title 19 3" xfId="15900" xr:uid="{4F20F231-CB93-40D3-905E-AEAD08DE2FC6}"/>
    <cellStyle name="Title 19 3 2" xfId="15901" xr:uid="{BF1FA266-62DA-4160-90C5-DD1A74AB1102}"/>
    <cellStyle name="Title 19 3 2 2" xfId="15902" xr:uid="{653E389D-B31F-4D77-8F68-866C893EF196}"/>
    <cellStyle name="Title 19 3 3" xfId="15903" xr:uid="{6E9A544E-C65B-43A9-9F9C-5B6F16D31A7C}"/>
    <cellStyle name="Title 19 3 3 2" xfId="15904" xr:uid="{FAE56BD7-5A3D-4D67-8942-52B3B08616E3}"/>
    <cellStyle name="Title 19 3 4" xfId="15905" xr:uid="{9BCF2017-99CF-4DDF-AF16-65CAE38DA1F2}"/>
    <cellStyle name="Title 19 4" xfId="15906" xr:uid="{926E94C7-7A7A-4553-BF4F-43E1A9DAE936}"/>
    <cellStyle name="Title 19 4 2" xfId="15907" xr:uid="{C1F79ECB-FE53-4637-922C-0FFDEB4A16B0}"/>
    <cellStyle name="Title 19 4 2 2" xfId="15908" xr:uid="{269DF025-2B66-4E79-99BD-E0B36B2F1752}"/>
    <cellStyle name="Title 19 4 3" xfId="15909" xr:uid="{B96A32A5-95D9-482B-ADA3-025EF5F580C1}"/>
    <cellStyle name="Title 19 4 3 2" xfId="15910" xr:uid="{CE01A964-ED18-469A-8E28-24D181186F5A}"/>
    <cellStyle name="Title 19 4 4" xfId="15911" xr:uid="{740CC34B-357F-4CEC-A4BE-473C194E5F5D}"/>
    <cellStyle name="Title 19 5" xfId="15912" xr:uid="{291E6054-0804-4C2D-A6F3-B1113FBCAE91}"/>
    <cellStyle name="Title 19 5 2" xfId="15913" xr:uid="{FB27518F-5B64-43AE-8DBC-7FAD2924AE24}"/>
    <cellStyle name="Title 19 5 2 2" xfId="15914" xr:uid="{0AFC57C6-9F99-4CD8-A366-93DF4A70D4F2}"/>
    <cellStyle name="Title 19 5 3" xfId="15915" xr:uid="{53204E34-143F-4177-85F4-267101F0DAA6}"/>
    <cellStyle name="Title 19 5 3 2" xfId="15916" xr:uid="{C22558DA-0808-45B7-B36A-A87AEC8CDF1D}"/>
    <cellStyle name="Title 19 5 4" xfId="15917" xr:uid="{60C4F837-94DD-4CBC-B872-69D621D8F02E}"/>
    <cellStyle name="Title 19 5 4 2" xfId="15918" xr:uid="{4368FD02-5811-40EC-B3E1-3065BDA0A1E7}"/>
    <cellStyle name="Title 19 5 5" xfId="15919" xr:uid="{64FC585E-9DF3-48D9-9865-B366DE871724}"/>
    <cellStyle name="Title 19 6" xfId="15920" xr:uid="{851D9C37-8EC9-4E7F-998A-68956B8182DB}"/>
    <cellStyle name="Title 19 6 2" xfId="15921" xr:uid="{B957D203-61B5-434D-AE0C-D1269695F17F}"/>
    <cellStyle name="Title 19 6 2 2" xfId="15922" xr:uid="{A346A403-3EB0-40C5-9E98-E934C6D97B69}"/>
    <cellStyle name="Title 19 6 3" xfId="15923" xr:uid="{81649AA5-7AFF-49F9-946B-F9E300326CA0}"/>
    <cellStyle name="Title 19 6 3 2" xfId="15924" xr:uid="{C6635D63-BA70-45CC-BDAD-74B9C718904B}"/>
    <cellStyle name="Title 19 6 4" xfId="15925" xr:uid="{CE041E60-E6F5-40A8-B526-1534221C68CB}"/>
    <cellStyle name="Title 19 7" xfId="15926" xr:uid="{06908CB4-1575-45BD-AC0E-C2518E1DD243}"/>
    <cellStyle name="Title 19 7 2" xfId="15927" xr:uid="{49494B4F-4902-474D-BDFD-81F17B0263C1}"/>
    <cellStyle name="Title 19 8" xfId="15928" xr:uid="{E59F1CF1-E5F4-4FDA-B3FF-7E3C8D240A61}"/>
    <cellStyle name="Title 19 8 2" xfId="15929" xr:uid="{C6252D67-B6CC-470E-989F-3BDB61F9D329}"/>
    <cellStyle name="Title 19 9" xfId="15930" xr:uid="{2EAC82FA-E135-4953-95B4-658A7557456B}"/>
    <cellStyle name="Title 19 9 2" xfId="15931" xr:uid="{C504B127-CA94-4ED3-8DDF-F54A160C6EA6}"/>
    <cellStyle name="Title 2" xfId="315" xr:uid="{822F9096-24D0-48C7-8B0F-B3E0E84D8F74}"/>
    <cellStyle name="Title 2 10" xfId="4808" xr:uid="{09FAA994-88FA-4B04-90F9-F3565901622A}"/>
    <cellStyle name="Title 2 10 10" xfId="15934" xr:uid="{E877FE1B-9F48-4159-B629-E96AFFA0FE34}"/>
    <cellStyle name="Title 2 10 11" xfId="15933" xr:uid="{EC2A0A58-9458-4112-BAF0-1EF0FE7BB47C}"/>
    <cellStyle name="Title 2 10 2" xfId="15935" xr:uid="{F573BD19-7AFE-4FC3-9D5F-CD501B27C928}"/>
    <cellStyle name="Title 2 10 2 2" xfId="15936" xr:uid="{64EF388F-D7A2-4EA5-BF78-920DBEE755ED}"/>
    <cellStyle name="Title 2 10 2 2 2" xfId="15937" xr:uid="{C3778E4E-0DF4-474C-B082-FD4CC90E2120}"/>
    <cellStyle name="Title 2 10 2 3" xfId="15938" xr:uid="{51196F6B-3610-4807-AF87-767AF95892FD}"/>
    <cellStyle name="Title 2 10 2 3 2" xfId="15939" xr:uid="{B277129D-97B3-409E-9CD5-B09ABC5E796E}"/>
    <cellStyle name="Title 2 10 2 4" xfId="15940" xr:uid="{DA473298-EE14-4740-B5ED-0C9F70049E08}"/>
    <cellStyle name="Title 2 10 3" xfId="15941" xr:uid="{E620B639-A8CF-48A0-9F81-2DFC4576C2C5}"/>
    <cellStyle name="Title 2 10 3 2" xfId="15942" xr:uid="{DFB405B1-3C66-458F-8555-BD592CEADF89}"/>
    <cellStyle name="Title 2 10 3 2 2" xfId="15943" xr:uid="{D59171C5-9913-4EA2-8B61-B38F2AA65F68}"/>
    <cellStyle name="Title 2 10 3 3" xfId="15944" xr:uid="{31A45A42-7EFE-4789-BF0D-47198F45EA8F}"/>
    <cellStyle name="Title 2 10 3 3 2" xfId="15945" xr:uid="{8CB15B36-1090-4B85-B5B3-651C8F371D47}"/>
    <cellStyle name="Title 2 10 3 4" xfId="15946" xr:uid="{D46708E9-04B6-4E56-9FB7-BA7D6E2FE320}"/>
    <cellStyle name="Title 2 10 4" xfId="15947" xr:uid="{6EADBFD5-606E-457C-85A0-C08AB08D5072}"/>
    <cellStyle name="Title 2 10 4 2" xfId="15948" xr:uid="{B056A721-66F2-4119-B3D3-C8AC0FC6348E}"/>
    <cellStyle name="Title 2 10 4 2 2" xfId="15949" xr:uid="{E8701425-A18A-4B77-95BC-DAABAC5E8A4E}"/>
    <cellStyle name="Title 2 10 4 3" xfId="15950" xr:uid="{A3B5DFE1-9FB4-4CC0-968D-539E35EE3027}"/>
    <cellStyle name="Title 2 10 4 3 2" xfId="15951" xr:uid="{3924885B-F839-45F1-B3B7-EDF0353B0C6A}"/>
    <cellStyle name="Title 2 10 4 4" xfId="15952" xr:uid="{59B876D2-7F69-445D-B20E-6983D148F939}"/>
    <cellStyle name="Title 2 10 4 4 2" xfId="15953" xr:uid="{8A84BB6B-2822-442C-A43B-91FB59D7E08D}"/>
    <cellStyle name="Title 2 10 4 5" xfId="15954" xr:uid="{1F13AEB7-0DBA-4A7E-B010-4F43A7422183}"/>
    <cellStyle name="Title 2 10 5" xfId="15955" xr:uid="{33CDDF64-956D-4058-9E1D-59232E7314C8}"/>
    <cellStyle name="Title 2 10 5 2" xfId="15956" xr:uid="{082B16D2-E919-4208-951B-C28B3F4CCDD6}"/>
    <cellStyle name="Title 2 10 5 2 2" xfId="15957" xr:uid="{1D8DE690-7C9B-4A28-8CC1-B783E581DABB}"/>
    <cellStyle name="Title 2 10 5 3" xfId="15958" xr:uid="{BE0A1DFF-E794-43B5-980B-F5CC6B3FFC9D}"/>
    <cellStyle name="Title 2 10 5 3 2" xfId="15959" xr:uid="{F616C044-B610-4BE0-8787-A1DC42BBFAEA}"/>
    <cellStyle name="Title 2 10 5 4" xfId="15960" xr:uid="{9933ADB9-91AD-4F32-9D7F-89528BA1029D}"/>
    <cellStyle name="Title 2 10 6" xfId="15961" xr:uid="{1CB2B97D-B0D8-4273-ADE9-B7E35824159C}"/>
    <cellStyle name="Title 2 10 6 2" xfId="15962" xr:uid="{F0BC19DC-F418-4573-BF71-EA6FC73ACC76}"/>
    <cellStyle name="Title 2 10 7" xfId="15963" xr:uid="{1FC3AF09-EFD3-4508-9BBC-F243EA38E572}"/>
    <cellStyle name="Title 2 10 7 2" xfId="15964" xr:uid="{E5F12A39-8BFF-4141-BC43-BD948A7309EA}"/>
    <cellStyle name="Title 2 10 8" xfId="15965" xr:uid="{A30C4DB1-F19F-47DE-ADF1-77B72D9104BD}"/>
    <cellStyle name="Title 2 10 8 2" xfId="15966" xr:uid="{31D331D4-ADD8-46A4-A5A0-E61E8C57ACEB}"/>
    <cellStyle name="Title 2 10 9" xfId="15967" xr:uid="{A01243F6-CAFD-43A7-9872-97062B01B498}"/>
    <cellStyle name="Title 2 11" xfId="15968" xr:uid="{2D59186E-4A39-4FAC-8AEC-49C39FC3443B}"/>
    <cellStyle name="Title 2 11 10" xfId="15969" xr:uid="{207D5090-B536-4ED5-9213-592E820BB4D7}"/>
    <cellStyle name="Title 2 11 2" xfId="15970" xr:uid="{368CCA3B-9D2C-4E96-9074-5D05FAFD2757}"/>
    <cellStyle name="Title 2 11 2 2" xfId="15971" xr:uid="{484F633B-6125-40D1-8F09-6EB4075288D2}"/>
    <cellStyle name="Title 2 11 2 2 2" xfId="15972" xr:uid="{70B7D14D-5CE7-49D2-B5E6-D3EB94D21545}"/>
    <cellStyle name="Title 2 11 2 3" xfId="15973" xr:uid="{8D063EAD-472A-4526-94EF-9E8E32D46510}"/>
    <cellStyle name="Title 2 11 2 3 2" xfId="15974" xr:uid="{5D349C4B-6C31-4922-B7FF-BC88E21079C8}"/>
    <cellStyle name="Title 2 11 2 4" xfId="15975" xr:uid="{90DA182F-3E5E-42A1-AE68-F7F7ADB417C5}"/>
    <cellStyle name="Title 2 11 3" xfId="15976" xr:uid="{95F576FE-59D2-4AC4-8552-667726B79C7D}"/>
    <cellStyle name="Title 2 11 3 2" xfId="15977" xr:uid="{5671B868-26D1-4C66-9A75-FFC8DF998310}"/>
    <cellStyle name="Title 2 11 3 2 2" xfId="15978" xr:uid="{23360197-88ED-4CE5-B0DF-DA4AD08BAB41}"/>
    <cellStyle name="Title 2 11 3 3" xfId="15979" xr:uid="{62FFB8E5-4DE0-4857-9F5D-DA1B2F4AEA43}"/>
    <cellStyle name="Title 2 11 3 3 2" xfId="15980" xr:uid="{7C852C76-23F6-41D4-BBE9-6EED6C8EAAC5}"/>
    <cellStyle name="Title 2 11 3 4" xfId="15981" xr:uid="{B050B4E5-1EFF-4CB1-9700-EE8DD1FC65E9}"/>
    <cellStyle name="Title 2 11 4" xfId="15982" xr:uid="{97FB83D7-59B4-421D-85BE-50D046F974A2}"/>
    <cellStyle name="Title 2 11 4 2" xfId="15983" xr:uid="{04460FA3-CC96-45F3-B115-9A2A176BFE40}"/>
    <cellStyle name="Title 2 11 4 2 2" xfId="15984" xr:uid="{FAB0FAFA-8888-45DF-ADB9-E464EE07F846}"/>
    <cellStyle name="Title 2 11 4 3" xfId="15985" xr:uid="{E74D035B-BC5C-4720-8794-F5FA6F618C42}"/>
    <cellStyle name="Title 2 11 4 3 2" xfId="15986" xr:uid="{1CE15316-B650-45F9-BABC-A14F647DF56A}"/>
    <cellStyle name="Title 2 11 4 4" xfId="15987" xr:uid="{82F672F0-0CB0-42FB-A89A-921C42D11A7F}"/>
    <cellStyle name="Title 2 11 4 4 2" xfId="15988" xr:uid="{365761AB-4FCB-459A-B138-41724FA68C5D}"/>
    <cellStyle name="Title 2 11 4 5" xfId="15989" xr:uid="{59EDC2C4-6C77-436B-99E7-D68BCE23FCF6}"/>
    <cellStyle name="Title 2 11 5" xfId="15990" xr:uid="{4E9BD7BA-2861-4F6A-BECF-AB0C25BE8EA8}"/>
    <cellStyle name="Title 2 11 5 2" xfId="15991" xr:uid="{FBFBEBB8-D727-4157-8A6D-EDB986AB6F91}"/>
    <cellStyle name="Title 2 11 5 2 2" xfId="15992" xr:uid="{E2F96686-261B-4E62-B53C-85C3C456CDC4}"/>
    <cellStyle name="Title 2 11 5 3" xfId="15993" xr:uid="{F61096CC-81EB-42A3-9190-68AF747D5415}"/>
    <cellStyle name="Title 2 11 5 3 2" xfId="15994" xr:uid="{831A2DA2-AF89-4146-B994-78A9AFDE04A1}"/>
    <cellStyle name="Title 2 11 5 4" xfId="15995" xr:uid="{B5C5BA34-7F08-49D0-AB5D-88A0FC4B5068}"/>
    <cellStyle name="Title 2 11 6" xfId="15996" xr:uid="{EBC9C427-034E-41D2-B427-9339E0D1F0AD}"/>
    <cellStyle name="Title 2 11 6 2" xfId="15997" xr:uid="{36413370-A793-4C1F-A78D-768FD2142AEA}"/>
    <cellStyle name="Title 2 11 7" xfId="15998" xr:uid="{D7EF7E88-9C85-4F8E-8E1C-565D0661C380}"/>
    <cellStyle name="Title 2 11 7 2" xfId="15999" xr:uid="{BE3881B8-6F67-41F8-94EA-319B70D659EC}"/>
    <cellStyle name="Title 2 11 8" xfId="16000" xr:uid="{7DBACC50-DC02-45B3-9AEF-F8EC29746884}"/>
    <cellStyle name="Title 2 11 8 2" xfId="16001" xr:uid="{8B911F93-6A31-43FA-8C4A-683A7458BCFD}"/>
    <cellStyle name="Title 2 11 9" xfId="16002" xr:uid="{F9622687-142E-4E7D-8E73-67124ECC8FE7}"/>
    <cellStyle name="Title 2 12" xfId="16003" xr:uid="{92144168-9803-4B3B-8913-B42DDB55A162}"/>
    <cellStyle name="Title 2 12 2" xfId="16004" xr:uid="{3AF1A30B-1458-47BF-AEB0-1EFBC15074F8}"/>
    <cellStyle name="Title 2 12 2 2" xfId="16005" xr:uid="{B4D125B7-509D-4E8C-9CE3-C3CBBFC91989}"/>
    <cellStyle name="Title 2 12 3" xfId="16006" xr:uid="{E8F36112-D2EF-48A7-921A-A0B4B2FF515E}"/>
    <cellStyle name="Title 2 12 3 2" xfId="16007" xr:uid="{971FAE79-BB25-40F7-8665-647B6DF87CA0}"/>
    <cellStyle name="Title 2 12 4" xfId="16008" xr:uid="{56881E20-CF0D-42D1-8E9B-A7053A7393B2}"/>
    <cellStyle name="Title 2 12 5" xfId="16009" xr:uid="{C2694E9C-5499-4257-A281-2A9546D397E9}"/>
    <cellStyle name="Title 2 13" xfId="16010" xr:uid="{7F2DB361-894B-426D-8F06-954A887BFCC5}"/>
    <cellStyle name="Title 2 13 2" xfId="16011" xr:uid="{3564B3ED-DDEA-4A53-8889-5727EA10B4B1}"/>
    <cellStyle name="Title 2 13 2 2" xfId="16012" xr:uid="{B6096AC2-428D-4C2A-B84D-6FE85E480B5E}"/>
    <cellStyle name="Title 2 13 3" xfId="16013" xr:uid="{5F89336D-0C69-4390-AD0B-6DEE10F3FE33}"/>
    <cellStyle name="Title 2 13 3 2" xfId="16014" xr:uid="{9CB3303C-581E-4A7A-8FFE-C400A10409EA}"/>
    <cellStyle name="Title 2 13 4" xfId="16015" xr:uid="{13D52AED-6B6C-481B-A531-DBB857FBB185}"/>
    <cellStyle name="Title 2 14" xfId="16016" xr:uid="{8566016D-7486-4B0E-BC63-74E73090E024}"/>
    <cellStyle name="Title 2 14 2" xfId="16017" xr:uid="{361E0D23-CB81-4C6A-A40A-0E4CDC60F8DC}"/>
    <cellStyle name="Title 2 14 2 2" xfId="16018" xr:uid="{7CBAF0A9-27CE-4106-9AA0-89C86DD39FDF}"/>
    <cellStyle name="Title 2 14 3" xfId="16019" xr:uid="{148793B8-76EC-4E8D-8916-8662C5DB8C7C}"/>
    <cellStyle name="Title 2 14 3 2" xfId="16020" xr:uid="{A2C57336-5DFE-4C24-84E8-C37F76BBE6B4}"/>
    <cellStyle name="Title 2 14 4" xfId="16021" xr:uid="{DE7C451A-008B-416A-AE48-1D907EB6A1B4}"/>
    <cellStyle name="Title 2 15" xfId="16022" xr:uid="{9F3FF957-431A-4D9E-A943-0C15D005A9E4}"/>
    <cellStyle name="Title 2 15 2" xfId="16023" xr:uid="{7FFA0E5A-8449-4FBA-B97B-92C2C6BA2F23}"/>
    <cellStyle name="Title 2 15 2 2" xfId="16024" xr:uid="{A31A7737-F7C8-48D6-8E3B-9BE56459E1FD}"/>
    <cellStyle name="Title 2 15 3" xfId="16025" xr:uid="{990D6A59-22A3-48B8-B07C-C87D85C3E936}"/>
    <cellStyle name="Title 2 15 3 2" xfId="16026" xr:uid="{11433E7B-54E7-4310-8BCF-D60B1B938180}"/>
    <cellStyle name="Title 2 15 4" xfId="16027" xr:uid="{FD928195-E64E-4459-A2DD-3499F94339A0}"/>
    <cellStyle name="Title 2 15 4 2" xfId="16028" xr:uid="{299613C2-24AE-41B0-96C3-8181F3A71447}"/>
    <cellStyle name="Title 2 15 5" xfId="16029" xr:uid="{0F9B9728-3411-42E7-95A7-B52597664373}"/>
    <cellStyle name="Title 2 16" xfId="16030" xr:uid="{4FE3E93E-F2B5-4E67-9E94-0BD6BAF56038}"/>
    <cellStyle name="Title 2 16 2" xfId="16031" xr:uid="{CCC54B69-E58C-42EF-A6A1-D9DE17DA3177}"/>
    <cellStyle name="Title 2 16 2 2" xfId="16032" xr:uid="{5372D0B3-666C-4BC6-B616-18A535F91095}"/>
    <cellStyle name="Title 2 16 3" xfId="16033" xr:uid="{7A70D263-42E6-4B9C-9F31-30C39ADC6685}"/>
    <cellStyle name="Title 2 16 3 2" xfId="16034" xr:uid="{83480A06-7660-4867-AE82-EE4FEEB83E7E}"/>
    <cellStyle name="Title 2 16 4" xfId="16035" xr:uid="{D9A8CCD4-BBFA-4AA8-AA4F-5A5B286F9FBF}"/>
    <cellStyle name="Title 2 17" xfId="16036" xr:uid="{668C029C-35A9-4A4E-8D1F-258866471981}"/>
    <cellStyle name="Title 2 17 2" xfId="16037" xr:uid="{68DA0FCC-2950-42B2-9A5E-AE4183AC5769}"/>
    <cellStyle name="Title 2 18" xfId="16038" xr:uid="{D3715BEA-2D94-4FD6-B6A0-FD7B0502C97E}"/>
    <cellStyle name="Title 2 18 2" xfId="16039" xr:uid="{B26747CA-B41B-4FE6-B18A-61CEDD86001C}"/>
    <cellStyle name="Title 2 19" xfId="16040" xr:uid="{2E4A5967-484C-4198-BB31-F266F33C9F7A}"/>
    <cellStyle name="Title 2 19 2" xfId="16041" xr:uid="{F08A8A48-919D-466A-873C-4F9F8CD4037C}"/>
    <cellStyle name="Title 2 2" xfId="4809" xr:uid="{C8626B90-3C51-4E7A-A33C-378C3A9A353A}"/>
    <cellStyle name="Title 2 2 10" xfId="16043" xr:uid="{67A048DE-FD50-451A-95D0-174D88C46AF0}"/>
    <cellStyle name="Title 2 2 11" xfId="16042" xr:uid="{38C94747-E19C-4D28-B295-8AFF36B15A64}"/>
    <cellStyle name="Title 2 2 2" xfId="16044" xr:uid="{BD54E512-6F52-4338-A095-1663D84B159C}"/>
    <cellStyle name="Title 2 2 2 2" xfId="16045" xr:uid="{7E716312-12DD-4F8E-BC08-4DD41B72E25C}"/>
    <cellStyle name="Title 2 2 2 2 2" xfId="16046" xr:uid="{E32F7B79-C8B2-423F-8303-2B385EB0AF48}"/>
    <cellStyle name="Title 2 2 2 3" xfId="16047" xr:uid="{4AE8A07C-875C-48C2-90EE-47771D5FE993}"/>
    <cellStyle name="Title 2 2 2 3 2" xfId="16048" xr:uid="{D511562F-7CC2-4843-B319-0BA6D86C8AF0}"/>
    <cellStyle name="Title 2 2 2 4" xfId="16049" xr:uid="{86A77612-498C-4C85-AFAA-120F6031B1C3}"/>
    <cellStyle name="Title 2 2 3" xfId="16050" xr:uid="{246FA694-0F98-40C0-971C-C159B6A860C3}"/>
    <cellStyle name="Title 2 2 3 2" xfId="16051" xr:uid="{7F224B1F-C1D3-4CCD-9411-828D7A3E5227}"/>
    <cellStyle name="Title 2 2 3 2 2" xfId="16052" xr:uid="{168175E1-6C5D-404E-AF29-1A389BD50B1B}"/>
    <cellStyle name="Title 2 2 3 3" xfId="16053" xr:uid="{D6EF3F89-765D-4160-8FE7-8896B68B8A9B}"/>
    <cellStyle name="Title 2 2 3 3 2" xfId="16054" xr:uid="{ECEA03A9-EACC-4E80-ADA5-1C14814E9725}"/>
    <cellStyle name="Title 2 2 3 4" xfId="16055" xr:uid="{508CB825-503C-4102-8673-EFC892F6CAB9}"/>
    <cellStyle name="Title 2 2 4" xfId="16056" xr:uid="{890F772A-473F-41FE-9D22-6D2195670621}"/>
    <cellStyle name="Title 2 2 4 2" xfId="16057" xr:uid="{15E9F2EA-2F62-4FDF-AFB3-B285B16FF460}"/>
    <cellStyle name="Title 2 2 4 2 2" xfId="16058" xr:uid="{E487E69F-A202-4930-864F-09A8F2D18281}"/>
    <cellStyle name="Title 2 2 4 3" xfId="16059" xr:uid="{D8078062-D2E7-4967-9F77-7178B1F457A5}"/>
    <cellStyle name="Title 2 2 4 3 2" xfId="16060" xr:uid="{5752179B-2271-4052-AD15-AE2391A93962}"/>
    <cellStyle name="Title 2 2 4 4" xfId="16061" xr:uid="{6A3B5A85-941A-4D3E-9834-F49419183CF4}"/>
    <cellStyle name="Title 2 2 4 4 2" xfId="16062" xr:uid="{AB8376A1-74FB-45EC-A737-2BE1DC3F4B55}"/>
    <cellStyle name="Title 2 2 4 5" xfId="16063" xr:uid="{4144EEC4-BE01-4491-B897-F136002DE2EA}"/>
    <cellStyle name="Title 2 2 5" xfId="16064" xr:uid="{1150C65B-0A99-488B-999C-E8A018F9936A}"/>
    <cellStyle name="Title 2 2 5 2" xfId="16065" xr:uid="{42315FF8-832E-4371-A885-B93B8780D462}"/>
    <cellStyle name="Title 2 2 5 2 2" xfId="16066" xr:uid="{C4D9598B-5B36-46C6-8084-F3FF09D366E9}"/>
    <cellStyle name="Title 2 2 5 3" xfId="16067" xr:uid="{D1DAFACA-E61A-4BF3-882D-FD0CB3BB5923}"/>
    <cellStyle name="Title 2 2 5 3 2" xfId="16068" xr:uid="{A4540DB0-32E2-4619-BAF3-D52FC4A08A7D}"/>
    <cellStyle name="Title 2 2 5 4" xfId="16069" xr:uid="{2CA569C1-EFD6-42C9-B83C-7BCB48CEBCA9}"/>
    <cellStyle name="Title 2 2 6" xfId="16070" xr:uid="{63EF572D-AC70-49D3-A72A-3E3F8614F33F}"/>
    <cellStyle name="Title 2 2 6 2" xfId="16071" xr:uid="{EAB3B1F7-B96C-48D7-9989-4A0934A12E63}"/>
    <cellStyle name="Title 2 2 7" xfId="16072" xr:uid="{197AD71E-5EFF-43F6-891C-F25F5F5B9460}"/>
    <cellStyle name="Title 2 2 7 2" xfId="16073" xr:uid="{5116351D-EB1D-4BA4-810B-0322FC826750}"/>
    <cellStyle name="Title 2 2 8" xfId="16074" xr:uid="{F4BA8592-88C0-4D5E-9D1A-FBCCDB498AEC}"/>
    <cellStyle name="Title 2 2 8 2" xfId="16075" xr:uid="{15146CD9-A765-40CF-A74D-83B24EC542D0}"/>
    <cellStyle name="Title 2 2 9" xfId="16076" xr:uid="{8820B58B-E653-4493-A522-8FC49842034F}"/>
    <cellStyle name="Title 2 20" xfId="16077" xr:uid="{63B29FB9-880D-43A4-B117-CB0657030936}"/>
    <cellStyle name="Title 2 21" xfId="16078" xr:uid="{9CDB5CE2-B08E-4E77-8B50-5D50C55C94EF}"/>
    <cellStyle name="Title 2 22" xfId="15932" xr:uid="{F368F727-7AC1-4E76-9A70-7DF98C88938A}"/>
    <cellStyle name="Title 2 3" xfId="4810" xr:uid="{BA742413-3557-4CC8-A646-D5539F672367}"/>
    <cellStyle name="Title 2 3 10" xfId="16080" xr:uid="{A233302D-72C6-4B1C-9A9C-9518C156BC51}"/>
    <cellStyle name="Title 2 3 11" xfId="16079" xr:uid="{E0B50F78-075E-4FF5-92DC-C58BD8541087}"/>
    <cellStyle name="Title 2 3 2" xfId="16081" xr:uid="{1BD23BB1-C458-455D-AA85-18C2B6C9A5A5}"/>
    <cellStyle name="Title 2 3 2 2" xfId="16082" xr:uid="{FF85B600-F6F0-438B-A786-0B0525EAF423}"/>
    <cellStyle name="Title 2 3 2 2 2" xfId="16083" xr:uid="{6A3CDD36-BE64-42E6-BA31-02D505CA735B}"/>
    <cellStyle name="Title 2 3 2 3" xfId="16084" xr:uid="{90ED52C8-0EF5-43FE-9E14-B06E41945FB0}"/>
    <cellStyle name="Title 2 3 2 3 2" xfId="16085" xr:uid="{02F5DDF2-1226-4D64-98FB-821B0FA6EE29}"/>
    <cellStyle name="Title 2 3 2 4" xfId="16086" xr:uid="{2B11DFA1-AD03-4EA7-B34F-0583D1ED7AA5}"/>
    <cellStyle name="Title 2 3 3" xfId="16087" xr:uid="{639FA396-BAEC-444B-BAFF-8003679F2A2B}"/>
    <cellStyle name="Title 2 3 3 2" xfId="16088" xr:uid="{6849C539-3D77-4773-978F-1BF3C7C7F30F}"/>
    <cellStyle name="Title 2 3 3 2 2" xfId="16089" xr:uid="{1C34B322-DD7B-4D7D-BEF3-78361A396DFE}"/>
    <cellStyle name="Title 2 3 3 3" xfId="16090" xr:uid="{74E04376-0A6F-45CA-B342-C3E3C546C226}"/>
    <cellStyle name="Title 2 3 3 3 2" xfId="16091" xr:uid="{9EC2E1FE-1F6C-41D2-92E5-60F4C419C225}"/>
    <cellStyle name="Title 2 3 3 4" xfId="16092" xr:uid="{5AF327FC-DA56-42D3-9D92-65292F4DFDF7}"/>
    <cellStyle name="Title 2 3 4" xfId="16093" xr:uid="{F79B52B4-10BB-4ED8-95AA-2B436A78CD8E}"/>
    <cellStyle name="Title 2 3 4 2" xfId="16094" xr:uid="{CCA5B3BF-BD1E-4FA0-9DE5-8D85AFE6479A}"/>
    <cellStyle name="Title 2 3 4 2 2" xfId="16095" xr:uid="{32CDBA12-27D5-4397-AB2A-B0EEC1FEFA8B}"/>
    <cellStyle name="Title 2 3 4 3" xfId="16096" xr:uid="{5E926CD9-8312-491A-B732-055FB37FFAAA}"/>
    <cellStyle name="Title 2 3 4 3 2" xfId="16097" xr:uid="{0CFCF2CA-E0F7-4CF4-9CA4-179F820611F9}"/>
    <cellStyle name="Title 2 3 4 4" xfId="16098" xr:uid="{6C7724B0-8D43-4FD2-8B19-D256A1E804A6}"/>
    <cellStyle name="Title 2 3 4 4 2" xfId="16099" xr:uid="{23A18B19-4B68-4FD7-9B58-D0C4DD1E9F46}"/>
    <cellStyle name="Title 2 3 4 5" xfId="16100" xr:uid="{49E44E06-D320-439A-86FD-C55776CB54E8}"/>
    <cellStyle name="Title 2 3 5" xfId="16101" xr:uid="{1704A8CB-C55E-4AF7-918C-362EE57F18FD}"/>
    <cellStyle name="Title 2 3 5 2" xfId="16102" xr:uid="{B891B013-CC90-45A5-8285-8E8CA67D4E1E}"/>
    <cellStyle name="Title 2 3 5 2 2" xfId="16103" xr:uid="{03AAF699-076C-4CEF-9E54-16C41DA93B33}"/>
    <cellStyle name="Title 2 3 5 3" xfId="16104" xr:uid="{FE440363-3A53-4DBE-AC9F-45066E378A53}"/>
    <cellStyle name="Title 2 3 5 3 2" xfId="16105" xr:uid="{91CEAFE0-ED6F-41B5-B5F4-CDC5EB1CBDF7}"/>
    <cellStyle name="Title 2 3 5 4" xfId="16106" xr:uid="{E8CA5CFA-2B0D-4DDF-A030-422166350533}"/>
    <cellStyle name="Title 2 3 6" xfId="16107" xr:uid="{4B785D21-D29F-41B0-A80C-9347F14BC8E1}"/>
    <cellStyle name="Title 2 3 6 2" xfId="16108" xr:uid="{05DE5A87-E29B-4D1C-BA05-0727E3D7FC28}"/>
    <cellStyle name="Title 2 3 7" xfId="16109" xr:uid="{133EC2E0-F112-4C5D-B958-5970C781F240}"/>
    <cellStyle name="Title 2 3 7 2" xfId="16110" xr:uid="{5C24D126-AA6B-4B78-8EB0-029CC062B665}"/>
    <cellStyle name="Title 2 3 8" xfId="16111" xr:uid="{96A1C85D-E443-4AE5-9EDE-E36E759D63FD}"/>
    <cellStyle name="Title 2 3 8 2" xfId="16112" xr:uid="{AA5B4848-43EF-4D25-9822-36041D10D184}"/>
    <cellStyle name="Title 2 3 9" xfId="16113" xr:uid="{B573F881-E177-43A1-A393-9D3DDB97B276}"/>
    <cellStyle name="Title 2 4" xfId="4811" xr:uid="{C7EA57D0-15B6-4CA2-A7F6-3DA39B35AC61}"/>
    <cellStyle name="Title 2 4 10" xfId="16115" xr:uid="{C4F67B52-BF27-47C7-80A3-97E86F35324D}"/>
    <cellStyle name="Title 2 4 11" xfId="16114" xr:uid="{9B0B5DB9-50EF-4095-B9FA-B9F408CD5FE9}"/>
    <cellStyle name="Title 2 4 2" xfId="16116" xr:uid="{100B8B13-841C-4408-8690-8EABA1355616}"/>
    <cellStyle name="Title 2 4 2 2" xfId="16117" xr:uid="{AE0D97DB-0B2C-4F1F-A4E0-E18144C3F6A0}"/>
    <cellStyle name="Title 2 4 2 2 2" xfId="16118" xr:uid="{A30E2F3F-DC93-4B4F-92C0-D84D17268560}"/>
    <cellStyle name="Title 2 4 2 3" xfId="16119" xr:uid="{260D56C8-E11E-4528-9AF4-DAEA99C79497}"/>
    <cellStyle name="Title 2 4 2 3 2" xfId="16120" xr:uid="{E13C4021-B03F-4D6E-99EA-38C8A604CB01}"/>
    <cellStyle name="Title 2 4 2 4" xfId="16121" xr:uid="{FDF7B2DD-50E3-4A54-8E26-4DFEA23050DE}"/>
    <cellStyle name="Title 2 4 3" xfId="16122" xr:uid="{7657183A-A739-48D8-8550-9D3C5A92B209}"/>
    <cellStyle name="Title 2 4 3 2" xfId="16123" xr:uid="{40B59C14-8834-4C96-A0D8-677EFCEF3D30}"/>
    <cellStyle name="Title 2 4 3 2 2" xfId="16124" xr:uid="{610644B8-7795-4303-8A7F-C31489B19736}"/>
    <cellStyle name="Title 2 4 3 3" xfId="16125" xr:uid="{46B0E688-9962-457E-A056-4A9DA757233C}"/>
    <cellStyle name="Title 2 4 3 3 2" xfId="16126" xr:uid="{58F53BD9-42D5-49FB-AC0F-5EB023DA9F7E}"/>
    <cellStyle name="Title 2 4 3 4" xfId="16127" xr:uid="{2FD18276-E757-4F61-8193-1543433F784A}"/>
    <cellStyle name="Title 2 4 4" xfId="16128" xr:uid="{2C897CFA-6FD0-4281-A97B-E6D8176EA830}"/>
    <cellStyle name="Title 2 4 4 2" xfId="16129" xr:uid="{6DD8F29D-E112-46BD-B9DA-667372E687C0}"/>
    <cellStyle name="Title 2 4 4 2 2" xfId="16130" xr:uid="{67D804C3-695D-4E0D-B5AB-E211C0FED0BF}"/>
    <cellStyle name="Title 2 4 4 3" xfId="16131" xr:uid="{0B0F76A3-FBF2-4871-97AE-3C031DD7D03C}"/>
    <cellStyle name="Title 2 4 4 3 2" xfId="16132" xr:uid="{E4FE0259-DD30-4432-9277-F8FCEC1EEAA4}"/>
    <cellStyle name="Title 2 4 4 4" xfId="16133" xr:uid="{1E9EDFDF-0342-425A-8BE4-BD6BA3570605}"/>
    <cellStyle name="Title 2 4 4 4 2" xfId="16134" xr:uid="{A87036EB-F3AA-48BE-B14A-DFD4ED83936B}"/>
    <cellStyle name="Title 2 4 4 5" xfId="16135" xr:uid="{958AC0EC-BAE0-4B99-8B5F-C97DB0C05CF8}"/>
    <cellStyle name="Title 2 4 5" xfId="16136" xr:uid="{B6A0797E-8C02-4E99-B705-6A43A30B3B11}"/>
    <cellStyle name="Title 2 4 5 2" xfId="16137" xr:uid="{BF06AA03-C675-46C0-AC85-148816AE1D9F}"/>
    <cellStyle name="Title 2 4 5 2 2" xfId="16138" xr:uid="{E32A937C-D924-4237-8BCD-F14C415EF82F}"/>
    <cellStyle name="Title 2 4 5 3" xfId="16139" xr:uid="{C916664C-E0ED-4F14-A532-B749F1DDDFEC}"/>
    <cellStyle name="Title 2 4 5 3 2" xfId="16140" xr:uid="{10250309-DBA3-4C68-89F2-63E0D9358C31}"/>
    <cellStyle name="Title 2 4 5 4" xfId="16141" xr:uid="{16ADD051-0403-4468-BC0A-3320A784DE89}"/>
    <cellStyle name="Title 2 4 6" xfId="16142" xr:uid="{D8C3DC0B-8DE7-46D6-BB53-77EE681A5E3D}"/>
    <cellStyle name="Title 2 4 6 2" xfId="16143" xr:uid="{81ABCFF6-2DE1-4697-8C42-AD33ED847C26}"/>
    <cellStyle name="Title 2 4 7" xfId="16144" xr:uid="{65770D92-3756-4BF8-A44D-B97EBEFED0E4}"/>
    <cellStyle name="Title 2 4 7 2" xfId="16145" xr:uid="{4B4E30CE-9425-41D1-9044-6B5765062635}"/>
    <cellStyle name="Title 2 4 8" xfId="16146" xr:uid="{C2F38CE7-FC6B-45C8-B6E5-6F27FD3C43F1}"/>
    <cellStyle name="Title 2 4 8 2" xfId="16147" xr:uid="{536339FE-FEEA-4CAE-92C4-5E5312E6E6A5}"/>
    <cellStyle name="Title 2 4 9" xfId="16148" xr:uid="{77EAB30E-A3F5-4F30-87E2-2DFCF717D838}"/>
    <cellStyle name="Title 2 5" xfId="4812" xr:uid="{BD56EE15-6B12-4CF5-92AC-3FA1EE740688}"/>
    <cellStyle name="Title 2 5 10" xfId="16150" xr:uid="{133A1756-6927-4D3D-970D-A11FDF5B8DD1}"/>
    <cellStyle name="Title 2 5 11" xfId="16149" xr:uid="{BBDDCA0A-FA71-4E57-A176-6904AD23D78A}"/>
    <cellStyle name="Title 2 5 2" xfId="16151" xr:uid="{143B2481-4088-4C33-B288-85B16A8526A4}"/>
    <cellStyle name="Title 2 5 2 2" xfId="16152" xr:uid="{11B3015E-8F77-4D09-8E47-B8D2B492E728}"/>
    <cellStyle name="Title 2 5 2 2 2" xfId="16153" xr:uid="{48AC9DB8-F85A-4F82-86D4-57B792F85221}"/>
    <cellStyle name="Title 2 5 2 3" xfId="16154" xr:uid="{3EB00708-99D3-40FD-95B7-1644ACE7845D}"/>
    <cellStyle name="Title 2 5 2 3 2" xfId="16155" xr:uid="{C9C25BF7-93DC-4E89-A6FD-B07FBD6D58CF}"/>
    <cellStyle name="Title 2 5 2 4" xfId="16156" xr:uid="{949503F2-D86F-49E8-9E6D-DA7A15970F2A}"/>
    <cellStyle name="Title 2 5 3" xfId="16157" xr:uid="{7367DAFB-EA27-4F4E-9E14-BA96A3E8CEAA}"/>
    <cellStyle name="Title 2 5 3 2" xfId="16158" xr:uid="{E4B7DE0B-4A9A-4591-94BC-5FD479C8AC6E}"/>
    <cellStyle name="Title 2 5 3 2 2" xfId="16159" xr:uid="{49C1DDB3-9E10-4FF7-A990-8FD57781FEE1}"/>
    <cellStyle name="Title 2 5 3 3" xfId="16160" xr:uid="{300D5C4C-5144-48D9-A39A-F3BE02EBC68F}"/>
    <cellStyle name="Title 2 5 3 3 2" xfId="16161" xr:uid="{D1CD4854-5437-44CD-B863-B2F6AA58AA20}"/>
    <cellStyle name="Title 2 5 3 4" xfId="16162" xr:uid="{31F8FACF-503F-4AEF-9F2D-FB6461F2763E}"/>
    <cellStyle name="Title 2 5 4" xfId="16163" xr:uid="{885D0026-A918-425C-9577-C4A3707BF5C4}"/>
    <cellStyle name="Title 2 5 4 2" xfId="16164" xr:uid="{F276A9AE-E3B5-4FD2-A691-94A816D6E0C2}"/>
    <cellStyle name="Title 2 5 4 2 2" xfId="16165" xr:uid="{EE83A36F-32E4-48D4-B9F1-0F769A77E0B7}"/>
    <cellStyle name="Title 2 5 4 3" xfId="16166" xr:uid="{314CA5A1-9125-44DC-88C1-B50A657BFAC2}"/>
    <cellStyle name="Title 2 5 4 3 2" xfId="16167" xr:uid="{970728D8-11E2-4AFC-8648-E6C44EDF8F4A}"/>
    <cellStyle name="Title 2 5 4 4" xfId="16168" xr:uid="{2336E5CC-DE8E-4E44-AC05-55D863AA399A}"/>
    <cellStyle name="Title 2 5 4 4 2" xfId="16169" xr:uid="{0C6F35E7-01D4-4CA3-B3C7-C0351EC070E1}"/>
    <cellStyle name="Title 2 5 4 5" xfId="16170" xr:uid="{F83ED7FA-829C-44FF-9A79-BA1BB0DC1169}"/>
    <cellStyle name="Title 2 5 5" xfId="16171" xr:uid="{3D2C8D34-D231-4FFF-9652-5294AD71AF6C}"/>
    <cellStyle name="Title 2 5 5 2" xfId="16172" xr:uid="{CF72FFAF-EC80-4E8B-8F0F-3DAE84BF2628}"/>
    <cellStyle name="Title 2 5 5 2 2" xfId="16173" xr:uid="{343245B4-81AA-4682-B629-D35B3C4260C1}"/>
    <cellStyle name="Title 2 5 5 3" xfId="16174" xr:uid="{69BE16C3-44B0-4D6E-9C1E-A80FE4BAD154}"/>
    <cellStyle name="Title 2 5 5 3 2" xfId="16175" xr:uid="{3CD0E662-516A-4B37-86DA-52CCE9165CBC}"/>
    <cellStyle name="Title 2 5 5 4" xfId="16176" xr:uid="{29BB85E5-AE08-44FF-9280-6EC33F746345}"/>
    <cellStyle name="Title 2 5 6" xfId="16177" xr:uid="{42B4B41A-9752-457F-8BEC-F52387566F8E}"/>
    <cellStyle name="Title 2 5 6 2" xfId="16178" xr:uid="{999AEB21-4F2E-4781-86DC-F4866B49B071}"/>
    <cellStyle name="Title 2 5 7" xfId="16179" xr:uid="{4F4BD95C-F311-4C18-8F80-F9A7A574E9BF}"/>
    <cellStyle name="Title 2 5 7 2" xfId="16180" xr:uid="{54D50069-ACD1-41D2-AB76-213AFB5DA91C}"/>
    <cellStyle name="Title 2 5 8" xfId="16181" xr:uid="{3102336F-2412-429F-AB0F-326813815567}"/>
    <cellStyle name="Title 2 5 8 2" xfId="16182" xr:uid="{22C9BB46-DAA0-4EFF-AD49-075F2110F8D3}"/>
    <cellStyle name="Title 2 5 9" xfId="16183" xr:uid="{C96A564D-F874-4616-8E3C-6CFF2428DCB3}"/>
    <cellStyle name="Title 2 6" xfId="4813" xr:uid="{044507BF-EC14-4764-A607-27593F71DEE8}"/>
    <cellStyle name="Title 2 6 10" xfId="16185" xr:uid="{3F7A354F-92A0-4A76-AE70-42B04969C1FF}"/>
    <cellStyle name="Title 2 6 11" xfId="16184" xr:uid="{4E7F92C5-E7A0-4F7C-9C66-AF00103E906A}"/>
    <cellStyle name="Title 2 6 2" xfId="16186" xr:uid="{57DA9DC4-EBA1-45F1-8B73-4018994A7942}"/>
    <cellStyle name="Title 2 6 2 2" xfId="16187" xr:uid="{1C90C789-A6F8-48C1-B14E-EBF5CC0EC103}"/>
    <cellStyle name="Title 2 6 2 2 2" xfId="16188" xr:uid="{A76FA67F-6067-4D36-8619-F59003A5787C}"/>
    <cellStyle name="Title 2 6 2 3" xfId="16189" xr:uid="{34352EB5-36AB-4EFB-949A-1AD6FD7A2E19}"/>
    <cellStyle name="Title 2 6 2 3 2" xfId="16190" xr:uid="{5C1B9112-8DF5-41BD-9BFB-92F23AC52C39}"/>
    <cellStyle name="Title 2 6 2 4" xfId="16191" xr:uid="{6548CE1F-8837-4E95-882C-C88D0CBAAE91}"/>
    <cellStyle name="Title 2 6 3" xfId="16192" xr:uid="{4FFC2E5F-ED2D-4BF9-832D-8EE72962F701}"/>
    <cellStyle name="Title 2 6 3 2" xfId="16193" xr:uid="{B3D5CFFB-B1A0-484B-A508-E4D0A02C7B5E}"/>
    <cellStyle name="Title 2 6 3 2 2" xfId="16194" xr:uid="{CFFDEABE-365C-4FF6-B6B6-9BB82216458C}"/>
    <cellStyle name="Title 2 6 3 3" xfId="16195" xr:uid="{0070A8C5-BCF7-4DEF-A120-18FA3E5245C2}"/>
    <cellStyle name="Title 2 6 3 3 2" xfId="16196" xr:uid="{FEA3C902-C764-4AD6-81E8-6E636B575ADE}"/>
    <cellStyle name="Title 2 6 3 4" xfId="16197" xr:uid="{2F18C89B-9186-4D97-994C-03572DCCEA34}"/>
    <cellStyle name="Title 2 6 4" xfId="16198" xr:uid="{C06A0D24-3E3E-4E13-8E1C-B54AA1709F71}"/>
    <cellStyle name="Title 2 6 4 2" xfId="16199" xr:uid="{8A0E6529-289E-44B6-86FF-33F2C466AD46}"/>
    <cellStyle name="Title 2 6 4 2 2" xfId="16200" xr:uid="{38D7F887-807C-4E3D-AAB0-E33C87570F44}"/>
    <cellStyle name="Title 2 6 4 3" xfId="16201" xr:uid="{63F8A547-EB69-4766-BA5E-4C128AD55217}"/>
    <cellStyle name="Title 2 6 4 3 2" xfId="16202" xr:uid="{EBEC5EF6-D324-4A65-9FC5-DF051045327D}"/>
    <cellStyle name="Title 2 6 4 4" xfId="16203" xr:uid="{FB0C946E-AA3C-4304-95E1-D7AB47392C09}"/>
    <cellStyle name="Title 2 6 4 4 2" xfId="16204" xr:uid="{8F438E11-0C16-4E6B-95E6-5108A22F3E0D}"/>
    <cellStyle name="Title 2 6 4 5" xfId="16205" xr:uid="{BD874A82-B16D-4F7F-B729-245BEB89B8E8}"/>
    <cellStyle name="Title 2 6 5" xfId="16206" xr:uid="{2F07B49E-6557-469C-81A8-FA8A7F131122}"/>
    <cellStyle name="Title 2 6 5 2" xfId="16207" xr:uid="{962DA5C5-9F96-4D87-9575-72B96033B7C0}"/>
    <cellStyle name="Title 2 6 5 2 2" xfId="16208" xr:uid="{C046FD61-FEEA-4CF0-91F6-DF611CEE0D08}"/>
    <cellStyle name="Title 2 6 5 3" xfId="16209" xr:uid="{F1B63CF9-0EAE-460A-B761-F29CD23FDF60}"/>
    <cellStyle name="Title 2 6 5 3 2" xfId="16210" xr:uid="{2A351036-0E57-48A8-8560-47457EAEA2A2}"/>
    <cellStyle name="Title 2 6 5 4" xfId="16211" xr:uid="{5A9558E0-FC96-4EAD-AC85-B92D81C0963F}"/>
    <cellStyle name="Title 2 6 6" xfId="16212" xr:uid="{CAC94AD8-BE54-4861-9E9B-D036A0C41562}"/>
    <cellStyle name="Title 2 6 6 2" xfId="16213" xr:uid="{22D5A2CE-B373-44F7-8E7F-4FBD79038345}"/>
    <cellStyle name="Title 2 6 7" xfId="16214" xr:uid="{C964CC94-359B-467F-B597-9E9899FE1BE4}"/>
    <cellStyle name="Title 2 6 7 2" xfId="16215" xr:uid="{C6763B35-2BD8-4A76-9094-51FDA650A207}"/>
    <cellStyle name="Title 2 6 8" xfId="16216" xr:uid="{D2CA7A22-BA36-4D96-9D87-6AC4D94685C8}"/>
    <cellStyle name="Title 2 6 8 2" xfId="16217" xr:uid="{7240A775-CE1A-4E28-A980-424996C26E80}"/>
    <cellStyle name="Title 2 6 9" xfId="16218" xr:uid="{B4544C43-18C4-4E50-B801-841BAC64F10B}"/>
    <cellStyle name="Title 2 7" xfId="4814" xr:uid="{CF57E7EB-90F7-4DCC-9CE0-4C8DE258F4CC}"/>
    <cellStyle name="Title 2 7 10" xfId="16220" xr:uid="{42007A96-6D76-4A7D-92BD-E48B048DDD0C}"/>
    <cellStyle name="Title 2 7 11" xfId="16219" xr:uid="{4944DAC4-70CA-4156-812C-C38357143AF8}"/>
    <cellStyle name="Title 2 7 2" xfId="16221" xr:uid="{093C25B1-1256-4D85-B6FE-29CDA6C40D14}"/>
    <cellStyle name="Title 2 7 2 2" xfId="16222" xr:uid="{131ECB7F-91C0-4584-BDA5-06DBA91A6497}"/>
    <cellStyle name="Title 2 7 2 2 2" xfId="16223" xr:uid="{6118CAA2-E938-4130-8D29-6FB60E975CE8}"/>
    <cellStyle name="Title 2 7 2 3" xfId="16224" xr:uid="{35CC4BA9-47BF-4415-AB1B-438EE52C2D52}"/>
    <cellStyle name="Title 2 7 2 3 2" xfId="16225" xr:uid="{F0BFB6C7-AF2F-472F-968C-6FDB4CF82A47}"/>
    <cellStyle name="Title 2 7 2 4" xfId="16226" xr:uid="{FAE4FD58-5D27-4054-95EC-63515C435F86}"/>
    <cellStyle name="Title 2 7 3" xfId="16227" xr:uid="{B28763CC-B859-44C7-A3D3-892797D23F79}"/>
    <cellStyle name="Title 2 7 3 2" xfId="16228" xr:uid="{9E79FD94-6B27-437F-8131-ED2F18600F57}"/>
    <cellStyle name="Title 2 7 3 2 2" xfId="16229" xr:uid="{E11F7D09-40DC-490B-8E29-9621796A40B3}"/>
    <cellStyle name="Title 2 7 3 3" xfId="16230" xr:uid="{F0FCB9B6-9438-40A1-AF74-D56FEA6B0602}"/>
    <cellStyle name="Title 2 7 3 3 2" xfId="16231" xr:uid="{27A3F9D6-6E11-468E-87A0-E5BFB3A5C671}"/>
    <cellStyle name="Title 2 7 3 4" xfId="16232" xr:uid="{1158406B-9A66-40A8-BAD6-77CD6F2B906A}"/>
    <cellStyle name="Title 2 7 4" xfId="16233" xr:uid="{C298053F-3E6C-4F71-A4CA-32D2E432703E}"/>
    <cellStyle name="Title 2 7 4 2" xfId="16234" xr:uid="{DB91A3C5-F0DB-4DAB-8B15-DC1E1FB8417C}"/>
    <cellStyle name="Title 2 7 4 2 2" xfId="16235" xr:uid="{08024FD7-2617-47A2-9D84-9BD48E26E0C5}"/>
    <cellStyle name="Title 2 7 4 3" xfId="16236" xr:uid="{254D4BF8-D7B6-4F96-A854-16C5DAFA1E7C}"/>
    <cellStyle name="Title 2 7 4 3 2" xfId="16237" xr:uid="{386BF086-1AFC-41D7-9799-E6C7E1584BEC}"/>
    <cellStyle name="Title 2 7 4 4" xfId="16238" xr:uid="{79D11BDD-46A3-47CD-BFF2-0D344E921DC7}"/>
    <cellStyle name="Title 2 7 4 4 2" xfId="16239" xr:uid="{83E4DC04-3B9C-40EF-A5F7-1E0F8246CA34}"/>
    <cellStyle name="Title 2 7 4 5" xfId="16240" xr:uid="{082FCFF1-FAAD-4C78-BC16-9367CBE419F4}"/>
    <cellStyle name="Title 2 7 5" xfId="16241" xr:uid="{591C7081-0F0A-4BE1-B4B3-46D78DFD57C4}"/>
    <cellStyle name="Title 2 7 5 2" xfId="16242" xr:uid="{F5FBA3AA-F0BE-44C7-AD30-3D221C3DC3DC}"/>
    <cellStyle name="Title 2 7 5 2 2" xfId="16243" xr:uid="{838056AB-B187-4059-8E25-686DCAB2B400}"/>
    <cellStyle name="Title 2 7 5 3" xfId="16244" xr:uid="{3F448AFC-DE9D-419A-9742-5ABDB7D8FC33}"/>
    <cellStyle name="Title 2 7 5 3 2" xfId="16245" xr:uid="{988A86B9-8731-49DE-BEE5-BB0DC6AD8BAE}"/>
    <cellStyle name="Title 2 7 5 4" xfId="16246" xr:uid="{98DFD35D-93EF-4212-BEEC-10A6345984DB}"/>
    <cellStyle name="Title 2 7 6" xfId="16247" xr:uid="{16839A9B-B52A-48A6-BF8E-01441ABE50A7}"/>
    <cellStyle name="Title 2 7 6 2" xfId="16248" xr:uid="{1AC67095-3F1E-48AD-A021-F95532D0FA39}"/>
    <cellStyle name="Title 2 7 7" xfId="16249" xr:uid="{A3DC73B7-041A-427F-B324-134402EBD578}"/>
    <cellStyle name="Title 2 7 7 2" xfId="16250" xr:uid="{31139BC0-4303-4D53-8362-4089183B8C7F}"/>
    <cellStyle name="Title 2 7 8" xfId="16251" xr:uid="{A3546A0B-183C-483C-BB63-9EA72B4737AD}"/>
    <cellStyle name="Title 2 7 8 2" xfId="16252" xr:uid="{A0FF8200-DAE8-43AB-9671-196C8EA2D294}"/>
    <cellStyle name="Title 2 7 9" xfId="16253" xr:uid="{8176C769-A151-4D61-BB43-323BCFF19D92}"/>
    <cellStyle name="Title 2 8" xfId="4815" xr:uid="{2F332A7B-8167-443A-849B-6BFE1987046F}"/>
    <cellStyle name="Title 2 8 10" xfId="16255" xr:uid="{80402F50-930E-4E58-A289-C729AABB40CE}"/>
    <cellStyle name="Title 2 8 11" xfId="16254" xr:uid="{C7484449-622C-4705-BB4D-A5E55294376F}"/>
    <cellStyle name="Title 2 8 2" xfId="16256" xr:uid="{BD30AC15-64F0-4A00-9F13-861419A42001}"/>
    <cellStyle name="Title 2 8 2 2" xfId="16257" xr:uid="{438F4632-2F50-4777-A8EA-BFABA2BBF997}"/>
    <cellStyle name="Title 2 8 2 2 2" xfId="16258" xr:uid="{7561E8F4-D5EF-4CC9-A617-B551CD0B428F}"/>
    <cellStyle name="Title 2 8 2 3" xfId="16259" xr:uid="{D0EAF1EA-C591-4F82-9C86-B8959882B17D}"/>
    <cellStyle name="Title 2 8 2 3 2" xfId="16260" xr:uid="{BCD0D783-FB01-45F9-A784-A69C69B92475}"/>
    <cellStyle name="Title 2 8 2 4" xfId="16261" xr:uid="{7C22B2F1-1C51-47B4-81AA-E3F2933EB53D}"/>
    <cellStyle name="Title 2 8 3" xfId="16262" xr:uid="{9E06E560-0DF8-4E41-A5C2-1DC98184CBE6}"/>
    <cellStyle name="Title 2 8 3 2" xfId="16263" xr:uid="{17903785-E895-442A-977C-BA91F9C029E8}"/>
    <cellStyle name="Title 2 8 3 2 2" xfId="16264" xr:uid="{7FF834F6-A30F-427C-A9E8-9EB767AE7B3C}"/>
    <cellStyle name="Title 2 8 3 3" xfId="16265" xr:uid="{C09EEBE3-73E8-44DF-AF04-21EE7691120B}"/>
    <cellStyle name="Title 2 8 3 3 2" xfId="16266" xr:uid="{6626D589-3043-48E4-91B6-FAFE3EE2E6F7}"/>
    <cellStyle name="Title 2 8 3 4" xfId="16267" xr:uid="{D5432584-B967-438E-9CFA-11AF89083395}"/>
    <cellStyle name="Title 2 8 4" xfId="16268" xr:uid="{BB8F393C-6F84-40A6-9A33-EA4EC8D446AF}"/>
    <cellStyle name="Title 2 8 4 2" xfId="16269" xr:uid="{02591F41-CDC3-4FE3-AEB3-0A87FD3DF98A}"/>
    <cellStyle name="Title 2 8 4 2 2" xfId="16270" xr:uid="{1CE7722A-BD99-430D-807F-126634FDB3F1}"/>
    <cellStyle name="Title 2 8 4 3" xfId="16271" xr:uid="{798B7159-16D1-4118-8003-1AEE136769C3}"/>
    <cellStyle name="Title 2 8 4 3 2" xfId="16272" xr:uid="{0B2C38AD-A754-498C-B870-A80BDF900188}"/>
    <cellStyle name="Title 2 8 4 4" xfId="16273" xr:uid="{CA5BBA39-285E-437D-8B2F-BD4325FE78DD}"/>
    <cellStyle name="Title 2 8 4 4 2" xfId="16274" xr:uid="{82F4089B-4DD1-4DDF-B7A9-B82CD97F7F84}"/>
    <cellStyle name="Title 2 8 4 5" xfId="16275" xr:uid="{40C037A4-8301-4CBE-A961-A9140B36E84B}"/>
    <cellStyle name="Title 2 8 5" xfId="16276" xr:uid="{E6F69ED1-1CDB-418B-AF8A-AA66792AAF43}"/>
    <cellStyle name="Title 2 8 5 2" xfId="16277" xr:uid="{D20496EE-13B5-46B4-B775-2071B6CE3656}"/>
    <cellStyle name="Title 2 8 5 2 2" xfId="16278" xr:uid="{78EB0BB4-D11B-4978-82F0-827AC0551992}"/>
    <cellStyle name="Title 2 8 5 3" xfId="16279" xr:uid="{94F75007-728E-4080-91D5-45087E7B62B1}"/>
    <cellStyle name="Title 2 8 5 3 2" xfId="16280" xr:uid="{C548AB42-EFD9-44A6-8B14-2098BA906FFC}"/>
    <cellStyle name="Title 2 8 5 4" xfId="16281" xr:uid="{1A49F4B4-E689-4DA3-BC54-B27FF2E7D75A}"/>
    <cellStyle name="Title 2 8 6" xfId="16282" xr:uid="{51ACA11A-3D05-42BE-B0F7-BF9C39EB4E47}"/>
    <cellStyle name="Title 2 8 6 2" xfId="16283" xr:uid="{459CE8E8-CC3F-401A-A9D7-C854E2BE4615}"/>
    <cellStyle name="Title 2 8 7" xfId="16284" xr:uid="{11DAA0B3-0655-464C-B4EE-8BF2808B2E94}"/>
    <cellStyle name="Title 2 8 7 2" xfId="16285" xr:uid="{E4EE1DD1-F838-41ED-A0F5-2634681BCEC9}"/>
    <cellStyle name="Title 2 8 8" xfId="16286" xr:uid="{F9A9879E-AEAA-45E3-A300-6F1A58F0DA73}"/>
    <cellStyle name="Title 2 8 8 2" xfId="16287" xr:uid="{DE346C29-5D85-4CBA-BDB2-D9F9A8C5A368}"/>
    <cellStyle name="Title 2 8 9" xfId="16288" xr:uid="{54B96DC1-5854-466E-80F5-F054E4D331B8}"/>
    <cellStyle name="Title 2 9" xfId="4816" xr:uid="{28421560-4264-405C-8DE8-9AEBA72ECB4F}"/>
    <cellStyle name="Title 2 9 10" xfId="16290" xr:uid="{E7561E72-BF6B-4EC6-AC34-7B3658BAB82D}"/>
    <cellStyle name="Title 2 9 11" xfId="16289" xr:uid="{B8A3F050-055E-4240-A31C-ECEAD3D6FAF3}"/>
    <cellStyle name="Title 2 9 2" xfId="16291" xr:uid="{126171E1-E2FD-4D5C-B589-1F25FB92890F}"/>
    <cellStyle name="Title 2 9 2 2" xfId="16292" xr:uid="{B7DE00CC-95FA-49AE-969E-2CCB782CC042}"/>
    <cellStyle name="Title 2 9 2 2 2" xfId="16293" xr:uid="{4263E37C-1416-4C13-BA53-C2903E1ABA1E}"/>
    <cellStyle name="Title 2 9 2 3" xfId="16294" xr:uid="{8AB63179-1A6B-497A-95EF-77803367C99D}"/>
    <cellStyle name="Title 2 9 2 3 2" xfId="16295" xr:uid="{BE915B3E-8541-41B1-89E7-27E58CC4B0DE}"/>
    <cellStyle name="Title 2 9 2 4" xfId="16296" xr:uid="{B2A01C30-3FC7-4BBE-94FE-626C47D6B94F}"/>
    <cellStyle name="Title 2 9 3" xfId="16297" xr:uid="{68FF61CD-AAED-4955-AFC1-7840A4C3BBC5}"/>
    <cellStyle name="Title 2 9 3 2" xfId="16298" xr:uid="{350265D8-F6FB-4253-A003-A00F241BD31D}"/>
    <cellStyle name="Title 2 9 3 2 2" xfId="16299" xr:uid="{A1F4ADBD-485B-4D24-A0E7-2C53F01DAE14}"/>
    <cellStyle name="Title 2 9 3 3" xfId="16300" xr:uid="{DF008841-580A-4F56-8F4F-01FBED01AB60}"/>
    <cellStyle name="Title 2 9 3 3 2" xfId="16301" xr:uid="{E4F84279-8187-41D1-9D9F-347CA44C2B69}"/>
    <cellStyle name="Title 2 9 3 4" xfId="16302" xr:uid="{52611DE9-0C96-4EDC-9967-BE81CD1F5479}"/>
    <cellStyle name="Title 2 9 4" xfId="16303" xr:uid="{43BEA3A4-F6B3-4B2A-B40E-F790398ACAFB}"/>
    <cellStyle name="Title 2 9 4 2" xfId="16304" xr:uid="{8B4CFEE2-01C7-4783-81BA-BEA61DD17FD7}"/>
    <cellStyle name="Title 2 9 4 2 2" xfId="16305" xr:uid="{8E5D3A8F-287F-43BD-A13A-93F2DBA38C6F}"/>
    <cellStyle name="Title 2 9 4 3" xfId="16306" xr:uid="{5A54446C-66CB-43DD-A044-4928C0AA5C84}"/>
    <cellStyle name="Title 2 9 4 3 2" xfId="16307" xr:uid="{D6F57DF1-B209-47B2-AE5D-1D35174DF66D}"/>
    <cellStyle name="Title 2 9 4 4" xfId="16308" xr:uid="{37C8F77E-E2E8-4C21-B357-BA0F3BD29CAA}"/>
    <cellStyle name="Title 2 9 4 4 2" xfId="16309" xr:uid="{23F409D8-8892-40AC-A1FE-22117855DF81}"/>
    <cellStyle name="Title 2 9 4 5" xfId="16310" xr:uid="{39A02D62-13CB-4D81-8251-498B21561800}"/>
    <cellStyle name="Title 2 9 5" xfId="16311" xr:uid="{FEDBDD54-0B6C-4D47-9B9A-743308BB02E2}"/>
    <cellStyle name="Title 2 9 5 2" xfId="16312" xr:uid="{4F637347-B3F9-4024-A39F-F1E1D03B4B78}"/>
    <cellStyle name="Title 2 9 5 2 2" xfId="16313" xr:uid="{7444C048-7DC4-4262-AD1B-0536A3E6FF75}"/>
    <cellStyle name="Title 2 9 5 3" xfId="16314" xr:uid="{D0DBDC22-1399-4265-834D-A634C8F3C0BB}"/>
    <cellStyle name="Title 2 9 5 3 2" xfId="16315" xr:uid="{5952F562-2131-43F1-A9C5-318DB27BB3C8}"/>
    <cellStyle name="Title 2 9 5 4" xfId="16316" xr:uid="{B0D891F6-D72C-4650-BE14-F51479683454}"/>
    <cellStyle name="Title 2 9 6" xfId="16317" xr:uid="{437B1C76-5E2C-444E-ABD5-FBD2DEF122E6}"/>
    <cellStyle name="Title 2 9 6 2" xfId="16318" xr:uid="{A65892B3-A336-47C4-9051-A116494AA13F}"/>
    <cellStyle name="Title 2 9 7" xfId="16319" xr:uid="{A5E8CAF1-7D1A-4511-89F3-AD0D56760BC7}"/>
    <cellStyle name="Title 2 9 7 2" xfId="16320" xr:uid="{15F8B34E-2A31-432C-9E2D-AB67612C7DC2}"/>
    <cellStyle name="Title 2 9 8" xfId="16321" xr:uid="{57EA4D32-3D40-4988-A0D8-9EDD613110DE}"/>
    <cellStyle name="Title 2 9 8 2" xfId="16322" xr:uid="{1ADA6DB9-57A3-4819-A39D-B88E863F1882}"/>
    <cellStyle name="Title 2 9 9" xfId="16323" xr:uid="{FC720C5E-9D11-46BE-A4BD-B36B47107BC3}"/>
    <cellStyle name="Title 20" xfId="3276" xr:uid="{3139D9DB-5B4A-4F05-9400-310A4C440E70}"/>
    <cellStyle name="Title 20 10" xfId="16325" xr:uid="{5801DFE5-4551-46F5-8994-05F0C81D2F91}"/>
    <cellStyle name="Title 20 11" xfId="16326" xr:uid="{D1C3A2CE-60A2-4C16-906D-9981607E9CD2}"/>
    <cellStyle name="Title 20 12" xfId="16324" xr:uid="{E9E4F2C0-DD3C-4E86-BF3F-4D368174E56A}"/>
    <cellStyle name="Title 20 2" xfId="16327" xr:uid="{AD44F3F9-A94F-4D45-9DFB-3CAFC4CD9235}"/>
    <cellStyle name="Title 20 2 2" xfId="16328" xr:uid="{D7B345D6-13CE-4D0C-A250-CECA5EDF6103}"/>
    <cellStyle name="Title 20 2 2 2" xfId="16329" xr:uid="{F79A3DF0-B766-44D2-9537-68D2C88FBC31}"/>
    <cellStyle name="Title 20 2 3" xfId="16330" xr:uid="{90909879-221C-4C50-A3E4-6795CE5295F3}"/>
    <cellStyle name="Title 20 2 3 2" xfId="16331" xr:uid="{05D0A198-F242-475C-988D-42E5284DE37A}"/>
    <cellStyle name="Title 20 2 4" xfId="16332" xr:uid="{FCDF5619-CC46-4063-B74E-24A725F608EE}"/>
    <cellStyle name="Title 20 2 5" xfId="16333" xr:uid="{C86ABA76-D0C5-40C4-821C-87173DBBBD85}"/>
    <cellStyle name="Title 20 3" xfId="16334" xr:uid="{361BD7C1-9FAD-461D-8C47-F887A699D2F9}"/>
    <cellStyle name="Title 20 3 2" xfId="16335" xr:uid="{9573D4BA-C0E1-4820-88D1-4ADC086858E0}"/>
    <cellStyle name="Title 20 3 2 2" xfId="16336" xr:uid="{6432DC2A-EE65-4DF9-BA71-133658AD153F}"/>
    <cellStyle name="Title 20 3 3" xfId="16337" xr:uid="{D415C9B7-AD25-4F11-8672-19F6C0E5F115}"/>
    <cellStyle name="Title 20 3 3 2" xfId="16338" xr:uid="{5C312640-EE05-4E8A-91D8-A703072C622F}"/>
    <cellStyle name="Title 20 3 4" xfId="16339" xr:uid="{254D744C-46DD-4D7F-BF98-0B77A2F9A036}"/>
    <cellStyle name="Title 20 4" xfId="16340" xr:uid="{707EFCE1-8F66-42D9-A343-AF4BC1D0AC97}"/>
    <cellStyle name="Title 20 4 2" xfId="16341" xr:uid="{DA97FF2F-F2CD-456F-9C14-641463D628D7}"/>
    <cellStyle name="Title 20 4 2 2" xfId="16342" xr:uid="{8EAD6801-CAA9-4BBE-8EFF-A29E8E071CBC}"/>
    <cellStyle name="Title 20 4 3" xfId="16343" xr:uid="{FEC27AF8-AF8F-442D-9445-45E79B7A326D}"/>
    <cellStyle name="Title 20 4 3 2" xfId="16344" xr:uid="{71509957-C241-4B5C-B00C-CC5CAC4D3A4F}"/>
    <cellStyle name="Title 20 4 4" xfId="16345" xr:uid="{3D4DDB12-6D35-4D3C-87E8-F6018D9A03BD}"/>
    <cellStyle name="Title 20 5" xfId="16346" xr:uid="{08C248CE-0E9C-4CB5-8925-345CE9C1C855}"/>
    <cellStyle name="Title 20 5 2" xfId="16347" xr:uid="{8D2E1C84-778F-4F68-AFCD-0EA5C85A2501}"/>
    <cellStyle name="Title 20 5 2 2" xfId="16348" xr:uid="{9E37FD4C-6001-468C-A00D-0F781309178F}"/>
    <cellStyle name="Title 20 5 3" xfId="16349" xr:uid="{EB519C00-547F-432A-A7DE-86B8717EA1C3}"/>
    <cellStyle name="Title 20 5 3 2" xfId="16350" xr:uid="{B26A791B-2E33-4283-806D-C9953158F734}"/>
    <cellStyle name="Title 20 5 4" xfId="16351" xr:uid="{D7ADB789-98E0-464F-91F5-4D01967AC4D9}"/>
    <cellStyle name="Title 20 5 4 2" xfId="16352" xr:uid="{2B003C30-62EF-4A7D-AF26-8E9461391024}"/>
    <cellStyle name="Title 20 5 5" xfId="16353" xr:uid="{25E53F3D-0675-4E5C-8391-B68A05D70756}"/>
    <cellStyle name="Title 20 6" xfId="16354" xr:uid="{939CA271-D967-41DC-9553-D65C8DB357A1}"/>
    <cellStyle name="Title 20 6 2" xfId="16355" xr:uid="{6C5FE9D6-A310-478E-AD40-6BF6420F61D3}"/>
    <cellStyle name="Title 20 6 2 2" xfId="16356" xr:uid="{18667D0D-193E-4D20-B6CD-A48EB69F6C1B}"/>
    <cellStyle name="Title 20 6 3" xfId="16357" xr:uid="{5FA7B03D-D1F4-4906-BF79-7466250DC282}"/>
    <cellStyle name="Title 20 6 3 2" xfId="16358" xr:uid="{E06ABF60-5170-4B6B-8BEF-F73867522A25}"/>
    <cellStyle name="Title 20 6 4" xfId="16359" xr:uid="{BC302E73-9EEE-4C35-9707-C1E3F9DFE13F}"/>
    <cellStyle name="Title 20 7" xfId="16360" xr:uid="{01961080-29CD-4E3C-B063-587ACF2202ED}"/>
    <cellStyle name="Title 20 7 2" xfId="16361" xr:uid="{F0F05FA2-E88B-4798-A003-0FF2AAD1BCD7}"/>
    <cellStyle name="Title 20 8" xfId="16362" xr:uid="{5EF29B9B-9320-4896-A96B-4FF4D6C00BAC}"/>
    <cellStyle name="Title 20 8 2" xfId="16363" xr:uid="{0022669A-ECDC-4FD7-BACE-AFA3060DDC11}"/>
    <cellStyle name="Title 20 9" xfId="16364" xr:uid="{B71CE9EC-2C86-4BAF-B04F-648F245D13BA}"/>
    <cellStyle name="Title 20 9 2" xfId="16365" xr:uid="{8400DA53-CFB4-463B-8325-270CB0078F7E}"/>
    <cellStyle name="Title 21" xfId="3277" xr:uid="{B3599893-B1A7-4235-A66E-FFAE82997E76}"/>
    <cellStyle name="Title 21 10" xfId="16367" xr:uid="{3CECDD15-AE89-4826-A237-B8B962C9C565}"/>
    <cellStyle name="Title 21 11" xfId="16368" xr:uid="{B8F4FA02-4412-4E72-9D77-F690D7A14CCF}"/>
    <cellStyle name="Title 21 12" xfId="16366" xr:uid="{C93B5519-0983-47B0-91FA-C8F0BAD1FC77}"/>
    <cellStyle name="Title 21 2" xfId="16369" xr:uid="{28C5A716-0953-414E-A6B0-34E9BD80B207}"/>
    <cellStyle name="Title 21 2 2" xfId="16370" xr:uid="{BF0BC11B-92EA-4943-9257-978B54DF9683}"/>
    <cellStyle name="Title 21 2 2 2" xfId="16371" xr:uid="{0CA377C6-EFE6-4790-8E67-2B4185E0AA33}"/>
    <cellStyle name="Title 21 2 3" xfId="16372" xr:uid="{9AB22127-A302-418F-A2FE-F88E5F47EFEA}"/>
    <cellStyle name="Title 21 2 3 2" xfId="16373" xr:uid="{D91808D6-1E59-42C6-9770-502DA83DB39F}"/>
    <cellStyle name="Title 21 2 4" xfId="16374" xr:uid="{71AC7943-5D16-4CDC-A0BD-4A21E04756A0}"/>
    <cellStyle name="Title 21 2 5" xfId="16375" xr:uid="{DDFAB56D-4A7C-4BCC-B030-121F2F6BC8CA}"/>
    <cellStyle name="Title 21 3" xfId="16376" xr:uid="{31219D71-5597-4B76-AA48-B876CDB82B31}"/>
    <cellStyle name="Title 21 3 2" xfId="16377" xr:uid="{91F95812-8741-4356-9820-73EA6045183C}"/>
    <cellStyle name="Title 21 3 2 2" xfId="16378" xr:uid="{6D78AE87-CC0C-4B6B-8613-84F15D23BE62}"/>
    <cellStyle name="Title 21 3 3" xfId="16379" xr:uid="{4238E5E5-99C3-4D2E-90E0-5E882B377879}"/>
    <cellStyle name="Title 21 3 3 2" xfId="16380" xr:uid="{25EF6CBF-60CD-4CDD-8E51-7522D4FBD566}"/>
    <cellStyle name="Title 21 3 4" xfId="16381" xr:uid="{BA51574D-0479-4DD9-8E61-FFC4494BCCC3}"/>
    <cellStyle name="Title 21 4" xfId="16382" xr:uid="{A4A3BEAE-6258-4D86-A7AE-AB7FBFDA1889}"/>
    <cellStyle name="Title 21 4 2" xfId="16383" xr:uid="{D54E0ADF-53EF-40AB-A4E3-11C69EA7F38C}"/>
    <cellStyle name="Title 21 4 2 2" xfId="16384" xr:uid="{5732B6B7-B264-4824-93A3-CB0C7C9259B1}"/>
    <cellStyle name="Title 21 4 3" xfId="16385" xr:uid="{FDF382E6-2677-41F0-ADCF-3ACA45DB50E8}"/>
    <cellStyle name="Title 21 4 3 2" xfId="16386" xr:uid="{E8206DF0-EDC1-4A94-AFDD-F2BEF4C3880B}"/>
    <cellStyle name="Title 21 4 4" xfId="16387" xr:uid="{D5B8C44A-5C6F-48ED-A32F-20667E051F46}"/>
    <cellStyle name="Title 21 5" xfId="16388" xr:uid="{3C0E1578-5E6E-4367-9D63-0A48C56EFBC0}"/>
    <cellStyle name="Title 21 5 2" xfId="16389" xr:uid="{EFFB1D35-C8D2-49F9-88E8-9DDD88C98167}"/>
    <cellStyle name="Title 21 5 2 2" xfId="16390" xr:uid="{1F0D9246-F366-473F-9B26-A7254D6E869C}"/>
    <cellStyle name="Title 21 5 3" xfId="16391" xr:uid="{09D0E55D-E02F-48F3-803B-6D24B1D50DD9}"/>
    <cellStyle name="Title 21 5 3 2" xfId="16392" xr:uid="{0F3F0218-3D66-4A47-A82B-CAA4ED1FDCAE}"/>
    <cellStyle name="Title 21 5 4" xfId="16393" xr:uid="{59D6C50C-7541-44A0-8B74-EEADFDC7D997}"/>
    <cellStyle name="Title 21 5 4 2" xfId="16394" xr:uid="{BDE784C7-D13E-4E26-8B39-7BE901083EE8}"/>
    <cellStyle name="Title 21 5 5" xfId="16395" xr:uid="{1F59AEC7-F488-4538-A558-295BE0CD5470}"/>
    <cellStyle name="Title 21 6" xfId="16396" xr:uid="{718AF81E-5AFB-4CB4-B616-A0A54882C4D2}"/>
    <cellStyle name="Title 21 6 2" xfId="16397" xr:uid="{042B1067-0F6D-4936-9A47-28ACE143A140}"/>
    <cellStyle name="Title 21 6 2 2" xfId="16398" xr:uid="{7AB9D049-F3BB-41C4-BD98-B0AF872F5E0F}"/>
    <cellStyle name="Title 21 6 3" xfId="16399" xr:uid="{03EF6A05-BE02-4386-871F-248A34C3C9CE}"/>
    <cellStyle name="Title 21 6 3 2" xfId="16400" xr:uid="{8E0A707A-2079-412E-A437-DEE7688CF2FF}"/>
    <cellStyle name="Title 21 6 4" xfId="16401" xr:uid="{52FCB521-CB2D-40CB-B3A9-81D354027D6A}"/>
    <cellStyle name="Title 21 7" xfId="16402" xr:uid="{938E143F-0EFE-4028-A765-DFFF4EDBFA28}"/>
    <cellStyle name="Title 21 7 2" xfId="16403" xr:uid="{4B07D862-FF0D-4B84-8884-620C7362DD88}"/>
    <cellStyle name="Title 21 8" xfId="16404" xr:uid="{D6158157-58E4-48C5-99EB-CE7D788AFA6B}"/>
    <cellStyle name="Title 21 8 2" xfId="16405" xr:uid="{C387E7E2-E71B-4DB2-870D-D45817652232}"/>
    <cellStyle name="Title 21 9" xfId="16406" xr:uid="{96BB22C3-902E-46A9-8ABC-3A9F152601E4}"/>
    <cellStyle name="Title 21 9 2" xfId="16407" xr:uid="{7D6DADA6-6E3E-40D2-8350-0FC2D7AFBEFB}"/>
    <cellStyle name="Title 22" xfId="3278" xr:uid="{1C01E9EC-AC74-4D68-979D-FED1222C7712}"/>
    <cellStyle name="Title 22 10" xfId="16409" xr:uid="{8903484C-FD29-403F-8C37-136153106D78}"/>
    <cellStyle name="Title 22 11" xfId="16410" xr:uid="{0C81E1AC-A483-4BAE-B840-DB73D8E9F1EC}"/>
    <cellStyle name="Title 22 12" xfId="16408" xr:uid="{AC9E0EB4-48B5-4990-85F7-FFD79D398E2B}"/>
    <cellStyle name="Title 22 2" xfId="16411" xr:uid="{81954747-AB62-47CF-96C0-CA243C3513E1}"/>
    <cellStyle name="Title 22 2 2" xfId="16412" xr:uid="{45AA86C7-E09C-403E-BF71-321FD0B27778}"/>
    <cellStyle name="Title 22 2 2 2" xfId="16413" xr:uid="{6078DAA7-2DC4-41E8-87BD-A739782A8BC9}"/>
    <cellStyle name="Title 22 2 3" xfId="16414" xr:uid="{24575F38-8BC5-45EF-B2BF-1A8E26D971FE}"/>
    <cellStyle name="Title 22 2 3 2" xfId="16415" xr:uid="{D093DBAA-EA99-4A17-9221-E35813B08F78}"/>
    <cellStyle name="Title 22 2 4" xfId="16416" xr:uid="{59BE07DD-6587-4212-8428-8D70FF74EDE8}"/>
    <cellStyle name="Title 22 2 5" xfId="16417" xr:uid="{218D7015-F997-40F5-B4D0-B8595BFB86D1}"/>
    <cellStyle name="Title 22 3" xfId="16418" xr:uid="{154498A6-7700-4BD8-BC16-DFFB7C21FA8F}"/>
    <cellStyle name="Title 22 3 2" xfId="16419" xr:uid="{51C6ABE4-5E03-473B-A4F3-57A0703BABBB}"/>
    <cellStyle name="Title 22 3 2 2" xfId="16420" xr:uid="{C4C540B6-6443-47AC-961F-8601F0343CAD}"/>
    <cellStyle name="Title 22 3 3" xfId="16421" xr:uid="{CBAAE369-3DF8-4BB0-B28E-858F2701E455}"/>
    <cellStyle name="Title 22 3 3 2" xfId="16422" xr:uid="{9CF481CF-4F8C-409F-BDF0-D5506142FAA8}"/>
    <cellStyle name="Title 22 3 4" xfId="16423" xr:uid="{444736A3-9C85-42BA-BE43-B00FB31E6D31}"/>
    <cellStyle name="Title 22 4" xfId="16424" xr:uid="{FC8B709B-7258-45E2-9871-010B181764E0}"/>
    <cellStyle name="Title 22 4 2" xfId="16425" xr:uid="{6EC2C058-76DA-4A24-8612-FC4385EB8F3E}"/>
    <cellStyle name="Title 22 4 2 2" xfId="16426" xr:uid="{F1D6AC6E-A98A-4ED5-8171-E0582636B4FD}"/>
    <cellStyle name="Title 22 4 3" xfId="16427" xr:uid="{3A173BC9-FC4D-4EDD-8691-805D2499B69B}"/>
    <cellStyle name="Title 22 4 3 2" xfId="16428" xr:uid="{5C390A65-68BB-4F6B-8FC7-EDA8543C0441}"/>
    <cellStyle name="Title 22 4 4" xfId="16429" xr:uid="{8017344B-0E54-4A21-9249-A8DC30A17CDD}"/>
    <cellStyle name="Title 22 5" xfId="16430" xr:uid="{0D80055D-5C8F-44DF-854D-9133BEF1D343}"/>
    <cellStyle name="Title 22 5 2" xfId="16431" xr:uid="{56B6C854-1171-4827-933D-3AE849E6CBBC}"/>
    <cellStyle name="Title 22 5 2 2" xfId="16432" xr:uid="{B0A03219-1D5A-4577-92A4-10A131DAD61F}"/>
    <cellStyle name="Title 22 5 3" xfId="16433" xr:uid="{A780D49B-23AB-4EE7-AAAC-D304891862BF}"/>
    <cellStyle name="Title 22 5 3 2" xfId="16434" xr:uid="{61DDF13A-8829-4981-A714-C91351BB4515}"/>
    <cellStyle name="Title 22 5 4" xfId="16435" xr:uid="{FA73A12C-06BC-487B-AA18-5265285E78E2}"/>
    <cellStyle name="Title 22 5 4 2" xfId="16436" xr:uid="{E5784F0A-9192-4D83-A186-02F059E54805}"/>
    <cellStyle name="Title 22 5 5" xfId="16437" xr:uid="{BA9BD0C4-CCD4-4EF2-8F6A-2545D668202C}"/>
    <cellStyle name="Title 22 6" xfId="16438" xr:uid="{9A2F217D-6A31-4668-B291-BB598E0C836D}"/>
    <cellStyle name="Title 22 6 2" xfId="16439" xr:uid="{3022FEDF-86B5-42C2-8B71-A158B4EB4823}"/>
    <cellStyle name="Title 22 6 2 2" xfId="16440" xr:uid="{11FA5969-33D8-4CC4-B1B3-4313F9D2CEC9}"/>
    <cellStyle name="Title 22 6 3" xfId="16441" xr:uid="{56DCA9FF-F9A1-4F4F-ADB8-E6BF1B0245DA}"/>
    <cellStyle name="Title 22 6 3 2" xfId="16442" xr:uid="{DE10BA25-A271-497A-B301-38078BCE1D4B}"/>
    <cellStyle name="Title 22 6 4" xfId="16443" xr:uid="{E7CC9D0C-23DD-4074-A9B6-C8D56FE8B8A4}"/>
    <cellStyle name="Title 22 7" xfId="16444" xr:uid="{BDAA6691-9369-43ED-9342-13494713DBCB}"/>
    <cellStyle name="Title 22 7 2" xfId="16445" xr:uid="{87408588-0F6E-4AC9-9093-51BFDC5FD1C4}"/>
    <cellStyle name="Title 22 8" xfId="16446" xr:uid="{C08D6646-3AF6-400D-B22F-6B008C1CD5BA}"/>
    <cellStyle name="Title 22 8 2" xfId="16447" xr:uid="{8528DAA1-6765-4668-AFBA-C75585618D91}"/>
    <cellStyle name="Title 22 9" xfId="16448" xr:uid="{3FA719AB-26A3-47FA-8026-1048103B4376}"/>
    <cellStyle name="Title 22 9 2" xfId="16449" xr:uid="{A64D394F-21A1-4CF3-858B-8A265814CCBB}"/>
    <cellStyle name="Title 23" xfId="3279" xr:uid="{8F2FA3E1-4349-428A-B0E6-3E9C7D168718}"/>
    <cellStyle name="Title 23 10" xfId="16451" xr:uid="{CF3ED481-3BE6-4BC0-B02A-FBAFDC4717F9}"/>
    <cellStyle name="Title 23 11" xfId="16452" xr:uid="{EE0AC906-5E4A-4F99-A6C6-6CE7B5EE473F}"/>
    <cellStyle name="Title 23 12" xfId="16450" xr:uid="{DA0AC685-B985-4FDD-A971-5C57E7D2BA41}"/>
    <cellStyle name="Title 23 2" xfId="16453" xr:uid="{E645DD13-E976-4E49-AF79-F9AD4C4F384F}"/>
    <cellStyle name="Title 23 2 2" xfId="16454" xr:uid="{78133109-E73E-4429-AB52-46E6C4A56003}"/>
    <cellStyle name="Title 23 2 2 2" xfId="16455" xr:uid="{9BB3FB8D-0688-45B4-98D0-B791502DF592}"/>
    <cellStyle name="Title 23 2 3" xfId="16456" xr:uid="{2DFC4645-831E-4EE8-80A0-5338C3BB38AC}"/>
    <cellStyle name="Title 23 2 3 2" xfId="16457" xr:uid="{A9DE9B56-16A4-4B41-8437-3580E67C90C8}"/>
    <cellStyle name="Title 23 2 4" xfId="16458" xr:uid="{473E370B-5E4B-46A4-A1E9-9A397B790124}"/>
    <cellStyle name="Title 23 2 5" xfId="16459" xr:uid="{85BEBBCC-93FA-4397-9164-11967D5AB97F}"/>
    <cellStyle name="Title 23 3" xfId="16460" xr:uid="{C997059E-D3E6-4E4F-BE99-079D6AB3B297}"/>
    <cellStyle name="Title 23 3 2" xfId="16461" xr:uid="{B455170D-C404-4370-9116-731090C9B0A2}"/>
    <cellStyle name="Title 23 3 2 2" xfId="16462" xr:uid="{0DF498C4-D77A-45EB-B427-3BC8220CDD97}"/>
    <cellStyle name="Title 23 3 3" xfId="16463" xr:uid="{ADF3396E-B918-4CE7-9FF1-977DEF37914F}"/>
    <cellStyle name="Title 23 3 3 2" xfId="16464" xr:uid="{83F563EA-5F9D-4A6E-9CE8-AB6AAF7D5938}"/>
    <cellStyle name="Title 23 3 4" xfId="16465" xr:uid="{56914D79-D7B7-438C-B779-1991FFA35AB1}"/>
    <cellStyle name="Title 23 4" xfId="16466" xr:uid="{9C5C2C7A-A13A-4CA6-9914-98AFD92B5E15}"/>
    <cellStyle name="Title 23 4 2" xfId="16467" xr:uid="{5083065F-C4CF-4945-83EF-C1BA7CB466D4}"/>
    <cellStyle name="Title 23 4 2 2" xfId="16468" xr:uid="{4387C42B-A43E-46B9-B61D-E03570DD2631}"/>
    <cellStyle name="Title 23 4 3" xfId="16469" xr:uid="{CD19FD0E-9627-4AEE-A00E-599F81E4FF65}"/>
    <cellStyle name="Title 23 4 3 2" xfId="16470" xr:uid="{277EA5FB-63F2-4959-B420-8BEBA0F07A74}"/>
    <cellStyle name="Title 23 4 4" xfId="16471" xr:uid="{26ACCD50-BBAB-4F9C-AF25-ED770D85058F}"/>
    <cellStyle name="Title 23 5" xfId="16472" xr:uid="{E2661DF1-6C67-4D22-A87C-A6F7B26B11C9}"/>
    <cellStyle name="Title 23 5 2" xfId="16473" xr:uid="{4B073C8F-D2FC-4446-AF92-1638F4EA6E58}"/>
    <cellStyle name="Title 23 5 2 2" xfId="16474" xr:uid="{D034B49B-F424-4CF8-84C4-234C4FB146DC}"/>
    <cellStyle name="Title 23 5 3" xfId="16475" xr:uid="{1A1AD32C-E394-438C-83CA-AF7C13414AE4}"/>
    <cellStyle name="Title 23 5 3 2" xfId="16476" xr:uid="{76C1A070-8664-4E26-9771-EBEE4C66430B}"/>
    <cellStyle name="Title 23 5 4" xfId="16477" xr:uid="{07223AD5-9759-4C8E-9C9B-F7B74E7AE0C0}"/>
    <cellStyle name="Title 23 5 4 2" xfId="16478" xr:uid="{B6B68249-C197-4BD4-ADA2-2A277DAEF032}"/>
    <cellStyle name="Title 23 5 5" xfId="16479" xr:uid="{6B8D07CA-5FF0-42F9-A1DD-61FBF83B10E0}"/>
    <cellStyle name="Title 23 6" xfId="16480" xr:uid="{E6BD3F7C-69F3-4AB2-90B0-9EACCFCB333F}"/>
    <cellStyle name="Title 23 6 2" xfId="16481" xr:uid="{34D31606-0A31-4794-A10A-1E22D9397526}"/>
    <cellStyle name="Title 23 6 2 2" xfId="16482" xr:uid="{3F7A9BC8-C4FB-41BA-8F6B-459DFC75E3E7}"/>
    <cellStyle name="Title 23 6 3" xfId="16483" xr:uid="{6D53ACF7-039A-433D-B9EC-F7E57299C081}"/>
    <cellStyle name="Title 23 6 3 2" xfId="16484" xr:uid="{97AF35CE-F416-49C0-85D6-9CFE9DB28F9B}"/>
    <cellStyle name="Title 23 6 4" xfId="16485" xr:uid="{4A945B8F-3148-4633-B11D-093B28DC5DC2}"/>
    <cellStyle name="Title 23 7" xfId="16486" xr:uid="{1CA9F3C5-6B17-4CB5-A61E-BEFBB70FEC26}"/>
    <cellStyle name="Title 23 7 2" xfId="16487" xr:uid="{036B3093-92DC-405A-847B-0496330F8169}"/>
    <cellStyle name="Title 23 8" xfId="16488" xr:uid="{A58A6EE0-5F50-45D9-832A-83227CB0E80F}"/>
    <cellStyle name="Title 23 8 2" xfId="16489" xr:uid="{4C17B2AA-BE89-4B1D-A9B6-FFA597241F64}"/>
    <cellStyle name="Title 23 9" xfId="16490" xr:uid="{C49CD6DF-41BF-4B3F-A77B-5D5DB5BD4D9C}"/>
    <cellStyle name="Title 23 9 2" xfId="16491" xr:uid="{28B1FBB6-D583-4CE7-8D8B-D2DB980580E6}"/>
    <cellStyle name="Title 24" xfId="3280" xr:uid="{1E20B140-55B1-403B-B6A7-946B1A9753F3}"/>
    <cellStyle name="Title 24 10" xfId="16493" xr:uid="{02328652-ECDC-4EE0-AB75-DB53DB44D769}"/>
    <cellStyle name="Title 24 11" xfId="16494" xr:uid="{44C0B6D9-7799-4FD4-A780-0AF5C5A4673E}"/>
    <cellStyle name="Title 24 12" xfId="16492" xr:uid="{6001D4D8-15E8-4AF7-9270-E596CC2CC384}"/>
    <cellStyle name="Title 24 2" xfId="16495" xr:uid="{4201AB72-B25A-45B6-B8E1-96A9209C9CB1}"/>
    <cellStyle name="Title 24 2 2" xfId="16496" xr:uid="{DC26B9DC-82F2-4C75-8664-276C694418F8}"/>
    <cellStyle name="Title 24 2 2 2" xfId="16497" xr:uid="{09FD35DC-7EEF-43EE-B2D5-60E6BC1A3499}"/>
    <cellStyle name="Title 24 2 3" xfId="16498" xr:uid="{5149918D-939F-4DD3-A6DF-21EFB619E67F}"/>
    <cellStyle name="Title 24 2 3 2" xfId="16499" xr:uid="{CECAEE58-4E81-4635-94B8-AB78E486EF83}"/>
    <cellStyle name="Title 24 2 4" xfId="16500" xr:uid="{9824F39F-C2E1-4BAC-992C-2CE305C7FD3C}"/>
    <cellStyle name="Title 24 2 5" xfId="16501" xr:uid="{BB38F099-E83F-480C-9797-F14F5A9B72BF}"/>
    <cellStyle name="Title 24 3" xfId="16502" xr:uid="{7EF6423D-2CC3-4455-8F83-90EC8894FF50}"/>
    <cellStyle name="Title 24 3 2" xfId="16503" xr:uid="{15C0135D-D5ED-40D8-BF45-B30597C74D22}"/>
    <cellStyle name="Title 24 3 2 2" xfId="16504" xr:uid="{0393849C-37C4-437B-B1F5-592522FC4EB1}"/>
    <cellStyle name="Title 24 3 3" xfId="16505" xr:uid="{A83D876F-1B8F-42C8-9E2F-C60D1D817F38}"/>
    <cellStyle name="Title 24 3 3 2" xfId="16506" xr:uid="{8F1C31CD-F94D-4011-92C3-DC4E47970CC6}"/>
    <cellStyle name="Title 24 3 4" xfId="16507" xr:uid="{0EB05F9F-C911-4906-B0AD-910B0D6BAA96}"/>
    <cellStyle name="Title 24 4" xfId="16508" xr:uid="{AEF1916D-A6D1-40A9-BA00-4CC58B24A773}"/>
    <cellStyle name="Title 24 4 2" xfId="16509" xr:uid="{2189B1A2-59B5-4A8C-8482-47224A8069B9}"/>
    <cellStyle name="Title 24 4 2 2" xfId="16510" xr:uid="{97ED2952-6783-40B8-BBE3-0C275895DB47}"/>
    <cellStyle name="Title 24 4 3" xfId="16511" xr:uid="{A97F75F7-07BF-4D29-B8AC-7C4B356172BD}"/>
    <cellStyle name="Title 24 4 3 2" xfId="16512" xr:uid="{6FE80023-B35A-48E9-8876-57960F763105}"/>
    <cellStyle name="Title 24 4 4" xfId="16513" xr:uid="{54D70887-06B2-4B41-A155-6BD9AA5D81D7}"/>
    <cellStyle name="Title 24 5" xfId="16514" xr:uid="{EA4AD65C-7016-4E05-B13A-5C0995E7F759}"/>
    <cellStyle name="Title 24 5 2" xfId="16515" xr:uid="{C005B7F9-5EC9-4E81-9E08-FA4F35004C54}"/>
    <cellStyle name="Title 24 5 2 2" xfId="16516" xr:uid="{B032AC23-E4FD-4D4A-B3B2-4E9106DAE466}"/>
    <cellStyle name="Title 24 5 3" xfId="16517" xr:uid="{69F488B9-B4C2-4801-AA8D-D3519DB34384}"/>
    <cellStyle name="Title 24 5 3 2" xfId="16518" xr:uid="{9AE6661B-C4A5-42B5-96AC-C3DDA4BC8A4E}"/>
    <cellStyle name="Title 24 5 4" xfId="16519" xr:uid="{B9E53D09-5FBF-4AC2-A7F4-027C04DBA7D9}"/>
    <cellStyle name="Title 24 5 4 2" xfId="16520" xr:uid="{437B2EE1-9757-4C98-99AE-A48E06769707}"/>
    <cellStyle name="Title 24 5 5" xfId="16521" xr:uid="{741C6E50-AB85-456D-8B2E-D4ADDAA95EFB}"/>
    <cellStyle name="Title 24 6" xfId="16522" xr:uid="{78D81D9D-BED1-48A5-8D69-6823AD4F3423}"/>
    <cellStyle name="Title 24 6 2" xfId="16523" xr:uid="{432EA544-D717-420F-90A4-AB5B974E3D71}"/>
    <cellStyle name="Title 24 6 2 2" xfId="16524" xr:uid="{8AD8EBD7-9696-4B25-BAF1-57526B3B746A}"/>
    <cellStyle name="Title 24 6 3" xfId="16525" xr:uid="{027C9A89-CFC1-4CA8-9566-0CF17BEDAA2E}"/>
    <cellStyle name="Title 24 6 3 2" xfId="16526" xr:uid="{795B87DF-A7EE-4471-9FE5-14176044BF0B}"/>
    <cellStyle name="Title 24 6 4" xfId="16527" xr:uid="{A470E7D5-1CE7-46AB-A81D-7E5F82DF6909}"/>
    <cellStyle name="Title 24 7" xfId="16528" xr:uid="{35D19609-B439-47F2-93A2-DD5046C0C1B9}"/>
    <cellStyle name="Title 24 7 2" xfId="16529" xr:uid="{23B164FD-70C9-4E4D-8F55-F01AAC1B36D0}"/>
    <cellStyle name="Title 24 8" xfId="16530" xr:uid="{282D001D-E097-4EDF-BB35-6FFEBB535CD2}"/>
    <cellStyle name="Title 24 8 2" xfId="16531" xr:uid="{8DF19F28-7F13-46E8-BDE0-81BEF306FE6F}"/>
    <cellStyle name="Title 24 9" xfId="16532" xr:uid="{942A7549-1054-4CF4-BB63-750511284157}"/>
    <cellStyle name="Title 24 9 2" xfId="16533" xr:uid="{5D57F616-823B-4124-A413-A94E5A0BF6BD}"/>
    <cellStyle name="Title 25" xfId="3281" xr:uid="{4626FA04-A393-4F0C-8391-725459DF6FB3}"/>
    <cellStyle name="Title 25 10" xfId="16535" xr:uid="{968AA10A-005C-4BEC-8FC7-8CC199BB9D5D}"/>
    <cellStyle name="Title 25 11" xfId="16536" xr:uid="{95F2193B-710D-454B-AF0F-A99B3C82ADDD}"/>
    <cellStyle name="Title 25 12" xfId="16534" xr:uid="{BC42F735-1927-4B5A-B7C6-F9357B39FDD9}"/>
    <cellStyle name="Title 25 2" xfId="16537" xr:uid="{8C09C5BF-6F6A-4691-BC5C-DE35E121C6F1}"/>
    <cellStyle name="Title 25 2 2" xfId="16538" xr:uid="{3128D513-6B03-4B87-AB82-2B838F1BFCBC}"/>
    <cellStyle name="Title 25 2 2 2" xfId="16539" xr:uid="{3072AE6E-AA1E-4277-A0C2-6E1F02E48662}"/>
    <cellStyle name="Title 25 2 3" xfId="16540" xr:uid="{B74A1167-F676-4403-AE56-2B74BCA91B71}"/>
    <cellStyle name="Title 25 2 3 2" xfId="16541" xr:uid="{6B661B9D-B0CF-4659-9EE8-EF4F052BF2C1}"/>
    <cellStyle name="Title 25 2 4" xfId="16542" xr:uid="{080F3034-25EC-45B6-B776-819CC9138FF0}"/>
    <cellStyle name="Title 25 2 5" xfId="16543" xr:uid="{FFCFC853-E50D-4B99-BFDF-5E52379D2276}"/>
    <cellStyle name="Title 25 3" xfId="16544" xr:uid="{7B17900E-58BF-495F-83FC-505DB4CFEDC9}"/>
    <cellStyle name="Title 25 3 2" xfId="16545" xr:uid="{AEC8D5BC-3E0F-4315-AEB0-EE8264C3EE8C}"/>
    <cellStyle name="Title 25 3 2 2" xfId="16546" xr:uid="{F5B8A0C5-206A-4C0A-9844-7C1DBAD936A2}"/>
    <cellStyle name="Title 25 3 3" xfId="16547" xr:uid="{E4B537D1-F3D1-44E7-9B0C-4A02CC39B4DF}"/>
    <cellStyle name="Title 25 3 3 2" xfId="16548" xr:uid="{34C04DEE-0D03-411F-932A-9315AAA80B11}"/>
    <cellStyle name="Title 25 3 4" xfId="16549" xr:uid="{3CBC6453-D6DA-4959-B1BB-3913BB331BAB}"/>
    <cellStyle name="Title 25 4" xfId="16550" xr:uid="{B6F1FBDD-290B-4084-91D5-3049EB5A33D6}"/>
    <cellStyle name="Title 25 4 2" xfId="16551" xr:uid="{B5EA101A-1BFA-4307-B9C1-B264DB40D209}"/>
    <cellStyle name="Title 25 4 2 2" xfId="16552" xr:uid="{11D1DA86-2D01-4D69-B42B-43B904A40451}"/>
    <cellStyle name="Title 25 4 3" xfId="16553" xr:uid="{E328FBE7-08A2-4714-89AE-51F1D82731DD}"/>
    <cellStyle name="Title 25 4 3 2" xfId="16554" xr:uid="{39C66AC9-3C2C-44EF-9A00-318C423EDAF6}"/>
    <cellStyle name="Title 25 4 4" xfId="16555" xr:uid="{9F95E6E1-7405-4DE4-B2F4-185089CD35F7}"/>
    <cellStyle name="Title 25 5" xfId="16556" xr:uid="{F7AE89B2-E94D-4C2B-BEF6-AA4D9A1840C7}"/>
    <cellStyle name="Title 25 5 2" xfId="16557" xr:uid="{E97D1E2D-8C26-4B0D-ABA8-9B71EE2564ED}"/>
    <cellStyle name="Title 25 5 2 2" xfId="16558" xr:uid="{895E1761-8F12-43D1-AA2A-F5572C923D49}"/>
    <cellStyle name="Title 25 5 3" xfId="16559" xr:uid="{EB55A217-7752-48C6-815D-966D0B6E4857}"/>
    <cellStyle name="Title 25 5 3 2" xfId="16560" xr:uid="{99A855E7-1114-4654-B60C-F873C22F9C8A}"/>
    <cellStyle name="Title 25 5 4" xfId="16561" xr:uid="{93821A50-6691-4D46-A897-9D4175E47F65}"/>
    <cellStyle name="Title 25 5 4 2" xfId="16562" xr:uid="{C5B856A4-F3B7-4777-A3CF-347611290BC6}"/>
    <cellStyle name="Title 25 5 5" xfId="16563" xr:uid="{2C64E2F6-A890-4FA0-ADB0-8E1FAFE5FE74}"/>
    <cellStyle name="Title 25 6" xfId="16564" xr:uid="{0AC2AEF3-BFF2-435A-ADF9-B93E49E7332F}"/>
    <cellStyle name="Title 25 6 2" xfId="16565" xr:uid="{3FB529B4-6C4C-4F5A-AEF6-180B7BC1CC30}"/>
    <cellStyle name="Title 25 6 2 2" xfId="16566" xr:uid="{9103F87D-671C-4F9F-A983-5F5B8529E0EA}"/>
    <cellStyle name="Title 25 6 3" xfId="16567" xr:uid="{B58A6C06-80E6-490A-92CC-65DE0C3B896C}"/>
    <cellStyle name="Title 25 6 3 2" xfId="16568" xr:uid="{F2C74CA1-7FC5-45EC-9B33-D1CD18A04A63}"/>
    <cellStyle name="Title 25 6 4" xfId="16569" xr:uid="{581DB916-072E-4458-A8DF-6B84DA6BAF54}"/>
    <cellStyle name="Title 25 7" xfId="16570" xr:uid="{E69C77A5-4A6B-4C78-B82A-8644E00A923A}"/>
    <cellStyle name="Title 25 7 2" xfId="16571" xr:uid="{3756859C-D035-4725-B977-79B3D4FF447A}"/>
    <cellStyle name="Title 25 8" xfId="16572" xr:uid="{D466CC87-909A-4BAC-AF13-FC3CA9BF05D6}"/>
    <cellStyle name="Title 25 8 2" xfId="16573" xr:uid="{9724BFDD-29D2-41E9-AAB4-162B51BFDD0C}"/>
    <cellStyle name="Title 25 9" xfId="16574" xr:uid="{6C701448-24E9-4387-A2A9-1A2E9139DE99}"/>
    <cellStyle name="Title 25 9 2" xfId="16575" xr:uid="{7B70AC4B-5009-4DD0-82C3-F5F8D0454E09}"/>
    <cellStyle name="Title 26" xfId="3282" xr:uid="{1B956AA9-37C7-495F-8872-628814FEF889}"/>
    <cellStyle name="Title 26 10" xfId="16577" xr:uid="{6433C07F-1903-4FD6-8846-017025523D31}"/>
    <cellStyle name="Title 26 11" xfId="16578" xr:uid="{DB0D8BEB-7564-41A7-93D9-94DBF261EF14}"/>
    <cellStyle name="Title 26 12" xfId="16576" xr:uid="{1C7D3788-A76C-4713-91BB-0B9DA2B2097A}"/>
    <cellStyle name="Title 26 2" xfId="16579" xr:uid="{C35822B0-9210-4802-906D-77CC8B1D97A5}"/>
    <cellStyle name="Title 26 2 2" xfId="16580" xr:uid="{FAAB2044-DE14-4A86-8797-C840433B9966}"/>
    <cellStyle name="Title 26 2 2 2" xfId="16581" xr:uid="{B82FF334-6D48-40C1-940D-489F6D303CD9}"/>
    <cellStyle name="Title 26 2 3" xfId="16582" xr:uid="{BD076954-69E6-4D85-AD03-35A7C82B78DF}"/>
    <cellStyle name="Title 26 2 3 2" xfId="16583" xr:uid="{C739C880-6848-4BFC-931B-5D5FB1418EC2}"/>
    <cellStyle name="Title 26 2 4" xfId="16584" xr:uid="{F2A4CC85-A139-4DAD-9D30-B994D1941591}"/>
    <cellStyle name="Title 26 2 5" xfId="16585" xr:uid="{594748A5-B4C8-40CD-8934-C5E9352EE2BE}"/>
    <cellStyle name="Title 26 3" xfId="16586" xr:uid="{4A662B9C-6525-4BFA-923B-722C8C970629}"/>
    <cellStyle name="Title 26 3 2" xfId="16587" xr:uid="{51B06AA5-5D4A-4AD1-BED0-B6E0BCC53F2B}"/>
    <cellStyle name="Title 26 3 2 2" xfId="16588" xr:uid="{C8FD6147-52F8-4CD4-9313-9165B04F858F}"/>
    <cellStyle name="Title 26 3 3" xfId="16589" xr:uid="{F13E3D81-13A0-46D2-9458-5FB2B9BFC677}"/>
    <cellStyle name="Title 26 3 3 2" xfId="16590" xr:uid="{DDEA1F0B-2578-4CAF-B31E-A3B4638E6CC8}"/>
    <cellStyle name="Title 26 3 4" xfId="16591" xr:uid="{C2FDD36C-A76D-4255-9EA0-673168D9A4E8}"/>
    <cellStyle name="Title 26 4" xfId="16592" xr:uid="{1AA92C87-A002-45B6-B712-7811A98CCEE6}"/>
    <cellStyle name="Title 26 4 2" xfId="16593" xr:uid="{6FFBACEB-1F23-4C1D-836B-43F4E58490D4}"/>
    <cellStyle name="Title 26 4 2 2" xfId="16594" xr:uid="{A3F869E3-CFC6-4D3F-BA79-DF41CF4839C9}"/>
    <cellStyle name="Title 26 4 3" xfId="16595" xr:uid="{761DB30A-029C-4D4F-8DDB-6DE995AEA145}"/>
    <cellStyle name="Title 26 4 3 2" xfId="16596" xr:uid="{D7887516-A091-4307-B021-0613D61505B3}"/>
    <cellStyle name="Title 26 4 4" xfId="16597" xr:uid="{56D54F31-8AA7-44DD-A13B-7B9752A1917F}"/>
    <cellStyle name="Title 26 5" xfId="16598" xr:uid="{74F93FDE-C6FF-435E-8A03-CAC4CCF0CA7B}"/>
    <cellStyle name="Title 26 5 2" xfId="16599" xr:uid="{FAB2066B-4687-42D6-9B21-A354B9C02B85}"/>
    <cellStyle name="Title 26 5 2 2" xfId="16600" xr:uid="{D8D83997-53F0-4A4E-A53C-F8C3FB92CD76}"/>
    <cellStyle name="Title 26 5 3" xfId="16601" xr:uid="{2A9C4040-BF5F-4D6F-BFA6-DE8439849277}"/>
    <cellStyle name="Title 26 5 3 2" xfId="16602" xr:uid="{B2C1F63B-204A-4F80-9303-AFCCC8FA5B97}"/>
    <cellStyle name="Title 26 5 4" xfId="16603" xr:uid="{AEC5D5C0-CBCC-47C0-B160-237CE0D0C4DF}"/>
    <cellStyle name="Title 26 5 4 2" xfId="16604" xr:uid="{7870A1C8-9860-4ED5-B6DA-25623DF6DE3A}"/>
    <cellStyle name="Title 26 5 5" xfId="16605" xr:uid="{5F19C94C-7284-4EAC-AF35-EAB8B6525536}"/>
    <cellStyle name="Title 26 6" xfId="16606" xr:uid="{7D1BE672-E05D-4E2F-84CA-FD491B43B7E5}"/>
    <cellStyle name="Title 26 6 2" xfId="16607" xr:uid="{B6A2F408-AC0B-4E81-8755-0CFBCACD7C97}"/>
    <cellStyle name="Title 26 6 2 2" xfId="16608" xr:uid="{180AA49D-8B01-4F57-97B1-1EC33825E1A1}"/>
    <cellStyle name="Title 26 6 3" xfId="16609" xr:uid="{36B30B3D-9AF5-4C36-B1D9-1A3BE5F0E246}"/>
    <cellStyle name="Title 26 6 3 2" xfId="16610" xr:uid="{54A08BA7-0B4D-412E-81F5-2AA6C63C1143}"/>
    <cellStyle name="Title 26 6 4" xfId="16611" xr:uid="{74679ED6-BA24-4B0A-B734-50C1A2F8132C}"/>
    <cellStyle name="Title 26 7" xfId="16612" xr:uid="{1464B081-A1B9-442E-AC61-7B993DB29422}"/>
    <cellStyle name="Title 26 7 2" xfId="16613" xr:uid="{94B0070F-0EFC-4A3A-AF80-53968588C54F}"/>
    <cellStyle name="Title 26 8" xfId="16614" xr:uid="{1856AFD5-85C5-46D9-B113-3DEC13906563}"/>
    <cellStyle name="Title 26 8 2" xfId="16615" xr:uid="{56E8265F-DCCF-4FC2-892A-4BC42DD88346}"/>
    <cellStyle name="Title 26 9" xfId="16616" xr:uid="{A840E86A-1295-4901-8CB6-633D7FAADF45}"/>
    <cellStyle name="Title 26 9 2" xfId="16617" xr:uid="{189F2439-9DEB-4AC7-8BF8-1974ED8E55B2}"/>
    <cellStyle name="Title 27" xfId="3283" xr:uid="{260099D0-94D0-4BA4-B0AC-416417695A1A}"/>
    <cellStyle name="Title 27 10" xfId="16619" xr:uid="{2D40D8DA-B0CB-4AC5-B3AA-CC030B1BB0F5}"/>
    <cellStyle name="Title 27 11" xfId="16620" xr:uid="{32522352-254F-423F-9604-671377500FE8}"/>
    <cellStyle name="Title 27 12" xfId="16618" xr:uid="{0FB76437-6A40-4CD6-B761-CC5B12D0CCA0}"/>
    <cellStyle name="Title 27 2" xfId="16621" xr:uid="{18F44B6F-BEC1-49A5-AE4D-68A2B50BF8D1}"/>
    <cellStyle name="Title 27 2 2" xfId="16622" xr:uid="{B4AF0D90-AFD2-4109-BCA5-8F11B40152FA}"/>
    <cellStyle name="Title 27 2 2 2" xfId="16623" xr:uid="{B8ED382C-53BF-40A0-8591-A99CAB58CC13}"/>
    <cellStyle name="Title 27 2 3" xfId="16624" xr:uid="{5E33287C-A05B-4EA2-AC5D-A1A5E99389DE}"/>
    <cellStyle name="Title 27 2 3 2" xfId="16625" xr:uid="{6ED3F4AC-667A-4E49-BC30-C988C1245B77}"/>
    <cellStyle name="Title 27 2 4" xfId="16626" xr:uid="{F2915233-05CF-4442-9254-4F350421D910}"/>
    <cellStyle name="Title 27 2 5" xfId="16627" xr:uid="{267AFC50-55B9-42EC-A9C9-B9AC20C739E9}"/>
    <cellStyle name="Title 27 3" xfId="16628" xr:uid="{3B8B8A4D-EFEE-4A5C-85B9-1FE175EE7EDE}"/>
    <cellStyle name="Title 27 3 2" xfId="16629" xr:uid="{B0AA6713-8B18-4B60-983C-A4280831464E}"/>
    <cellStyle name="Title 27 3 2 2" xfId="16630" xr:uid="{2A69E15D-77CB-4930-9DB7-8F5DB1A5781A}"/>
    <cellStyle name="Title 27 3 3" xfId="16631" xr:uid="{B6BDB13E-2EE6-4DE6-B4FD-74088B4AB2FA}"/>
    <cellStyle name="Title 27 3 3 2" xfId="16632" xr:uid="{F21546AB-6105-4C0F-87B5-FEF928A5A0B7}"/>
    <cellStyle name="Title 27 3 4" xfId="16633" xr:uid="{ABA702FF-310B-4694-AB9E-7C93D43943C9}"/>
    <cellStyle name="Title 27 4" xfId="16634" xr:uid="{047F640F-A2E9-4A72-BF8C-AD23344F36A2}"/>
    <cellStyle name="Title 27 4 2" xfId="16635" xr:uid="{EE8B71F0-5985-42F8-8288-DE3F29640494}"/>
    <cellStyle name="Title 27 4 2 2" xfId="16636" xr:uid="{3D58D44C-97EE-43F5-AE0C-B398D6FD21A7}"/>
    <cellStyle name="Title 27 4 3" xfId="16637" xr:uid="{2CDCD88D-FC63-4E70-B612-E7FCE1822A2F}"/>
    <cellStyle name="Title 27 4 3 2" xfId="16638" xr:uid="{7041A547-865A-48A7-8C59-FCBDF2ACDC6E}"/>
    <cellStyle name="Title 27 4 4" xfId="16639" xr:uid="{48DDF2AB-4532-4EB0-916B-01D5F469C6AE}"/>
    <cellStyle name="Title 27 5" xfId="16640" xr:uid="{66D0EB58-83CB-4530-BAA2-2F7EFCEF06BB}"/>
    <cellStyle name="Title 27 5 2" xfId="16641" xr:uid="{5AA3459C-6FFB-4D66-A55C-64158D9322DA}"/>
    <cellStyle name="Title 27 5 2 2" xfId="16642" xr:uid="{9E142FC0-CDAB-4F14-AE71-B3BFF5CA43D3}"/>
    <cellStyle name="Title 27 5 3" xfId="16643" xr:uid="{2923E09B-A2EB-4AA7-A5FB-BEF45239D5D8}"/>
    <cellStyle name="Title 27 5 3 2" xfId="16644" xr:uid="{1287BAF5-071B-4E38-9081-863741BBB676}"/>
    <cellStyle name="Title 27 5 4" xfId="16645" xr:uid="{93122217-FF60-4B8C-A73F-296BE471C25A}"/>
    <cellStyle name="Title 27 5 4 2" xfId="16646" xr:uid="{34102595-6CF4-4F60-878A-58AD127858BD}"/>
    <cellStyle name="Title 27 5 5" xfId="16647" xr:uid="{5230AEFA-CF1D-4C01-BD3C-FE3EF5E35E47}"/>
    <cellStyle name="Title 27 6" xfId="16648" xr:uid="{1AF73EE5-635F-452E-905B-CEF4CAD4C6B6}"/>
    <cellStyle name="Title 27 6 2" xfId="16649" xr:uid="{C8CF01E2-36FE-4ED3-A293-9E220D56ACF3}"/>
    <cellStyle name="Title 27 6 2 2" xfId="16650" xr:uid="{A27A7927-3EFB-4783-B2CA-BAE33DBBD578}"/>
    <cellStyle name="Title 27 6 3" xfId="16651" xr:uid="{F0CE0F01-B250-4672-9E85-CF88F3373842}"/>
    <cellStyle name="Title 27 6 3 2" xfId="16652" xr:uid="{C0CA9913-18A3-4545-878E-0810641CDDAA}"/>
    <cellStyle name="Title 27 6 4" xfId="16653" xr:uid="{CE76FBBA-88FD-4BC9-B3A0-C25316A073DB}"/>
    <cellStyle name="Title 27 7" xfId="16654" xr:uid="{2DB17B58-4B9E-4735-8B8D-1704BBFE52ED}"/>
    <cellStyle name="Title 27 7 2" xfId="16655" xr:uid="{D6161588-ADDA-4647-A315-45252D2EB155}"/>
    <cellStyle name="Title 27 8" xfId="16656" xr:uid="{6B57D148-324D-4ECC-B3C1-890D26ADE09D}"/>
    <cellStyle name="Title 27 8 2" xfId="16657" xr:uid="{563FD8F2-4E84-49D2-9F47-3634FEF5AE35}"/>
    <cellStyle name="Title 27 9" xfId="16658" xr:uid="{A2E811E5-3594-44E8-8197-0756B4765538}"/>
    <cellStyle name="Title 27 9 2" xfId="16659" xr:uid="{C4F88175-2C0B-494C-A7A5-7CC157BE8162}"/>
    <cellStyle name="Title 28" xfId="3284" xr:uid="{6428BBE5-6A89-46FE-B62C-FEEA79F78D7B}"/>
    <cellStyle name="Title 28 10" xfId="16661" xr:uid="{6F0CD8B8-58AB-4339-B1B5-0E2313C78363}"/>
    <cellStyle name="Title 28 11" xfId="16662" xr:uid="{A0C65F77-9CA7-41D6-9104-04FD364231C9}"/>
    <cellStyle name="Title 28 12" xfId="16660" xr:uid="{F4AF9214-AF7C-4765-9266-1366FB1A1EFB}"/>
    <cellStyle name="Title 28 2" xfId="16663" xr:uid="{BD6B4DDE-17CD-4A88-BF08-D40427791F79}"/>
    <cellStyle name="Title 28 2 2" xfId="16664" xr:uid="{B526179F-887B-4C31-925A-525D7BD9BC88}"/>
    <cellStyle name="Title 28 2 2 2" xfId="16665" xr:uid="{DCD3ACB7-8F6A-41C9-9726-1279EC858828}"/>
    <cellStyle name="Title 28 2 3" xfId="16666" xr:uid="{911807E0-634C-40B5-BC94-6ED2194C0206}"/>
    <cellStyle name="Title 28 2 3 2" xfId="16667" xr:uid="{079B7E87-D1DD-48FA-A5D2-B03DB0582999}"/>
    <cellStyle name="Title 28 2 4" xfId="16668" xr:uid="{C7D59E6D-4943-436D-8962-E0DA705245C6}"/>
    <cellStyle name="Title 28 2 5" xfId="16669" xr:uid="{6CC39354-6461-4421-A337-823844992BC8}"/>
    <cellStyle name="Title 28 3" xfId="16670" xr:uid="{50999286-93BF-4FAC-902E-B3EC620B7301}"/>
    <cellStyle name="Title 28 3 2" xfId="16671" xr:uid="{92B891C5-2D1E-4313-BB4F-E07281D89977}"/>
    <cellStyle name="Title 28 3 2 2" xfId="16672" xr:uid="{089169FA-A299-443B-9B33-DAA11ADAECED}"/>
    <cellStyle name="Title 28 3 3" xfId="16673" xr:uid="{300BFDB5-E79B-4ADF-9BE6-D660999AE2E2}"/>
    <cellStyle name="Title 28 3 3 2" xfId="16674" xr:uid="{E8724A55-2468-4E1A-A66D-49A298B4BD09}"/>
    <cellStyle name="Title 28 3 4" xfId="16675" xr:uid="{8EF64E10-AB4C-487B-A30E-9D1B466D2F74}"/>
    <cellStyle name="Title 28 4" xfId="16676" xr:uid="{356F025F-0695-4155-8DB7-7F00D3347A1C}"/>
    <cellStyle name="Title 28 4 2" xfId="16677" xr:uid="{E4C76378-E939-484D-B1EF-630BA470AEBF}"/>
    <cellStyle name="Title 28 4 2 2" xfId="16678" xr:uid="{20914D2E-E4B0-4F18-AEBF-0EB469589281}"/>
    <cellStyle name="Title 28 4 3" xfId="16679" xr:uid="{5DE56672-059A-48B0-9E4E-07897B7AC7E4}"/>
    <cellStyle name="Title 28 4 3 2" xfId="16680" xr:uid="{4004D6C6-F94B-40C6-8895-4FE71A8C96CB}"/>
    <cellStyle name="Title 28 4 4" xfId="16681" xr:uid="{5C853744-AD1F-4F43-832C-47E44D299005}"/>
    <cellStyle name="Title 28 5" xfId="16682" xr:uid="{A3F4CF39-B8CE-4970-BEBF-3CC1E6116E91}"/>
    <cellStyle name="Title 28 5 2" xfId="16683" xr:uid="{ACD14CB3-A866-4A7C-AA90-9778D58877D5}"/>
    <cellStyle name="Title 28 5 2 2" xfId="16684" xr:uid="{FF88DB41-1F3A-4ADF-9969-345FCDB44BB4}"/>
    <cellStyle name="Title 28 5 3" xfId="16685" xr:uid="{F8178A76-6FEB-4761-B01F-74616605FD15}"/>
    <cellStyle name="Title 28 5 3 2" xfId="16686" xr:uid="{2C8FBD80-A91A-4303-ADBB-149E35160BBA}"/>
    <cellStyle name="Title 28 5 4" xfId="16687" xr:uid="{4B122CB2-7A12-4FB4-8BEC-C0AAB0730F2C}"/>
    <cellStyle name="Title 28 5 4 2" xfId="16688" xr:uid="{24DCCAE0-7C5B-4BA6-863D-8249D00548DE}"/>
    <cellStyle name="Title 28 5 5" xfId="16689" xr:uid="{4AF9417D-AF80-4B69-BA70-BFD09D3C2E1B}"/>
    <cellStyle name="Title 28 6" xfId="16690" xr:uid="{7E77B7B6-76DF-4A9C-87C3-DC8DD3F4116F}"/>
    <cellStyle name="Title 28 6 2" xfId="16691" xr:uid="{53E8463C-48FF-41C1-AD68-8D16613A7EB6}"/>
    <cellStyle name="Title 28 6 2 2" xfId="16692" xr:uid="{AE3AEA17-AF17-4FE7-994B-A193922CE560}"/>
    <cellStyle name="Title 28 6 3" xfId="16693" xr:uid="{7B3CE479-D3F3-4AA8-974E-5D914B6B7FD9}"/>
    <cellStyle name="Title 28 6 3 2" xfId="16694" xr:uid="{C52BFD5E-260C-4489-9A23-B336C28A9274}"/>
    <cellStyle name="Title 28 6 4" xfId="16695" xr:uid="{50803DB7-5ADA-4DF9-A4BC-EF567DF59152}"/>
    <cellStyle name="Title 28 7" xfId="16696" xr:uid="{3A437CEA-33DC-4BB8-8FFA-B1E6D1ADD040}"/>
    <cellStyle name="Title 28 7 2" xfId="16697" xr:uid="{DAABACE0-C3B6-4E2A-8C5F-4A692C0F7A14}"/>
    <cellStyle name="Title 28 8" xfId="16698" xr:uid="{40A6F724-3A2A-4548-A620-EF45988B17D9}"/>
    <cellStyle name="Title 28 8 2" xfId="16699" xr:uid="{3511A37C-514C-410E-BE6A-FBE8AAA39EB8}"/>
    <cellStyle name="Title 28 9" xfId="16700" xr:uid="{27AB3403-5D19-419F-A5AD-1BD351189EFF}"/>
    <cellStyle name="Title 28 9 2" xfId="16701" xr:uid="{FEF53788-5410-4D71-BBA1-D89D1A4E2233}"/>
    <cellStyle name="Title 29" xfId="3285" xr:uid="{234E3C4B-A15C-4A5E-85A3-01014E34C460}"/>
    <cellStyle name="Title 29 10" xfId="16703" xr:uid="{31487669-13BE-4130-A4F2-B22204C24B54}"/>
    <cellStyle name="Title 29 11" xfId="16704" xr:uid="{2628FE5B-1BE8-4F33-875D-D5425B1FEF73}"/>
    <cellStyle name="Title 29 12" xfId="16702" xr:uid="{1F032779-7D37-4D69-9B23-9D81F4DD9206}"/>
    <cellStyle name="Title 29 2" xfId="16705" xr:uid="{0EC890B7-90FB-4DCF-8205-6DFA299BD85F}"/>
    <cellStyle name="Title 29 2 2" xfId="16706" xr:uid="{413B9DB5-AF54-4BD9-829E-6332A59CC5ED}"/>
    <cellStyle name="Title 29 2 2 2" xfId="16707" xr:uid="{448C1577-C9ED-4FA2-B646-809ACDA285E5}"/>
    <cellStyle name="Title 29 2 3" xfId="16708" xr:uid="{25EE3E48-DADB-464E-BC35-97674F533A0A}"/>
    <cellStyle name="Title 29 2 3 2" xfId="16709" xr:uid="{9579BC3C-1145-454F-A3C9-6EE29C3B3AFE}"/>
    <cellStyle name="Title 29 2 4" xfId="16710" xr:uid="{62A6144D-F8B1-4937-85E0-786ED3836F48}"/>
    <cellStyle name="Title 29 2 5" xfId="16711" xr:uid="{703B98F5-DFA8-499D-BE46-75F4FBE12297}"/>
    <cellStyle name="Title 29 3" xfId="16712" xr:uid="{4361C8F7-3CFE-4C2C-8F30-F8D89C814A29}"/>
    <cellStyle name="Title 29 3 2" xfId="16713" xr:uid="{B765B1F7-12C0-458D-918D-56CC09D4DEA6}"/>
    <cellStyle name="Title 29 3 2 2" xfId="16714" xr:uid="{D9EFD744-974B-40BE-9ABE-5D756AEF6C17}"/>
    <cellStyle name="Title 29 3 3" xfId="16715" xr:uid="{7609FA1C-33B6-4FCE-8AAC-C691D5140745}"/>
    <cellStyle name="Title 29 3 3 2" xfId="16716" xr:uid="{067CA49F-9545-4098-8C5B-91A9DC9FC455}"/>
    <cellStyle name="Title 29 3 4" xfId="16717" xr:uid="{FF1E1961-4879-458B-871B-D650C7013134}"/>
    <cellStyle name="Title 29 4" xfId="16718" xr:uid="{3BED4A5B-71CF-41E9-9525-7E3525AD985D}"/>
    <cellStyle name="Title 29 4 2" xfId="16719" xr:uid="{A0CC0139-29BA-4311-ABAA-E2B5C36F3BBA}"/>
    <cellStyle name="Title 29 4 2 2" xfId="16720" xr:uid="{8E6C4131-6944-41AE-9D68-90CF87F5795C}"/>
    <cellStyle name="Title 29 4 3" xfId="16721" xr:uid="{83BBBA22-F5C8-4A89-813D-09073E40B786}"/>
    <cellStyle name="Title 29 4 3 2" xfId="16722" xr:uid="{85D659D2-29DB-4521-9B8E-2AFFAE0B9419}"/>
    <cellStyle name="Title 29 4 4" xfId="16723" xr:uid="{277B5C7A-5FD4-4AE9-9401-3E254E5D007D}"/>
    <cellStyle name="Title 29 5" xfId="16724" xr:uid="{9E92CE7D-73B3-4DDE-859C-1882CF85F50D}"/>
    <cellStyle name="Title 29 5 2" xfId="16725" xr:uid="{8D9EF641-1512-4CE9-B9C8-1CA45868DE8C}"/>
    <cellStyle name="Title 29 5 2 2" xfId="16726" xr:uid="{35A1B47E-5FF4-4F29-8CE7-FC878AFDF100}"/>
    <cellStyle name="Title 29 5 3" xfId="16727" xr:uid="{C0638072-9EFD-4534-B867-4E2575B4B07E}"/>
    <cellStyle name="Title 29 5 3 2" xfId="16728" xr:uid="{10E8FA86-3B9C-40CD-82D5-2043408EA625}"/>
    <cellStyle name="Title 29 5 4" xfId="16729" xr:uid="{A4D62F30-B10D-4702-9CE0-8861B081C04D}"/>
    <cellStyle name="Title 29 5 4 2" xfId="16730" xr:uid="{8159A1B9-0E4E-4E77-B216-8A249471E885}"/>
    <cellStyle name="Title 29 5 5" xfId="16731" xr:uid="{D3E1468D-3237-4889-B60A-481893EECFF2}"/>
    <cellStyle name="Title 29 6" xfId="16732" xr:uid="{462A7CAD-2B1C-40AF-8286-35B9DC480250}"/>
    <cellStyle name="Title 29 6 2" xfId="16733" xr:uid="{3E6994B9-CC66-4082-BB8C-9FD030F05495}"/>
    <cellStyle name="Title 29 6 2 2" xfId="16734" xr:uid="{4509A678-E2FE-4E7E-8012-F43A1BA2646D}"/>
    <cellStyle name="Title 29 6 3" xfId="16735" xr:uid="{2D0CBBC9-1E60-4647-92B8-7C2C26D5AA5A}"/>
    <cellStyle name="Title 29 6 3 2" xfId="16736" xr:uid="{4803974F-40FE-4C6A-9F9E-0332C9BF626A}"/>
    <cellStyle name="Title 29 6 4" xfId="16737" xr:uid="{D154408A-7998-492D-8A60-1CB114CC4971}"/>
    <cellStyle name="Title 29 7" xfId="16738" xr:uid="{E4C70A3B-AC8B-44FF-9CB7-F0E16F15570F}"/>
    <cellStyle name="Title 29 7 2" xfId="16739" xr:uid="{EB961BC1-53AF-4E1D-8907-B9F94B987A5D}"/>
    <cellStyle name="Title 29 8" xfId="16740" xr:uid="{8F8929BB-B141-4210-94EC-55C9BAB25282}"/>
    <cellStyle name="Title 29 8 2" xfId="16741" xr:uid="{A205ADD5-FDE4-45B4-9317-9CF954F9301D}"/>
    <cellStyle name="Title 29 9" xfId="16742" xr:uid="{5D6A3788-2700-4163-B219-0B2F5E583068}"/>
    <cellStyle name="Title 29 9 2" xfId="16743" xr:uid="{009CB2FC-5FDA-4CA3-989D-AE132BD63FE8}"/>
    <cellStyle name="Title 3" xfId="316" xr:uid="{11C9F231-2DD1-4333-B2F9-AF1DC1E8E31A}"/>
    <cellStyle name="Title 3 10" xfId="16745" xr:uid="{FA89AA51-6753-4F8D-B60F-453317E56A0B}"/>
    <cellStyle name="Title 3 10 2" xfId="16746" xr:uid="{AAC78ABF-2235-4722-913E-EE2DEA96E169}"/>
    <cellStyle name="Title 3 11" xfId="16747" xr:uid="{F2B40E42-9713-4540-8CE2-A415C4890E85}"/>
    <cellStyle name="Title 3 12" xfId="16748" xr:uid="{207172B3-388D-4658-B5E1-6A2735F11B6F}"/>
    <cellStyle name="Title 3 13" xfId="16744" xr:uid="{6888A41F-74C5-4DD7-AD02-60B46F36BD25}"/>
    <cellStyle name="Title 3 2" xfId="3286" xr:uid="{149B73BA-6D4E-42A1-BAE4-8287CDC287FD}"/>
    <cellStyle name="Title 3 2 10" xfId="16750" xr:uid="{4C7F9688-8895-46F7-83AE-DDDE35804A4D}"/>
    <cellStyle name="Title 3 2 11" xfId="16749" xr:uid="{028BBB28-6E93-453C-9311-E37314A08F82}"/>
    <cellStyle name="Title 3 2 2" xfId="16751" xr:uid="{87B60D4D-D6A9-43D7-92F3-520B1F1E7F14}"/>
    <cellStyle name="Title 3 2 2 2" xfId="16752" xr:uid="{EF981B1F-7E22-4FB9-B956-9A663CE768C0}"/>
    <cellStyle name="Title 3 2 2 2 2" xfId="16753" xr:uid="{112A0C26-7B89-43DB-9BDC-8183DBBCF605}"/>
    <cellStyle name="Title 3 2 2 3" xfId="16754" xr:uid="{2495F57F-09D7-4699-9C1C-FD002F833BD8}"/>
    <cellStyle name="Title 3 2 2 3 2" xfId="16755" xr:uid="{4386C7A5-A5B0-475F-A472-F06854D9A37C}"/>
    <cellStyle name="Title 3 2 2 4" xfId="16756" xr:uid="{3141B960-3E36-4ABF-820C-E7BAD1BAE71D}"/>
    <cellStyle name="Title 3 2 3" xfId="16757" xr:uid="{E4B2DC5A-658A-43B5-94A7-BBA93C75DA3E}"/>
    <cellStyle name="Title 3 2 3 2" xfId="16758" xr:uid="{0227DCD4-1F47-41F9-910D-3226C2B61E75}"/>
    <cellStyle name="Title 3 2 3 2 2" xfId="16759" xr:uid="{9F3CB70D-E085-4B06-A034-BEB608701E93}"/>
    <cellStyle name="Title 3 2 3 3" xfId="16760" xr:uid="{12390805-A72F-4BF6-AF6C-37F4D41EA9DE}"/>
    <cellStyle name="Title 3 2 3 3 2" xfId="16761" xr:uid="{0D6698B2-510B-4C2C-857B-A57FEB8E3F02}"/>
    <cellStyle name="Title 3 2 3 4" xfId="16762" xr:uid="{A28336E4-BD5E-407B-9707-F2BED7D1C725}"/>
    <cellStyle name="Title 3 2 4" xfId="16763" xr:uid="{063EE46A-EDB1-4667-82C0-D07935AF421A}"/>
    <cellStyle name="Title 3 2 4 2" xfId="16764" xr:uid="{AF0E0D67-ADC9-4C34-92D6-390A59135207}"/>
    <cellStyle name="Title 3 2 4 2 2" xfId="16765" xr:uid="{D7E77227-CD89-4D41-B14D-6EE4C19B5AEA}"/>
    <cellStyle name="Title 3 2 4 3" xfId="16766" xr:uid="{280FB0BB-2968-44FB-9FC0-458B4CCC789D}"/>
    <cellStyle name="Title 3 2 4 3 2" xfId="16767" xr:uid="{8206FA9E-0531-4C10-97C1-9F69B2AAA42A}"/>
    <cellStyle name="Title 3 2 4 4" xfId="16768" xr:uid="{041DB24C-FAF8-47CA-9AA6-5B402710A0D2}"/>
    <cellStyle name="Title 3 2 4 4 2" xfId="16769" xr:uid="{F5A542DD-5E02-4EBA-B0B9-3837C53EA945}"/>
    <cellStyle name="Title 3 2 4 5" xfId="16770" xr:uid="{185D5687-6898-4347-9A5F-B66248D51443}"/>
    <cellStyle name="Title 3 2 5" xfId="16771" xr:uid="{BBDD7721-9988-4106-B0BF-F33C615C5121}"/>
    <cellStyle name="Title 3 2 5 2" xfId="16772" xr:uid="{F88C3858-89CA-4B20-85D9-42209A27A8CA}"/>
    <cellStyle name="Title 3 2 5 2 2" xfId="16773" xr:uid="{99865E69-A075-4E5E-8B3E-4A0978FC747B}"/>
    <cellStyle name="Title 3 2 5 3" xfId="16774" xr:uid="{D8E49C8E-EC92-4948-919A-0B9A99B5E2B1}"/>
    <cellStyle name="Title 3 2 5 3 2" xfId="16775" xr:uid="{29CD9EA7-915C-47C4-AC05-19D69078543D}"/>
    <cellStyle name="Title 3 2 5 4" xfId="16776" xr:uid="{017DC1E1-743C-4BEE-A585-B467D300CED1}"/>
    <cellStyle name="Title 3 2 6" xfId="16777" xr:uid="{05B251A8-ABA4-4785-83D0-722B230B8DB2}"/>
    <cellStyle name="Title 3 2 6 2" xfId="16778" xr:uid="{CA1661B1-D58A-40E7-91CA-BDD9A03EF762}"/>
    <cellStyle name="Title 3 2 7" xfId="16779" xr:uid="{F29196D3-E95C-4935-A0C7-5EE80E51C46C}"/>
    <cellStyle name="Title 3 2 7 2" xfId="16780" xr:uid="{D60DD5DE-85EA-488A-8C8A-121A4341E555}"/>
    <cellStyle name="Title 3 2 8" xfId="16781" xr:uid="{C346108C-757C-4ABE-87C7-7EC6E7AC6189}"/>
    <cellStyle name="Title 3 2 8 2" xfId="16782" xr:uid="{C321F222-2252-47C5-B968-80F93ADF2913}"/>
    <cellStyle name="Title 3 2 9" xfId="16783" xr:uid="{0100CEF1-3634-4B7B-98FB-769F995F0A67}"/>
    <cellStyle name="Title 3 3" xfId="4817" xr:uid="{92A44A8A-BD2F-48EF-8473-F126E85D3D50}"/>
    <cellStyle name="Title 3 3 2" xfId="16785" xr:uid="{E3BDA833-5E9B-444A-A04F-B443C8E72EE8}"/>
    <cellStyle name="Title 3 3 2 2" xfId="16786" xr:uid="{BB27EE2A-D543-4EDD-B9B0-275567F9BF96}"/>
    <cellStyle name="Title 3 3 3" xfId="16787" xr:uid="{7966C32A-27C1-4357-BB7A-4BEB917FB73C}"/>
    <cellStyle name="Title 3 3 3 2" xfId="16788" xr:uid="{3AD39D6F-923B-4901-96BE-52AC252B2E0A}"/>
    <cellStyle name="Title 3 3 4" xfId="16789" xr:uid="{4083103D-C96C-497D-A332-C28B4F889CE3}"/>
    <cellStyle name="Title 3 3 5" xfId="16790" xr:uid="{60024076-EFCF-4243-A367-840EBD9E97A5}"/>
    <cellStyle name="Title 3 3 6" xfId="16784" xr:uid="{73A26EF8-4C4D-4D6D-BA60-C0207199752B}"/>
    <cellStyle name="Title 3 4" xfId="16791" xr:uid="{B892A319-6981-4A82-99D1-1CA38C458803}"/>
    <cellStyle name="Title 3 4 2" xfId="16792" xr:uid="{516BEC91-F85E-452D-89B2-3A37D9B6B519}"/>
    <cellStyle name="Title 3 4 2 2" xfId="16793" xr:uid="{3E963A0C-5759-450C-9866-FE97A45900DF}"/>
    <cellStyle name="Title 3 4 3" xfId="16794" xr:uid="{A26576FD-63E0-45A5-85F3-11FCD22602A7}"/>
    <cellStyle name="Title 3 4 3 2" xfId="16795" xr:uid="{F6CCEF2D-5926-4E2B-BD67-F83DCCECD8A0}"/>
    <cellStyle name="Title 3 4 4" xfId="16796" xr:uid="{A8A7C41F-723F-46C5-9A6D-722121995929}"/>
    <cellStyle name="Title 3 5" xfId="16797" xr:uid="{16B7B1CA-9C38-4A1F-BC9E-0BBB9B6FF422}"/>
    <cellStyle name="Title 3 5 2" xfId="16798" xr:uid="{8BAE452C-EB26-4B51-8528-CCEEA6649B89}"/>
    <cellStyle name="Title 3 5 2 2" xfId="16799" xr:uid="{887FA23D-087F-4C5B-AA7F-38B0A93D2DAA}"/>
    <cellStyle name="Title 3 5 3" xfId="16800" xr:uid="{8C114FB9-E390-44BE-937A-F84CE8A4F539}"/>
    <cellStyle name="Title 3 5 3 2" xfId="16801" xr:uid="{279BF315-729E-46A0-B73D-992A91071DD1}"/>
    <cellStyle name="Title 3 5 4" xfId="16802" xr:uid="{CE3D5747-06D0-4024-AA1A-9A8FD560EE91}"/>
    <cellStyle name="Title 3 6" xfId="16803" xr:uid="{52A8C09A-54D0-4649-B8C9-8C71DE630B32}"/>
    <cellStyle name="Title 3 6 2" xfId="16804" xr:uid="{D8EEF6C5-E614-42D9-99BB-65B0C0A358D5}"/>
    <cellStyle name="Title 3 6 2 2" xfId="16805" xr:uid="{65DAF324-9421-4384-B483-510649288BC3}"/>
    <cellStyle name="Title 3 6 3" xfId="16806" xr:uid="{226DBD0C-3735-444A-A195-A629080F586B}"/>
    <cellStyle name="Title 3 6 3 2" xfId="16807" xr:uid="{8F177AAF-B606-4CFF-86D1-9F2B65950A8B}"/>
    <cellStyle name="Title 3 6 4" xfId="16808" xr:uid="{AACD1A58-6167-4207-9DA9-88E1E04DCC4A}"/>
    <cellStyle name="Title 3 6 4 2" xfId="16809" xr:uid="{F8DFB936-13FA-46EC-A03F-CA7420C6F19B}"/>
    <cellStyle name="Title 3 6 5" xfId="16810" xr:uid="{E297B7B4-5C76-458B-9ADD-E238B1C2DDC6}"/>
    <cellStyle name="Title 3 7" xfId="16811" xr:uid="{6F510AC0-86A9-4C8E-A7E6-CF826E534F51}"/>
    <cellStyle name="Title 3 7 2" xfId="16812" xr:uid="{94A6FB7D-D5C7-4FCA-9FCA-278C1213F550}"/>
    <cellStyle name="Title 3 7 2 2" xfId="16813" xr:uid="{94E0201E-532A-46C4-A025-852ADB73C21F}"/>
    <cellStyle name="Title 3 7 3" xfId="16814" xr:uid="{F6418569-4979-447F-9CBB-1A60C31B90EA}"/>
    <cellStyle name="Title 3 7 3 2" xfId="16815" xr:uid="{D9E67853-F9E9-4288-BC37-15548308DADA}"/>
    <cellStyle name="Title 3 7 4" xfId="16816" xr:uid="{8E8EDC80-4B7D-4B48-9062-2BE29C94DE23}"/>
    <cellStyle name="Title 3 8" xfId="16817" xr:uid="{0E451CFB-FB16-4AB0-96A4-7450B7BE20AC}"/>
    <cellStyle name="Title 3 8 2" xfId="16818" xr:uid="{8885B436-8CAD-4DBD-80BD-D8CECE6ABE89}"/>
    <cellStyle name="Title 3 9" xfId="16819" xr:uid="{EE11D34D-A66B-4BAE-A531-5C993A90B01E}"/>
    <cellStyle name="Title 3 9 2" xfId="16820" xr:uid="{4D60060C-1B7C-4E50-ADDB-5ACA6FD3482E}"/>
    <cellStyle name="Title 30" xfId="3287" xr:uid="{ED9B9099-F4E4-4D71-9D40-9AD61DE02D80}"/>
    <cellStyle name="Title 30 10" xfId="16822" xr:uid="{D91389B3-6F27-4577-B344-930308C16D23}"/>
    <cellStyle name="Title 30 11" xfId="16823" xr:uid="{1FB2A8B3-716E-4471-B93B-F35795A4B896}"/>
    <cellStyle name="Title 30 12" xfId="16821" xr:uid="{F9C9FDF6-B66E-449D-9963-6D56E210AFF5}"/>
    <cellStyle name="Title 30 2" xfId="16824" xr:uid="{88DC0498-2959-46AC-B6C0-CAB3129B2D32}"/>
    <cellStyle name="Title 30 2 2" xfId="16825" xr:uid="{1F1BC3CC-9C22-4D34-950B-8AFA28E652AC}"/>
    <cellStyle name="Title 30 2 2 2" xfId="16826" xr:uid="{289F1343-1960-42F4-9486-4AE5EB8B3908}"/>
    <cellStyle name="Title 30 2 3" xfId="16827" xr:uid="{001E3E45-313F-4991-8CCE-2E8D0774DBB4}"/>
    <cellStyle name="Title 30 2 3 2" xfId="16828" xr:uid="{BD53DCA6-D77D-412C-968D-20AB45F6F0FB}"/>
    <cellStyle name="Title 30 2 4" xfId="16829" xr:uid="{13D442F7-3D2C-4FE1-81FC-64BEDEC461DE}"/>
    <cellStyle name="Title 30 2 5" xfId="16830" xr:uid="{DD99DE6C-A639-4A5D-A94C-69F16D725E55}"/>
    <cellStyle name="Title 30 3" xfId="16831" xr:uid="{C071139A-644B-432B-A8C1-9394E4D9FCF9}"/>
    <cellStyle name="Title 30 3 2" xfId="16832" xr:uid="{7A2750E9-30CB-4F87-BA76-3F0F8BED4E88}"/>
    <cellStyle name="Title 30 3 2 2" xfId="16833" xr:uid="{12209674-F963-423A-B02C-813EDD6D4699}"/>
    <cellStyle name="Title 30 3 3" xfId="16834" xr:uid="{21577712-AD63-417A-9DA8-6789090DE8DD}"/>
    <cellStyle name="Title 30 3 3 2" xfId="16835" xr:uid="{6D46DD8A-9E74-4C59-B901-DBAF43478070}"/>
    <cellStyle name="Title 30 3 4" xfId="16836" xr:uid="{35DBE61C-A270-498B-9EAA-D422CFDD0441}"/>
    <cellStyle name="Title 30 4" xfId="16837" xr:uid="{F310A99E-2D31-4390-9701-B06E51B4B765}"/>
    <cellStyle name="Title 30 4 2" xfId="16838" xr:uid="{2970A132-7D25-4B83-976F-892065508DEA}"/>
    <cellStyle name="Title 30 4 2 2" xfId="16839" xr:uid="{85999F0F-1C74-4395-ADB0-D4B4D2ED7F0F}"/>
    <cellStyle name="Title 30 4 3" xfId="16840" xr:uid="{86F3DC50-F0CD-403A-8DC3-13715A5A4E5E}"/>
    <cellStyle name="Title 30 4 3 2" xfId="16841" xr:uid="{08C003A8-D288-4667-9EF5-F49EF40444EF}"/>
    <cellStyle name="Title 30 4 4" xfId="16842" xr:uid="{35CEE5A8-526D-427F-B498-A0B940F4FB04}"/>
    <cellStyle name="Title 30 5" xfId="16843" xr:uid="{1FD15E56-22CC-45EE-A67B-890CC71AED19}"/>
    <cellStyle name="Title 30 5 2" xfId="16844" xr:uid="{26026970-21BF-45AE-8E22-4A71DD1BAAD8}"/>
    <cellStyle name="Title 30 5 2 2" xfId="16845" xr:uid="{441D0A6C-A9FE-49F6-A26B-B3083784B7DB}"/>
    <cellStyle name="Title 30 5 3" xfId="16846" xr:uid="{8D45D6A1-7902-433F-A766-6896426B0007}"/>
    <cellStyle name="Title 30 5 3 2" xfId="16847" xr:uid="{F29623AE-4001-4737-9FC7-1B3D0B00357F}"/>
    <cellStyle name="Title 30 5 4" xfId="16848" xr:uid="{FF5C7B7A-BDC9-4A32-9200-1E5A96DC12EE}"/>
    <cellStyle name="Title 30 5 4 2" xfId="16849" xr:uid="{7D9FA298-D908-4E30-9E9E-7A0D36EA9EC8}"/>
    <cellStyle name="Title 30 5 5" xfId="16850" xr:uid="{BD5E924A-4CCA-4EBD-9FFB-08B51906F40D}"/>
    <cellStyle name="Title 30 6" xfId="16851" xr:uid="{19C36717-09F9-47D9-958A-74F47AD50A24}"/>
    <cellStyle name="Title 30 6 2" xfId="16852" xr:uid="{5363692C-1287-44B2-9759-E3360A8BDF57}"/>
    <cellStyle name="Title 30 6 2 2" xfId="16853" xr:uid="{AC326022-16D0-44FB-A75C-0383ECC75E5C}"/>
    <cellStyle name="Title 30 6 3" xfId="16854" xr:uid="{283F8E8F-3877-40F8-9909-18F64A47DC38}"/>
    <cellStyle name="Title 30 6 3 2" xfId="16855" xr:uid="{35D3C4C2-A8B8-42E6-A192-71619D62995D}"/>
    <cellStyle name="Title 30 6 4" xfId="16856" xr:uid="{321432BD-1D69-4601-8740-17AE0040EBB4}"/>
    <cellStyle name="Title 30 7" xfId="16857" xr:uid="{19A21C5A-FC88-49B5-9918-2CD2133F26FE}"/>
    <cellStyle name="Title 30 7 2" xfId="16858" xr:uid="{8D5FD67D-245E-41D2-BC93-B102D6449E1C}"/>
    <cellStyle name="Title 30 8" xfId="16859" xr:uid="{79D266CB-3C74-4F33-BCB5-907527C0558C}"/>
    <cellStyle name="Title 30 8 2" xfId="16860" xr:uid="{54164D7F-8E24-4701-9E1E-74A100026CD1}"/>
    <cellStyle name="Title 30 9" xfId="16861" xr:uid="{5B50653C-28FC-44A2-BC6C-CD2F1ED62BE8}"/>
    <cellStyle name="Title 30 9 2" xfId="16862" xr:uid="{8A74043A-A769-4EA1-B7F4-4CA29270A4BA}"/>
    <cellStyle name="Title 31" xfId="3288" xr:uid="{C437A3E1-9158-4D26-BF69-00C27880BF27}"/>
    <cellStyle name="Title 31 10" xfId="16864" xr:uid="{721B706F-F6B1-4CB9-A3FA-86C3F36EBD47}"/>
    <cellStyle name="Title 31 11" xfId="16865" xr:uid="{5D854189-78B8-44CE-ABE1-E2E0358F996A}"/>
    <cellStyle name="Title 31 12" xfId="16863" xr:uid="{C5C58ACB-CC7B-446C-B7A6-40559015F999}"/>
    <cellStyle name="Title 31 2" xfId="16866" xr:uid="{D6BEF042-A119-46EA-A47E-3587B5A8C689}"/>
    <cellStyle name="Title 31 2 2" xfId="16867" xr:uid="{A8E2B8FB-9AAA-4970-A835-6E1B985411A3}"/>
    <cellStyle name="Title 31 2 2 2" xfId="16868" xr:uid="{747E3DE4-84A4-4234-ABD2-AFEFC666440E}"/>
    <cellStyle name="Title 31 2 3" xfId="16869" xr:uid="{E4D6B741-8896-4D6E-B6EF-AD388F5F0A73}"/>
    <cellStyle name="Title 31 2 3 2" xfId="16870" xr:uid="{B0721A53-CED7-4216-8879-38D96DE7C254}"/>
    <cellStyle name="Title 31 2 4" xfId="16871" xr:uid="{D9739FBB-2018-4AD9-AB0C-6927060FCFD2}"/>
    <cellStyle name="Title 31 2 5" xfId="16872" xr:uid="{C2118F54-4577-4447-99DF-87F722EFE621}"/>
    <cellStyle name="Title 31 3" xfId="16873" xr:uid="{967EDFAC-6F1C-4651-8B7C-B00661308AAD}"/>
    <cellStyle name="Title 31 3 2" xfId="16874" xr:uid="{C074D0C2-BA17-43C3-93DA-72905F1687AF}"/>
    <cellStyle name="Title 31 3 2 2" xfId="16875" xr:uid="{C002C385-650B-41E0-A881-3B02C017BBC3}"/>
    <cellStyle name="Title 31 3 3" xfId="16876" xr:uid="{FC96EC62-A386-4373-8CF0-E63AE5C6EDE7}"/>
    <cellStyle name="Title 31 3 3 2" xfId="16877" xr:uid="{8FB7B367-ED2A-4256-8ACE-4D35CB8748CA}"/>
    <cellStyle name="Title 31 3 4" xfId="16878" xr:uid="{08D1A50C-52B3-434F-AF7A-88C6A8457645}"/>
    <cellStyle name="Title 31 4" xfId="16879" xr:uid="{84A5E916-925A-4DE5-98B2-47838D121633}"/>
    <cellStyle name="Title 31 4 2" xfId="16880" xr:uid="{14BCF168-3BA7-4D34-A0BE-50D186E215DB}"/>
    <cellStyle name="Title 31 4 2 2" xfId="16881" xr:uid="{C4DCFE4C-EEFE-4B34-A2DF-FEF00D391ABC}"/>
    <cellStyle name="Title 31 4 3" xfId="16882" xr:uid="{013E4DD7-DF2C-40EE-BB27-2539726243FE}"/>
    <cellStyle name="Title 31 4 3 2" xfId="16883" xr:uid="{B4346359-F9DF-4FE5-96BB-70EB62D0F3C2}"/>
    <cellStyle name="Title 31 4 4" xfId="16884" xr:uid="{3E4A6287-66DD-4A79-BD66-85093A33C131}"/>
    <cellStyle name="Title 31 5" xfId="16885" xr:uid="{280FDF48-CDD9-4A22-8698-8D7931F40F4C}"/>
    <cellStyle name="Title 31 5 2" xfId="16886" xr:uid="{419D612E-9539-4F38-A2BB-1403291B9174}"/>
    <cellStyle name="Title 31 5 2 2" xfId="16887" xr:uid="{EA2A55BC-55BE-430A-8DE3-DDE5EF84C063}"/>
    <cellStyle name="Title 31 5 3" xfId="16888" xr:uid="{EDA3A201-B481-4701-B273-7C01B9DC5C3C}"/>
    <cellStyle name="Title 31 5 3 2" xfId="16889" xr:uid="{2C0A1B61-E4A6-49E0-A73A-AEAEA79CE991}"/>
    <cellStyle name="Title 31 5 4" xfId="16890" xr:uid="{D7498255-5FEA-456D-9055-60CC63DFE609}"/>
    <cellStyle name="Title 31 5 4 2" xfId="16891" xr:uid="{72991210-BAB3-488C-8241-35D99B737939}"/>
    <cellStyle name="Title 31 5 5" xfId="16892" xr:uid="{A0B23391-EAB4-4198-A169-A43E95ECD39F}"/>
    <cellStyle name="Title 31 6" xfId="16893" xr:uid="{9ACF4052-4AD6-4813-95EC-51703BC024C2}"/>
    <cellStyle name="Title 31 6 2" xfId="16894" xr:uid="{CAA94D9C-8575-46CB-9942-1CB1527DE0EF}"/>
    <cellStyle name="Title 31 6 2 2" xfId="16895" xr:uid="{910BF00B-2A5A-41A3-BA0D-DAD3420DA649}"/>
    <cellStyle name="Title 31 6 3" xfId="16896" xr:uid="{850F1863-5A4D-478A-B681-FAFDB5CC9B29}"/>
    <cellStyle name="Title 31 6 3 2" xfId="16897" xr:uid="{C9E6B7C7-2DC1-46B4-B508-F6E4BCC92A37}"/>
    <cellStyle name="Title 31 6 4" xfId="16898" xr:uid="{F90EF10E-2C3D-4CD6-906B-530C9A253E90}"/>
    <cellStyle name="Title 31 7" xfId="16899" xr:uid="{622B7348-0623-40A5-B84D-2742F3810B93}"/>
    <cellStyle name="Title 31 7 2" xfId="16900" xr:uid="{57195071-B0BA-4196-853C-BDB4A05AA0A2}"/>
    <cellStyle name="Title 31 8" xfId="16901" xr:uid="{B469C975-A789-43A1-A17C-4AD3E47EB971}"/>
    <cellStyle name="Title 31 8 2" xfId="16902" xr:uid="{99F79D6E-021F-40A0-92F9-17FA5F1941E2}"/>
    <cellStyle name="Title 31 9" xfId="16903" xr:uid="{85FFB474-8C0E-443C-B993-353ECBDEAE1D}"/>
    <cellStyle name="Title 31 9 2" xfId="16904" xr:uid="{DCDD134E-080E-4FAF-AD0F-94B989A26A2A}"/>
    <cellStyle name="Title 32" xfId="3289" xr:uid="{5C818F4A-AE42-4E94-AA97-202A63A6E8DD}"/>
    <cellStyle name="Title 32 10" xfId="16906" xr:uid="{7D46294E-E217-449E-8159-D8AD5EF00816}"/>
    <cellStyle name="Title 32 11" xfId="16907" xr:uid="{B51E223C-B9B8-412B-974A-6966288BE27F}"/>
    <cellStyle name="Title 32 12" xfId="16905" xr:uid="{6B45C642-0C0E-4762-8DC3-FAB8F14D7D7E}"/>
    <cellStyle name="Title 32 2" xfId="16908" xr:uid="{81189E5F-78E1-489F-8FCA-BF2D15474B2F}"/>
    <cellStyle name="Title 32 2 2" xfId="16909" xr:uid="{6AC3A879-0D5A-4B27-A48D-AC45CF361A39}"/>
    <cellStyle name="Title 32 2 2 2" xfId="16910" xr:uid="{69EB6779-82A5-4005-A7D4-0486C11021E4}"/>
    <cellStyle name="Title 32 2 3" xfId="16911" xr:uid="{95AF5036-79F7-46EF-A3EF-03E9C4553B7C}"/>
    <cellStyle name="Title 32 2 3 2" xfId="16912" xr:uid="{70B40F92-9B13-4E48-8D06-3BE48173E50B}"/>
    <cellStyle name="Title 32 2 4" xfId="16913" xr:uid="{C92B3061-F8DD-4168-9B78-C3562E622FF8}"/>
    <cellStyle name="Title 32 2 5" xfId="16914" xr:uid="{4043C4DF-C2EF-4002-A779-DD239EE9439E}"/>
    <cellStyle name="Title 32 3" xfId="16915" xr:uid="{29AFC68C-EB70-4A98-815B-C12D593DFB0A}"/>
    <cellStyle name="Title 32 3 2" xfId="16916" xr:uid="{6FBE6840-E6F0-4F89-9635-DD8A133CEB58}"/>
    <cellStyle name="Title 32 3 2 2" xfId="16917" xr:uid="{38F23D42-519D-4BA4-A33D-55C028833CDD}"/>
    <cellStyle name="Title 32 3 3" xfId="16918" xr:uid="{80F6EECA-0F43-4FF2-88A8-7ED42AF61575}"/>
    <cellStyle name="Title 32 3 3 2" xfId="16919" xr:uid="{40D36FDE-0263-483F-9E06-1F75D8882B7F}"/>
    <cellStyle name="Title 32 3 4" xfId="16920" xr:uid="{90141722-95FB-4F7D-8E31-B1601C54B9AE}"/>
    <cellStyle name="Title 32 4" xfId="16921" xr:uid="{6551537B-DFCC-4ED0-881A-DB9742D2DA1D}"/>
    <cellStyle name="Title 32 4 2" xfId="16922" xr:uid="{AFEEF36B-6A38-45B3-8260-859838AE9AF5}"/>
    <cellStyle name="Title 32 4 2 2" xfId="16923" xr:uid="{F2BA781B-1FD7-4F68-8DDE-CCA104C4B291}"/>
    <cellStyle name="Title 32 4 3" xfId="16924" xr:uid="{9B4E7779-D3CC-4370-8486-06D3F073B20C}"/>
    <cellStyle name="Title 32 4 3 2" xfId="16925" xr:uid="{0B688791-C0EE-421C-9CB2-8AE40AD28398}"/>
    <cellStyle name="Title 32 4 4" xfId="16926" xr:uid="{B5E3904A-CA5A-4287-99B6-1F0C1D6CC522}"/>
    <cellStyle name="Title 32 5" xfId="16927" xr:uid="{744EA619-F789-4692-BACA-C9CA8FC44F66}"/>
    <cellStyle name="Title 32 5 2" xfId="16928" xr:uid="{DB862E95-B000-4D67-810C-0BAFE2CCD101}"/>
    <cellStyle name="Title 32 5 2 2" xfId="16929" xr:uid="{FC9F28A9-506F-4116-9751-3EA32643A57C}"/>
    <cellStyle name="Title 32 5 3" xfId="16930" xr:uid="{BDCBEF5F-E96A-4EF5-A211-9CECFE4902AC}"/>
    <cellStyle name="Title 32 5 3 2" xfId="16931" xr:uid="{7BA2EDA3-7026-4A6A-8BE1-956CD3BC6EE5}"/>
    <cellStyle name="Title 32 5 4" xfId="16932" xr:uid="{47D27D7A-252B-4192-8DC1-1BE29D6ED593}"/>
    <cellStyle name="Title 32 5 4 2" xfId="16933" xr:uid="{6DD4498A-4960-4AE9-A649-EABA92D51DA7}"/>
    <cellStyle name="Title 32 5 5" xfId="16934" xr:uid="{999E3260-86F2-430C-88EC-853392D63683}"/>
    <cellStyle name="Title 32 6" xfId="16935" xr:uid="{3AC51232-9D06-4ABC-9FBE-8A89A257B7A3}"/>
    <cellStyle name="Title 32 6 2" xfId="16936" xr:uid="{3127DFF2-86FD-4B69-B89F-439EC57E2A49}"/>
    <cellStyle name="Title 32 6 2 2" xfId="16937" xr:uid="{D5E48C73-10B1-48AD-80C5-5F70329010AB}"/>
    <cellStyle name="Title 32 6 3" xfId="16938" xr:uid="{85BFF018-BC85-4715-9703-43B5A61ED832}"/>
    <cellStyle name="Title 32 6 3 2" xfId="16939" xr:uid="{E7CDB00D-7B3C-4C30-8F63-C1645BF7D79A}"/>
    <cellStyle name="Title 32 6 4" xfId="16940" xr:uid="{A2584E85-C839-421D-9243-4482F8181FF6}"/>
    <cellStyle name="Title 32 7" xfId="16941" xr:uid="{584F784F-FCC9-426C-9268-5EAAB026E604}"/>
    <cellStyle name="Title 32 7 2" xfId="16942" xr:uid="{DFD64F0C-8153-42B1-924B-46F7D63ECE6A}"/>
    <cellStyle name="Title 32 8" xfId="16943" xr:uid="{C5EA5C3C-258C-428C-B24D-1D14D4A8AB7D}"/>
    <cellStyle name="Title 32 8 2" xfId="16944" xr:uid="{669743CC-9980-4C6D-88E5-B14FD087354D}"/>
    <cellStyle name="Title 32 9" xfId="16945" xr:uid="{7332D8B6-C9A8-431B-9B02-DE09B7EDE6D9}"/>
    <cellStyle name="Title 32 9 2" xfId="16946" xr:uid="{5C84269D-5A70-4EDA-9E1E-DA2703295991}"/>
    <cellStyle name="Title 33" xfId="3290" xr:uid="{5BF087A4-6AB3-452B-913F-CF658206F9EB}"/>
    <cellStyle name="Title 33 10" xfId="16948" xr:uid="{ABEDBD97-72CB-4A7D-A465-EDB1A6644A3C}"/>
    <cellStyle name="Title 33 11" xfId="16949" xr:uid="{8AEAA7C2-8DE0-4F1C-9E10-5E5A851EA546}"/>
    <cellStyle name="Title 33 12" xfId="16947" xr:uid="{55915BD8-1803-4746-AC66-68B03322B866}"/>
    <cellStyle name="Title 33 2" xfId="16950" xr:uid="{44F33185-7B42-40D8-AB8D-9AECFC14CB43}"/>
    <cellStyle name="Title 33 2 2" xfId="16951" xr:uid="{7AEAE755-C325-417D-AFDF-3CF0B9611F64}"/>
    <cellStyle name="Title 33 2 2 2" xfId="16952" xr:uid="{47149C57-85FC-4963-BE15-4104385141C4}"/>
    <cellStyle name="Title 33 2 3" xfId="16953" xr:uid="{E7E049AC-F925-486E-9089-3FEEFF64567B}"/>
    <cellStyle name="Title 33 2 3 2" xfId="16954" xr:uid="{981DE96A-7EFF-4884-B91D-6F04BB5FF32F}"/>
    <cellStyle name="Title 33 2 4" xfId="16955" xr:uid="{E40D2A38-5264-406A-87E1-CA868884989A}"/>
    <cellStyle name="Title 33 2 5" xfId="16956" xr:uid="{D53AF4A9-17DB-44E0-B543-A256E8BC9F27}"/>
    <cellStyle name="Title 33 3" xfId="16957" xr:uid="{53A40C31-80B7-43BF-BEC4-87ADD385FD6B}"/>
    <cellStyle name="Title 33 3 2" xfId="16958" xr:uid="{1D994075-18FC-435E-B79F-8469DF1166FB}"/>
    <cellStyle name="Title 33 3 2 2" xfId="16959" xr:uid="{C472DF8D-AA02-4A47-8265-DB8F97A2BAC4}"/>
    <cellStyle name="Title 33 3 3" xfId="16960" xr:uid="{E7B2FE2D-E99E-4A31-A2FF-A2D8CDED6B23}"/>
    <cellStyle name="Title 33 3 3 2" xfId="16961" xr:uid="{BA4DFCB6-101D-4BA6-86DC-C7A214047A6E}"/>
    <cellStyle name="Title 33 3 4" xfId="16962" xr:uid="{8D5DE121-217F-4968-B47D-ECA43EBD6830}"/>
    <cellStyle name="Title 33 4" xfId="16963" xr:uid="{88264786-2527-4FE5-A764-EA0A005A296E}"/>
    <cellStyle name="Title 33 4 2" xfId="16964" xr:uid="{70A4CBDB-2749-446D-AF40-57A63B0B2B2A}"/>
    <cellStyle name="Title 33 4 2 2" xfId="16965" xr:uid="{48E08A85-1744-4334-A27F-15639BF5B2CD}"/>
    <cellStyle name="Title 33 4 3" xfId="16966" xr:uid="{1FF8F4F3-9E52-44F9-A6A9-0941BF2C68FC}"/>
    <cellStyle name="Title 33 4 3 2" xfId="16967" xr:uid="{31B7C8E1-F7B2-4D77-A036-98DD347E1E9A}"/>
    <cellStyle name="Title 33 4 4" xfId="16968" xr:uid="{00B862B9-1744-49A4-A514-404D3FBE16D5}"/>
    <cellStyle name="Title 33 5" xfId="16969" xr:uid="{BCC47A39-8C44-4334-A784-34495730E87C}"/>
    <cellStyle name="Title 33 5 2" xfId="16970" xr:uid="{D41D6319-235C-4DE3-A6FC-426233D717B3}"/>
    <cellStyle name="Title 33 5 2 2" xfId="16971" xr:uid="{AD2A0E73-A80F-4584-A2E2-A8E7C23F303E}"/>
    <cellStyle name="Title 33 5 3" xfId="16972" xr:uid="{B9A70786-3E6E-4A28-9713-4CBE480071BD}"/>
    <cellStyle name="Title 33 5 3 2" xfId="16973" xr:uid="{0D0D2B08-2F67-4A53-9FD7-6CB7A2C3BADC}"/>
    <cellStyle name="Title 33 5 4" xfId="16974" xr:uid="{BB2FE296-D94F-4B69-96CD-E67370C5C634}"/>
    <cellStyle name="Title 33 5 4 2" xfId="16975" xr:uid="{50D969A6-DBB8-41F5-84C5-D5132A5A6E6C}"/>
    <cellStyle name="Title 33 5 5" xfId="16976" xr:uid="{F33ADE37-9548-4CB8-9226-6C1522ACD888}"/>
    <cellStyle name="Title 33 6" xfId="16977" xr:uid="{8F96EDA5-F69C-462B-956D-33888132A522}"/>
    <cellStyle name="Title 33 6 2" xfId="16978" xr:uid="{3DEEC5D2-1524-4F93-BA9D-1ED1E956C50F}"/>
    <cellStyle name="Title 33 6 2 2" xfId="16979" xr:uid="{E60061E0-0E89-4A38-B247-1BAE515650EA}"/>
    <cellStyle name="Title 33 6 3" xfId="16980" xr:uid="{97E8FC71-BE1A-4CD8-BDC1-8C8AE8B05E51}"/>
    <cellStyle name="Title 33 6 3 2" xfId="16981" xr:uid="{0FE6A53A-C3B9-4524-9864-BD2EC585F1DF}"/>
    <cellStyle name="Title 33 6 4" xfId="16982" xr:uid="{D88F4165-12D6-4890-9780-903BE7F33D73}"/>
    <cellStyle name="Title 33 7" xfId="16983" xr:uid="{6D748D7C-2344-4045-ADA8-0F2D7360FD06}"/>
    <cellStyle name="Title 33 7 2" xfId="16984" xr:uid="{605DB734-99FA-4D4B-88C2-729849AB0590}"/>
    <cellStyle name="Title 33 8" xfId="16985" xr:uid="{733F6DB3-8E7A-4633-BF9D-E30382C9E8F9}"/>
    <cellStyle name="Title 33 8 2" xfId="16986" xr:uid="{BFBDA883-C8FB-4BD1-B51F-A147773B43FA}"/>
    <cellStyle name="Title 33 9" xfId="16987" xr:uid="{DD0AC185-F8D3-41AC-B66A-E7FBBDF5C2A7}"/>
    <cellStyle name="Title 33 9 2" xfId="16988" xr:uid="{B2A04CA1-ACA9-40DC-B6AB-4A3EEC2D4A1C}"/>
    <cellStyle name="Title 34" xfId="3291" xr:uid="{06036F02-930F-44DF-A43E-9B98A94F1A7A}"/>
    <cellStyle name="Title 34 10" xfId="16990" xr:uid="{859A06F3-B326-4002-9005-3D83F4AFB6B0}"/>
    <cellStyle name="Title 34 11" xfId="16991" xr:uid="{30F29C5C-7850-4A77-8897-8215998F4961}"/>
    <cellStyle name="Title 34 12" xfId="16989" xr:uid="{EC513F4E-A98D-4F8A-82AA-4BC598496A19}"/>
    <cellStyle name="Title 34 2" xfId="16992" xr:uid="{C0D4DD65-BFA2-4A25-9849-FC24D51F04B7}"/>
    <cellStyle name="Title 34 2 2" xfId="16993" xr:uid="{3F3DD372-DFA4-4AAA-A8DC-17F70B9E8007}"/>
    <cellStyle name="Title 34 2 2 2" xfId="16994" xr:uid="{76685838-8498-4328-833B-AEE28F1D2B51}"/>
    <cellStyle name="Title 34 2 3" xfId="16995" xr:uid="{3DF5003D-C80A-441C-A3F8-D266A073C52F}"/>
    <cellStyle name="Title 34 2 3 2" xfId="16996" xr:uid="{4C84AAD4-808D-41F7-AD5C-BE8EC0125215}"/>
    <cellStyle name="Title 34 2 4" xfId="16997" xr:uid="{49A87DAC-744F-4368-AA64-0368C699E804}"/>
    <cellStyle name="Title 34 2 5" xfId="16998" xr:uid="{2DD01C6E-5D16-4FC1-8DAF-77C6FC6C4771}"/>
    <cellStyle name="Title 34 3" xfId="16999" xr:uid="{CC93F00C-271E-47C5-84FC-FEB55BDECBD9}"/>
    <cellStyle name="Title 34 3 2" xfId="17000" xr:uid="{9376B7EA-9C0A-4D6F-B231-1D7CCD5BFAC8}"/>
    <cellStyle name="Title 34 3 2 2" xfId="17001" xr:uid="{C0884FA5-95CF-447E-BCA1-A7CF7CDB7A83}"/>
    <cellStyle name="Title 34 3 3" xfId="17002" xr:uid="{2DE79AE1-D7D9-45B2-997A-A1014903C237}"/>
    <cellStyle name="Title 34 3 3 2" xfId="17003" xr:uid="{18C31BC2-0B3B-4CFF-AB00-D1DCCB196CF4}"/>
    <cellStyle name="Title 34 3 4" xfId="17004" xr:uid="{92BC9866-334E-4C62-8D13-1AFA09BA303E}"/>
    <cellStyle name="Title 34 4" xfId="17005" xr:uid="{A56AFB49-359D-4ED6-BD0E-90E9B865DA17}"/>
    <cellStyle name="Title 34 4 2" xfId="17006" xr:uid="{351A06B2-717C-4076-9D58-47D25B483E9F}"/>
    <cellStyle name="Title 34 4 2 2" xfId="17007" xr:uid="{2FBAE17A-1B13-4744-9684-F6C34170F492}"/>
    <cellStyle name="Title 34 4 3" xfId="17008" xr:uid="{CB4410F5-20D9-4FDD-AE76-E3A2D8F8B81B}"/>
    <cellStyle name="Title 34 4 3 2" xfId="17009" xr:uid="{410E45C4-C5EE-4CE1-96D8-0B2B17046ECA}"/>
    <cellStyle name="Title 34 4 4" xfId="17010" xr:uid="{C845F35B-C140-410D-B4C6-B59B57E7DD28}"/>
    <cellStyle name="Title 34 5" xfId="17011" xr:uid="{2EF72F95-E074-40D1-BF97-33BC1FBB4B9E}"/>
    <cellStyle name="Title 34 5 2" xfId="17012" xr:uid="{C13292C0-14E5-4049-9687-D386A10AB520}"/>
    <cellStyle name="Title 34 5 2 2" xfId="17013" xr:uid="{D437DCBF-F629-44CD-8937-787806842EFE}"/>
    <cellStyle name="Title 34 5 3" xfId="17014" xr:uid="{32854CAD-BD7E-4DD3-9B01-FEFD7EC29B29}"/>
    <cellStyle name="Title 34 5 3 2" xfId="17015" xr:uid="{341F4786-578A-4C37-A087-54EB0BCF1B5C}"/>
    <cellStyle name="Title 34 5 4" xfId="17016" xr:uid="{E5241DC2-0C6A-4FB7-AA50-C399D9C4E581}"/>
    <cellStyle name="Title 34 5 4 2" xfId="17017" xr:uid="{00ACC013-2086-4EFA-BF1B-865C44989A36}"/>
    <cellStyle name="Title 34 5 5" xfId="17018" xr:uid="{3CB49218-74DC-47B1-9A44-B4C45C8EB61B}"/>
    <cellStyle name="Title 34 6" xfId="17019" xr:uid="{77AFD047-5413-450E-A3F7-FE54EED0C3FD}"/>
    <cellStyle name="Title 34 6 2" xfId="17020" xr:uid="{03F145FA-B13F-4B9B-9006-84CB3F672A7D}"/>
    <cellStyle name="Title 34 6 2 2" xfId="17021" xr:uid="{E1589503-8E4C-4EFA-BD26-1060F9F4422A}"/>
    <cellStyle name="Title 34 6 3" xfId="17022" xr:uid="{DAD21596-DE75-4344-BD22-6C95E38DD7D1}"/>
    <cellStyle name="Title 34 6 3 2" xfId="17023" xr:uid="{6D01F8F6-B9E5-4CAA-B3B5-D817B1A3F5E2}"/>
    <cellStyle name="Title 34 6 4" xfId="17024" xr:uid="{240D3827-8637-418B-8724-03E15751E271}"/>
    <cellStyle name="Title 34 7" xfId="17025" xr:uid="{DCE54F55-69F3-49C7-8F5B-1D6443A78A9B}"/>
    <cellStyle name="Title 34 7 2" xfId="17026" xr:uid="{481050B5-00DD-403A-B983-304821683CCF}"/>
    <cellStyle name="Title 34 8" xfId="17027" xr:uid="{FBB7B290-26FE-43D4-BF05-AAE3BE9D55CE}"/>
    <cellStyle name="Title 34 8 2" xfId="17028" xr:uid="{B88CFFCA-5A9C-44CE-B300-2E922B8719B3}"/>
    <cellStyle name="Title 34 9" xfId="17029" xr:uid="{AD3949E1-AFF7-4A7E-8033-5FC71CF79E73}"/>
    <cellStyle name="Title 34 9 2" xfId="17030" xr:uid="{5FCE0191-6BC7-48AC-9324-42B9619C64EA}"/>
    <cellStyle name="Title 35" xfId="3292" xr:uid="{43FE07BA-2329-4244-B529-E22681FA8AE8}"/>
    <cellStyle name="Title 35 10" xfId="17032" xr:uid="{163E8707-7CA3-49C0-8B7A-F599480657F8}"/>
    <cellStyle name="Title 35 11" xfId="17033" xr:uid="{8D1C793A-DB31-4B2D-BD8A-265525571668}"/>
    <cellStyle name="Title 35 12" xfId="17031" xr:uid="{344C9EBC-852D-4C14-828B-F6ACC7CD464F}"/>
    <cellStyle name="Title 35 2" xfId="17034" xr:uid="{2F656AB1-BFC9-4C16-BF24-9CDEB57D4753}"/>
    <cellStyle name="Title 35 2 2" xfId="17035" xr:uid="{063005A6-3537-48F8-B13B-118DC3812074}"/>
    <cellStyle name="Title 35 2 2 2" xfId="17036" xr:uid="{A4F319EF-44AA-46A8-8952-7C13AD5288A4}"/>
    <cellStyle name="Title 35 2 3" xfId="17037" xr:uid="{43055775-651B-43C7-86B3-DA13E416B20D}"/>
    <cellStyle name="Title 35 2 3 2" xfId="17038" xr:uid="{38584614-54BE-4E44-AD86-91CF8B2C63BB}"/>
    <cellStyle name="Title 35 2 4" xfId="17039" xr:uid="{0BFEBBB1-C1E7-4515-AC64-52DFA52A6C01}"/>
    <cellStyle name="Title 35 2 5" xfId="17040" xr:uid="{E907933C-52EC-4259-AD01-BBE82C69AA8C}"/>
    <cellStyle name="Title 35 3" xfId="17041" xr:uid="{D652E2C9-A69B-49FB-A129-A5B0E4717609}"/>
    <cellStyle name="Title 35 3 2" xfId="17042" xr:uid="{D4126E87-D8AD-4876-968B-B25D6E49974C}"/>
    <cellStyle name="Title 35 3 2 2" xfId="17043" xr:uid="{429B9424-F8A2-4FAE-B7A1-F9E8A2B9C51C}"/>
    <cellStyle name="Title 35 3 3" xfId="17044" xr:uid="{15FF442F-3AA1-4B5A-8B2D-99601ABBC7C4}"/>
    <cellStyle name="Title 35 3 3 2" xfId="17045" xr:uid="{40F4AECB-EF49-482F-8035-FE01FA475831}"/>
    <cellStyle name="Title 35 3 4" xfId="17046" xr:uid="{112F0E2C-3A18-4574-A776-AD13DD262A84}"/>
    <cellStyle name="Title 35 4" xfId="17047" xr:uid="{2F7DBFA4-7CA0-445F-AF3D-39A6AD4D5705}"/>
    <cellStyle name="Title 35 4 2" xfId="17048" xr:uid="{3C077B59-E843-4BC8-9918-429A96ADF4FF}"/>
    <cellStyle name="Title 35 4 2 2" xfId="17049" xr:uid="{40F0EADF-DF3C-4CBD-B593-98C733F7A4F9}"/>
    <cellStyle name="Title 35 4 3" xfId="17050" xr:uid="{B13BB4E1-7718-4662-BA44-6B44B29C049C}"/>
    <cellStyle name="Title 35 4 3 2" xfId="17051" xr:uid="{24F52919-AEDC-4A0D-AC79-6395705B3685}"/>
    <cellStyle name="Title 35 4 4" xfId="17052" xr:uid="{1C7672ED-4551-4BED-B389-C57ABD651962}"/>
    <cellStyle name="Title 35 5" xfId="17053" xr:uid="{405E6553-E7F1-4D6E-8E6D-0A133B71DD58}"/>
    <cellStyle name="Title 35 5 2" xfId="17054" xr:uid="{ACAF2FA5-9247-4608-A243-1459580F213F}"/>
    <cellStyle name="Title 35 5 2 2" xfId="17055" xr:uid="{09F50B64-79AD-49AB-AA92-93869F6344CD}"/>
    <cellStyle name="Title 35 5 3" xfId="17056" xr:uid="{8AD7CBDB-60F4-429F-8C26-A040B139AD81}"/>
    <cellStyle name="Title 35 5 3 2" xfId="17057" xr:uid="{F0028369-7177-4D9B-B221-011D1BC5C3AC}"/>
    <cellStyle name="Title 35 5 4" xfId="17058" xr:uid="{C12C333C-C948-4588-85C2-48D99B727DDC}"/>
    <cellStyle name="Title 35 5 4 2" xfId="17059" xr:uid="{9241DB66-7275-4EE4-8003-AAA9DCD928B5}"/>
    <cellStyle name="Title 35 5 5" xfId="17060" xr:uid="{0060D25B-F68E-445C-A1D2-FE75E5BAA1E1}"/>
    <cellStyle name="Title 35 6" xfId="17061" xr:uid="{A60B68BF-1906-41D8-B587-ABDA5751EE20}"/>
    <cellStyle name="Title 35 6 2" xfId="17062" xr:uid="{AA563A4A-820B-4C96-AC42-70EEC88894E6}"/>
    <cellStyle name="Title 35 6 2 2" xfId="17063" xr:uid="{52C896BE-0B05-43CE-91E2-002F3B41585D}"/>
    <cellStyle name="Title 35 6 3" xfId="17064" xr:uid="{9B0D9CD6-1042-456C-82C1-89B4D51245F7}"/>
    <cellStyle name="Title 35 6 3 2" xfId="17065" xr:uid="{227F3903-295E-46CA-9456-318EC62EDA22}"/>
    <cellStyle name="Title 35 6 4" xfId="17066" xr:uid="{C2091304-0757-4A50-9C85-2E415C845DEA}"/>
    <cellStyle name="Title 35 7" xfId="17067" xr:uid="{3CEA3026-D194-49E7-937C-C63C7878BFF4}"/>
    <cellStyle name="Title 35 7 2" xfId="17068" xr:uid="{131C43DA-625C-41E7-B0B2-B6B9E38CE0DC}"/>
    <cellStyle name="Title 35 8" xfId="17069" xr:uid="{601C33F8-B696-489E-8858-64ADE15F7F17}"/>
    <cellStyle name="Title 35 8 2" xfId="17070" xr:uid="{6A0572E1-AF0A-4658-834D-F1414E406CB4}"/>
    <cellStyle name="Title 35 9" xfId="17071" xr:uid="{CE659D81-24B0-4B47-9CA8-AE7768934BC1}"/>
    <cellStyle name="Title 35 9 2" xfId="17072" xr:uid="{DC3BCC90-506F-4C76-9E1B-5A30BA925305}"/>
    <cellStyle name="Title 36" xfId="3293" xr:uid="{6C3A64BE-9BB8-4ED3-884C-2DC406072763}"/>
    <cellStyle name="Title 36 10" xfId="17074" xr:uid="{080DFFBE-70E6-4EC0-A842-7A004F527CEE}"/>
    <cellStyle name="Title 36 11" xfId="17075" xr:uid="{50582C7E-4E77-4D6F-BE53-BA3FDB4A215C}"/>
    <cellStyle name="Title 36 12" xfId="17073" xr:uid="{FB9D5C69-876B-4ED3-972C-180116E43D1E}"/>
    <cellStyle name="Title 36 2" xfId="17076" xr:uid="{9939A4AE-D481-404A-95CE-546C627FEF55}"/>
    <cellStyle name="Title 36 2 2" xfId="17077" xr:uid="{5F874EBB-2CB8-4716-9835-AD4A427D962A}"/>
    <cellStyle name="Title 36 2 2 2" xfId="17078" xr:uid="{0176CBB0-DE54-49A5-845D-9ED8A43B43EB}"/>
    <cellStyle name="Title 36 2 3" xfId="17079" xr:uid="{AF3533A4-A88D-43CC-B37E-1ABD1B298D2A}"/>
    <cellStyle name="Title 36 2 3 2" xfId="17080" xr:uid="{57057409-319E-4694-93C1-70DF04539914}"/>
    <cellStyle name="Title 36 2 4" xfId="17081" xr:uid="{A7863FDD-1D32-47E6-B400-909DB6BDE375}"/>
    <cellStyle name="Title 36 2 5" xfId="17082" xr:uid="{AC92C2F8-82C8-4BAE-8096-A4840784EF40}"/>
    <cellStyle name="Title 36 3" xfId="17083" xr:uid="{9A2BDC70-2280-4F7A-BCAF-B3B257EF35A2}"/>
    <cellStyle name="Title 36 3 2" xfId="17084" xr:uid="{A4CDE8B4-C523-4F2C-8933-FBAE303E42F4}"/>
    <cellStyle name="Title 36 3 2 2" xfId="17085" xr:uid="{95836EB9-04F4-4A6B-9B8E-531D1305E9D8}"/>
    <cellStyle name="Title 36 3 3" xfId="17086" xr:uid="{DDFFCFD0-5DC8-4BD2-8DC5-277118452D31}"/>
    <cellStyle name="Title 36 3 3 2" xfId="17087" xr:uid="{D7310F78-021F-487D-8BB5-F8504726061D}"/>
    <cellStyle name="Title 36 3 4" xfId="17088" xr:uid="{2A8641FD-524C-4CCF-943B-CA0FB7A48908}"/>
    <cellStyle name="Title 36 4" xfId="17089" xr:uid="{3EE1E961-9174-428F-9603-CD06FE712348}"/>
    <cellStyle name="Title 36 4 2" xfId="17090" xr:uid="{6BC8E4B7-22F4-45FC-935E-D6D221D36059}"/>
    <cellStyle name="Title 36 4 2 2" xfId="17091" xr:uid="{03D3ACFC-940A-4879-BE44-1C26AD6C4D68}"/>
    <cellStyle name="Title 36 4 3" xfId="17092" xr:uid="{F3C9BE0E-219D-416C-8CED-2D86537B8958}"/>
    <cellStyle name="Title 36 4 3 2" xfId="17093" xr:uid="{34DDE9F7-8E1B-4533-9975-6742D2256B06}"/>
    <cellStyle name="Title 36 4 4" xfId="17094" xr:uid="{39C94E87-E726-4FDE-8FBB-B25191F71428}"/>
    <cellStyle name="Title 36 5" xfId="17095" xr:uid="{C78AC293-17D0-472E-B07D-3C53BA01FADE}"/>
    <cellStyle name="Title 36 5 2" xfId="17096" xr:uid="{193A92BA-A602-4F39-AE50-1316B0AAF272}"/>
    <cellStyle name="Title 36 5 2 2" xfId="17097" xr:uid="{9FEBEEEB-BF28-420F-9CC6-931B041F3CFA}"/>
    <cellStyle name="Title 36 5 3" xfId="17098" xr:uid="{127079CC-6614-48F4-9776-41D6827A33B9}"/>
    <cellStyle name="Title 36 5 3 2" xfId="17099" xr:uid="{1A0C204D-FC2F-48D3-9F03-6E048D10261A}"/>
    <cellStyle name="Title 36 5 4" xfId="17100" xr:uid="{BC7E1EEB-BF36-409C-ACD7-6030113E2EA8}"/>
    <cellStyle name="Title 36 5 4 2" xfId="17101" xr:uid="{B4C9197C-6AFC-4A55-8C85-635DDEA2E704}"/>
    <cellStyle name="Title 36 5 5" xfId="17102" xr:uid="{8ED71FF6-3227-4F7A-87B2-839B6C59DA77}"/>
    <cellStyle name="Title 36 6" xfId="17103" xr:uid="{72A2390A-FEF9-42EC-8C28-F85CE5D12F79}"/>
    <cellStyle name="Title 36 6 2" xfId="17104" xr:uid="{8D0AC819-17F6-418C-849D-0CED4EDEAB05}"/>
    <cellStyle name="Title 36 6 2 2" xfId="17105" xr:uid="{DA270BB2-0B2D-4543-B8AE-FBE3751C59C1}"/>
    <cellStyle name="Title 36 6 3" xfId="17106" xr:uid="{D4C907B1-6BEB-43C4-BE1B-6304386FEA00}"/>
    <cellStyle name="Title 36 6 3 2" xfId="17107" xr:uid="{11688DD4-D272-44B3-858D-301894A99231}"/>
    <cellStyle name="Title 36 6 4" xfId="17108" xr:uid="{38424C6F-6E1C-460C-A3E9-A5B7F94720B2}"/>
    <cellStyle name="Title 36 7" xfId="17109" xr:uid="{220791ED-250D-4B19-B6D4-D9624FAD2853}"/>
    <cellStyle name="Title 36 7 2" xfId="17110" xr:uid="{F759142A-582A-494D-BB91-2A6260F9A3A7}"/>
    <cellStyle name="Title 36 8" xfId="17111" xr:uid="{CBBB9B76-81ED-4774-A211-6A6A9A37E73C}"/>
    <cellStyle name="Title 36 8 2" xfId="17112" xr:uid="{AC18C9E4-F10A-4420-AA73-7A393155254B}"/>
    <cellStyle name="Title 36 9" xfId="17113" xr:uid="{D8C147AF-1299-41DC-A6C9-3A407048A144}"/>
    <cellStyle name="Title 36 9 2" xfId="17114" xr:uid="{CD788B2F-B365-4E4B-84C6-87154D65BF5A}"/>
    <cellStyle name="Title 37" xfId="3294" xr:uid="{CD02321F-B0C1-4A11-A128-3F02900429CF}"/>
    <cellStyle name="Title 37 10" xfId="17116" xr:uid="{5303DD62-ECD2-4B27-B50F-E4BD31FE1E0C}"/>
    <cellStyle name="Title 37 11" xfId="17117" xr:uid="{A06B6D8A-8824-41A9-91F1-8CD8543D24F2}"/>
    <cellStyle name="Title 37 12" xfId="17115" xr:uid="{1AD46E5C-74B7-429A-AD53-8C1A30EAE9B0}"/>
    <cellStyle name="Title 37 2" xfId="17118" xr:uid="{1177DD38-CCB9-4252-B0FA-586CF3635F0B}"/>
    <cellStyle name="Title 37 2 2" xfId="17119" xr:uid="{C3DC6D99-CC57-4D15-AD1F-A9BAEEB9FA95}"/>
    <cellStyle name="Title 37 2 2 2" xfId="17120" xr:uid="{775D6BA8-272A-4E11-9FA1-5835D2BE9B4A}"/>
    <cellStyle name="Title 37 2 3" xfId="17121" xr:uid="{C3B690C3-68CF-4EBE-B05F-B0BA80155D28}"/>
    <cellStyle name="Title 37 2 3 2" xfId="17122" xr:uid="{84DA903E-DEAA-4DDB-A7C9-EEA7C9459C92}"/>
    <cellStyle name="Title 37 2 4" xfId="17123" xr:uid="{1437BD02-6365-4432-A0EE-226656209900}"/>
    <cellStyle name="Title 37 2 5" xfId="17124" xr:uid="{05633E8B-D41D-4772-8242-F98EC8B4B563}"/>
    <cellStyle name="Title 37 3" xfId="17125" xr:uid="{D5945CFD-0546-4940-AA85-34FD731CD72F}"/>
    <cellStyle name="Title 37 3 2" xfId="17126" xr:uid="{55278C67-1B95-49BF-9A70-2A1A2DA86A70}"/>
    <cellStyle name="Title 37 3 2 2" xfId="17127" xr:uid="{8A07AD4D-041E-4529-A835-C13E7ED41E47}"/>
    <cellStyle name="Title 37 3 3" xfId="17128" xr:uid="{782AA257-EA9B-497B-8EF3-2046CBF7CAA3}"/>
    <cellStyle name="Title 37 3 3 2" xfId="17129" xr:uid="{6E7C21B1-7984-4A8C-9BCD-D99B19D1C34C}"/>
    <cellStyle name="Title 37 3 4" xfId="17130" xr:uid="{4ED68A48-CB62-4C9B-B1B3-001183B2511D}"/>
    <cellStyle name="Title 37 4" xfId="17131" xr:uid="{E20A5D51-D8A0-4B17-90B1-194CD83F1F3E}"/>
    <cellStyle name="Title 37 4 2" xfId="17132" xr:uid="{0C2FA9F2-70DA-4364-91A5-BF460EBD2A79}"/>
    <cellStyle name="Title 37 4 2 2" xfId="17133" xr:uid="{1AF7AAA1-189C-41BA-A77C-91B25BD2FD78}"/>
    <cellStyle name="Title 37 4 3" xfId="17134" xr:uid="{A85FFA2E-9406-4D6F-96B6-9F7DCD78A86B}"/>
    <cellStyle name="Title 37 4 3 2" xfId="17135" xr:uid="{0FF410D9-8B75-43AC-A991-500DCA5DECF6}"/>
    <cellStyle name="Title 37 4 4" xfId="17136" xr:uid="{0650F36B-1F7B-4EF6-A541-3430C2E43E23}"/>
    <cellStyle name="Title 37 5" xfId="17137" xr:uid="{1EAE0171-2CC2-4367-B353-9DA0D232CA72}"/>
    <cellStyle name="Title 37 5 2" xfId="17138" xr:uid="{F07FF9C1-5D22-4E68-A2AC-D860A6B1795A}"/>
    <cellStyle name="Title 37 5 2 2" xfId="17139" xr:uid="{7C5A8D3D-1FDC-4499-937C-6E595C08441F}"/>
    <cellStyle name="Title 37 5 3" xfId="17140" xr:uid="{734E9AC1-50A0-4375-95B6-BB427D7E0754}"/>
    <cellStyle name="Title 37 5 3 2" xfId="17141" xr:uid="{6AFB57D9-1B8B-4B66-BA28-03F4C47B6893}"/>
    <cellStyle name="Title 37 5 4" xfId="17142" xr:uid="{AA133642-F15D-4EBC-B671-0191D8F77727}"/>
    <cellStyle name="Title 37 5 4 2" xfId="17143" xr:uid="{CB477C43-917E-4B3A-B205-9202570E4809}"/>
    <cellStyle name="Title 37 5 5" xfId="17144" xr:uid="{C012FED1-C1EC-4FDD-9828-04F7B1A35EDF}"/>
    <cellStyle name="Title 37 6" xfId="17145" xr:uid="{5FE322F5-1B2A-494C-A4D7-F22AD04C4EE5}"/>
    <cellStyle name="Title 37 6 2" xfId="17146" xr:uid="{0133B51C-71D2-4773-8190-25EF506706D1}"/>
    <cellStyle name="Title 37 6 2 2" xfId="17147" xr:uid="{055413CB-1A6F-4F5C-90E1-DE648FC08BAB}"/>
    <cellStyle name="Title 37 6 3" xfId="17148" xr:uid="{B3563662-4F7B-47FC-9606-4957E39C7EB0}"/>
    <cellStyle name="Title 37 6 3 2" xfId="17149" xr:uid="{7DDA467F-B13B-4A28-A3B9-2A29BBD471A4}"/>
    <cellStyle name="Title 37 6 4" xfId="17150" xr:uid="{8DBA9818-079B-4665-8D0F-7FDF8AE10F22}"/>
    <cellStyle name="Title 37 7" xfId="17151" xr:uid="{82730F11-4932-485E-B18E-EE005D6378E5}"/>
    <cellStyle name="Title 37 7 2" xfId="17152" xr:uid="{9A6FE9F3-56EA-42CD-893F-917C626B2803}"/>
    <cellStyle name="Title 37 8" xfId="17153" xr:uid="{84AF17E8-E6C9-43DA-9EFB-192857BFF807}"/>
    <cellStyle name="Title 37 8 2" xfId="17154" xr:uid="{0BAACAF6-B952-4BA6-9968-C5655F0EDF0C}"/>
    <cellStyle name="Title 37 9" xfId="17155" xr:uid="{6CA02BAD-38EE-47E1-93B8-52B489D09BB6}"/>
    <cellStyle name="Title 37 9 2" xfId="17156" xr:uid="{E7B0D592-314E-4388-99BC-028D3EA006D2}"/>
    <cellStyle name="Title 38" xfId="3295" xr:uid="{5FC9631B-BF76-4F7C-A073-ABA92B2989F9}"/>
    <cellStyle name="Title 38 10" xfId="17158" xr:uid="{A8961D2E-1926-4876-BC80-BA6922A540DC}"/>
    <cellStyle name="Title 38 11" xfId="17159" xr:uid="{408EA5F4-11B0-4731-BA4D-200B5955638B}"/>
    <cellStyle name="Title 38 12" xfId="17157" xr:uid="{075627FF-CC75-4608-BC06-0BC7A3181825}"/>
    <cellStyle name="Title 38 2" xfId="17160" xr:uid="{5E0E654A-4A47-4970-B5EF-62D6DC7FEEC9}"/>
    <cellStyle name="Title 38 2 2" xfId="17161" xr:uid="{FE8856C6-D8F8-425C-956D-5D12A71CF688}"/>
    <cellStyle name="Title 38 2 2 2" xfId="17162" xr:uid="{891EA711-8EC2-40F7-BC7E-4D3B0422D369}"/>
    <cellStyle name="Title 38 2 3" xfId="17163" xr:uid="{E7B707A5-9020-40AD-B0A2-807EDE79DEAB}"/>
    <cellStyle name="Title 38 2 3 2" xfId="17164" xr:uid="{15A5D027-430D-4E60-8E60-E98A0F57A1AF}"/>
    <cellStyle name="Title 38 2 4" xfId="17165" xr:uid="{F7FACEC7-C5DC-45C1-8303-FED8093FC487}"/>
    <cellStyle name="Title 38 2 5" xfId="17166" xr:uid="{F43BE4EE-FAB8-4AD7-828A-85AD1A28102B}"/>
    <cellStyle name="Title 38 3" xfId="17167" xr:uid="{506A1C64-A6E0-4E59-B924-F704E556F491}"/>
    <cellStyle name="Title 38 3 2" xfId="17168" xr:uid="{42915269-2EA3-486A-9711-DA5FE5D16BDF}"/>
    <cellStyle name="Title 38 3 2 2" xfId="17169" xr:uid="{2ABB035E-1B75-409E-B406-4B53187628BC}"/>
    <cellStyle name="Title 38 3 3" xfId="17170" xr:uid="{0521B2ED-A14B-42A3-AD70-8315B052FF0E}"/>
    <cellStyle name="Title 38 3 3 2" xfId="17171" xr:uid="{A2B65F16-2C1B-4155-89E5-4BBE35D15C58}"/>
    <cellStyle name="Title 38 3 4" xfId="17172" xr:uid="{D58F7C32-580D-4332-B9D9-B6F9851162BD}"/>
    <cellStyle name="Title 38 4" xfId="17173" xr:uid="{3D38A50D-0BC8-4087-BF1F-00B37482C33E}"/>
    <cellStyle name="Title 38 4 2" xfId="17174" xr:uid="{9E8CDA56-FC58-4B0A-83BF-22F0E3E6FBD3}"/>
    <cellStyle name="Title 38 4 2 2" xfId="17175" xr:uid="{F0630733-9FF0-411D-BB5A-E8DA590B65A7}"/>
    <cellStyle name="Title 38 4 3" xfId="17176" xr:uid="{9A0C1A71-2EB9-4BB4-922F-C5AF86C56C32}"/>
    <cellStyle name="Title 38 4 3 2" xfId="17177" xr:uid="{CDBA0C36-BC18-4B96-9316-4E1387431284}"/>
    <cellStyle name="Title 38 4 4" xfId="17178" xr:uid="{77ED4C6B-4467-4614-B114-AA7D68D086EC}"/>
    <cellStyle name="Title 38 5" xfId="17179" xr:uid="{7F6CC6AF-C1C2-4449-A739-89286C49F72F}"/>
    <cellStyle name="Title 38 5 2" xfId="17180" xr:uid="{4001131F-0CCA-4766-BB2B-37ED0721CE30}"/>
    <cellStyle name="Title 38 5 2 2" xfId="17181" xr:uid="{350E3D00-C757-46B6-8CE7-3FC56DE17BB7}"/>
    <cellStyle name="Title 38 5 3" xfId="17182" xr:uid="{2CFF44B9-B118-42E4-AA4A-199F617E234B}"/>
    <cellStyle name="Title 38 5 3 2" xfId="17183" xr:uid="{83749584-C105-477D-BA52-4FA39CA893E5}"/>
    <cellStyle name="Title 38 5 4" xfId="17184" xr:uid="{FFA9CBFB-B495-41F0-9A16-7CB838BE5CDB}"/>
    <cellStyle name="Title 38 5 4 2" xfId="17185" xr:uid="{4B5393FA-9DA7-46A9-9EA6-EBC3F15E1CD8}"/>
    <cellStyle name="Title 38 5 5" xfId="17186" xr:uid="{D54F1995-E679-4DDA-8168-1965E3ACC426}"/>
    <cellStyle name="Title 38 6" xfId="17187" xr:uid="{CD5C6D71-1AD6-41EE-9008-1241A4725CD7}"/>
    <cellStyle name="Title 38 6 2" xfId="17188" xr:uid="{DF9088BB-5856-4394-8BEE-3F98C9A13C09}"/>
    <cellStyle name="Title 38 6 2 2" xfId="17189" xr:uid="{BFF0BB1F-FBFE-4E30-A87E-8013E0F5F64D}"/>
    <cellStyle name="Title 38 6 3" xfId="17190" xr:uid="{2D50761A-28D2-4983-BE6E-4ABEADCA1792}"/>
    <cellStyle name="Title 38 6 3 2" xfId="17191" xr:uid="{402AEA2C-3BB6-4E06-8DAF-934AC30EFC48}"/>
    <cellStyle name="Title 38 6 4" xfId="17192" xr:uid="{1110CDC3-A9C3-44F7-B9F6-11FC08814815}"/>
    <cellStyle name="Title 38 7" xfId="17193" xr:uid="{8BAEB2CA-7AEF-4911-AA9C-C785961E94FD}"/>
    <cellStyle name="Title 38 7 2" xfId="17194" xr:uid="{5D05FF40-0DE4-4881-9663-EC21AFDAFDC4}"/>
    <cellStyle name="Title 38 8" xfId="17195" xr:uid="{D459209B-80D7-4099-BB7B-29D502BE6119}"/>
    <cellStyle name="Title 38 8 2" xfId="17196" xr:uid="{9CCA93E7-B1E5-4E4E-8474-9A908DDC1119}"/>
    <cellStyle name="Title 38 9" xfId="17197" xr:uid="{22A869D9-C97F-42EB-9B97-B7222602ACBC}"/>
    <cellStyle name="Title 38 9 2" xfId="17198" xr:uid="{004124B6-F3C6-4366-8A0F-F395234CA229}"/>
    <cellStyle name="Title 39" xfId="3296" xr:uid="{E05A69EB-3660-46E5-9E21-A7DC34792785}"/>
    <cellStyle name="Title 39 10" xfId="17200" xr:uid="{23826052-40BF-48C3-9A93-6C9289C471B3}"/>
    <cellStyle name="Title 39 11" xfId="17201" xr:uid="{38447EBC-881A-4185-9DA8-D865E6863891}"/>
    <cellStyle name="Title 39 12" xfId="17199" xr:uid="{CB17A113-6BA9-493D-A7E7-F796757AB7B9}"/>
    <cellStyle name="Title 39 2" xfId="17202" xr:uid="{BF10C3CD-17D6-4975-89CD-3A772CEAF26F}"/>
    <cellStyle name="Title 39 2 2" xfId="17203" xr:uid="{373CF82D-722E-426E-BFC3-7D9A802AB095}"/>
    <cellStyle name="Title 39 2 2 2" xfId="17204" xr:uid="{44FF5899-48EA-40A7-8D5F-890EE57B166E}"/>
    <cellStyle name="Title 39 2 3" xfId="17205" xr:uid="{48552723-C588-4783-BA55-BDE4A9C1C96A}"/>
    <cellStyle name="Title 39 2 3 2" xfId="17206" xr:uid="{1900BC32-A103-4DB3-AAAE-1FBF03D645EC}"/>
    <cellStyle name="Title 39 2 4" xfId="17207" xr:uid="{411B138F-2AC2-4978-AEDD-71E0B142D4B3}"/>
    <cellStyle name="Title 39 2 5" xfId="17208" xr:uid="{5D20B5FA-AAB7-4B9F-A11A-25698B256C90}"/>
    <cellStyle name="Title 39 3" xfId="17209" xr:uid="{B990A8AB-5B69-4849-B43A-112C275D2CA3}"/>
    <cellStyle name="Title 39 3 2" xfId="17210" xr:uid="{AC4149E0-F791-41A4-AE70-ABCAF2A26AFC}"/>
    <cellStyle name="Title 39 3 2 2" xfId="17211" xr:uid="{564CBB18-AB20-47D6-90A3-B8602BD61ECB}"/>
    <cellStyle name="Title 39 3 3" xfId="17212" xr:uid="{1E885DC3-7933-4BE3-B769-B4E5971E68CF}"/>
    <cellStyle name="Title 39 3 3 2" xfId="17213" xr:uid="{9234EB9F-6D41-47A5-8F83-3611AF17FC68}"/>
    <cellStyle name="Title 39 3 4" xfId="17214" xr:uid="{A3FC0C60-FF62-4691-A9D8-11B2BCE2D885}"/>
    <cellStyle name="Title 39 4" xfId="17215" xr:uid="{ADBFC675-F520-4CDC-9530-2255F76FB5FB}"/>
    <cellStyle name="Title 39 4 2" xfId="17216" xr:uid="{ED573534-5774-4A75-A84F-843F787F0AC1}"/>
    <cellStyle name="Title 39 4 2 2" xfId="17217" xr:uid="{72FA8A9C-BC4B-48C7-B316-8D4CBA89C7AC}"/>
    <cellStyle name="Title 39 4 3" xfId="17218" xr:uid="{34D1132A-F6AC-4394-B5F1-3E664B55C888}"/>
    <cellStyle name="Title 39 4 3 2" xfId="17219" xr:uid="{6A7833D2-A18F-4C0D-8ACF-AB07D2536257}"/>
    <cellStyle name="Title 39 4 4" xfId="17220" xr:uid="{1D93A5E1-81D1-4345-8D90-A58C6EF9AE83}"/>
    <cellStyle name="Title 39 5" xfId="17221" xr:uid="{BD9E153A-98CE-4FF8-84F9-512B0172A0FE}"/>
    <cellStyle name="Title 39 5 2" xfId="17222" xr:uid="{41212D23-E095-4179-A0B9-DE5ECD6B32A5}"/>
    <cellStyle name="Title 39 5 2 2" xfId="17223" xr:uid="{F7024FE1-FABB-457E-A373-D49411047CC9}"/>
    <cellStyle name="Title 39 5 3" xfId="17224" xr:uid="{894748E5-0321-4498-9D29-4F9E970469F5}"/>
    <cellStyle name="Title 39 5 3 2" xfId="17225" xr:uid="{533DBB70-8833-4311-B2D0-66D525FCAD2E}"/>
    <cellStyle name="Title 39 5 4" xfId="17226" xr:uid="{92621442-CDBF-4755-837B-68607D5080C5}"/>
    <cellStyle name="Title 39 5 4 2" xfId="17227" xr:uid="{66D7B85D-22E9-4743-9EAA-AB791D212811}"/>
    <cellStyle name="Title 39 5 5" xfId="17228" xr:uid="{E0822269-240A-4532-92AA-700C9DBBF11A}"/>
    <cellStyle name="Title 39 6" xfId="17229" xr:uid="{BFD6624A-740F-4591-82F8-F66DF2548770}"/>
    <cellStyle name="Title 39 6 2" xfId="17230" xr:uid="{F24568D6-B82B-43FE-8BE1-85E56FD661C2}"/>
    <cellStyle name="Title 39 6 2 2" xfId="17231" xr:uid="{6A33324B-BF87-4A50-969E-EEC7CECB2712}"/>
    <cellStyle name="Title 39 6 3" xfId="17232" xr:uid="{363F38A6-7D5D-40BC-B5E0-693ECCE1C2E0}"/>
    <cellStyle name="Title 39 6 3 2" xfId="17233" xr:uid="{BA7CB87C-21D9-47F6-8145-1A2978DC7765}"/>
    <cellStyle name="Title 39 6 4" xfId="17234" xr:uid="{6321D6D8-3AFA-4ADD-B61D-29E6A0EE9C16}"/>
    <cellStyle name="Title 39 7" xfId="17235" xr:uid="{78314DB2-1408-45F0-9B2A-D29DA369B323}"/>
    <cellStyle name="Title 39 7 2" xfId="17236" xr:uid="{C64C0596-F7BB-4274-B01E-528EE3EB9860}"/>
    <cellStyle name="Title 39 8" xfId="17237" xr:uid="{8F5FC7E2-2156-494E-BAC6-2605C67026ED}"/>
    <cellStyle name="Title 39 8 2" xfId="17238" xr:uid="{55D0F7B6-C66B-4B68-B4DA-D8F1AE676E37}"/>
    <cellStyle name="Title 39 9" xfId="17239" xr:uid="{650700DC-C479-4AE6-86C4-DF4908F23E7C}"/>
    <cellStyle name="Title 39 9 2" xfId="17240" xr:uid="{F75E5741-2624-4B56-8F74-1CF48D01CE1E}"/>
    <cellStyle name="Title 4" xfId="3297" xr:uid="{2807585B-07C9-4DE4-B029-5E54CC39355B}"/>
    <cellStyle name="Title 4 10" xfId="17242" xr:uid="{48E2DC23-5EFE-4F7E-BA2D-FB06B7F87D15}"/>
    <cellStyle name="Title 4 10 2" xfId="17243" xr:uid="{6F0A359A-B76B-4DFC-8F78-CD2441039283}"/>
    <cellStyle name="Title 4 11" xfId="17244" xr:uid="{6B909953-CB1B-4E86-84A7-6065C5B187DB}"/>
    <cellStyle name="Title 4 12" xfId="17245" xr:uid="{DBB4414C-4663-4585-BD9D-906A602E20F5}"/>
    <cellStyle name="Title 4 13" xfId="17241" xr:uid="{7DA98AA7-ADAF-4A59-A521-3F850BFB9F1B}"/>
    <cellStyle name="Title 4 2" xfId="17246" xr:uid="{50F3D134-9B5B-4CED-B8AB-18392658505F}"/>
    <cellStyle name="Title 4 2 10" xfId="17247" xr:uid="{3472F1DE-994B-4F4D-AB12-800FF67520A5}"/>
    <cellStyle name="Title 4 2 2" xfId="17248" xr:uid="{24059642-BC11-4348-A976-36FC0C226E01}"/>
    <cellStyle name="Title 4 2 2 2" xfId="17249" xr:uid="{6B416895-306D-4A49-8F86-6674745E33E4}"/>
    <cellStyle name="Title 4 2 2 2 2" xfId="17250" xr:uid="{E9454634-9893-4B64-81C7-807A6FFB05D1}"/>
    <cellStyle name="Title 4 2 2 3" xfId="17251" xr:uid="{ED7D65E0-C8FA-48EA-8ED4-7AB520F2ED9F}"/>
    <cellStyle name="Title 4 2 2 3 2" xfId="17252" xr:uid="{BBF1FAE4-AAD0-4C1B-8B91-E7CF6D08B630}"/>
    <cellStyle name="Title 4 2 2 4" xfId="17253" xr:uid="{D655D4CF-A9C2-46CA-B547-A7B83059EFF7}"/>
    <cellStyle name="Title 4 2 3" xfId="17254" xr:uid="{B50AC81E-692B-45EF-ADE2-828933C3F61A}"/>
    <cellStyle name="Title 4 2 3 2" xfId="17255" xr:uid="{ED91E921-441D-4367-8A50-6664643B7CC2}"/>
    <cellStyle name="Title 4 2 3 2 2" xfId="17256" xr:uid="{E377C12E-9C89-41DD-8211-F1496B06468E}"/>
    <cellStyle name="Title 4 2 3 3" xfId="17257" xr:uid="{6898305B-8CCE-491D-AE53-E1DA1475EAD7}"/>
    <cellStyle name="Title 4 2 3 3 2" xfId="17258" xr:uid="{C5960579-A221-47CB-ACF2-EC3D4003D3DB}"/>
    <cellStyle name="Title 4 2 3 4" xfId="17259" xr:uid="{E8A1192C-811F-4283-807D-D09D97D08861}"/>
    <cellStyle name="Title 4 2 4" xfId="17260" xr:uid="{0D0BCF51-89D3-45FD-A160-8A0DEDA9C659}"/>
    <cellStyle name="Title 4 2 4 2" xfId="17261" xr:uid="{566BA558-53F2-411F-8438-17A0DBBA743B}"/>
    <cellStyle name="Title 4 2 4 2 2" xfId="17262" xr:uid="{C31F02FC-F397-45CA-88E4-B3B68959B15E}"/>
    <cellStyle name="Title 4 2 4 3" xfId="17263" xr:uid="{8A52ED1B-17FD-4B05-8383-E87CE5493D48}"/>
    <cellStyle name="Title 4 2 4 3 2" xfId="17264" xr:uid="{F48D238A-6E65-4B5A-9E99-12F5C627F092}"/>
    <cellStyle name="Title 4 2 4 4" xfId="17265" xr:uid="{202A91F5-2331-4617-8D2A-341B93502F6C}"/>
    <cellStyle name="Title 4 2 4 4 2" xfId="17266" xr:uid="{C5B84CA4-8D87-4B6E-852B-3E7D3137217E}"/>
    <cellStyle name="Title 4 2 4 5" xfId="17267" xr:uid="{20D303EF-D594-4BA6-9326-4B13478AED5D}"/>
    <cellStyle name="Title 4 2 5" xfId="17268" xr:uid="{4E92FC79-CA40-4612-B300-7BC9238A4A37}"/>
    <cellStyle name="Title 4 2 5 2" xfId="17269" xr:uid="{DAFDE4F7-C8FE-457E-A2D8-03AF21F4AAEC}"/>
    <cellStyle name="Title 4 2 5 2 2" xfId="17270" xr:uid="{CA6A61FB-F3C1-4518-8EBD-62DF95B7E1AC}"/>
    <cellStyle name="Title 4 2 5 3" xfId="17271" xr:uid="{DC9963D5-C883-4644-AC31-947BA32B4C43}"/>
    <cellStyle name="Title 4 2 5 3 2" xfId="17272" xr:uid="{F58BD0C1-B410-4ACE-A70C-7C9496A682A6}"/>
    <cellStyle name="Title 4 2 5 4" xfId="17273" xr:uid="{DA478D04-92F4-435E-B579-35F22CB41306}"/>
    <cellStyle name="Title 4 2 6" xfId="17274" xr:uid="{A2AD41EA-24C5-49D6-B9E5-B3684C416CB1}"/>
    <cellStyle name="Title 4 2 6 2" xfId="17275" xr:uid="{739FBA5D-F86F-4CAC-9324-DE4331A58187}"/>
    <cellStyle name="Title 4 2 7" xfId="17276" xr:uid="{FD160696-D010-4C7D-B884-2E433ED25390}"/>
    <cellStyle name="Title 4 2 7 2" xfId="17277" xr:uid="{F34D0855-E219-4900-B679-75E80E659393}"/>
    <cellStyle name="Title 4 2 8" xfId="17278" xr:uid="{BEF9A792-37CB-4BA1-AA13-C31F5D525B74}"/>
    <cellStyle name="Title 4 2 8 2" xfId="17279" xr:uid="{C8887B8F-8C38-43B3-9A1A-AAFC6E0AED16}"/>
    <cellStyle name="Title 4 2 9" xfId="17280" xr:uid="{1B47C241-D3A1-44E0-A272-9892A7C915AF}"/>
    <cellStyle name="Title 4 3" xfId="17281" xr:uid="{46D3A76B-B670-44ED-AC61-AD848DC15144}"/>
    <cellStyle name="Title 4 3 2" xfId="17282" xr:uid="{EC13ABE4-1C45-4FB6-9B88-878E9D02581B}"/>
    <cellStyle name="Title 4 3 2 2" xfId="17283" xr:uid="{40148136-0F97-47EC-84A1-0FF5DA743BB5}"/>
    <cellStyle name="Title 4 3 3" xfId="17284" xr:uid="{00ADE89D-56F8-4BB0-AB1F-730F2F4CEA88}"/>
    <cellStyle name="Title 4 3 3 2" xfId="17285" xr:uid="{8EA75071-9A26-483E-B075-44291CE28706}"/>
    <cellStyle name="Title 4 3 4" xfId="17286" xr:uid="{FA953DD2-8F5F-4546-8B02-DFF5B0DB38B2}"/>
    <cellStyle name="Title 4 3 5" xfId="17287" xr:uid="{8B9AD881-3841-4F40-A8DC-2661C4BF196E}"/>
    <cellStyle name="Title 4 4" xfId="17288" xr:uid="{B5781A75-DA2D-4190-8A29-480D6D8900D6}"/>
    <cellStyle name="Title 4 4 2" xfId="17289" xr:uid="{6CBC07D7-E8B0-439B-B52C-B309F9519B58}"/>
    <cellStyle name="Title 4 4 2 2" xfId="17290" xr:uid="{2CC818FF-FF7A-4B33-95E0-A41BA6388CE6}"/>
    <cellStyle name="Title 4 4 3" xfId="17291" xr:uid="{30C26661-0DB8-4140-A679-03D602DCA321}"/>
    <cellStyle name="Title 4 4 3 2" xfId="17292" xr:uid="{C73C3C73-C916-4CAC-B73A-55A11440C386}"/>
    <cellStyle name="Title 4 4 4" xfId="17293" xr:uid="{08830464-9100-4F8A-82FD-42930F184F83}"/>
    <cellStyle name="Title 4 5" xfId="17294" xr:uid="{8BED9F70-46BC-4DB0-80C5-9E1E19218DE9}"/>
    <cellStyle name="Title 4 5 2" xfId="17295" xr:uid="{039EEE3F-6130-4E78-8EA0-55E62CA3DCBF}"/>
    <cellStyle name="Title 4 5 2 2" xfId="17296" xr:uid="{28D9FC4F-CA58-4537-A68C-7EE9978901AD}"/>
    <cellStyle name="Title 4 5 3" xfId="17297" xr:uid="{0A1C2C8B-F6EC-42FF-B292-3036AEABBFCC}"/>
    <cellStyle name="Title 4 5 3 2" xfId="17298" xr:uid="{F8146F0C-9A67-456F-8C89-BFDBDF0FFF6B}"/>
    <cellStyle name="Title 4 5 4" xfId="17299" xr:uid="{67EDBC69-C1EC-4ED8-BF0A-F5297B52CC94}"/>
    <cellStyle name="Title 4 6" xfId="17300" xr:uid="{AC21B980-86C7-4D88-B8A1-1C45C7127515}"/>
    <cellStyle name="Title 4 6 2" xfId="17301" xr:uid="{E6CE9C12-5114-4301-A26F-3636C9FB5F6C}"/>
    <cellStyle name="Title 4 6 2 2" xfId="17302" xr:uid="{D0AC0B84-55D7-4AD3-BE20-D923232A8772}"/>
    <cellStyle name="Title 4 6 3" xfId="17303" xr:uid="{1BA6272D-65C0-4261-A53C-A69324EEAA98}"/>
    <cellStyle name="Title 4 6 3 2" xfId="17304" xr:uid="{63CF9ED2-F7D4-439A-9CBA-8EED79FBA7DF}"/>
    <cellStyle name="Title 4 6 4" xfId="17305" xr:uid="{C25A932A-B420-4F21-9782-56F7B1405646}"/>
    <cellStyle name="Title 4 6 4 2" xfId="17306" xr:uid="{41F1EF91-F656-4246-9C17-F3C75F0F222F}"/>
    <cellStyle name="Title 4 6 5" xfId="17307" xr:uid="{D9F8455E-F423-4EB5-B971-04219113B5CF}"/>
    <cellStyle name="Title 4 7" xfId="17308" xr:uid="{7257FFD0-143F-4E1E-91F9-8A25B854FDAC}"/>
    <cellStyle name="Title 4 7 2" xfId="17309" xr:uid="{69458187-005D-4894-858E-CE30A949A065}"/>
    <cellStyle name="Title 4 7 2 2" xfId="17310" xr:uid="{F1C53336-6882-48B8-B0C0-6A1B61493E41}"/>
    <cellStyle name="Title 4 7 3" xfId="17311" xr:uid="{39D7647E-13F4-42F8-BC49-2BE473490BB0}"/>
    <cellStyle name="Title 4 7 3 2" xfId="17312" xr:uid="{2BF6DDCF-9ECC-4B8B-9CCE-070E75E02403}"/>
    <cellStyle name="Title 4 7 4" xfId="17313" xr:uid="{4061B4BB-D6E9-479E-94FA-E7E3045D226E}"/>
    <cellStyle name="Title 4 8" xfId="17314" xr:uid="{38F21F48-B778-410A-9F4F-7CF0AD1C8C32}"/>
    <cellStyle name="Title 4 8 2" xfId="17315" xr:uid="{B499170F-008C-4A65-BEF2-3AEE982F2B04}"/>
    <cellStyle name="Title 4 9" xfId="17316" xr:uid="{DCB76CCA-04F0-456C-AFF6-023AD0AF47EE}"/>
    <cellStyle name="Title 4 9 2" xfId="17317" xr:uid="{095373D5-4BB1-4116-A8E5-6C018ACF68FA}"/>
    <cellStyle name="Title 40" xfId="3298" xr:uid="{DC37F66B-577D-416D-B0D5-1D2936367962}"/>
    <cellStyle name="Title 40 10" xfId="17319" xr:uid="{3DB0B37E-261E-4E3A-9F7C-316192FEA754}"/>
    <cellStyle name="Title 40 11" xfId="17320" xr:uid="{6AB15755-5A5D-4719-A771-9C9CADE709E5}"/>
    <cellStyle name="Title 40 12" xfId="17318" xr:uid="{7F6C81EB-02EB-4F77-9B04-396CEA15C1AD}"/>
    <cellStyle name="Title 40 2" xfId="17321" xr:uid="{FA0055FC-B90E-46EF-891C-5EEBEDB84C42}"/>
    <cellStyle name="Title 40 2 2" xfId="17322" xr:uid="{600F3FC7-BA03-4DFE-9B8F-CBAB9E8D0156}"/>
    <cellStyle name="Title 40 2 2 2" xfId="17323" xr:uid="{D620934A-935B-4DD2-AB29-15E6C6CFF89F}"/>
    <cellStyle name="Title 40 2 3" xfId="17324" xr:uid="{35EB0AD2-5EC4-4234-BEA4-0BB298C44CB5}"/>
    <cellStyle name="Title 40 2 3 2" xfId="17325" xr:uid="{1AF36702-50F2-4FC4-8B57-9F7F1A592D54}"/>
    <cellStyle name="Title 40 2 4" xfId="17326" xr:uid="{2BBD0463-1D8A-4DE7-BBCE-BAFB069C1E2F}"/>
    <cellStyle name="Title 40 2 5" xfId="17327" xr:uid="{8BEAD9D6-4265-4DB6-A4CF-829B2BB5171C}"/>
    <cellStyle name="Title 40 3" xfId="17328" xr:uid="{8775F621-75E5-476A-8EEF-4E29136F5070}"/>
    <cellStyle name="Title 40 3 2" xfId="17329" xr:uid="{206600A6-222D-4578-A134-117FCB5F935F}"/>
    <cellStyle name="Title 40 3 2 2" xfId="17330" xr:uid="{4B338FE0-3855-495D-B0B5-1617A63F3FFF}"/>
    <cellStyle name="Title 40 3 3" xfId="17331" xr:uid="{611EEC5E-E981-4A14-866A-C5ADA61B64D5}"/>
    <cellStyle name="Title 40 3 3 2" xfId="17332" xr:uid="{94A74F0E-72E4-4E3B-B499-67F2767B8A74}"/>
    <cellStyle name="Title 40 3 4" xfId="17333" xr:uid="{001EA5F5-3915-43D1-801D-8138519FB143}"/>
    <cellStyle name="Title 40 4" xfId="17334" xr:uid="{CF131885-D0BF-4966-B88C-E7FE1C0A938F}"/>
    <cellStyle name="Title 40 4 2" xfId="17335" xr:uid="{79D49B7A-4015-4ECD-9FBC-54D9B22F3C96}"/>
    <cellStyle name="Title 40 4 2 2" xfId="17336" xr:uid="{4523A22C-2E9B-4C8F-857B-085A10A470B6}"/>
    <cellStyle name="Title 40 4 3" xfId="17337" xr:uid="{A4398E94-D845-4D30-80BB-12E6E83BD82A}"/>
    <cellStyle name="Title 40 4 3 2" xfId="17338" xr:uid="{42B5A1D3-61F8-43A0-8753-FC09C726025A}"/>
    <cellStyle name="Title 40 4 4" xfId="17339" xr:uid="{2FC1F5EA-7589-4BAD-98D9-96A39CD6E31D}"/>
    <cellStyle name="Title 40 5" xfId="17340" xr:uid="{BA500DDE-7ADB-466E-9435-621F36EB4301}"/>
    <cellStyle name="Title 40 5 2" xfId="17341" xr:uid="{809ED2C9-6E91-4BCA-8FD3-43CBFAF10426}"/>
    <cellStyle name="Title 40 5 2 2" xfId="17342" xr:uid="{D7462241-3A4F-4EF4-961A-DD095469D72C}"/>
    <cellStyle name="Title 40 5 3" xfId="17343" xr:uid="{85482D5E-B469-4655-A11E-FEA90520609E}"/>
    <cellStyle name="Title 40 5 3 2" xfId="17344" xr:uid="{5EA3CFD7-B64F-4AC1-9EA1-BDFFD1D50873}"/>
    <cellStyle name="Title 40 5 4" xfId="17345" xr:uid="{3AE7D809-E5E6-4F01-B2D4-3EE46619D4F4}"/>
    <cellStyle name="Title 40 5 4 2" xfId="17346" xr:uid="{475E24B0-F2D8-4884-8579-9A6CB4F9C55E}"/>
    <cellStyle name="Title 40 5 5" xfId="17347" xr:uid="{205E8534-79AD-4426-A0EF-E80AA17ED9ED}"/>
    <cellStyle name="Title 40 6" xfId="17348" xr:uid="{3573F404-1B4B-490E-9025-1771E1C6736B}"/>
    <cellStyle name="Title 40 6 2" xfId="17349" xr:uid="{742555F5-72D5-4674-83BE-13B0FF8A1589}"/>
    <cellStyle name="Title 40 6 2 2" xfId="17350" xr:uid="{FA883F19-409A-41F3-A475-AB4AEA8B7FB7}"/>
    <cellStyle name="Title 40 6 3" xfId="17351" xr:uid="{63283087-2E76-4B61-973B-D8E5D03511F9}"/>
    <cellStyle name="Title 40 6 3 2" xfId="17352" xr:uid="{CC61C524-B12C-48E5-8E6A-7D87F93C11D8}"/>
    <cellStyle name="Title 40 6 4" xfId="17353" xr:uid="{2AEEA6FA-CB6C-4D7E-9434-019ED1C22C3F}"/>
    <cellStyle name="Title 40 7" xfId="17354" xr:uid="{E8D8AACF-CEE5-43F3-9BF2-651460461277}"/>
    <cellStyle name="Title 40 7 2" xfId="17355" xr:uid="{F62450E2-9705-4993-838A-FE0A78AEEFF4}"/>
    <cellStyle name="Title 40 8" xfId="17356" xr:uid="{466DCF53-90BB-4EF2-ADD4-7C3954356773}"/>
    <cellStyle name="Title 40 8 2" xfId="17357" xr:uid="{EBBCE5B5-E7FB-441A-9B3A-64F9B565CEE3}"/>
    <cellStyle name="Title 40 9" xfId="17358" xr:uid="{643257C5-40E9-4F39-933A-86402584E472}"/>
    <cellStyle name="Title 40 9 2" xfId="17359" xr:uid="{4E0BA8B6-33F4-431D-97B8-4D1D1C7C16A3}"/>
    <cellStyle name="Title 41" xfId="3299" xr:uid="{751F23E0-B1B5-4DAD-A453-E9E3B14DD4C1}"/>
    <cellStyle name="Title 41 10" xfId="17361" xr:uid="{2E2B458E-9A2B-44AE-AD6D-897E1974C397}"/>
    <cellStyle name="Title 41 11" xfId="17362" xr:uid="{E0C57094-705D-4E2D-89B2-936BACC75839}"/>
    <cellStyle name="Title 41 12" xfId="17360" xr:uid="{71D2ECE7-0D1B-4B00-9140-5426DEEC56FD}"/>
    <cellStyle name="Title 41 2" xfId="17363" xr:uid="{E28ED30B-6DBD-4D7B-9213-F6C7800AAE29}"/>
    <cellStyle name="Title 41 2 2" xfId="17364" xr:uid="{D7CFFFDF-D708-4FC2-89C2-3240026BCC81}"/>
    <cellStyle name="Title 41 2 2 2" xfId="17365" xr:uid="{5FE84367-64E9-4528-A969-ABC12EFCBDE4}"/>
    <cellStyle name="Title 41 2 3" xfId="17366" xr:uid="{13D81F35-A3B4-4CFA-9EB2-AE8B155B8A00}"/>
    <cellStyle name="Title 41 2 3 2" xfId="17367" xr:uid="{BB638202-4F37-42F5-A66D-E8FF3E780D1E}"/>
    <cellStyle name="Title 41 2 4" xfId="17368" xr:uid="{95C92FEB-423B-48EC-9ADE-28B752374F40}"/>
    <cellStyle name="Title 41 2 5" xfId="17369" xr:uid="{D7F89CF2-DDF7-4238-9A10-240CB071709A}"/>
    <cellStyle name="Title 41 3" xfId="17370" xr:uid="{85ECC877-74D2-4359-A168-80BD9B91E732}"/>
    <cellStyle name="Title 41 3 2" xfId="17371" xr:uid="{8255CE4E-27CB-4B55-97A4-07773E2AACB8}"/>
    <cellStyle name="Title 41 3 2 2" xfId="17372" xr:uid="{3184A18D-7106-4976-B140-FDF6059FFC27}"/>
    <cellStyle name="Title 41 3 3" xfId="17373" xr:uid="{47849FFA-A6AA-48D7-A817-A9E9E2918D58}"/>
    <cellStyle name="Title 41 3 3 2" xfId="17374" xr:uid="{AD818154-B946-4BF4-A403-BC21C807B620}"/>
    <cellStyle name="Title 41 3 4" xfId="17375" xr:uid="{51804D4C-8158-4EA5-B680-00CFD6DCA44E}"/>
    <cellStyle name="Title 41 4" xfId="17376" xr:uid="{FB4D1C89-B0D0-46DE-B26B-36FE6496A701}"/>
    <cellStyle name="Title 41 4 2" xfId="17377" xr:uid="{7658FB06-13B7-40CE-A1CA-8267CC97FB6B}"/>
    <cellStyle name="Title 41 4 2 2" xfId="17378" xr:uid="{E9EA61FD-D053-414D-855D-635C148A0E73}"/>
    <cellStyle name="Title 41 4 3" xfId="17379" xr:uid="{D7053542-3438-42E9-B845-BF88BB759D08}"/>
    <cellStyle name="Title 41 4 3 2" xfId="17380" xr:uid="{3CA17E5A-E813-445E-8737-4270C2F9ECDA}"/>
    <cellStyle name="Title 41 4 4" xfId="17381" xr:uid="{AEC1DF36-0A42-4A16-8739-0CC64FECCF8B}"/>
    <cellStyle name="Title 41 5" xfId="17382" xr:uid="{BDE633DF-4EB2-4DFD-91A6-853DBA74D131}"/>
    <cellStyle name="Title 41 5 2" xfId="17383" xr:uid="{5FAEA8BC-9E4A-41D7-B367-BDB6EDD8A48D}"/>
    <cellStyle name="Title 41 5 2 2" xfId="17384" xr:uid="{A95A2F5C-B848-4553-99DF-37351C59ABD6}"/>
    <cellStyle name="Title 41 5 3" xfId="17385" xr:uid="{8DA651D3-68DD-42F4-8372-EB186A0EA11C}"/>
    <cellStyle name="Title 41 5 3 2" xfId="17386" xr:uid="{7278D05C-6E27-4B58-97E4-C847ADFE1B0D}"/>
    <cellStyle name="Title 41 5 4" xfId="17387" xr:uid="{93EA7FC8-C2C3-403B-A527-C1D9A733FC8E}"/>
    <cellStyle name="Title 41 5 4 2" xfId="17388" xr:uid="{DED3E76E-23A9-4491-8876-4EB4A778D491}"/>
    <cellStyle name="Title 41 5 5" xfId="17389" xr:uid="{34E8DEB1-BD63-40A6-9A56-E9EC78F27906}"/>
    <cellStyle name="Title 41 6" xfId="17390" xr:uid="{4B909E7B-1C1C-436D-A9F0-D51FA86BDBCC}"/>
    <cellStyle name="Title 41 6 2" xfId="17391" xr:uid="{490C8956-5BFA-4B2A-8648-46DDA0D745B2}"/>
    <cellStyle name="Title 41 6 2 2" xfId="17392" xr:uid="{F03DDCE0-AAE8-4F28-83EE-2430B6495DFD}"/>
    <cellStyle name="Title 41 6 3" xfId="17393" xr:uid="{03325C0D-02FA-4482-B093-E665D691B936}"/>
    <cellStyle name="Title 41 6 3 2" xfId="17394" xr:uid="{8C184740-6F19-4E30-8349-39D00EFFE799}"/>
    <cellStyle name="Title 41 6 4" xfId="17395" xr:uid="{E8E8E6E2-24E4-4B5A-9E91-5E14D2F33F5C}"/>
    <cellStyle name="Title 41 7" xfId="17396" xr:uid="{347C2859-6532-41B0-A63F-30454C779663}"/>
    <cellStyle name="Title 41 7 2" xfId="17397" xr:uid="{A1588403-27C2-45FC-8494-7E3EB9702DBD}"/>
    <cellStyle name="Title 41 8" xfId="17398" xr:uid="{A2570399-76D1-4C1B-87FB-223BC1F85F9F}"/>
    <cellStyle name="Title 41 8 2" xfId="17399" xr:uid="{53BB4426-8548-4557-B312-518E2FB4D7AF}"/>
    <cellStyle name="Title 41 9" xfId="17400" xr:uid="{C9D078E0-7326-480B-8933-20B5D04BA82D}"/>
    <cellStyle name="Title 41 9 2" xfId="17401" xr:uid="{E4880F31-EB07-4708-862F-1A87D9C718E4}"/>
    <cellStyle name="Title 42" xfId="3300" xr:uid="{B6594A64-60E3-4378-8F26-D0AC39B530BB}"/>
    <cellStyle name="Title 42 10" xfId="17403" xr:uid="{5AD39B82-333A-4493-B525-66725330D4D4}"/>
    <cellStyle name="Title 42 11" xfId="17404" xr:uid="{AB25D88E-23EB-442F-B9D8-3A6574F42E68}"/>
    <cellStyle name="Title 42 12" xfId="17402" xr:uid="{AEBF63EE-1F49-48DE-97F0-9721399FD394}"/>
    <cellStyle name="Title 42 2" xfId="17405" xr:uid="{9DB15BCA-5D96-4AC6-9590-44939C244800}"/>
    <cellStyle name="Title 42 2 2" xfId="17406" xr:uid="{F7A34717-8BBC-4750-85E0-AC838DA43938}"/>
    <cellStyle name="Title 42 2 2 2" xfId="17407" xr:uid="{BEF4AC50-C069-4766-99E9-6BA2D6465FE9}"/>
    <cellStyle name="Title 42 2 3" xfId="17408" xr:uid="{19BDA879-BBA7-4E21-AF1E-832793B9EFA3}"/>
    <cellStyle name="Title 42 2 3 2" xfId="17409" xr:uid="{3A3BF683-03EE-4678-B98A-637E381B65DF}"/>
    <cellStyle name="Title 42 2 4" xfId="17410" xr:uid="{7DDB37CF-47AD-44E7-9EC9-EDF44105979B}"/>
    <cellStyle name="Title 42 2 5" xfId="17411" xr:uid="{47737DC9-7226-4E2D-BB4F-BFFFB73375F5}"/>
    <cellStyle name="Title 42 3" xfId="17412" xr:uid="{00FAD21C-E7ED-410F-A705-D38863E55294}"/>
    <cellStyle name="Title 42 3 2" xfId="17413" xr:uid="{3FDB4917-1F6C-49A6-B6CF-800B62882831}"/>
    <cellStyle name="Title 42 3 2 2" xfId="17414" xr:uid="{4C51AA63-B235-4402-BB69-BC23EA8F390C}"/>
    <cellStyle name="Title 42 3 3" xfId="17415" xr:uid="{93671452-4DBE-40E7-8EAB-98E683DE0D14}"/>
    <cellStyle name="Title 42 3 3 2" xfId="17416" xr:uid="{7AB9C535-3AE8-4BF5-A56A-DD7949522E93}"/>
    <cellStyle name="Title 42 3 4" xfId="17417" xr:uid="{5B481FDB-C274-47B0-9351-3686F3C254A7}"/>
    <cellStyle name="Title 42 4" xfId="17418" xr:uid="{1A0114AA-F857-4743-9BB1-58782A4F3598}"/>
    <cellStyle name="Title 42 4 2" xfId="17419" xr:uid="{9141D3DD-3345-417A-96C7-978D72648B78}"/>
    <cellStyle name="Title 42 4 2 2" xfId="17420" xr:uid="{6021DD16-EE78-4410-9DDB-320A4A017536}"/>
    <cellStyle name="Title 42 4 3" xfId="17421" xr:uid="{6C197C22-9A9E-432E-9FAF-D8E0FB69BC6C}"/>
    <cellStyle name="Title 42 4 3 2" xfId="17422" xr:uid="{F653B029-F878-42B2-BABB-6641924FA822}"/>
    <cellStyle name="Title 42 4 4" xfId="17423" xr:uid="{334FA751-4AA0-4047-8355-24618E736F8D}"/>
    <cellStyle name="Title 42 5" xfId="17424" xr:uid="{AF8E41F4-5CF9-4C2F-ADA0-BD9313C6E6A6}"/>
    <cellStyle name="Title 42 5 2" xfId="17425" xr:uid="{1332E348-F420-4BFF-BF8E-A57D00144691}"/>
    <cellStyle name="Title 42 5 2 2" xfId="17426" xr:uid="{1F2F72C0-F109-44A8-AB13-4623CB3D0A60}"/>
    <cellStyle name="Title 42 5 3" xfId="17427" xr:uid="{08C69573-21C4-488E-A2A5-114BFBDC2F0E}"/>
    <cellStyle name="Title 42 5 3 2" xfId="17428" xr:uid="{50476B9A-169D-40A6-8FDD-DEBCDFC1AE2E}"/>
    <cellStyle name="Title 42 5 4" xfId="17429" xr:uid="{E4A21961-E2D7-4588-82A9-27556C79D79B}"/>
    <cellStyle name="Title 42 5 4 2" xfId="17430" xr:uid="{ADAF2F08-477E-4BA5-9E30-C27D2BA0ECE1}"/>
    <cellStyle name="Title 42 5 5" xfId="17431" xr:uid="{BDDBC5CB-AABA-419C-85C0-184566A072FE}"/>
    <cellStyle name="Title 42 6" xfId="17432" xr:uid="{FFA98973-0605-40E8-9E2B-FB152A58CAB1}"/>
    <cellStyle name="Title 42 6 2" xfId="17433" xr:uid="{28231964-169F-4E02-B6AB-72DA07D8D379}"/>
    <cellStyle name="Title 42 6 2 2" xfId="17434" xr:uid="{045700F7-C14E-42B2-8779-122984AB5798}"/>
    <cellStyle name="Title 42 6 3" xfId="17435" xr:uid="{8DF4871C-4F3E-4DEB-85FC-EBB6D58436E1}"/>
    <cellStyle name="Title 42 6 3 2" xfId="17436" xr:uid="{5CCDC9B6-43D0-4882-8712-3C1836873173}"/>
    <cellStyle name="Title 42 6 4" xfId="17437" xr:uid="{4CA8756C-A614-49BB-95A4-F44C92FA67EF}"/>
    <cellStyle name="Title 42 7" xfId="17438" xr:uid="{5C6CD4DD-8156-4DD3-95EE-74C7651D73CF}"/>
    <cellStyle name="Title 42 7 2" xfId="17439" xr:uid="{BD06FE64-014F-4A5F-B6C0-FF7FE2240ADE}"/>
    <cellStyle name="Title 42 8" xfId="17440" xr:uid="{72E3C57F-4F8E-4443-AEA5-8D064F329780}"/>
    <cellStyle name="Title 42 8 2" xfId="17441" xr:uid="{1E04423D-B541-489D-B67A-F93483F06BC6}"/>
    <cellStyle name="Title 42 9" xfId="17442" xr:uid="{5CAAA1A5-2A69-4CF9-8862-A455690B28D5}"/>
    <cellStyle name="Title 42 9 2" xfId="17443" xr:uid="{394A4A68-2FC9-4572-806D-B28548972121}"/>
    <cellStyle name="Title 43" xfId="3301" xr:uid="{05943D62-B339-443B-9E07-5A351F4E79AF}"/>
    <cellStyle name="Title 43 10" xfId="17445" xr:uid="{8DCB774F-69FD-4CE2-A803-39191EF5D0C1}"/>
    <cellStyle name="Title 43 11" xfId="17446" xr:uid="{47458E97-4D04-4E9C-A61F-89FE5608D58A}"/>
    <cellStyle name="Title 43 12" xfId="17444" xr:uid="{996D6587-4CAE-4E23-AFB5-FB715C96D161}"/>
    <cellStyle name="Title 43 2" xfId="17447" xr:uid="{F0CBA6B1-9715-46EB-8AC1-AB252E0374C1}"/>
    <cellStyle name="Title 43 2 2" xfId="17448" xr:uid="{DEDA1CCE-091D-4997-BFF7-3CAF1F2B4BBE}"/>
    <cellStyle name="Title 43 2 2 2" xfId="17449" xr:uid="{3B7FD6BB-64E6-41B2-9EF5-E24F2F233CE8}"/>
    <cellStyle name="Title 43 2 3" xfId="17450" xr:uid="{BEB7A6AB-A445-4BA0-8398-C5B2018A0A3C}"/>
    <cellStyle name="Title 43 2 3 2" xfId="17451" xr:uid="{19911E42-A933-461F-88B6-02585FBAD572}"/>
    <cellStyle name="Title 43 2 4" xfId="17452" xr:uid="{ABBA1E50-9199-4BF8-A850-63C71E55508E}"/>
    <cellStyle name="Title 43 2 5" xfId="17453" xr:uid="{1C065678-1A7E-4CEC-B158-A317B2D90E7F}"/>
    <cellStyle name="Title 43 3" xfId="17454" xr:uid="{BCEE9099-6914-4C81-B592-3DC28FB51BDB}"/>
    <cellStyle name="Title 43 3 2" xfId="17455" xr:uid="{92C387EC-270D-4A96-87FA-202936AC13C3}"/>
    <cellStyle name="Title 43 3 2 2" xfId="17456" xr:uid="{A34AFAAD-BE84-4523-A55E-85DDB3FA7507}"/>
    <cellStyle name="Title 43 3 3" xfId="17457" xr:uid="{C8EE4E15-82B8-4BFB-BBF2-BD1E0643BA60}"/>
    <cellStyle name="Title 43 3 3 2" xfId="17458" xr:uid="{D6458B58-59ED-4E39-9DDA-667DE65228A6}"/>
    <cellStyle name="Title 43 3 4" xfId="17459" xr:uid="{8C6FF24B-5007-4DEC-9BE8-10FDDA07C7BE}"/>
    <cellStyle name="Title 43 4" xfId="17460" xr:uid="{BEE400D3-73AA-400A-B90D-2F6287CC749F}"/>
    <cellStyle name="Title 43 4 2" xfId="17461" xr:uid="{8617C9BF-69DE-4A4A-A049-44E86F84DC43}"/>
    <cellStyle name="Title 43 4 2 2" xfId="17462" xr:uid="{89A334D5-F8A7-4277-AE84-1AC1CDA476B2}"/>
    <cellStyle name="Title 43 4 3" xfId="17463" xr:uid="{5FA02A79-5950-4299-B4CE-B7A9C15EEE9B}"/>
    <cellStyle name="Title 43 4 3 2" xfId="17464" xr:uid="{3C219F52-27AA-4364-B824-1C87675AC19D}"/>
    <cellStyle name="Title 43 4 4" xfId="17465" xr:uid="{F6931CB6-3A8A-4311-A46C-88467B989DED}"/>
    <cellStyle name="Title 43 5" xfId="17466" xr:uid="{2EEBED0F-A792-4C14-A5C6-BF75D26CEE5F}"/>
    <cellStyle name="Title 43 5 2" xfId="17467" xr:uid="{50DF54CC-0F60-4D94-A691-9E91BEE07742}"/>
    <cellStyle name="Title 43 5 2 2" xfId="17468" xr:uid="{C4D3267B-0C6B-4C46-9E2F-FDC4F9D550D2}"/>
    <cellStyle name="Title 43 5 3" xfId="17469" xr:uid="{C182076B-D4E6-4F25-A576-5E152234ED91}"/>
    <cellStyle name="Title 43 5 3 2" xfId="17470" xr:uid="{14F85C23-64B0-4C5A-88C6-53B7DDCB21D5}"/>
    <cellStyle name="Title 43 5 4" xfId="17471" xr:uid="{F978266D-A258-4ACB-A5F7-75D6EFD96A97}"/>
    <cellStyle name="Title 43 5 4 2" xfId="17472" xr:uid="{4114D2F4-CEA1-42C6-9A43-4A10A37F6D30}"/>
    <cellStyle name="Title 43 5 5" xfId="17473" xr:uid="{280976D4-6A8D-407C-A0A3-83EC966FC7B8}"/>
    <cellStyle name="Title 43 6" xfId="17474" xr:uid="{8D5938CE-97BC-4581-B8F9-96719F62AB55}"/>
    <cellStyle name="Title 43 6 2" xfId="17475" xr:uid="{1966F322-DC8C-4D77-AE4A-CD9D4136E6F6}"/>
    <cellStyle name="Title 43 6 2 2" xfId="17476" xr:uid="{A79770F1-BF94-42F8-AC06-FE738EE92059}"/>
    <cellStyle name="Title 43 6 3" xfId="17477" xr:uid="{F87F807A-8507-4175-A51B-F8FD8E8BC88B}"/>
    <cellStyle name="Title 43 6 3 2" xfId="17478" xr:uid="{57F67B0A-EAC1-4CFA-9528-7D1C5C3DC15F}"/>
    <cellStyle name="Title 43 6 4" xfId="17479" xr:uid="{ED8D7255-C2A0-4AA8-9ED3-AF445394ADE1}"/>
    <cellStyle name="Title 43 7" xfId="17480" xr:uid="{B077DEFB-6C3C-4B39-96BC-83C17805D3F1}"/>
    <cellStyle name="Title 43 7 2" xfId="17481" xr:uid="{201E5BE6-CA96-439F-BEA3-4324E271783C}"/>
    <cellStyle name="Title 43 8" xfId="17482" xr:uid="{D414672D-6BF2-442C-89AD-0A66BBABA6DB}"/>
    <cellStyle name="Title 43 8 2" xfId="17483" xr:uid="{A95BEBA9-FA15-48D3-B546-E5917FA62774}"/>
    <cellStyle name="Title 43 9" xfId="17484" xr:uid="{6196E3AB-E0B3-4CF3-BC37-E3D6CC3AF7A3}"/>
    <cellStyle name="Title 43 9 2" xfId="17485" xr:uid="{96FA8C4B-A24C-4515-8AC5-05667E05A829}"/>
    <cellStyle name="Title 44" xfId="46" xr:uid="{5878F5DE-2722-4A11-9C2D-38AC9D08B0B1}"/>
    <cellStyle name="Title 5" xfId="3302" xr:uid="{DB9F2C05-5E9A-4C15-9309-7849D992779F}"/>
    <cellStyle name="Title 5 10" xfId="17487" xr:uid="{656F5363-F9BA-42F7-9B2D-23D79C00DE98}"/>
    <cellStyle name="Title 5 10 2" xfId="17488" xr:uid="{ECD82678-6DDD-4C5A-A059-346CD4691694}"/>
    <cellStyle name="Title 5 11" xfId="17489" xr:uid="{F3D13F9D-2607-4B86-AC6F-1AFA7185FCDF}"/>
    <cellStyle name="Title 5 12" xfId="17490" xr:uid="{F7CD4222-B2E4-496F-BFA2-3B145D0CD810}"/>
    <cellStyle name="Title 5 13" xfId="17486" xr:uid="{C0404B13-19D3-460A-9BD6-3F7EBC28CC9A}"/>
    <cellStyle name="Title 5 2" xfId="17491" xr:uid="{49E1C03A-8351-483C-909A-9BD63783DBB1}"/>
    <cellStyle name="Title 5 2 10" xfId="17492" xr:uid="{3A25A077-C73E-4060-87AA-91EBEF882B6B}"/>
    <cellStyle name="Title 5 2 2" xfId="17493" xr:uid="{6B337385-1F38-4C57-9DD6-F69B4B688B9D}"/>
    <cellStyle name="Title 5 2 2 2" xfId="17494" xr:uid="{275551CA-D74B-45DC-BCAC-C71D977B0EF1}"/>
    <cellStyle name="Title 5 2 2 2 2" xfId="17495" xr:uid="{DBC55634-DC02-4578-9ABC-5674AAB65DD9}"/>
    <cellStyle name="Title 5 2 2 3" xfId="17496" xr:uid="{1152D562-3844-479A-8E23-14318187CBCA}"/>
    <cellStyle name="Title 5 2 2 3 2" xfId="17497" xr:uid="{EDB26599-E96E-4A12-9F07-E6CB1D920200}"/>
    <cellStyle name="Title 5 2 2 4" xfId="17498" xr:uid="{4B49032E-FB7C-4641-BCC5-E8DC0F7C6288}"/>
    <cellStyle name="Title 5 2 3" xfId="17499" xr:uid="{DFEB4E59-AA8C-4ECC-93B6-93EDDA1809A7}"/>
    <cellStyle name="Title 5 2 3 2" xfId="17500" xr:uid="{E82574C2-4F6C-4E5E-AA27-14B39A045180}"/>
    <cellStyle name="Title 5 2 3 2 2" xfId="17501" xr:uid="{489752CC-F67B-42A7-9729-C636BA96BB89}"/>
    <cellStyle name="Title 5 2 3 3" xfId="17502" xr:uid="{998CCED2-4989-43DE-A93F-4CB3B2E9A3B1}"/>
    <cellStyle name="Title 5 2 3 3 2" xfId="17503" xr:uid="{3F6B86E8-41B0-4D8D-8FF8-4226F95644C4}"/>
    <cellStyle name="Title 5 2 3 4" xfId="17504" xr:uid="{D0C4DB9B-171E-4850-9383-CFD51FC532D2}"/>
    <cellStyle name="Title 5 2 4" xfId="17505" xr:uid="{71EACE0E-91B2-4429-80A1-EC96E8C36293}"/>
    <cellStyle name="Title 5 2 4 2" xfId="17506" xr:uid="{538CE41D-48B0-4101-A713-0A66673D24A2}"/>
    <cellStyle name="Title 5 2 4 2 2" xfId="17507" xr:uid="{392EE041-A57A-42F9-9D9C-2D62378914CF}"/>
    <cellStyle name="Title 5 2 4 3" xfId="17508" xr:uid="{0E8C9BD9-789A-4B4A-8225-029B0D4DD4FA}"/>
    <cellStyle name="Title 5 2 4 3 2" xfId="17509" xr:uid="{DFE52251-A84A-48EE-B713-0F5FBB651036}"/>
    <cellStyle name="Title 5 2 4 4" xfId="17510" xr:uid="{78EA305D-3A54-41C0-A9A0-4D49C3803D20}"/>
    <cellStyle name="Title 5 2 4 4 2" xfId="17511" xr:uid="{901C08E9-0E15-4789-B21C-7E022758961D}"/>
    <cellStyle name="Title 5 2 4 5" xfId="17512" xr:uid="{6FCDA3F0-9DA4-459F-9ABB-F8BEE9438466}"/>
    <cellStyle name="Title 5 2 5" xfId="17513" xr:uid="{2A9A5630-3C59-4507-8E9D-89B25B064DAB}"/>
    <cellStyle name="Title 5 2 5 2" xfId="17514" xr:uid="{7D82AB53-1DCC-404F-843B-700BBED51BDA}"/>
    <cellStyle name="Title 5 2 5 2 2" xfId="17515" xr:uid="{B27404C0-2C90-4ECD-B0D0-885E38A0EB9D}"/>
    <cellStyle name="Title 5 2 5 3" xfId="17516" xr:uid="{6E1B4BEF-CBA4-47EA-A931-D92D472CB4EB}"/>
    <cellStyle name="Title 5 2 5 3 2" xfId="17517" xr:uid="{C135684A-3BB7-4C8B-A8F9-642F59D3BEED}"/>
    <cellStyle name="Title 5 2 5 4" xfId="17518" xr:uid="{C57122BD-CF6B-4520-85AD-8B0FB023A04C}"/>
    <cellStyle name="Title 5 2 6" xfId="17519" xr:uid="{AF396250-D7A6-4A8F-928F-1EA61765208E}"/>
    <cellStyle name="Title 5 2 6 2" xfId="17520" xr:uid="{F65DA1E4-F205-4957-AA72-FF003A49478E}"/>
    <cellStyle name="Title 5 2 7" xfId="17521" xr:uid="{9EF94BDA-E32F-4BA5-9D11-C2876B3F8A00}"/>
    <cellStyle name="Title 5 2 7 2" xfId="17522" xr:uid="{59BA36BD-F9C4-4229-B0A9-5CB6381001FF}"/>
    <cellStyle name="Title 5 2 8" xfId="17523" xr:uid="{1722C0E3-1857-4FF0-886A-86DE167A6E3E}"/>
    <cellStyle name="Title 5 2 8 2" xfId="17524" xr:uid="{EFFD6AF5-72D8-4810-A498-A10E1C6C789D}"/>
    <cellStyle name="Title 5 2 9" xfId="17525" xr:uid="{EB5A996B-8EE4-4C0B-BB8B-32F4E65363FF}"/>
    <cellStyle name="Title 5 3" xfId="17526" xr:uid="{2583F0D5-B915-49EB-B390-802C65B8C545}"/>
    <cellStyle name="Title 5 3 2" xfId="17527" xr:uid="{D1CDB903-9FB6-4C23-91BA-075D777E6473}"/>
    <cellStyle name="Title 5 3 2 2" xfId="17528" xr:uid="{E2B4B2A1-8D28-4EDD-BA4A-99088E9B5848}"/>
    <cellStyle name="Title 5 3 3" xfId="17529" xr:uid="{DACE86E6-1CEB-4173-BB83-233E52C66AAF}"/>
    <cellStyle name="Title 5 3 3 2" xfId="17530" xr:uid="{41C1A305-D1A8-46F4-8F1B-DF9B01BBE5AB}"/>
    <cellStyle name="Title 5 3 4" xfId="17531" xr:uid="{D0670755-D55C-45EE-ADB2-64D21EB4B45E}"/>
    <cellStyle name="Title 5 3 5" xfId="17532" xr:uid="{7F97A9C4-1265-4940-92C2-C4D06EEB52F9}"/>
    <cellStyle name="Title 5 4" xfId="17533" xr:uid="{30EA1663-A9D5-4D50-AFC9-E3A25456BA30}"/>
    <cellStyle name="Title 5 4 2" xfId="17534" xr:uid="{273A8C42-CB9E-4A04-8F40-2D697402BAA2}"/>
    <cellStyle name="Title 5 4 2 2" xfId="17535" xr:uid="{CDFFA656-AF4C-4B6B-A1B9-EC5967D234A5}"/>
    <cellStyle name="Title 5 4 3" xfId="17536" xr:uid="{50F8603F-580D-4782-AFD5-81DFA51C7999}"/>
    <cellStyle name="Title 5 4 3 2" xfId="17537" xr:uid="{B3A6A2A6-AEDD-4396-8342-BC9CDB1708F4}"/>
    <cellStyle name="Title 5 4 4" xfId="17538" xr:uid="{B612421C-255C-4384-B844-D1437BEE3F28}"/>
    <cellStyle name="Title 5 5" xfId="17539" xr:uid="{F5D0464E-45EA-48E6-A3A8-B849031FDF25}"/>
    <cellStyle name="Title 5 5 2" xfId="17540" xr:uid="{96C3BAD5-F118-4CDB-A2C7-63D8E5C9AAFA}"/>
    <cellStyle name="Title 5 5 2 2" xfId="17541" xr:uid="{92D1767A-58C1-4439-861A-2E6540647957}"/>
    <cellStyle name="Title 5 5 3" xfId="17542" xr:uid="{D0A6B5BA-4E0D-4F2F-9015-A55D146ED287}"/>
    <cellStyle name="Title 5 5 3 2" xfId="17543" xr:uid="{0A14F186-6C26-4A7B-9DCC-AD588F0DCA07}"/>
    <cellStyle name="Title 5 5 4" xfId="17544" xr:uid="{ACDC67F2-7603-43D6-9E64-EBB0BCA83331}"/>
    <cellStyle name="Title 5 6" xfId="17545" xr:uid="{10592D8A-47C9-437D-9B66-80117C347A52}"/>
    <cellStyle name="Title 5 6 2" xfId="17546" xr:uid="{3E7C7C81-FA8E-46D2-9384-A983F9D22DED}"/>
    <cellStyle name="Title 5 6 2 2" xfId="17547" xr:uid="{EB87AA48-5895-4D94-8F33-8C1EFEF5F866}"/>
    <cellStyle name="Title 5 6 3" xfId="17548" xr:uid="{848A0D8D-730E-4979-AB7A-132D7453C1BE}"/>
    <cellStyle name="Title 5 6 3 2" xfId="17549" xr:uid="{A6ECE62E-FA6B-4390-B9A3-13C9226C4A79}"/>
    <cellStyle name="Title 5 6 4" xfId="17550" xr:uid="{67F2CB87-D663-4132-ADB6-E33591E43634}"/>
    <cellStyle name="Title 5 6 4 2" xfId="17551" xr:uid="{BB7D5275-AFDE-435B-9406-C37A20BC344B}"/>
    <cellStyle name="Title 5 6 5" xfId="17552" xr:uid="{C6EADC56-ACC6-4CD1-96CB-AAC5B12AFB00}"/>
    <cellStyle name="Title 5 7" xfId="17553" xr:uid="{9D73C371-FBA4-4DA1-864E-5DE19829DC7E}"/>
    <cellStyle name="Title 5 7 2" xfId="17554" xr:uid="{D8282602-091A-4636-8885-3EEE7485ED94}"/>
    <cellStyle name="Title 5 7 2 2" xfId="17555" xr:uid="{6CF67F0A-1B93-4D34-9913-B415ADA348CD}"/>
    <cellStyle name="Title 5 7 3" xfId="17556" xr:uid="{3A1D0EC1-641C-4E0B-814A-D4CA6B96E47A}"/>
    <cellStyle name="Title 5 7 3 2" xfId="17557" xr:uid="{1336B766-5783-419E-9F4B-B2972B9B3662}"/>
    <cellStyle name="Title 5 7 4" xfId="17558" xr:uid="{DE7BD8B7-5BEB-440D-AC5C-C60BE5268F50}"/>
    <cellStyle name="Title 5 8" xfId="17559" xr:uid="{643CA263-9B46-4C5B-9D1E-6A7868E2DA35}"/>
    <cellStyle name="Title 5 8 2" xfId="17560" xr:uid="{6C6962F1-DD06-468B-B7AB-7F4D2C3E9226}"/>
    <cellStyle name="Title 5 9" xfId="17561" xr:uid="{7860A8BE-59CA-4CB0-9580-E1C2231EDD07}"/>
    <cellStyle name="Title 5 9 2" xfId="17562" xr:uid="{1BE3668C-D459-480B-B343-0D72B9DF68E8}"/>
    <cellStyle name="Title 6" xfId="3303" xr:uid="{D51BE863-AF96-47E0-BB8F-898154C42AF7}"/>
    <cellStyle name="Title 6 10" xfId="17564" xr:uid="{66D63C53-823C-44AD-8A4F-EB171A11D29E}"/>
    <cellStyle name="Title 6 10 2" xfId="17565" xr:uid="{59EA716F-698F-4AC5-B64E-95E0C66D5D0F}"/>
    <cellStyle name="Title 6 11" xfId="17566" xr:uid="{23248939-6A9B-4360-BB58-ECAFC2DADDAD}"/>
    <cellStyle name="Title 6 12" xfId="17567" xr:uid="{D643F0B0-7D08-4634-9E23-625A9356697E}"/>
    <cellStyle name="Title 6 13" xfId="17563" xr:uid="{AACF3FBB-F65D-4B98-8D7E-9862809AC2AC}"/>
    <cellStyle name="Title 6 2" xfId="17568" xr:uid="{BDA7B58D-7DE9-4CDE-AEED-69B3A9FA39FF}"/>
    <cellStyle name="Title 6 2 10" xfId="17569" xr:uid="{70EFBFFA-1896-47BB-9071-B7FEE44F731E}"/>
    <cellStyle name="Title 6 2 2" xfId="17570" xr:uid="{5D7A22FB-B114-4712-AD07-F9B4124EE803}"/>
    <cellStyle name="Title 6 2 2 2" xfId="17571" xr:uid="{C961C01F-8837-494F-8FBF-C2C367C62B87}"/>
    <cellStyle name="Title 6 2 2 2 2" xfId="17572" xr:uid="{EB2C7069-2D6D-48C9-875C-D9BD7149AC26}"/>
    <cellStyle name="Title 6 2 2 3" xfId="17573" xr:uid="{06F0CF9F-72F3-49B1-9920-A38EF547C8CF}"/>
    <cellStyle name="Title 6 2 2 3 2" xfId="17574" xr:uid="{6C6B7C68-E0AE-47AB-9F22-DCA02F74D1A4}"/>
    <cellStyle name="Title 6 2 2 4" xfId="17575" xr:uid="{B6112247-9492-4176-B044-D515666012C6}"/>
    <cellStyle name="Title 6 2 3" xfId="17576" xr:uid="{E3885246-7135-47BC-90AC-F8FA8A13D960}"/>
    <cellStyle name="Title 6 2 3 2" xfId="17577" xr:uid="{CEBF9575-A502-4274-BD99-E856CF343153}"/>
    <cellStyle name="Title 6 2 3 2 2" xfId="17578" xr:uid="{49A0C7C4-52A7-4303-82D0-C4FD9CECD604}"/>
    <cellStyle name="Title 6 2 3 3" xfId="17579" xr:uid="{399AF634-AD1F-4A77-A00B-450736D82717}"/>
    <cellStyle name="Title 6 2 3 3 2" xfId="17580" xr:uid="{CC922DEC-712D-4A2C-8EDA-449B8B5F712E}"/>
    <cellStyle name="Title 6 2 3 4" xfId="17581" xr:uid="{17862E9F-413B-4217-886D-0538320D79B8}"/>
    <cellStyle name="Title 6 2 4" xfId="17582" xr:uid="{D2271F3D-0F0C-4AF1-9348-5EE6B3FEEA6C}"/>
    <cellStyle name="Title 6 2 4 2" xfId="17583" xr:uid="{2843FA53-C3AA-4A66-A9F9-490163A68529}"/>
    <cellStyle name="Title 6 2 4 2 2" xfId="17584" xr:uid="{CABF2F1F-10B7-4C6E-87C0-AA1FFEDE2962}"/>
    <cellStyle name="Title 6 2 4 3" xfId="17585" xr:uid="{8786BF16-9A44-4746-A0AA-9C1C80FFE158}"/>
    <cellStyle name="Title 6 2 4 3 2" xfId="17586" xr:uid="{31BC860C-A743-44C8-AE45-8430953B38DF}"/>
    <cellStyle name="Title 6 2 4 4" xfId="17587" xr:uid="{B1FE90C6-F579-4586-8E27-4CB9CCE48ADE}"/>
    <cellStyle name="Title 6 2 4 4 2" xfId="17588" xr:uid="{9A05A4A1-3B97-44A2-9866-9D56B2D5ADB8}"/>
    <cellStyle name="Title 6 2 4 5" xfId="17589" xr:uid="{3053A63A-51E1-4348-9D8D-01ED8F9C20D7}"/>
    <cellStyle name="Title 6 2 5" xfId="17590" xr:uid="{9EF68256-D98B-4C10-A5A5-BAAC5458D4E7}"/>
    <cellStyle name="Title 6 2 5 2" xfId="17591" xr:uid="{7FB28A19-E1BD-4740-B35F-D959777DAFD4}"/>
    <cellStyle name="Title 6 2 5 2 2" xfId="17592" xr:uid="{FBDA7DAB-98C8-41DE-B6C0-B4837BCF2166}"/>
    <cellStyle name="Title 6 2 5 3" xfId="17593" xr:uid="{94FE90E1-D4EC-476B-94B8-1CE3AB7ABEF0}"/>
    <cellStyle name="Title 6 2 5 3 2" xfId="17594" xr:uid="{45550028-0F04-48F8-ACAC-782A212C33CB}"/>
    <cellStyle name="Title 6 2 5 4" xfId="17595" xr:uid="{7B59D9B1-9431-4A67-8EAA-DBF32D3CF826}"/>
    <cellStyle name="Title 6 2 6" xfId="17596" xr:uid="{599AD298-71F8-4A86-B43A-8E63F93B7BE7}"/>
    <cellStyle name="Title 6 2 6 2" xfId="17597" xr:uid="{19BB714C-245F-405D-A2E1-E2C9E7B05DBE}"/>
    <cellStyle name="Title 6 2 7" xfId="17598" xr:uid="{C944F285-9E71-4841-9DC6-F2F71F42F9E7}"/>
    <cellStyle name="Title 6 2 7 2" xfId="17599" xr:uid="{B8DAD7F0-FCB1-4A78-8023-73C9336C8264}"/>
    <cellStyle name="Title 6 2 8" xfId="17600" xr:uid="{F1EE2BC6-487B-4425-BE55-7BEC9766CD35}"/>
    <cellStyle name="Title 6 2 8 2" xfId="17601" xr:uid="{596D82E3-9DDA-4FC9-BA70-962DACD6CA78}"/>
    <cellStyle name="Title 6 2 9" xfId="17602" xr:uid="{8FFFFB03-0B1D-44FD-AF5B-EB247F0A448E}"/>
    <cellStyle name="Title 6 3" xfId="17603" xr:uid="{F975515D-601E-4BDF-953B-E6591A91E5F5}"/>
    <cellStyle name="Title 6 3 2" xfId="17604" xr:uid="{5DD3BBBC-3DAD-407B-8262-EF4C995D85BA}"/>
    <cellStyle name="Title 6 3 2 2" xfId="17605" xr:uid="{E81A00E4-F92D-4D90-A2A3-40F3A1D69D26}"/>
    <cellStyle name="Title 6 3 3" xfId="17606" xr:uid="{E9B9AFEE-2479-4C1D-8081-E8A578F13145}"/>
    <cellStyle name="Title 6 3 3 2" xfId="17607" xr:uid="{655FB351-DC55-4BBD-94E1-877424B95D89}"/>
    <cellStyle name="Title 6 3 4" xfId="17608" xr:uid="{573ADE14-DB80-459A-85F5-C58212ED7EA5}"/>
    <cellStyle name="Title 6 3 5" xfId="17609" xr:uid="{AD340D08-B83D-4581-89A6-6E44C65D9F00}"/>
    <cellStyle name="Title 6 4" xfId="17610" xr:uid="{D28CADF0-C66F-40C3-816C-236714E56200}"/>
    <cellStyle name="Title 6 4 2" xfId="17611" xr:uid="{82CFC63F-DFD2-47EF-B5B4-05E6C37CB9AC}"/>
    <cellStyle name="Title 6 4 2 2" xfId="17612" xr:uid="{EDF68B7F-E040-4B33-BA27-1DF1236CD31A}"/>
    <cellStyle name="Title 6 4 3" xfId="17613" xr:uid="{C2D88C53-E46A-4DB9-BE06-8A0299B2A1A3}"/>
    <cellStyle name="Title 6 4 3 2" xfId="17614" xr:uid="{BF906253-9CEA-46A7-98C1-EDF79631373B}"/>
    <cellStyle name="Title 6 4 4" xfId="17615" xr:uid="{1F852B14-A722-4FAF-AE79-25C16E5009B5}"/>
    <cellStyle name="Title 6 5" xfId="17616" xr:uid="{3A41C317-612F-472A-9365-9EFDBDF1D785}"/>
    <cellStyle name="Title 6 5 2" xfId="17617" xr:uid="{222331EB-1C08-4F35-B208-0498C83147D6}"/>
    <cellStyle name="Title 6 5 2 2" xfId="17618" xr:uid="{D09AD616-B89C-456D-B5E3-9C26790D696C}"/>
    <cellStyle name="Title 6 5 3" xfId="17619" xr:uid="{92017709-6EBD-4159-ABBA-E1CE8191C51D}"/>
    <cellStyle name="Title 6 5 3 2" xfId="17620" xr:uid="{013E9DE4-41A7-4256-805D-6E28DC114A53}"/>
    <cellStyle name="Title 6 5 4" xfId="17621" xr:uid="{14607005-521B-46BD-9839-913EEF6769A8}"/>
    <cellStyle name="Title 6 6" xfId="17622" xr:uid="{134C03BF-5F7B-403E-B45E-0A7C8A6382A3}"/>
    <cellStyle name="Title 6 6 2" xfId="17623" xr:uid="{64C15318-3B6A-4144-94A2-E45369A24C4C}"/>
    <cellStyle name="Title 6 6 2 2" xfId="17624" xr:uid="{A2876F23-B29B-4521-B63E-4DD4D0A9C09B}"/>
    <cellStyle name="Title 6 6 3" xfId="17625" xr:uid="{51255C70-221D-4B66-8CBA-6105AF7B339C}"/>
    <cellStyle name="Title 6 6 3 2" xfId="17626" xr:uid="{59086906-BAD5-4DAF-80C8-F4BE6D95C777}"/>
    <cellStyle name="Title 6 6 4" xfId="17627" xr:uid="{7ECCDD00-9C4F-421B-8C49-9557E966719F}"/>
    <cellStyle name="Title 6 6 4 2" xfId="17628" xr:uid="{DCA80525-020A-4CDD-9457-2662264C8380}"/>
    <cellStyle name="Title 6 6 5" xfId="17629" xr:uid="{4D24C8BB-C897-4E2E-A6D1-0A5C69A366FB}"/>
    <cellStyle name="Title 6 7" xfId="17630" xr:uid="{CFFABCAF-A6F1-44EE-B20D-A85D6BF62C2A}"/>
    <cellStyle name="Title 6 7 2" xfId="17631" xr:uid="{E9265691-2676-4F47-939B-784E47098018}"/>
    <cellStyle name="Title 6 7 2 2" xfId="17632" xr:uid="{F08033EF-24FF-41F2-8C8E-F1C71CE42B91}"/>
    <cellStyle name="Title 6 7 3" xfId="17633" xr:uid="{4F3BB194-3855-4B32-89E6-BFC02B663151}"/>
    <cellStyle name="Title 6 7 3 2" xfId="17634" xr:uid="{02129503-1EAE-4F44-B8BA-28765AAFAEFC}"/>
    <cellStyle name="Title 6 7 4" xfId="17635" xr:uid="{94DB2F2C-767E-411E-985B-C2B83F613AE1}"/>
    <cellStyle name="Title 6 8" xfId="17636" xr:uid="{DBBD863A-57BA-491D-A5D9-9061A74B5B5E}"/>
    <cellStyle name="Title 6 8 2" xfId="17637" xr:uid="{EF58E023-708A-41AA-90D7-0F0DD6853E3E}"/>
    <cellStyle name="Title 6 9" xfId="17638" xr:uid="{F66A1745-312B-4085-A94E-A555286FFF6F}"/>
    <cellStyle name="Title 6 9 2" xfId="17639" xr:uid="{2B8E692E-0975-46AA-A27D-BA11B791A940}"/>
    <cellStyle name="Title 7" xfId="3304" xr:uid="{140FF7B2-89B7-4842-97A0-DD558120166C}"/>
    <cellStyle name="Title 7 10" xfId="17641" xr:uid="{6DF14C81-14E8-413F-B516-437C7776ED36}"/>
    <cellStyle name="Title 7 11" xfId="17642" xr:uid="{28471383-A410-4426-AA5B-B8EA877946E3}"/>
    <cellStyle name="Title 7 12" xfId="17640" xr:uid="{360B60F5-1B6A-43C5-AD65-5CD80726DA5F}"/>
    <cellStyle name="Title 7 2" xfId="17643" xr:uid="{84218DC1-CC86-4F29-847D-692CE9E1A86A}"/>
    <cellStyle name="Title 7 2 2" xfId="17644" xr:uid="{AC4684E3-C415-494B-9B22-E1E6EC48290A}"/>
    <cellStyle name="Title 7 2 2 2" xfId="17645" xr:uid="{0DDF8CCA-D031-4D4D-B55F-F86B3A0B5872}"/>
    <cellStyle name="Title 7 2 3" xfId="17646" xr:uid="{09FBBA2F-AA6E-4C93-B3BA-021707A7C6C8}"/>
    <cellStyle name="Title 7 2 3 2" xfId="17647" xr:uid="{742C4FA1-C1A3-43D9-823A-B8A92EEB6843}"/>
    <cellStyle name="Title 7 2 4" xfId="17648" xr:uid="{D1598099-B69A-432A-8A51-8A38B973841A}"/>
    <cellStyle name="Title 7 2 5" xfId="17649" xr:uid="{3C003AB3-6763-4E69-953A-87828EA2EFA9}"/>
    <cellStyle name="Title 7 3" xfId="17650" xr:uid="{3E1BC283-8657-4DBB-9064-70909190B841}"/>
    <cellStyle name="Title 7 3 2" xfId="17651" xr:uid="{43366F96-3BAE-42F4-BE05-DBEE7DE1008F}"/>
    <cellStyle name="Title 7 3 2 2" xfId="17652" xr:uid="{E542EDBE-739B-42C6-93D6-8F80CF917160}"/>
    <cellStyle name="Title 7 3 3" xfId="17653" xr:uid="{ACE84CC2-FEE9-4D4D-A60E-64F99DDF169D}"/>
    <cellStyle name="Title 7 3 3 2" xfId="17654" xr:uid="{89E24116-05BB-4E39-854C-1DE05800E1D6}"/>
    <cellStyle name="Title 7 3 4" xfId="17655" xr:uid="{9AC5CDD9-6933-40CF-AE10-47061F831A1F}"/>
    <cellStyle name="Title 7 4" xfId="17656" xr:uid="{2AE0F2DC-92B4-4F10-BECD-78FE627C5D13}"/>
    <cellStyle name="Title 7 4 2" xfId="17657" xr:uid="{E4CF4FE4-10CA-4277-984F-D47050EE93E8}"/>
    <cellStyle name="Title 7 4 2 2" xfId="17658" xr:uid="{7BD3DE0C-228F-4935-AE93-3A970F8D6BEC}"/>
    <cellStyle name="Title 7 4 3" xfId="17659" xr:uid="{7E58679C-3D27-4609-999E-C04A12C032D6}"/>
    <cellStyle name="Title 7 4 3 2" xfId="17660" xr:uid="{4991E36C-CF04-463D-8481-6671D34D3F4E}"/>
    <cellStyle name="Title 7 4 4" xfId="17661" xr:uid="{F306E1B0-D78B-4BD7-A279-1FCD52B6C09D}"/>
    <cellStyle name="Title 7 5" xfId="17662" xr:uid="{E8725308-EDF3-419F-BA20-6F27A5214AA2}"/>
    <cellStyle name="Title 7 5 2" xfId="17663" xr:uid="{20DF1748-D051-4A5C-8010-059DF2AB9E8E}"/>
    <cellStyle name="Title 7 5 2 2" xfId="17664" xr:uid="{1F25347B-7CB7-4383-9FFD-2892F34F8EEB}"/>
    <cellStyle name="Title 7 5 3" xfId="17665" xr:uid="{A45CCC6A-3369-46DB-9628-CEB9CC85B0D8}"/>
    <cellStyle name="Title 7 5 3 2" xfId="17666" xr:uid="{4E9B8FFB-32B6-4035-B230-58E71DD65271}"/>
    <cellStyle name="Title 7 5 4" xfId="17667" xr:uid="{3CBBAE6D-13AD-40DA-86FC-7A4E42463ADE}"/>
    <cellStyle name="Title 7 5 4 2" xfId="17668" xr:uid="{EA0B9208-326C-4AB5-889E-E592C6D9E3FB}"/>
    <cellStyle name="Title 7 5 5" xfId="17669" xr:uid="{A84DF721-A37D-4168-A87D-CDECFCBAD255}"/>
    <cellStyle name="Title 7 6" xfId="17670" xr:uid="{748B9429-85DE-48AD-9C25-F91493DB85DF}"/>
    <cellStyle name="Title 7 6 2" xfId="17671" xr:uid="{8415E942-9029-421D-B437-D888C5986E12}"/>
    <cellStyle name="Title 7 6 2 2" xfId="17672" xr:uid="{AA66D166-8DD9-449D-9085-2AC08F4EE15B}"/>
    <cellStyle name="Title 7 6 3" xfId="17673" xr:uid="{D12F76B9-440B-44A3-ACE0-314ADF7EDC4C}"/>
    <cellStyle name="Title 7 6 3 2" xfId="17674" xr:uid="{E37A6361-412E-40CC-BD2C-4B006C86AF7B}"/>
    <cellStyle name="Title 7 6 4" xfId="17675" xr:uid="{CFD1CF5B-1EA2-4213-8511-0A4BB269A960}"/>
    <cellStyle name="Title 7 7" xfId="17676" xr:uid="{439DA1C5-7892-4696-98A2-53A737C4AA32}"/>
    <cellStyle name="Title 7 7 2" xfId="17677" xr:uid="{E4E68A2D-202B-48A2-9DE3-379A23B4640A}"/>
    <cellStyle name="Title 7 8" xfId="17678" xr:uid="{20513186-4C0B-4CBA-9E1C-A58710B7EA68}"/>
    <cellStyle name="Title 7 8 2" xfId="17679" xr:uid="{C09B7761-B767-4822-B095-2BB5D3617EFE}"/>
    <cellStyle name="Title 7 9" xfId="17680" xr:uid="{FA746D5C-2450-4B8F-AECA-74B494EAF6FF}"/>
    <cellStyle name="Title 7 9 2" xfId="17681" xr:uid="{4F9A30F3-72A0-46E7-83E1-A082E5BF2528}"/>
    <cellStyle name="Title 8" xfId="3305" xr:uid="{A706403E-F09C-4BE8-9D87-159E01E773A1}"/>
    <cellStyle name="Title 8 10" xfId="17683" xr:uid="{45879273-4792-4098-AD98-BE80F8BF30DB}"/>
    <cellStyle name="Title 8 11" xfId="17684" xr:uid="{75BC4C9F-5BE6-44B8-957A-0F9CD50716E9}"/>
    <cellStyle name="Title 8 12" xfId="17682" xr:uid="{D57A03CF-9DDA-4234-83E1-49669FB20661}"/>
    <cellStyle name="Title 8 2" xfId="17685" xr:uid="{637150A4-EE46-4D85-B4B8-4D993183E627}"/>
    <cellStyle name="Title 8 2 2" xfId="17686" xr:uid="{6595902B-4782-426D-894E-4B033020C130}"/>
    <cellStyle name="Title 8 2 2 2" xfId="17687" xr:uid="{A6FB2FFF-5701-4794-93F0-152992880D7D}"/>
    <cellStyle name="Title 8 2 3" xfId="17688" xr:uid="{EA3F903E-8D1A-44B8-A208-70A854D2017A}"/>
    <cellStyle name="Title 8 2 3 2" xfId="17689" xr:uid="{A615399D-0ECD-403E-A199-65451EB36585}"/>
    <cellStyle name="Title 8 2 4" xfId="17690" xr:uid="{5B0406B4-5BD3-4E22-B4EA-315721FAAA0A}"/>
    <cellStyle name="Title 8 2 5" xfId="17691" xr:uid="{20525129-3B2F-4853-B248-6050AD9B49C5}"/>
    <cellStyle name="Title 8 3" xfId="17692" xr:uid="{60B2BB5B-7341-4B9E-9297-CD504206DF4C}"/>
    <cellStyle name="Title 8 3 2" xfId="17693" xr:uid="{DB1B114F-7585-4008-B0EF-1EF57343AA86}"/>
    <cellStyle name="Title 8 3 2 2" xfId="17694" xr:uid="{8FAD2A6B-6E6E-4E37-8CE6-F7F3CC284034}"/>
    <cellStyle name="Title 8 3 3" xfId="17695" xr:uid="{C329E04E-0474-486E-AFBB-3666488D7A94}"/>
    <cellStyle name="Title 8 3 3 2" xfId="17696" xr:uid="{78BF30E3-6B9B-4EA6-956C-DE694755025C}"/>
    <cellStyle name="Title 8 3 4" xfId="17697" xr:uid="{0ACF2C06-83A7-4CF6-91C7-A3488EAE27E5}"/>
    <cellStyle name="Title 8 4" xfId="17698" xr:uid="{2A82F391-55CC-43FD-A943-2B4A43AC843D}"/>
    <cellStyle name="Title 8 4 2" xfId="17699" xr:uid="{16B6A937-4B73-4EB2-A8C3-8CC536E0609D}"/>
    <cellStyle name="Title 8 4 2 2" xfId="17700" xr:uid="{FBA636A5-24F3-427C-991C-25710AC8E92D}"/>
    <cellStyle name="Title 8 4 3" xfId="17701" xr:uid="{716D43FF-C336-466F-9CCB-F3F16C36E566}"/>
    <cellStyle name="Title 8 4 3 2" xfId="17702" xr:uid="{A209785E-454E-4C70-A5C2-3C3488083BB1}"/>
    <cellStyle name="Title 8 4 4" xfId="17703" xr:uid="{B518E37C-4399-4C5A-A813-C670133C4469}"/>
    <cellStyle name="Title 8 5" xfId="17704" xr:uid="{661DC20E-2941-4836-88F0-A1C26BF29BCA}"/>
    <cellStyle name="Title 8 5 2" xfId="17705" xr:uid="{CBAD6C06-9643-4049-90B9-FB7CD55AF977}"/>
    <cellStyle name="Title 8 5 2 2" xfId="17706" xr:uid="{157BC010-1C13-453D-9AFE-49003D86FBB0}"/>
    <cellStyle name="Title 8 5 3" xfId="17707" xr:uid="{DB9E4158-228B-4EA9-9836-0BD91B41A136}"/>
    <cellStyle name="Title 8 5 3 2" xfId="17708" xr:uid="{A7027B93-E141-4F9A-AD1C-E9A76240C353}"/>
    <cellStyle name="Title 8 5 4" xfId="17709" xr:uid="{C39F0B01-B99D-415A-A645-01495C36766C}"/>
    <cellStyle name="Title 8 5 4 2" xfId="17710" xr:uid="{04A8BB5A-5DAA-4F2E-87C5-8D627415975D}"/>
    <cellStyle name="Title 8 5 5" xfId="17711" xr:uid="{1322080B-E9F1-4E69-AE81-33C066439F6F}"/>
    <cellStyle name="Title 8 6" xfId="17712" xr:uid="{5C7128A5-41F3-419C-82BA-E42992000699}"/>
    <cellStyle name="Title 8 6 2" xfId="17713" xr:uid="{11B0937A-28AD-4F97-A910-FD2F19FF75B9}"/>
    <cellStyle name="Title 8 6 2 2" xfId="17714" xr:uid="{65796DD2-019B-41C0-940E-5833B63021B5}"/>
    <cellStyle name="Title 8 6 3" xfId="17715" xr:uid="{448D7528-539D-405F-ADD3-A1D349BA8C80}"/>
    <cellStyle name="Title 8 6 3 2" xfId="17716" xr:uid="{A61A6481-4241-40D1-BEA7-2A2C22D30DD3}"/>
    <cellStyle name="Title 8 6 4" xfId="17717" xr:uid="{994CDCE0-6AFF-4E26-AFAD-197A7E07E0DC}"/>
    <cellStyle name="Title 8 7" xfId="17718" xr:uid="{E63727F6-EE2E-4C8C-871B-E00378752B78}"/>
    <cellStyle name="Title 8 7 2" xfId="17719" xr:uid="{517ECF13-9758-433A-A924-C19D62C13F37}"/>
    <cellStyle name="Title 8 8" xfId="17720" xr:uid="{2536A0F5-8EDC-4F29-AFAD-24E26A9C64FA}"/>
    <cellStyle name="Title 8 8 2" xfId="17721" xr:uid="{CD08AFDF-BD72-48B4-A596-7C0A488D8BFA}"/>
    <cellStyle name="Title 8 9" xfId="17722" xr:uid="{E4D383F5-D802-4DC5-87C9-6FF030C95399}"/>
    <cellStyle name="Title 8 9 2" xfId="17723" xr:uid="{0D1701C0-35B2-4E0E-A2A4-5E254804E984}"/>
    <cellStyle name="Title 9" xfId="3306" xr:uid="{3D9CB26F-1D0C-410A-8CD0-2CE4F0423897}"/>
    <cellStyle name="Title 9 10" xfId="17725" xr:uid="{EBDAF8B4-3861-4ECA-B216-5DBCEA3A8FB1}"/>
    <cellStyle name="Title 9 11" xfId="17726" xr:uid="{9AB629DA-4DAE-4167-A5C6-C19B1646097B}"/>
    <cellStyle name="Title 9 12" xfId="17724" xr:uid="{740B3FD8-EE3C-4A88-9BBC-4032345C6E86}"/>
    <cellStyle name="Title 9 2" xfId="17727" xr:uid="{4C580FF5-15DD-4E54-961A-EED2850E726B}"/>
    <cellStyle name="Title 9 2 2" xfId="17728" xr:uid="{0B960458-2EC0-41E6-B645-7775C149AB07}"/>
    <cellStyle name="Title 9 2 2 2" xfId="17729" xr:uid="{4CB76B86-B6EB-46B7-92F8-422A762B6316}"/>
    <cellStyle name="Title 9 2 3" xfId="17730" xr:uid="{AA355033-8094-429E-AE8A-07CE9A908662}"/>
    <cellStyle name="Title 9 2 3 2" xfId="17731" xr:uid="{C2A816B2-2E82-4D95-9375-A3C7ADCED199}"/>
    <cellStyle name="Title 9 2 4" xfId="17732" xr:uid="{F82A0FBB-69ED-46C9-89B0-D94AC175540C}"/>
    <cellStyle name="Title 9 2 5" xfId="17733" xr:uid="{7E6556B4-F59C-48A0-85F9-0D82837BF8A5}"/>
    <cellStyle name="Title 9 3" xfId="17734" xr:uid="{BF3F95CC-33D3-4854-A3D4-695C131319B0}"/>
    <cellStyle name="Title 9 3 2" xfId="17735" xr:uid="{4FA56D85-255E-45AB-A4A8-393470A43E0E}"/>
    <cellStyle name="Title 9 3 2 2" xfId="17736" xr:uid="{AB415838-1CED-47DD-9D7F-1D0230DD5CA2}"/>
    <cellStyle name="Title 9 3 3" xfId="17737" xr:uid="{206CF542-A9CC-49BB-A443-0D5935F3FA26}"/>
    <cellStyle name="Title 9 3 3 2" xfId="17738" xr:uid="{BCEAA9BD-0399-4B55-9E5A-0A844153FCF8}"/>
    <cellStyle name="Title 9 3 4" xfId="17739" xr:uid="{9EA28451-83C6-4806-A7A2-8E7085F36571}"/>
    <cellStyle name="Title 9 4" xfId="17740" xr:uid="{48DE8EBB-9961-47AC-8628-3178C49E41E5}"/>
    <cellStyle name="Title 9 4 2" xfId="17741" xr:uid="{34F57F29-BAD1-4C11-BBF5-17C026FB8BC9}"/>
    <cellStyle name="Title 9 4 2 2" xfId="17742" xr:uid="{B1951B4C-28C7-4D4E-8074-7AFE0CAD8FA4}"/>
    <cellStyle name="Title 9 4 3" xfId="17743" xr:uid="{70CB426F-2DD4-4E3C-A181-B7EB6EE14108}"/>
    <cellStyle name="Title 9 4 3 2" xfId="17744" xr:uid="{E2F4A4CD-FEBE-44BD-BB7D-C2D93B46FDE8}"/>
    <cellStyle name="Title 9 4 4" xfId="17745" xr:uid="{EEE599B3-D784-473E-AE50-E3C92414628D}"/>
    <cellStyle name="Title 9 5" xfId="17746" xr:uid="{AAB81C69-E82A-45D9-BCFA-83AD01212345}"/>
    <cellStyle name="Title 9 5 2" xfId="17747" xr:uid="{1C7833EF-3AB0-4698-8690-1830F5802845}"/>
    <cellStyle name="Title 9 5 2 2" xfId="17748" xr:uid="{F87C4CEF-A500-4194-9F8D-9FF203566EE2}"/>
    <cellStyle name="Title 9 5 3" xfId="17749" xr:uid="{F98C3BFC-90F4-452A-8C8A-9E88D71FD2C4}"/>
    <cellStyle name="Title 9 5 3 2" xfId="17750" xr:uid="{5BB7ACAF-4A4F-40CD-A59E-37670A9E86BF}"/>
    <cellStyle name="Title 9 5 4" xfId="17751" xr:uid="{2737E7A5-87BD-4DDC-B20F-32423A2BAE82}"/>
    <cellStyle name="Title 9 5 4 2" xfId="17752" xr:uid="{F3722C8C-DDB7-442A-8068-A05FFE040AF3}"/>
    <cellStyle name="Title 9 5 5" xfId="17753" xr:uid="{86D42A7E-0426-4B6F-8ABF-6C4FC454388E}"/>
    <cellStyle name="Title 9 6" xfId="17754" xr:uid="{26D45A5C-7B02-470B-BC73-AD9E0F27FB9F}"/>
    <cellStyle name="Title 9 6 2" xfId="17755" xr:uid="{DC891190-8EB5-412E-8E4F-EA1E92646910}"/>
    <cellStyle name="Title 9 6 2 2" xfId="17756" xr:uid="{9E9CE111-AAD4-4EBF-8FF0-E271C4E5A06D}"/>
    <cellStyle name="Title 9 6 3" xfId="17757" xr:uid="{7F4230EE-AF7B-4F00-91DE-999F96A36394}"/>
    <cellStyle name="Title 9 6 3 2" xfId="17758" xr:uid="{41CEEBB8-0844-476E-8C3B-BCC07AD9A0D1}"/>
    <cellStyle name="Title 9 6 4" xfId="17759" xr:uid="{8507E0D9-2FAF-4AF0-AEE7-81717224BF8A}"/>
    <cellStyle name="Title 9 7" xfId="17760" xr:uid="{EB8881E4-6CC9-4EA8-9487-003FBADE9841}"/>
    <cellStyle name="Title 9 7 2" xfId="17761" xr:uid="{D131B775-7B2C-420D-936E-6746AA21E743}"/>
    <cellStyle name="Title 9 8" xfId="17762" xr:uid="{ADF1A538-81EE-4366-8AD8-3B758547BED3}"/>
    <cellStyle name="Title 9 8 2" xfId="17763" xr:uid="{B56B3E28-E862-43F6-8539-E8A855328F1A}"/>
    <cellStyle name="Title 9 9" xfId="17764" xr:uid="{A5F2D7D1-BAAE-44D9-9A4C-F16A2FD44046}"/>
    <cellStyle name="Title 9 9 2" xfId="17765" xr:uid="{0FBE223C-EC77-4163-A164-1E37BA2DD357}"/>
    <cellStyle name="Título 2" xfId="22507" xr:uid="{DB7FD5FD-4338-42D3-8D5D-5ACBF908D896}"/>
    <cellStyle name="Total" xfId="19" builtinId="25" customBuiltin="1"/>
    <cellStyle name="Total 10" xfId="3307" xr:uid="{12F566C3-61F2-4296-A1AD-5AB02C76C583}"/>
    <cellStyle name="Total 10 10" xfId="17767" xr:uid="{C8F607BB-6DF8-4CDA-B201-6C9B063CEFE6}"/>
    <cellStyle name="Total 10 11" xfId="17768" xr:uid="{15707B6D-EAC8-4708-A893-4F8B9B79D115}"/>
    <cellStyle name="Total 10 12" xfId="17766" xr:uid="{D83927C9-01A2-4446-91FB-D47437C4F876}"/>
    <cellStyle name="Total 10 2" xfId="17769" xr:uid="{0B125142-7D8F-4042-8DCA-26CE853FCBC0}"/>
    <cellStyle name="Total 10 2 2" xfId="17770" xr:uid="{51B6943A-9D93-4FC4-94FC-D7474CE767C8}"/>
    <cellStyle name="Total 10 2 2 2" xfId="17771" xr:uid="{63927B39-4DB0-465B-935D-3DD45916F953}"/>
    <cellStyle name="Total 10 2 3" xfId="17772" xr:uid="{3F111163-F421-40CC-A677-26A5F950856E}"/>
    <cellStyle name="Total 10 2 3 2" xfId="17773" xr:uid="{9AFC3088-5820-4490-BBEB-E6BBB7D7CA8B}"/>
    <cellStyle name="Total 10 2 4" xfId="17774" xr:uid="{2400C020-F435-480B-8B90-93D7F2E8F0D2}"/>
    <cellStyle name="Total 10 2 5" xfId="17775" xr:uid="{647BB70F-09A7-49BE-BC98-D1019E56D107}"/>
    <cellStyle name="Total 10 3" xfId="17776" xr:uid="{BF2358CE-4D3E-4F09-90A6-D2B3AA35212A}"/>
    <cellStyle name="Total 10 3 2" xfId="17777" xr:uid="{DF4214A1-082A-4C2D-85F2-CAF5488BC726}"/>
    <cellStyle name="Total 10 3 2 2" xfId="17778" xr:uid="{7AD8B8DD-5717-4F01-A61B-807D26930CED}"/>
    <cellStyle name="Total 10 3 3" xfId="17779" xr:uid="{D7B4B918-6760-4189-A54B-D898C30705D7}"/>
    <cellStyle name="Total 10 3 3 2" xfId="17780" xr:uid="{A7C4146E-F496-4C3F-A2C0-9578DC306F9D}"/>
    <cellStyle name="Total 10 3 4" xfId="17781" xr:uid="{5F91BEEB-F6BB-4CE6-BB95-59237DA2173D}"/>
    <cellStyle name="Total 10 4" xfId="17782" xr:uid="{DD0CE9F1-140B-45CE-B15D-5C86EB13F35A}"/>
    <cellStyle name="Total 10 4 2" xfId="17783" xr:uid="{F21F99D6-3A19-45CF-90D2-AFFEB345E748}"/>
    <cellStyle name="Total 10 4 2 2" xfId="17784" xr:uid="{32CB499B-CB5D-4223-B506-8B2A3880E6E5}"/>
    <cellStyle name="Total 10 4 3" xfId="17785" xr:uid="{E10670A2-0B3D-40C4-BFD8-7E2507C5FE94}"/>
    <cellStyle name="Total 10 4 3 2" xfId="17786" xr:uid="{9B12BCAD-7003-45BF-AFE4-1BF237DA99CC}"/>
    <cellStyle name="Total 10 4 4" xfId="17787" xr:uid="{27DA63B3-6114-403C-B35E-7867606E4BC6}"/>
    <cellStyle name="Total 10 5" xfId="17788" xr:uid="{9F338387-CB18-46FB-BA2E-C8BFEC4A0A25}"/>
    <cellStyle name="Total 10 5 2" xfId="17789" xr:uid="{E570304D-B4B6-422E-852D-79BB3C3BC02B}"/>
    <cellStyle name="Total 10 5 2 2" xfId="17790" xr:uid="{8131FC0E-2190-4A94-B965-33DF210D5CC9}"/>
    <cellStyle name="Total 10 5 3" xfId="17791" xr:uid="{4D20E031-CA02-4F7E-9C27-EE39050C43F7}"/>
    <cellStyle name="Total 10 5 3 2" xfId="17792" xr:uid="{D8CAA8AD-6C19-4F97-93DC-BBCD78F697DE}"/>
    <cellStyle name="Total 10 5 4" xfId="17793" xr:uid="{D16F8EFD-6AA0-46A6-98AD-5EBCA2E2CAF5}"/>
    <cellStyle name="Total 10 5 4 2" xfId="17794" xr:uid="{82C56FC5-64A3-41E5-947A-DD5A6A387400}"/>
    <cellStyle name="Total 10 5 5" xfId="17795" xr:uid="{2EC536EE-DDAE-4BD0-A193-699E0E5D33FC}"/>
    <cellStyle name="Total 10 6" xfId="17796" xr:uid="{C3A6AC8F-B69B-4735-A0DA-600D448D1A58}"/>
    <cellStyle name="Total 10 6 2" xfId="17797" xr:uid="{06E837A4-5952-4974-91AC-594675385100}"/>
    <cellStyle name="Total 10 6 2 2" xfId="17798" xr:uid="{C60B57CE-FD42-4C56-8486-53ACA8614D15}"/>
    <cellStyle name="Total 10 6 3" xfId="17799" xr:uid="{A29A0AB6-7D31-4969-9AE8-6ADCD5525CE7}"/>
    <cellStyle name="Total 10 6 3 2" xfId="17800" xr:uid="{A0B8C5A2-DA07-4D4C-97ED-01D1F3CACB04}"/>
    <cellStyle name="Total 10 6 4" xfId="17801" xr:uid="{D02E478F-1C4D-4517-BADB-1A72F3AE140F}"/>
    <cellStyle name="Total 10 7" xfId="17802" xr:uid="{1620021D-2F3A-4373-AE63-0F7878B6ACE9}"/>
    <cellStyle name="Total 10 7 2" xfId="17803" xr:uid="{154AC771-4CC0-467C-9B66-0331160D38CB}"/>
    <cellStyle name="Total 10 8" xfId="17804" xr:uid="{EE1DE829-B6B5-4943-9048-8AEDA7590386}"/>
    <cellStyle name="Total 10 8 2" xfId="17805" xr:uid="{144383FF-96D9-4446-B118-14D1C645D611}"/>
    <cellStyle name="Total 10 9" xfId="17806" xr:uid="{D7432AA5-3E31-4E3E-9F45-491016B46532}"/>
    <cellStyle name="Total 10 9 2" xfId="17807" xr:uid="{AE74F30B-49E3-4504-9CA7-C4768E466720}"/>
    <cellStyle name="Total 11" xfId="3308" xr:uid="{39DE044D-532B-49ED-A990-9E9E59727A23}"/>
    <cellStyle name="Total 11 10" xfId="17809" xr:uid="{DEEA4BB8-36DE-4A7E-857D-2B37BF31B29D}"/>
    <cellStyle name="Total 11 11" xfId="17810" xr:uid="{1F488630-94F1-41A5-9CEA-B7C216F63AF6}"/>
    <cellStyle name="Total 11 12" xfId="17808" xr:uid="{4AA2AA33-2554-4E76-99AE-30749B9EE594}"/>
    <cellStyle name="Total 11 2" xfId="17811" xr:uid="{0E81463F-EE9C-4D87-B461-B28E48FD32F9}"/>
    <cellStyle name="Total 11 2 2" xfId="17812" xr:uid="{B15A151E-F410-4D5F-9B64-C33FE808416A}"/>
    <cellStyle name="Total 11 2 2 2" xfId="17813" xr:uid="{4D09F27F-B82C-4D50-B591-3D99AE281909}"/>
    <cellStyle name="Total 11 2 3" xfId="17814" xr:uid="{275752D7-4C03-4BD0-A726-694F2457953C}"/>
    <cellStyle name="Total 11 2 3 2" xfId="17815" xr:uid="{24ED7863-67C6-43B1-B361-EEE2B4D402CC}"/>
    <cellStyle name="Total 11 2 4" xfId="17816" xr:uid="{08EE6AEC-8D45-4E5C-B4DC-4EB6FA1DF441}"/>
    <cellStyle name="Total 11 2 5" xfId="17817" xr:uid="{EC6C0E8F-06D1-42AC-B03A-04A4C3A5ACD8}"/>
    <cellStyle name="Total 11 3" xfId="17818" xr:uid="{E58272CA-EE02-4528-8544-047EBC38ABC3}"/>
    <cellStyle name="Total 11 3 2" xfId="17819" xr:uid="{D376B1B3-E89C-4750-82E2-E500BA166EA5}"/>
    <cellStyle name="Total 11 3 2 2" xfId="17820" xr:uid="{7739FC53-2069-4D4D-821B-5DEB94292230}"/>
    <cellStyle name="Total 11 3 3" xfId="17821" xr:uid="{1DCCBE2B-6D61-408D-BF8B-37B3C0EA54D1}"/>
    <cellStyle name="Total 11 3 3 2" xfId="17822" xr:uid="{D829D854-0592-462C-A13D-B36F53622A4A}"/>
    <cellStyle name="Total 11 3 4" xfId="17823" xr:uid="{933F5737-435E-418B-81AA-256959BB73F7}"/>
    <cellStyle name="Total 11 4" xfId="17824" xr:uid="{47FA8C2C-5A9D-448C-99C9-4963590EA039}"/>
    <cellStyle name="Total 11 4 2" xfId="17825" xr:uid="{4181AFF3-E838-4ECE-9E91-965C8788EA0E}"/>
    <cellStyle name="Total 11 4 2 2" xfId="17826" xr:uid="{4270797F-D05D-4FE7-AB34-AFFD1E5FF281}"/>
    <cellStyle name="Total 11 4 3" xfId="17827" xr:uid="{12ABDE5A-CC9C-4D3A-A487-F14A91AA9DF0}"/>
    <cellStyle name="Total 11 4 3 2" xfId="17828" xr:uid="{78F86160-AE34-4D7A-BA5E-2B1EF85D00FD}"/>
    <cellStyle name="Total 11 4 4" xfId="17829" xr:uid="{CBA84A8B-1032-4E2E-92A6-E59FDA8FABB0}"/>
    <cellStyle name="Total 11 5" xfId="17830" xr:uid="{1E299D5D-A8D9-4303-89DA-1525286EF33F}"/>
    <cellStyle name="Total 11 5 2" xfId="17831" xr:uid="{C54D68C4-B15D-4AAE-9A22-4DFC9A1BDD09}"/>
    <cellStyle name="Total 11 5 2 2" xfId="17832" xr:uid="{745A9A39-6906-4BC9-8E9B-0AA107BB22C4}"/>
    <cellStyle name="Total 11 5 3" xfId="17833" xr:uid="{4D04C3F0-6BE8-4713-AED0-4C20EA8FE387}"/>
    <cellStyle name="Total 11 5 3 2" xfId="17834" xr:uid="{D05B6D9B-8A25-491D-9601-806FBE4697E6}"/>
    <cellStyle name="Total 11 5 4" xfId="17835" xr:uid="{73DE7F69-AAD0-4D24-AE6E-A7B58FAD0A1D}"/>
    <cellStyle name="Total 11 5 4 2" xfId="17836" xr:uid="{63F0EDD6-1849-42E8-AE23-CD03460A8226}"/>
    <cellStyle name="Total 11 5 5" xfId="17837" xr:uid="{F74CD536-6688-452E-AC45-4EED6D6D5D95}"/>
    <cellStyle name="Total 11 6" xfId="17838" xr:uid="{73C7AB9B-4D97-44B2-A6A1-24B6D4DC4040}"/>
    <cellStyle name="Total 11 6 2" xfId="17839" xr:uid="{9136EF1B-BC94-4DAC-9AD3-9C515FC651A5}"/>
    <cellStyle name="Total 11 6 2 2" xfId="17840" xr:uid="{BB458552-1270-439A-9118-B6C36E1C5473}"/>
    <cellStyle name="Total 11 6 3" xfId="17841" xr:uid="{1E562DD8-A68A-4352-A0FE-C44D941D4227}"/>
    <cellStyle name="Total 11 6 3 2" xfId="17842" xr:uid="{D2106E28-ED76-4968-82A6-64FEB996C684}"/>
    <cellStyle name="Total 11 6 4" xfId="17843" xr:uid="{BCEDB899-0678-4D71-BA29-37061237B8F5}"/>
    <cellStyle name="Total 11 7" xfId="17844" xr:uid="{DC008E3C-6AAF-42C0-8C0A-4621ABAABECF}"/>
    <cellStyle name="Total 11 7 2" xfId="17845" xr:uid="{3E8AF3B1-A86F-478C-95F4-6CDB5F5F21DD}"/>
    <cellStyle name="Total 11 8" xfId="17846" xr:uid="{F45C091B-9CA2-4E0C-8FD6-BD3078A1CAA4}"/>
    <cellStyle name="Total 11 8 2" xfId="17847" xr:uid="{0C8DA6F7-24F5-4DFF-9129-2187D3D024B9}"/>
    <cellStyle name="Total 11 9" xfId="17848" xr:uid="{DE755491-6DB7-4E60-93D3-7C9B25F3A997}"/>
    <cellStyle name="Total 11 9 2" xfId="17849" xr:uid="{1C7F0564-8AC7-4FA5-9DAD-C8C627164066}"/>
    <cellStyle name="Total 12" xfId="3309" xr:uid="{AD32C929-8FF2-4C2B-801E-B15547722F87}"/>
    <cellStyle name="Total 12 10" xfId="17851" xr:uid="{1BB6BAE7-CEEA-499F-9DDB-BA099DC59FB9}"/>
    <cellStyle name="Total 12 11" xfId="17852" xr:uid="{FC61194E-4B89-4F85-BB0A-4BC70C308498}"/>
    <cellStyle name="Total 12 12" xfId="17850" xr:uid="{A21BD0A7-2669-419C-90D6-F3268EC4C689}"/>
    <cellStyle name="Total 12 2" xfId="17853" xr:uid="{BC626ECB-53CB-402D-8B75-3B75397720E5}"/>
    <cellStyle name="Total 12 2 2" xfId="17854" xr:uid="{D2B80F15-E285-47BB-9E83-078F2FAC6111}"/>
    <cellStyle name="Total 12 2 2 2" xfId="17855" xr:uid="{7B15C184-40FB-4CDE-A12B-5141350A839A}"/>
    <cellStyle name="Total 12 2 3" xfId="17856" xr:uid="{FEAFF128-86B9-4574-A062-51EC12AF1022}"/>
    <cellStyle name="Total 12 2 3 2" xfId="17857" xr:uid="{BD7C68A3-6BD7-4DEF-8062-3E7C76FC8ECF}"/>
    <cellStyle name="Total 12 2 4" xfId="17858" xr:uid="{261415E5-1EE2-4D8E-8BBA-A8A2F07F11F5}"/>
    <cellStyle name="Total 12 2 5" xfId="17859" xr:uid="{ED7CD7A3-8E84-4C7A-B4A7-19710CD01ACA}"/>
    <cellStyle name="Total 12 3" xfId="17860" xr:uid="{4905DCEC-F428-472B-B3D3-80E5F85E1FE6}"/>
    <cellStyle name="Total 12 3 2" xfId="17861" xr:uid="{1D9B380F-0793-462C-9E11-C1D39994EAC0}"/>
    <cellStyle name="Total 12 3 2 2" xfId="17862" xr:uid="{229C6D83-9196-4A3A-95BA-90D633F6AEDB}"/>
    <cellStyle name="Total 12 3 3" xfId="17863" xr:uid="{1D2000A8-EE8C-480B-92E5-FAAE273B5AC0}"/>
    <cellStyle name="Total 12 3 3 2" xfId="17864" xr:uid="{1C256914-0B66-452D-A12E-ED230E6AF3AE}"/>
    <cellStyle name="Total 12 3 4" xfId="17865" xr:uid="{C1043E8E-6372-412F-AC3D-6243CAC3198A}"/>
    <cellStyle name="Total 12 4" xfId="17866" xr:uid="{3DED1130-9B6E-4506-9957-E0EC3E916B07}"/>
    <cellStyle name="Total 12 4 2" xfId="17867" xr:uid="{B9DC0023-14AE-40D1-9F42-B57BD6BD2D7A}"/>
    <cellStyle name="Total 12 4 2 2" xfId="17868" xr:uid="{0B9160A5-45D0-4E37-A15F-027EAEA2387E}"/>
    <cellStyle name="Total 12 4 3" xfId="17869" xr:uid="{38C45C29-7F95-41C5-9838-A9602DD8DF31}"/>
    <cellStyle name="Total 12 4 3 2" xfId="17870" xr:uid="{A87E46AB-3BCE-447C-8C2D-D023D3C090C4}"/>
    <cellStyle name="Total 12 4 4" xfId="17871" xr:uid="{679F87FE-9575-4038-B177-A811E19CE210}"/>
    <cellStyle name="Total 12 5" xfId="17872" xr:uid="{09965A37-E3BF-4BCB-93BE-1A1BF10BDBD5}"/>
    <cellStyle name="Total 12 5 2" xfId="17873" xr:uid="{C1D1888F-3923-4872-ADFC-A8193016D64D}"/>
    <cellStyle name="Total 12 5 2 2" xfId="17874" xr:uid="{121E299A-4B3F-4DC5-B642-9E61433281B3}"/>
    <cellStyle name="Total 12 5 3" xfId="17875" xr:uid="{6F0AB042-FD79-4D82-8CE1-473441E6E674}"/>
    <cellStyle name="Total 12 5 3 2" xfId="17876" xr:uid="{4ADE97F6-FE8E-43C8-8006-52876F93B584}"/>
    <cellStyle name="Total 12 5 4" xfId="17877" xr:uid="{F4989BED-AA9A-4B57-9711-6DD4CCAA0773}"/>
    <cellStyle name="Total 12 5 4 2" xfId="17878" xr:uid="{DE822407-5521-4EF0-953B-10E2B53290AD}"/>
    <cellStyle name="Total 12 5 5" xfId="17879" xr:uid="{35FE7599-529F-46EB-887D-7D4E3B740F58}"/>
    <cellStyle name="Total 12 6" xfId="17880" xr:uid="{6FF9402A-63A1-4FA5-8574-0A508BBFCF79}"/>
    <cellStyle name="Total 12 6 2" xfId="17881" xr:uid="{DA799C28-FF24-4C19-AA36-E14681DEBF2E}"/>
    <cellStyle name="Total 12 6 2 2" xfId="17882" xr:uid="{A3B2B2C0-5E0B-4C53-97E6-726F7C5C0FC1}"/>
    <cellStyle name="Total 12 6 3" xfId="17883" xr:uid="{9A2567F3-684B-445A-BDD1-1AD830914172}"/>
    <cellStyle name="Total 12 6 3 2" xfId="17884" xr:uid="{38D2605A-845E-49D9-B1D6-5602EE46797C}"/>
    <cellStyle name="Total 12 6 4" xfId="17885" xr:uid="{94C95D91-01CA-42AC-9835-CAAEE2EFD1B7}"/>
    <cellStyle name="Total 12 7" xfId="17886" xr:uid="{6BCE7B4C-4B21-4963-8E8C-F34E24289313}"/>
    <cellStyle name="Total 12 7 2" xfId="17887" xr:uid="{E1898637-8BE1-4C17-969D-A17C21EE2A48}"/>
    <cellStyle name="Total 12 8" xfId="17888" xr:uid="{3FE67E44-7A6A-46F1-9102-EFA3C0C5CB7E}"/>
    <cellStyle name="Total 12 8 2" xfId="17889" xr:uid="{AA7A50F8-CB69-44B0-900A-D468CBDF6ACB}"/>
    <cellStyle name="Total 12 9" xfId="17890" xr:uid="{91DA0CEF-73BC-4A7B-8398-6A65A82229E0}"/>
    <cellStyle name="Total 12 9 2" xfId="17891" xr:uid="{37BB3988-33C7-41AD-BD39-2D41B3B915A1}"/>
    <cellStyle name="Total 13" xfId="3310" xr:uid="{92C3518B-B8FA-47D4-A892-7E0982D87507}"/>
    <cellStyle name="Total 13 10" xfId="17893" xr:uid="{F74F6B80-F95E-4166-96D6-DDF23E6F2D0B}"/>
    <cellStyle name="Total 13 11" xfId="17894" xr:uid="{0FAB19D7-571E-4E1C-998D-2F99DFF6BCEE}"/>
    <cellStyle name="Total 13 12" xfId="17892" xr:uid="{C3350672-7DF4-433B-A17F-C1CA1AAD8C05}"/>
    <cellStyle name="Total 13 2" xfId="17895" xr:uid="{DC11E708-35DE-44CD-8C78-7DD77895726D}"/>
    <cellStyle name="Total 13 2 2" xfId="17896" xr:uid="{476E3B95-E98F-4BC5-8492-E45A20514CA1}"/>
    <cellStyle name="Total 13 2 2 2" xfId="17897" xr:uid="{AC22E85D-ADFB-428C-A60D-D996EB87DD72}"/>
    <cellStyle name="Total 13 2 3" xfId="17898" xr:uid="{5E22C734-6526-4878-A3B2-EDA068FDB2D0}"/>
    <cellStyle name="Total 13 2 3 2" xfId="17899" xr:uid="{424BB014-0E81-4332-B49B-F0AB376F970C}"/>
    <cellStyle name="Total 13 2 4" xfId="17900" xr:uid="{472C6168-6E34-451C-B822-9A16AFC0A244}"/>
    <cellStyle name="Total 13 2 5" xfId="17901" xr:uid="{8317D327-E2DA-4A0C-810B-14699D8A0B44}"/>
    <cellStyle name="Total 13 3" xfId="17902" xr:uid="{867B063E-2421-4C10-BFBE-1D0F3384CA41}"/>
    <cellStyle name="Total 13 3 2" xfId="17903" xr:uid="{B5BE7E66-0BB6-4FDA-9733-6F97BAEA83E7}"/>
    <cellStyle name="Total 13 3 2 2" xfId="17904" xr:uid="{7F7E796D-F602-4473-BA38-4970DE73FA51}"/>
    <cellStyle name="Total 13 3 3" xfId="17905" xr:uid="{E6301B6A-AE99-484B-B005-75CBD0479102}"/>
    <cellStyle name="Total 13 3 3 2" xfId="17906" xr:uid="{F3B4B960-3E03-4480-A53A-21F793A93F06}"/>
    <cellStyle name="Total 13 3 4" xfId="17907" xr:uid="{101B04D7-A358-45A4-A9DD-78532A0E5615}"/>
    <cellStyle name="Total 13 4" xfId="17908" xr:uid="{4B97C718-D035-4F06-8AE1-72ACCAC313BA}"/>
    <cellStyle name="Total 13 4 2" xfId="17909" xr:uid="{F823B8B3-177B-40FA-95DF-4A0CACC39974}"/>
    <cellStyle name="Total 13 4 2 2" xfId="17910" xr:uid="{7D751D77-9CC0-4486-A068-09872D91A3A7}"/>
    <cellStyle name="Total 13 4 3" xfId="17911" xr:uid="{9FDA7BC3-A903-4EEE-8586-2AF42556AF8E}"/>
    <cellStyle name="Total 13 4 3 2" xfId="17912" xr:uid="{9858E8A1-1DD9-43F9-ADC3-2C5CC29FFC48}"/>
    <cellStyle name="Total 13 4 4" xfId="17913" xr:uid="{DF85B2C7-276E-468A-B92F-5C63FAE30CEA}"/>
    <cellStyle name="Total 13 5" xfId="17914" xr:uid="{09D0EC56-5974-4FA8-9412-61BA3ABACE53}"/>
    <cellStyle name="Total 13 5 2" xfId="17915" xr:uid="{6C1AEC35-2CDE-4982-8ECE-9552546FB4D7}"/>
    <cellStyle name="Total 13 5 2 2" xfId="17916" xr:uid="{1BAE53CB-0423-490D-BD93-A1E4973A861B}"/>
    <cellStyle name="Total 13 5 3" xfId="17917" xr:uid="{FDDE3AC5-D825-4642-B962-38B821A8D67A}"/>
    <cellStyle name="Total 13 5 3 2" xfId="17918" xr:uid="{7FF0F7C3-2FFD-461B-A74E-6E00A971552C}"/>
    <cellStyle name="Total 13 5 4" xfId="17919" xr:uid="{535CEBBC-1724-485E-B52D-8BCB9B536238}"/>
    <cellStyle name="Total 13 5 4 2" xfId="17920" xr:uid="{1B29EFB9-472F-48BB-A2FC-F7A61A13973C}"/>
    <cellStyle name="Total 13 5 5" xfId="17921" xr:uid="{E3A8C93E-D315-4395-B705-F0CF9BE0F494}"/>
    <cellStyle name="Total 13 6" xfId="17922" xr:uid="{A6A47D57-3C96-4941-852B-E17B60B56687}"/>
    <cellStyle name="Total 13 6 2" xfId="17923" xr:uid="{1206A1EB-22F6-4C4E-8650-04E6BF7279ED}"/>
    <cellStyle name="Total 13 6 2 2" xfId="17924" xr:uid="{86BBF9A5-83D5-4C6F-ABC9-F3AEA30C3434}"/>
    <cellStyle name="Total 13 6 3" xfId="17925" xr:uid="{3235134C-4D10-4DAB-927F-8541D2F283FC}"/>
    <cellStyle name="Total 13 6 3 2" xfId="17926" xr:uid="{F1B87683-F9E1-4BC2-B5A1-3E1D1439A9EF}"/>
    <cellStyle name="Total 13 6 4" xfId="17927" xr:uid="{443354F9-4A30-4D42-A1C0-17BFA83DDF75}"/>
    <cellStyle name="Total 13 7" xfId="17928" xr:uid="{A7CA4122-B4DA-4469-A807-9BFE891C948A}"/>
    <cellStyle name="Total 13 7 2" xfId="17929" xr:uid="{B9D2D47E-F997-4484-899D-0A7377F4A3A5}"/>
    <cellStyle name="Total 13 8" xfId="17930" xr:uid="{62645FB8-F9F4-4AA6-905B-AC111043F348}"/>
    <cellStyle name="Total 13 8 2" xfId="17931" xr:uid="{EF71F418-ABC4-42BB-A25C-608ACF1DD4B8}"/>
    <cellStyle name="Total 13 9" xfId="17932" xr:uid="{D4DB9893-19B6-4446-BE77-93BF8DF80FC4}"/>
    <cellStyle name="Total 13 9 2" xfId="17933" xr:uid="{1F81EA9D-1DD5-432A-8777-01CDBC85A8FE}"/>
    <cellStyle name="Total 14" xfId="3311" xr:uid="{54B2306D-927F-44CF-BA4F-086BED629419}"/>
    <cellStyle name="Total 14 10" xfId="17935" xr:uid="{BD2F665B-5EE1-428D-8EFC-EBC64AD641C2}"/>
    <cellStyle name="Total 14 11" xfId="17936" xr:uid="{88119629-B8EA-45B6-B8C9-0FA5039EABFB}"/>
    <cellStyle name="Total 14 12" xfId="17934" xr:uid="{110FF31C-2685-4EC8-8E2C-D324E4B6FD7B}"/>
    <cellStyle name="Total 14 2" xfId="17937" xr:uid="{BA0FE730-64E6-4D70-BE91-3CCC3DAC3BF4}"/>
    <cellStyle name="Total 14 2 2" xfId="17938" xr:uid="{B524AB34-8544-442A-A9B8-4F1F007190C9}"/>
    <cellStyle name="Total 14 2 2 2" xfId="17939" xr:uid="{0C9EE427-9BD2-4A01-879A-4AD77AFE00E2}"/>
    <cellStyle name="Total 14 2 3" xfId="17940" xr:uid="{D3F8D71E-0967-4E4B-9397-A6C160F91DCE}"/>
    <cellStyle name="Total 14 2 3 2" xfId="17941" xr:uid="{DB97C7DC-784E-4E2B-A62B-AEF2E2B9687B}"/>
    <cellStyle name="Total 14 2 4" xfId="17942" xr:uid="{BCFB17CE-456F-4060-AC03-7B5746CE3715}"/>
    <cellStyle name="Total 14 2 5" xfId="17943" xr:uid="{0D014902-61AD-4C7F-847E-D1C8BB574FD5}"/>
    <cellStyle name="Total 14 3" xfId="17944" xr:uid="{0C1E4461-300D-4606-AAC8-873A7516C9C6}"/>
    <cellStyle name="Total 14 3 2" xfId="17945" xr:uid="{5DF6682A-27BE-4CFF-87E3-7E7F5617C09D}"/>
    <cellStyle name="Total 14 3 2 2" xfId="17946" xr:uid="{9BB56AB7-AEB8-4679-BB94-4FA5401721AD}"/>
    <cellStyle name="Total 14 3 3" xfId="17947" xr:uid="{E31DBE34-94E3-475B-8489-606D7BFA4B77}"/>
    <cellStyle name="Total 14 3 3 2" xfId="17948" xr:uid="{B9C2FF91-33E4-42A4-AF2E-FA7B2F38949F}"/>
    <cellStyle name="Total 14 3 4" xfId="17949" xr:uid="{B1054DFC-7CC1-435E-BFA0-CC0A94EDBE8F}"/>
    <cellStyle name="Total 14 4" xfId="17950" xr:uid="{A03B5D98-396C-40B3-9B42-C17F27B9969E}"/>
    <cellStyle name="Total 14 4 2" xfId="17951" xr:uid="{3AA42CE7-B286-4C76-BD07-D526905C631D}"/>
    <cellStyle name="Total 14 4 2 2" xfId="17952" xr:uid="{E87FEE86-4D9E-48C5-880F-DFDAE5B87F93}"/>
    <cellStyle name="Total 14 4 3" xfId="17953" xr:uid="{5FBF35DA-CEF4-4F73-BFA9-1C1C4A5E448B}"/>
    <cellStyle name="Total 14 4 3 2" xfId="17954" xr:uid="{F8B99D0F-FF2D-49A4-B57D-6FED3D936577}"/>
    <cellStyle name="Total 14 4 4" xfId="17955" xr:uid="{B2989652-C302-4790-9182-C9BAFAA1ECE5}"/>
    <cellStyle name="Total 14 5" xfId="17956" xr:uid="{9808B2B3-0B0D-4F9A-9620-8B22204FE73C}"/>
    <cellStyle name="Total 14 5 2" xfId="17957" xr:uid="{E18E3853-C14A-462A-A723-D1BC831FC388}"/>
    <cellStyle name="Total 14 5 2 2" xfId="17958" xr:uid="{9CD05845-4533-4E95-AE0B-46AD4480F3A9}"/>
    <cellStyle name="Total 14 5 3" xfId="17959" xr:uid="{56FE82D7-E468-48BE-B4E5-F955FB7BF632}"/>
    <cellStyle name="Total 14 5 3 2" xfId="17960" xr:uid="{080EF985-3504-4D88-A30C-F40C0F39D65F}"/>
    <cellStyle name="Total 14 5 4" xfId="17961" xr:uid="{BEDD7DF2-B204-4539-B1BB-BF1AF25A987A}"/>
    <cellStyle name="Total 14 5 4 2" xfId="17962" xr:uid="{20A8C6DE-CBAD-4A94-8ECE-F71287ED9260}"/>
    <cellStyle name="Total 14 5 5" xfId="17963" xr:uid="{9C6013F6-0729-4433-A81A-0A69CB2BF796}"/>
    <cellStyle name="Total 14 6" xfId="17964" xr:uid="{91CC2185-D2F9-4965-8543-088EE9C85D0A}"/>
    <cellStyle name="Total 14 6 2" xfId="17965" xr:uid="{0F329A6B-FCEF-442D-8596-F91E530DA9DB}"/>
    <cellStyle name="Total 14 6 2 2" xfId="17966" xr:uid="{13348293-D261-486F-8CEF-2C495B7C92B1}"/>
    <cellStyle name="Total 14 6 3" xfId="17967" xr:uid="{35FCD4B2-66AF-40E9-AD26-A58F0529A5AD}"/>
    <cellStyle name="Total 14 6 3 2" xfId="17968" xr:uid="{1E8D53F1-DF10-4537-BF7B-295FBFA98C4F}"/>
    <cellStyle name="Total 14 6 4" xfId="17969" xr:uid="{4D9C1E03-A5A3-4797-8257-CE758F569462}"/>
    <cellStyle name="Total 14 7" xfId="17970" xr:uid="{4872E5D7-B208-4BF6-B81F-CE9A990CA280}"/>
    <cellStyle name="Total 14 7 2" xfId="17971" xr:uid="{EF8D74DF-1C1D-4EE8-B529-CA1C447B0B7D}"/>
    <cellStyle name="Total 14 8" xfId="17972" xr:uid="{6650F5D4-0C33-4535-9012-7C5E3BF8E44C}"/>
    <cellStyle name="Total 14 8 2" xfId="17973" xr:uid="{182058A5-DC06-43EF-98F8-AD73F2E7D15E}"/>
    <cellStyle name="Total 14 9" xfId="17974" xr:uid="{F78DA64C-3FBA-4A00-8EFE-C68A694A193E}"/>
    <cellStyle name="Total 14 9 2" xfId="17975" xr:uid="{17106B25-D84A-4BF3-8846-323CC022CE5F}"/>
    <cellStyle name="Total 15" xfId="3312" xr:uid="{5478B4A4-94A4-4460-8925-86EB96489859}"/>
    <cellStyle name="Total 15 10" xfId="17977" xr:uid="{B7D3DD1A-4854-433F-BD5C-8E6D5D58574B}"/>
    <cellStyle name="Total 15 11" xfId="17978" xr:uid="{B7591A2B-83C7-46BF-82A7-5C630ACD1E71}"/>
    <cellStyle name="Total 15 12" xfId="17976" xr:uid="{F82E679C-31ED-4DAC-B1A3-CFED5AEBA301}"/>
    <cellStyle name="Total 15 2" xfId="17979" xr:uid="{E6704E5D-F525-46E4-BFF8-81DBD769CFBD}"/>
    <cellStyle name="Total 15 2 2" xfId="17980" xr:uid="{5D8F5CA1-2AEF-4D09-8A4A-AAFA6D21A19D}"/>
    <cellStyle name="Total 15 2 2 2" xfId="17981" xr:uid="{FBF49BF6-E52C-4ECE-BE7F-756C1E77A660}"/>
    <cellStyle name="Total 15 2 3" xfId="17982" xr:uid="{7DAD04BE-1AD9-4FE3-8EE2-8B5B7C3DE6D5}"/>
    <cellStyle name="Total 15 2 3 2" xfId="17983" xr:uid="{F6698F65-6C02-4C33-82ED-FC157F7E77D5}"/>
    <cellStyle name="Total 15 2 4" xfId="17984" xr:uid="{C10C1A76-3F8B-4819-B851-ED016A28C534}"/>
    <cellStyle name="Total 15 2 5" xfId="17985" xr:uid="{4536CE40-BD07-4D7B-8CCE-3CF2060FACD6}"/>
    <cellStyle name="Total 15 3" xfId="17986" xr:uid="{E99DC011-AC9A-4737-B362-FD57D978ACCA}"/>
    <cellStyle name="Total 15 3 2" xfId="17987" xr:uid="{E7592104-1D6F-47E4-9802-580DE37B45B6}"/>
    <cellStyle name="Total 15 3 2 2" xfId="17988" xr:uid="{9E560297-26C9-4B3E-85E3-8DE56D3166F6}"/>
    <cellStyle name="Total 15 3 3" xfId="17989" xr:uid="{38DD9919-F9BF-467E-A33A-1027B0293C12}"/>
    <cellStyle name="Total 15 3 3 2" xfId="17990" xr:uid="{571AF7CC-8D8B-4310-9EB5-8AFFA6B9465F}"/>
    <cellStyle name="Total 15 3 4" xfId="17991" xr:uid="{5B927AC6-A935-4206-97A7-639BFB45D96C}"/>
    <cellStyle name="Total 15 4" xfId="17992" xr:uid="{2F0D224C-1355-46FA-9D26-B38CD92014C0}"/>
    <cellStyle name="Total 15 4 2" xfId="17993" xr:uid="{1C4DE3C3-B6CB-4ED9-9AF7-77D899242934}"/>
    <cellStyle name="Total 15 4 2 2" xfId="17994" xr:uid="{3B2B3299-D12C-488E-82DF-634A4B4E4D9F}"/>
    <cellStyle name="Total 15 4 3" xfId="17995" xr:uid="{99C68DF4-B962-427A-870D-9AF872801DDD}"/>
    <cellStyle name="Total 15 4 3 2" xfId="17996" xr:uid="{F2FCC136-5592-401B-ACC0-DB4EF6A270EF}"/>
    <cellStyle name="Total 15 4 4" xfId="17997" xr:uid="{2B144546-6FFE-44CC-A04C-52A3D6072A77}"/>
    <cellStyle name="Total 15 5" xfId="17998" xr:uid="{A8C48AD6-C31F-44CE-9CB9-741A964319DF}"/>
    <cellStyle name="Total 15 5 2" xfId="17999" xr:uid="{90BABD9A-BD38-4272-ABA9-17B9C7044728}"/>
    <cellStyle name="Total 15 5 2 2" xfId="18000" xr:uid="{C195EACA-EBA7-4151-A73B-9B626A0607A6}"/>
    <cellStyle name="Total 15 5 3" xfId="18001" xr:uid="{90AACEE6-900A-4879-A835-85C8FB539775}"/>
    <cellStyle name="Total 15 5 3 2" xfId="18002" xr:uid="{E76B0D82-27DB-466C-ADF4-E13C54D96D07}"/>
    <cellStyle name="Total 15 5 4" xfId="18003" xr:uid="{CEDEA1FF-4F15-4840-98F3-96D42111321E}"/>
    <cellStyle name="Total 15 5 4 2" xfId="18004" xr:uid="{68116DB0-6205-4C62-BAD4-70E79E4A215B}"/>
    <cellStyle name="Total 15 5 5" xfId="18005" xr:uid="{C8C7714E-E67E-452C-9765-02AA8B62CF3E}"/>
    <cellStyle name="Total 15 6" xfId="18006" xr:uid="{624E937C-9657-4E34-AD19-77F413524939}"/>
    <cellStyle name="Total 15 6 2" xfId="18007" xr:uid="{98F69EF7-2906-410B-A483-A4E94E0E58C7}"/>
    <cellStyle name="Total 15 6 2 2" xfId="18008" xr:uid="{36E8689A-0A36-4065-963A-0D7FEE7FA45F}"/>
    <cellStyle name="Total 15 6 3" xfId="18009" xr:uid="{30A7C59D-7F49-47CA-981D-F604B599331B}"/>
    <cellStyle name="Total 15 6 3 2" xfId="18010" xr:uid="{5802E35C-4FC3-4FF9-BD81-9F68E6FFEA65}"/>
    <cellStyle name="Total 15 6 4" xfId="18011" xr:uid="{C875637C-AE75-4270-B4B2-4572FC7C12C5}"/>
    <cellStyle name="Total 15 7" xfId="18012" xr:uid="{9B893806-76EB-483F-902D-392020128374}"/>
    <cellStyle name="Total 15 7 2" xfId="18013" xr:uid="{DEB550ED-FB0F-4C3A-8667-210E047ED188}"/>
    <cellStyle name="Total 15 8" xfId="18014" xr:uid="{F9ED891B-7924-44FD-94AE-88DBBF292EB5}"/>
    <cellStyle name="Total 15 8 2" xfId="18015" xr:uid="{4F7E9E03-3E3C-4A4B-B30C-4EB37BED641B}"/>
    <cellStyle name="Total 15 9" xfId="18016" xr:uid="{B7BE960B-30C3-43D4-BFE3-F63F6CE8867C}"/>
    <cellStyle name="Total 15 9 2" xfId="18017" xr:uid="{D5D390B7-B6A4-451A-9C6D-9A0283AC21F7}"/>
    <cellStyle name="Total 16" xfId="3313" xr:uid="{C98CCA92-FE72-4A17-A1D7-4556EECF9734}"/>
    <cellStyle name="Total 16 10" xfId="18019" xr:uid="{4D8E8D69-DF04-4FE6-8720-05DFC21FDD6C}"/>
    <cellStyle name="Total 16 11" xfId="18020" xr:uid="{B84F4F65-4DF5-4969-8831-CFD5DFA280E3}"/>
    <cellStyle name="Total 16 12" xfId="18018" xr:uid="{9DB19DBB-B64C-4416-A3C3-EB9170838AC8}"/>
    <cellStyle name="Total 16 2" xfId="18021" xr:uid="{266DBEA4-A733-4B09-ABCD-B198C9F810A7}"/>
    <cellStyle name="Total 16 2 2" xfId="18022" xr:uid="{B0B4D913-CAFF-4512-8972-0609C1D99536}"/>
    <cellStyle name="Total 16 2 2 2" xfId="18023" xr:uid="{6E0C5D06-73D1-4951-9487-1427FBD3216E}"/>
    <cellStyle name="Total 16 2 3" xfId="18024" xr:uid="{8B5F8BD4-CCEE-442A-9BDC-F78EA2B4F0AC}"/>
    <cellStyle name="Total 16 2 3 2" xfId="18025" xr:uid="{2AC137CD-F6F3-4C5D-B8A3-B333BA6D4E4A}"/>
    <cellStyle name="Total 16 2 4" xfId="18026" xr:uid="{3917E089-0897-446C-8817-2E2AB66CD9DF}"/>
    <cellStyle name="Total 16 2 5" xfId="18027" xr:uid="{931377B2-D91C-4B65-B79A-5AE2BC5820D4}"/>
    <cellStyle name="Total 16 3" xfId="18028" xr:uid="{9E9F94FA-9C8F-4437-8A95-B9A4001831A8}"/>
    <cellStyle name="Total 16 3 2" xfId="18029" xr:uid="{408C4D52-6B6E-42CE-B0A5-32BAEBCEF540}"/>
    <cellStyle name="Total 16 3 2 2" xfId="18030" xr:uid="{947931AB-29D5-4840-8DCF-83E4731772DB}"/>
    <cellStyle name="Total 16 3 3" xfId="18031" xr:uid="{C465EF92-1348-4464-B786-805D23F4E85C}"/>
    <cellStyle name="Total 16 3 3 2" xfId="18032" xr:uid="{77C1E885-B19A-415E-B29A-1D96A2A0A548}"/>
    <cellStyle name="Total 16 3 4" xfId="18033" xr:uid="{BE800AC0-0D4D-45C8-8B11-6F2CC13D2F53}"/>
    <cellStyle name="Total 16 4" xfId="18034" xr:uid="{158E5031-7FE9-43B4-9CAD-2F5173C28D42}"/>
    <cellStyle name="Total 16 4 2" xfId="18035" xr:uid="{AF1DD655-67EB-4801-B528-3F8353B322F4}"/>
    <cellStyle name="Total 16 4 2 2" xfId="18036" xr:uid="{86862AC9-08D0-471F-A0F4-32490C5BCA9F}"/>
    <cellStyle name="Total 16 4 3" xfId="18037" xr:uid="{1CAB867B-172F-4146-9ACA-D9243AB2B7AF}"/>
    <cellStyle name="Total 16 4 3 2" xfId="18038" xr:uid="{DD2B9508-EED4-43A2-96CA-B2225413DD38}"/>
    <cellStyle name="Total 16 4 4" xfId="18039" xr:uid="{C973C8F8-BDD3-41AD-94F2-6E6B964AD235}"/>
    <cellStyle name="Total 16 5" xfId="18040" xr:uid="{D62A4AD5-9703-42DB-B416-31E0F76D53EE}"/>
    <cellStyle name="Total 16 5 2" xfId="18041" xr:uid="{6636046B-0279-4CA6-BC81-3A202232231F}"/>
    <cellStyle name="Total 16 5 2 2" xfId="18042" xr:uid="{29E56804-A18D-489A-A147-3532B6D3E20D}"/>
    <cellStyle name="Total 16 5 3" xfId="18043" xr:uid="{F04137EE-8C55-4E62-928F-EA274C67027A}"/>
    <cellStyle name="Total 16 5 3 2" xfId="18044" xr:uid="{96EE138D-A67F-419E-B560-CB3FF917B99B}"/>
    <cellStyle name="Total 16 5 4" xfId="18045" xr:uid="{577B240E-A60F-4BE9-85AF-C375E3EB85F8}"/>
    <cellStyle name="Total 16 5 4 2" xfId="18046" xr:uid="{81D1D669-09D2-4280-B7FF-9F662542C4E6}"/>
    <cellStyle name="Total 16 5 5" xfId="18047" xr:uid="{480C19D8-E3EF-4C06-962F-3D12F5CD6C83}"/>
    <cellStyle name="Total 16 6" xfId="18048" xr:uid="{4307247F-3DD5-4662-ADFE-B7BB8AEBCC4E}"/>
    <cellStyle name="Total 16 6 2" xfId="18049" xr:uid="{A6C06331-4A3B-4947-BA0F-58CBFA177230}"/>
    <cellStyle name="Total 16 6 2 2" xfId="18050" xr:uid="{5D8DEB3F-FF86-4DBC-A894-0AC5DB210774}"/>
    <cellStyle name="Total 16 6 3" xfId="18051" xr:uid="{4DE0941E-DFA8-4F7B-B252-13145CE39D34}"/>
    <cellStyle name="Total 16 6 3 2" xfId="18052" xr:uid="{55BDF93F-22F5-4D53-8F24-8EC23063D0C6}"/>
    <cellStyle name="Total 16 6 4" xfId="18053" xr:uid="{22BADCD4-97AB-4136-B354-6B49FB0EC681}"/>
    <cellStyle name="Total 16 7" xfId="18054" xr:uid="{6A8C9E5A-FE1D-4FE3-8426-469394626B8E}"/>
    <cellStyle name="Total 16 7 2" xfId="18055" xr:uid="{21AD9B48-DDB0-4F83-B738-7D93B134971B}"/>
    <cellStyle name="Total 16 8" xfId="18056" xr:uid="{79F5DF7B-9CA1-4399-8CB8-F7310EAF0556}"/>
    <cellStyle name="Total 16 8 2" xfId="18057" xr:uid="{086B805F-E8D0-41F7-ADC1-16884D50501F}"/>
    <cellStyle name="Total 16 9" xfId="18058" xr:uid="{91FF33DC-EA20-4BA2-9C1E-70AF8E90B8CF}"/>
    <cellStyle name="Total 16 9 2" xfId="18059" xr:uid="{402ED411-5EE5-48C7-8EE0-B0A899999909}"/>
    <cellStyle name="Total 17" xfId="3314" xr:uid="{8EE7683F-00C5-44AB-8260-E30A07E656BE}"/>
    <cellStyle name="Total 17 10" xfId="18061" xr:uid="{99F58EDF-5450-4B05-AE87-83F0103C6747}"/>
    <cellStyle name="Total 17 11" xfId="18062" xr:uid="{AB53BCEB-97FE-4083-AA69-230A0507C81A}"/>
    <cellStyle name="Total 17 12" xfId="18060" xr:uid="{9FCAEF4D-F731-4CD5-B863-579F44303CA2}"/>
    <cellStyle name="Total 17 2" xfId="18063" xr:uid="{34E645FE-FA13-4F7A-B08C-2B6DB2532888}"/>
    <cellStyle name="Total 17 2 2" xfId="18064" xr:uid="{F81C4357-D82E-49CD-8596-3C2E09874B84}"/>
    <cellStyle name="Total 17 2 2 2" xfId="18065" xr:uid="{84EBEFDA-F841-43E5-8872-BD456222BCFA}"/>
    <cellStyle name="Total 17 2 3" xfId="18066" xr:uid="{415FCAE7-9B64-4381-8084-078563683F7A}"/>
    <cellStyle name="Total 17 2 3 2" xfId="18067" xr:uid="{12953D05-B1B9-4958-9102-A82B5455E31F}"/>
    <cellStyle name="Total 17 2 4" xfId="18068" xr:uid="{5B4C9614-7ACB-4864-BC86-1F941E908B66}"/>
    <cellStyle name="Total 17 2 5" xfId="18069" xr:uid="{C68BE709-FEA9-47DD-87F5-5CA8AD953B8C}"/>
    <cellStyle name="Total 17 3" xfId="18070" xr:uid="{8F33D5F8-0D7F-42AC-AA4D-E336B4F09C4B}"/>
    <cellStyle name="Total 17 3 2" xfId="18071" xr:uid="{DC7F7CD5-87D8-43CC-AD23-9B1F552E97F3}"/>
    <cellStyle name="Total 17 3 2 2" xfId="18072" xr:uid="{6508CD97-12FC-4790-AE82-9AB45BB4D0F5}"/>
    <cellStyle name="Total 17 3 3" xfId="18073" xr:uid="{4EB5DECF-62D8-4782-8DD8-D94AFD865DED}"/>
    <cellStyle name="Total 17 3 3 2" xfId="18074" xr:uid="{CFA3B15B-1B98-4160-A93D-E23CBB47DAB8}"/>
    <cellStyle name="Total 17 3 4" xfId="18075" xr:uid="{A7EB4A5C-7CC8-404F-A7C5-90832B5EBFED}"/>
    <cellStyle name="Total 17 4" xfId="18076" xr:uid="{7282AE1B-AC80-414E-9AB3-0C93C907FF22}"/>
    <cellStyle name="Total 17 4 2" xfId="18077" xr:uid="{2426128A-1AB2-4478-B5D4-12DCE248A454}"/>
    <cellStyle name="Total 17 4 2 2" xfId="18078" xr:uid="{532BB93C-2CCE-4B4D-B705-2EF5C809618A}"/>
    <cellStyle name="Total 17 4 3" xfId="18079" xr:uid="{ABC2D687-88C4-469B-8A61-14B1BE583953}"/>
    <cellStyle name="Total 17 4 3 2" xfId="18080" xr:uid="{7994B35E-7627-45CA-9464-EE5D0FB1B4DB}"/>
    <cellStyle name="Total 17 4 4" xfId="18081" xr:uid="{09A2DE00-0419-488E-A6F5-16BEF6ECF391}"/>
    <cellStyle name="Total 17 5" xfId="18082" xr:uid="{92A710D9-31D2-4D1D-8D7A-4B2E94294A6D}"/>
    <cellStyle name="Total 17 5 2" xfId="18083" xr:uid="{978774ED-A1E3-4473-B764-2D9F21FE264D}"/>
    <cellStyle name="Total 17 5 2 2" xfId="18084" xr:uid="{75A177B6-0A44-4B85-BAA8-18E32696E165}"/>
    <cellStyle name="Total 17 5 3" xfId="18085" xr:uid="{5DDF9BF8-E31B-4040-AEE2-CBFA94B3A78C}"/>
    <cellStyle name="Total 17 5 3 2" xfId="18086" xr:uid="{E476C0D8-855E-4D91-B054-83B49802D441}"/>
    <cellStyle name="Total 17 5 4" xfId="18087" xr:uid="{45498155-8762-418F-8478-C9E96C282AAD}"/>
    <cellStyle name="Total 17 5 4 2" xfId="18088" xr:uid="{CD113FEA-B59E-4086-A0C5-7B8597AB0541}"/>
    <cellStyle name="Total 17 5 5" xfId="18089" xr:uid="{91E56E7E-9CC7-4B36-883B-823E752813BB}"/>
    <cellStyle name="Total 17 6" xfId="18090" xr:uid="{CFD30F2D-B2A9-4657-BD3E-18C53E73371D}"/>
    <cellStyle name="Total 17 6 2" xfId="18091" xr:uid="{69903881-3D69-4A46-B000-EDE5B8141F9C}"/>
    <cellStyle name="Total 17 6 2 2" xfId="18092" xr:uid="{520124E4-4686-403C-9B67-295425AB80DB}"/>
    <cellStyle name="Total 17 6 3" xfId="18093" xr:uid="{2331E03F-FC85-4B6E-9617-9C902541EF74}"/>
    <cellStyle name="Total 17 6 3 2" xfId="18094" xr:uid="{7AEAFE96-AE7A-4F44-8761-98129598E2B1}"/>
    <cellStyle name="Total 17 6 4" xfId="18095" xr:uid="{9BABCE78-6086-4AAA-AC43-F72508820E8C}"/>
    <cellStyle name="Total 17 7" xfId="18096" xr:uid="{0E5BD65F-0D7F-4967-8E6A-2F71AE8ABC1F}"/>
    <cellStyle name="Total 17 7 2" xfId="18097" xr:uid="{4105EFA2-86BA-4DC9-ACF7-4D8F685679D8}"/>
    <cellStyle name="Total 17 8" xfId="18098" xr:uid="{480E876D-A317-417F-8693-5DDA2B385FAA}"/>
    <cellStyle name="Total 17 8 2" xfId="18099" xr:uid="{7546B37C-A40E-483F-8B44-EA56D47BC470}"/>
    <cellStyle name="Total 17 9" xfId="18100" xr:uid="{6B99ACCF-C049-42B0-B605-6DD735136918}"/>
    <cellStyle name="Total 17 9 2" xfId="18101" xr:uid="{75EA61A3-310D-4A44-9CBC-B30FC9AC876E}"/>
    <cellStyle name="Total 18" xfId="3315" xr:uid="{8B58774A-0A33-465B-B4DF-FA30572A9305}"/>
    <cellStyle name="Total 18 10" xfId="18103" xr:uid="{48E17BE1-FFC6-4E17-9777-E7D36D68BC15}"/>
    <cellStyle name="Total 18 11" xfId="18104" xr:uid="{723DCFBB-73CB-4AE8-85DF-CAB021A6357A}"/>
    <cellStyle name="Total 18 12" xfId="18102" xr:uid="{22143B3E-4129-45B4-A013-5EBAE52149F9}"/>
    <cellStyle name="Total 18 2" xfId="18105" xr:uid="{B72EDB8C-ADDF-4363-9DD7-901435B21F0D}"/>
    <cellStyle name="Total 18 2 2" xfId="18106" xr:uid="{F42160C4-6C90-4DAB-9884-C877232154A5}"/>
    <cellStyle name="Total 18 2 2 2" xfId="18107" xr:uid="{2C855A31-C8EA-4B21-B4F7-E067FDF81187}"/>
    <cellStyle name="Total 18 2 3" xfId="18108" xr:uid="{5073EB28-A1D2-4025-AFCD-7B2DC476D837}"/>
    <cellStyle name="Total 18 2 3 2" xfId="18109" xr:uid="{56E47706-AD63-44EC-AD79-68DA3889D791}"/>
    <cellStyle name="Total 18 2 4" xfId="18110" xr:uid="{A09DF691-0721-4002-8944-425C9EB7015F}"/>
    <cellStyle name="Total 18 2 5" xfId="18111" xr:uid="{CD0C4694-D36B-447F-9083-D98FA0C96F51}"/>
    <cellStyle name="Total 18 3" xfId="18112" xr:uid="{B9334154-9634-4250-82A2-3F7F1F9A4B68}"/>
    <cellStyle name="Total 18 3 2" xfId="18113" xr:uid="{594ACD5F-AD48-4A2F-ABDB-51591CE00ECB}"/>
    <cellStyle name="Total 18 3 2 2" xfId="18114" xr:uid="{FF949061-B93A-47A2-A93C-07505FCDA156}"/>
    <cellStyle name="Total 18 3 3" xfId="18115" xr:uid="{60153EE1-1713-4604-B0C2-E1F6CACABE30}"/>
    <cellStyle name="Total 18 3 3 2" xfId="18116" xr:uid="{7969B913-04D3-4731-B50D-EE9BB932F37B}"/>
    <cellStyle name="Total 18 3 4" xfId="18117" xr:uid="{D7126268-04D4-45CE-9637-1538A9D7BF8C}"/>
    <cellStyle name="Total 18 4" xfId="18118" xr:uid="{748E3CEF-42D8-4EAC-8CD5-74F4BFDB83D1}"/>
    <cellStyle name="Total 18 4 2" xfId="18119" xr:uid="{BFFC2CB4-A5F7-4907-ABFB-69C507AABAD5}"/>
    <cellStyle name="Total 18 4 2 2" xfId="18120" xr:uid="{0047726F-AA94-46CF-A98B-52E3F62B4895}"/>
    <cellStyle name="Total 18 4 3" xfId="18121" xr:uid="{0BE9ECB0-AE92-4918-805B-89D03DB4FC4A}"/>
    <cellStyle name="Total 18 4 3 2" xfId="18122" xr:uid="{AD8AB3CF-EE9C-42A5-9A5D-523F11E36491}"/>
    <cellStyle name="Total 18 4 4" xfId="18123" xr:uid="{9483316F-1056-4CB6-BB77-529EB0B3A83D}"/>
    <cellStyle name="Total 18 5" xfId="18124" xr:uid="{B2EB60E6-27FC-4A39-B2D1-E822BBE163DD}"/>
    <cellStyle name="Total 18 5 2" xfId="18125" xr:uid="{5535BE7C-A0E4-4797-9284-F59C0132AC7A}"/>
    <cellStyle name="Total 18 5 2 2" xfId="18126" xr:uid="{ED46C0AE-2B70-4381-8832-EE1DBBABD8BA}"/>
    <cellStyle name="Total 18 5 3" xfId="18127" xr:uid="{CEB11369-A557-4435-B249-9CFC1B90B325}"/>
    <cellStyle name="Total 18 5 3 2" xfId="18128" xr:uid="{652EB52A-EEBB-442E-B7A1-30B3A3A51ACF}"/>
    <cellStyle name="Total 18 5 4" xfId="18129" xr:uid="{4B0615AE-5CA2-4765-8897-973DDD23E3F7}"/>
    <cellStyle name="Total 18 5 4 2" xfId="18130" xr:uid="{B906ABA5-00D4-44BC-A341-E456D7D568A7}"/>
    <cellStyle name="Total 18 5 5" xfId="18131" xr:uid="{F0647ACE-92AA-459F-A105-8CC4E0F7A8AE}"/>
    <cellStyle name="Total 18 6" xfId="18132" xr:uid="{7A6141C8-1621-44AE-A81B-82DDCD7EC8DA}"/>
    <cellStyle name="Total 18 6 2" xfId="18133" xr:uid="{58059D6D-C59D-4C80-A14C-CC03182443C6}"/>
    <cellStyle name="Total 18 6 2 2" xfId="18134" xr:uid="{042FB187-8794-47FA-88DC-C8643D0586D7}"/>
    <cellStyle name="Total 18 6 3" xfId="18135" xr:uid="{736A0463-FFA8-44B1-9EE5-679A7502A4AD}"/>
    <cellStyle name="Total 18 6 3 2" xfId="18136" xr:uid="{C762EA23-76FE-4287-8336-1F95DDD892DA}"/>
    <cellStyle name="Total 18 6 4" xfId="18137" xr:uid="{9FFE9EB6-17AC-46DA-B57E-F1BA69EFBC7F}"/>
    <cellStyle name="Total 18 7" xfId="18138" xr:uid="{A152A4F6-4674-4CB6-8094-3AF6F24C2550}"/>
    <cellStyle name="Total 18 7 2" xfId="18139" xr:uid="{C7786D7C-D648-4FB9-9B2F-7840C33C86A5}"/>
    <cellStyle name="Total 18 8" xfId="18140" xr:uid="{30BAC95D-A769-492A-B877-06265CDBD607}"/>
    <cellStyle name="Total 18 8 2" xfId="18141" xr:uid="{D1200D14-C66C-4A9A-8B72-B8CF6B27901E}"/>
    <cellStyle name="Total 18 9" xfId="18142" xr:uid="{44F18DB2-F146-4255-A2E8-89BD31E0CD0F}"/>
    <cellStyle name="Total 18 9 2" xfId="18143" xr:uid="{5E03F0ED-5472-482B-BF5A-62193D703AC8}"/>
    <cellStyle name="Total 19" xfId="3316" xr:uid="{FF057B6E-7DE0-48E8-B3EA-996021A7D4C4}"/>
    <cellStyle name="Total 19 10" xfId="18145" xr:uid="{E48FDD4A-3A78-4932-AE18-D5170D5558F2}"/>
    <cellStyle name="Total 19 11" xfId="18146" xr:uid="{8D02DA7E-7DA3-4082-BE19-E97FD3779037}"/>
    <cellStyle name="Total 19 12" xfId="18144" xr:uid="{0173FDC1-B019-4C6B-B1F0-38BBF116EBE7}"/>
    <cellStyle name="Total 19 2" xfId="18147" xr:uid="{DFBF5EE3-A031-47AF-A6FB-A92BD29C79F6}"/>
    <cellStyle name="Total 19 2 2" xfId="18148" xr:uid="{0CF0FBF2-B45A-41D9-8400-5B38FA2600E4}"/>
    <cellStyle name="Total 19 2 2 2" xfId="18149" xr:uid="{6EC9D512-9881-45A6-9B0D-F0687D8B2184}"/>
    <cellStyle name="Total 19 2 3" xfId="18150" xr:uid="{319DDC16-6A1F-44D6-B68A-0CF4E0FBCE24}"/>
    <cellStyle name="Total 19 2 3 2" xfId="18151" xr:uid="{BB3180BB-BEFD-4265-AD4A-1FF1AF596833}"/>
    <cellStyle name="Total 19 2 4" xfId="18152" xr:uid="{973DE193-0527-4819-BB67-C018D12B7B17}"/>
    <cellStyle name="Total 19 2 5" xfId="18153" xr:uid="{6C47E488-9A6A-4A35-B686-F0FDBFB0215C}"/>
    <cellStyle name="Total 19 3" xfId="18154" xr:uid="{29AFDF3B-10A2-4514-915F-AAEEB62F597E}"/>
    <cellStyle name="Total 19 3 2" xfId="18155" xr:uid="{B2FA9526-0E29-4A4A-88EE-662C5D1E4451}"/>
    <cellStyle name="Total 19 3 2 2" xfId="18156" xr:uid="{54A754FF-226B-4FE2-B693-3219747BA567}"/>
    <cellStyle name="Total 19 3 3" xfId="18157" xr:uid="{4AD1E50A-BF7F-451A-9B51-2E027A8430D3}"/>
    <cellStyle name="Total 19 3 3 2" xfId="18158" xr:uid="{8567F4FD-BA76-4F67-A628-6683FA0867CA}"/>
    <cellStyle name="Total 19 3 4" xfId="18159" xr:uid="{DCB2B284-E350-449A-9143-237168AB2FC3}"/>
    <cellStyle name="Total 19 4" xfId="18160" xr:uid="{550E4349-2595-424F-AE4E-BA220A09B3C6}"/>
    <cellStyle name="Total 19 4 2" xfId="18161" xr:uid="{B8F36549-3B1E-4503-9E9D-53BF30410CC0}"/>
    <cellStyle name="Total 19 4 2 2" xfId="18162" xr:uid="{845F6E8E-AC6A-425B-8D15-DFD445CA43A7}"/>
    <cellStyle name="Total 19 4 3" xfId="18163" xr:uid="{19A5F963-FD4E-4515-9E2C-4B6B723033F2}"/>
    <cellStyle name="Total 19 4 3 2" xfId="18164" xr:uid="{3933F110-6EE2-4FCD-9BEB-A80F7B730A2C}"/>
    <cellStyle name="Total 19 4 4" xfId="18165" xr:uid="{D5B68FFE-5B33-4FBA-941F-2324E4BEA635}"/>
    <cellStyle name="Total 19 5" xfId="18166" xr:uid="{C1A899D1-9552-4841-9682-38E9A520A3F6}"/>
    <cellStyle name="Total 19 5 2" xfId="18167" xr:uid="{C47CF728-625D-43D8-AA85-0741CEF6CDE7}"/>
    <cellStyle name="Total 19 5 2 2" xfId="18168" xr:uid="{CCC2686D-37D4-4B82-A490-5DF1A39E6C50}"/>
    <cellStyle name="Total 19 5 3" xfId="18169" xr:uid="{0BC26575-423D-4512-9717-3C91A7F68C89}"/>
    <cellStyle name="Total 19 5 3 2" xfId="18170" xr:uid="{8A374A1C-E516-4B68-8F1C-32854C6AF88E}"/>
    <cellStyle name="Total 19 5 4" xfId="18171" xr:uid="{E6A8BC3B-AF8C-4D88-9427-2EFB3BD6C779}"/>
    <cellStyle name="Total 19 5 4 2" xfId="18172" xr:uid="{F1DECEC0-63BA-4959-90A6-6167641F4885}"/>
    <cellStyle name="Total 19 5 5" xfId="18173" xr:uid="{EF77FDDC-E93A-4837-BC66-DD93DE20EDDD}"/>
    <cellStyle name="Total 19 6" xfId="18174" xr:uid="{35C7C02B-A699-4DA3-9302-6604A6D01C16}"/>
    <cellStyle name="Total 19 6 2" xfId="18175" xr:uid="{F9B4E290-7FAA-4726-85C5-437CFA2E0555}"/>
    <cellStyle name="Total 19 6 2 2" xfId="18176" xr:uid="{1F1DAD9C-5CDB-4A5E-BE20-3995158373C9}"/>
    <cellStyle name="Total 19 6 3" xfId="18177" xr:uid="{951F1E46-3F39-486B-A838-0D9505CF802D}"/>
    <cellStyle name="Total 19 6 3 2" xfId="18178" xr:uid="{E3E6563E-A525-4C3F-AD67-A8778D00C05A}"/>
    <cellStyle name="Total 19 6 4" xfId="18179" xr:uid="{DDE243C8-A47B-4165-89A5-BC04BC95610B}"/>
    <cellStyle name="Total 19 7" xfId="18180" xr:uid="{3213DABC-29E3-421D-A696-A8B8A4778777}"/>
    <cellStyle name="Total 19 7 2" xfId="18181" xr:uid="{EB47F2DF-0736-4BEB-BD06-24BE6F32AF81}"/>
    <cellStyle name="Total 19 8" xfId="18182" xr:uid="{DC6B114E-E6DA-4F81-A6BA-0869478B7F81}"/>
    <cellStyle name="Total 19 8 2" xfId="18183" xr:uid="{8195AE41-81F1-43C3-8C1E-B15583384AE4}"/>
    <cellStyle name="Total 19 9" xfId="18184" xr:uid="{368196E8-7568-4E1D-A044-35DB9ED5FE0C}"/>
    <cellStyle name="Total 19 9 2" xfId="18185" xr:uid="{40A7C178-3AD0-45AF-ABA9-FD81147384C8}"/>
    <cellStyle name="Total 2" xfId="317" xr:uid="{5AECE0B3-F9F3-4A4F-A831-76FB483D5B46}"/>
    <cellStyle name="Total 2 10" xfId="4818" xr:uid="{9A8EC164-465B-4787-92F9-95C1C416B033}"/>
    <cellStyle name="Total 2 10 10" xfId="18188" xr:uid="{94508A24-C9BD-4304-B974-4C80A78E00F2}"/>
    <cellStyle name="Total 2 10 11" xfId="18187" xr:uid="{41D24B43-49EB-4568-85F4-49B92625BB26}"/>
    <cellStyle name="Total 2 10 2" xfId="18189" xr:uid="{A39FF6B2-EC43-4570-BA53-A1A642D3DBA7}"/>
    <cellStyle name="Total 2 10 2 2" xfId="18190" xr:uid="{BE48245C-EF42-4AFF-815A-B52668FBD80D}"/>
    <cellStyle name="Total 2 10 2 2 2" xfId="18191" xr:uid="{A8EBF384-37A5-4849-B16C-4C809A1AF04C}"/>
    <cellStyle name="Total 2 10 2 3" xfId="18192" xr:uid="{7F7E7D58-E335-4320-ABF1-050B7B4A27C6}"/>
    <cellStyle name="Total 2 10 2 3 2" xfId="18193" xr:uid="{8A254235-0A3A-4404-8670-6117604572DF}"/>
    <cellStyle name="Total 2 10 2 4" xfId="18194" xr:uid="{6E9F0B10-3844-44DB-B831-53319E0B0961}"/>
    <cellStyle name="Total 2 10 3" xfId="18195" xr:uid="{8C979145-43A0-42BD-AC06-5CEB5BD4FF05}"/>
    <cellStyle name="Total 2 10 3 2" xfId="18196" xr:uid="{A02456C8-B46C-4D2E-AB1E-EC3D2AADE39B}"/>
    <cellStyle name="Total 2 10 3 2 2" xfId="18197" xr:uid="{0022439F-A48C-4ABF-8210-5AF82B1B69D9}"/>
    <cellStyle name="Total 2 10 3 3" xfId="18198" xr:uid="{A11A2014-F690-40A4-8FB4-6295D4E14A17}"/>
    <cellStyle name="Total 2 10 3 3 2" xfId="18199" xr:uid="{FAAA1E0C-BA89-4548-9651-46E16C44F4A2}"/>
    <cellStyle name="Total 2 10 3 4" xfId="18200" xr:uid="{223308D3-B4CC-4E8C-AB77-B2E8EECA9DB9}"/>
    <cellStyle name="Total 2 10 4" xfId="18201" xr:uid="{68D04769-4B20-470C-A43A-A4E79C3FB74B}"/>
    <cellStyle name="Total 2 10 4 2" xfId="18202" xr:uid="{48627AA6-4013-44D4-BEE6-20AB4A5803E3}"/>
    <cellStyle name="Total 2 10 4 2 2" xfId="18203" xr:uid="{3CCEE9BA-117D-4C75-9FBC-CA9C12823559}"/>
    <cellStyle name="Total 2 10 4 3" xfId="18204" xr:uid="{EA1E8BAC-D395-4BB9-800F-1DB108ADDACB}"/>
    <cellStyle name="Total 2 10 4 3 2" xfId="18205" xr:uid="{A8A60F74-DDD2-46E7-95B6-D6A441D8EF4A}"/>
    <cellStyle name="Total 2 10 4 4" xfId="18206" xr:uid="{371CB49B-D8ED-44D5-A65B-05F89611EFBD}"/>
    <cellStyle name="Total 2 10 4 4 2" xfId="18207" xr:uid="{12381B13-340D-4393-AAD7-5F8D9308D797}"/>
    <cellStyle name="Total 2 10 4 5" xfId="18208" xr:uid="{A5162BE5-3A35-4A4D-B539-933A33823ECA}"/>
    <cellStyle name="Total 2 10 5" xfId="18209" xr:uid="{0488370C-096C-4D93-8314-79BD343DCBBD}"/>
    <cellStyle name="Total 2 10 5 2" xfId="18210" xr:uid="{2A8DD1BC-DCAA-4D39-BAAF-68095337AEC5}"/>
    <cellStyle name="Total 2 10 5 2 2" xfId="18211" xr:uid="{2A04941A-3467-4B80-889E-780304B8B668}"/>
    <cellStyle name="Total 2 10 5 3" xfId="18212" xr:uid="{DA9385F4-7CA6-48F8-B052-C5189C4CEB17}"/>
    <cellStyle name="Total 2 10 5 3 2" xfId="18213" xr:uid="{6D53219A-28A3-416B-B74E-79B7E58E2F3D}"/>
    <cellStyle name="Total 2 10 5 4" xfId="18214" xr:uid="{844B74F2-1423-4446-955D-09816B57D308}"/>
    <cellStyle name="Total 2 10 6" xfId="18215" xr:uid="{536A2AE7-55CB-4269-8DD4-B5546C20A8B7}"/>
    <cellStyle name="Total 2 10 6 2" xfId="18216" xr:uid="{CC06839E-C199-410B-A735-C9BAC69AAA79}"/>
    <cellStyle name="Total 2 10 7" xfId="18217" xr:uid="{B2EBB825-7C89-46A3-99AF-F374525CDF6A}"/>
    <cellStyle name="Total 2 10 7 2" xfId="18218" xr:uid="{D21C42B5-8AC0-4938-AF1B-F46FB919FE4C}"/>
    <cellStyle name="Total 2 10 8" xfId="18219" xr:uid="{699F9A24-3BCF-4D8D-93FC-A5E5AC075C25}"/>
    <cellStyle name="Total 2 10 8 2" xfId="18220" xr:uid="{8B2C5CD3-6612-4AFF-BC56-8DE007278643}"/>
    <cellStyle name="Total 2 10 9" xfId="18221" xr:uid="{0ADF0F71-EAD3-4D6D-AC92-4D61547540EC}"/>
    <cellStyle name="Total 2 11" xfId="18222" xr:uid="{8F67E031-7059-4629-A87E-D9CE130EBEE3}"/>
    <cellStyle name="Total 2 11 10" xfId="18223" xr:uid="{C7FFC491-E5A5-4755-91E6-358291AC5C9B}"/>
    <cellStyle name="Total 2 11 2" xfId="18224" xr:uid="{21DEA7D1-DFD0-418B-8451-7D58876BB57F}"/>
    <cellStyle name="Total 2 11 2 2" xfId="18225" xr:uid="{F86EAA44-2FE9-47EA-BE06-93488B0B217E}"/>
    <cellStyle name="Total 2 11 2 2 2" xfId="18226" xr:uid="{DCC4B35C-1542-4DDB-B49C-016E1786697E}"/>
    <cellStyle name="Total 2 11 2 3" xfId="18227" xr:uid="{951A1AC5-F14C-4509-95BF-B57C004A4D37}"/>
    <cellStyle name="Total 2 11 2 3 2" xfId="18228" xr:uid="{F8302A96-ED81-447A-8A31-1F9840FB3CC7}"/>
    <cellStyle name="Total 2 11 2 4" xfId="18229" xr:uid="{6BAB46BE-9A98-497A-98CC-F0B5AF243F01}"/>
    <cellStyle name="Total 2 11 3" xfId="18230" xr:uid="{153A5A73-3BF3-4AC1-B142-2A5EA78BF866}"/>
    <cellStyle name="Total 2 11 3 2" xfId="18231" xr:uid="{0291EF08-0556-44BB-8BA4-04B6DD828F42}"/>
    <cellStyle name="Total 2 11 3 2 2" xfId="18232" xr:uid="{902A0E73-D8FA-4EF1-BD9A-C0649CC7253A}"/>
    <cellStyle name="Total 2 11 3 3" xfId="18233" xr:uid="{2D6417D2-6CD5-404A-9BC4-49BFC6D8BB04}"/>
    <cellStyle name="Total 2 11 3 3 2" xfId="18234" xr:uid="{E7C50016-D909-4762-A6A3-57E62C0A7CF1}"/>
    <cellStyle name="Total 2 11 3 4" xfId="18235" xr:uid="{04FF9312-96A2-4394-877E-80270A77EF4B}"/>
    <cellStyle name="Total 2 11 4" xfId="18236" xr:uid="{ECB47B48-3696-4A3E-83F4-90BCBFEA1CE8}"/>
    <cellStyle name="Total 2 11 4 2" xfId="18237" xr:uid="{41687F01-6347-4AAA-8F98-800C73AA1365}"/>
    <cellStyle name="Total 2 11 4 2 2" xfId="18238" xr:uid="{9C84B6BB-7098-40A4-AE84-D449B238440C}"/>
    <cellStyle name="Total 2 11 4 3" xfId="18239" xr:uid="{9A632C91-5719-4ED3-84A6-23C1F41DAB38}"/>
    <cellStyle name="Total 2 11 4 3 2" xfId="18240" xr:uid="{2F72C78C-447D-4E0D-9FD7-5BEC573ED870}"/>
    <cellStyle name="Total 2 11 4 4" xfId="18241" xr:uid="{64505784-03A4-49F4-A259-61A9FEC46E96}"/>
    <cellStyle name="Total 2 11 4 4 2" xfId="18242" xr:uid="{06222F9E-E512-41BC-ACB2-E2FF1671DEDF}"/>
    <cellStyle name="Total 2 11 4 5" xfId="18243" xr:uid="{2E63E5E7-CEA9-46C5-B1E1-890F4ABB30F0}"/>
    <cellStyle name="Total 2 11 5" xfId="18244" xr:uid="{A7FBB700-C18B-4230-9F03-2801E897ED9F}"/>
    <cellStyle name="Total 2 11 5 2" xfId="18245" xr:uid="{DCB6C7FE-653F-46DF-8576-3839DFC00A7C}"/>
    <cellStyle name="Total 2 11 5 2 2" xfId="18246" xr:uid="{C3380FE4-51E6-44CE-8D1A-88C137796BF2}"/>
    <cellStyle name="Total 2 11 5 3" xfId="18247" xr:uid="{F2D87902-BAAE-45E3-A02A-66DDE31AFBDC}"/>
    <cellStyle name="Total 2 11 5 3 2" xfId="18248" xr:uid="{91D8E69B-3AD7-45CB-BB5E-EFEB7B02AC18}"/>
    <cellStyle name="Total 2 11 5 4" xfId="18249" xr:uid="{6A75F7A1-54DA-462D-927B-61EF7870018D}"/>
    <cellStyle name="Total 2 11 6" xfId="18250" xr:uid="{7B958316-5084-44F2-B703-81243DC83B12}"/>
    <cellStyle name="Total 2 11 6 2" xfId="18251" xr:uid="{E71A056A-D82A-480B-B38C-5DD3B589771B}"/>
    <cellStyle name="Total 2 11 7" xfId="18252" xr:uid="{C3BB0557-06B3-4FD3-BD1A-C0DC623DF6C8}"/>
    <cellStyle name="Total 2 11 7 2" xfId="18253" xr:uid="{8A1BCAD4-18CF-4367-B5A5-D8040D1C3B61}"/>
    <cellStyle name="Total 2 11 8" xfId="18254" xr:uid="{2138A672-1DCE-4B32-84CF-E4FDF3FE28C5}"/>
    <cellStyle name="Total 2 11 8 2" xfId="18255" xr:uid="{8B43FCA7-B048-463E-A904-B6052FB5DA36}"/>
    <cellStyle name="Total 2 11 9" xfId="18256" xr:uid="{02195A04-EEF9-4598-B144-CEF60F7C628A}"/>
    <cellStyle name="Total 2 12" xfId="18257" xr:uid="{9EFECA17-C9AE-41FD-96CD-72632650D56D}"/>
    <cellStyle name="Total 2 12 2" xfId="18258" xr:uid="{C2FD32D5-94F6-4789-B15C-D5D27EF051FE}"/>
    <cellStyle name="Total 2 12 2 2" xfId="18259" xr:uid="{7B6F52C7-9C5E-4489-913F-ADEEEE022BEC}"/>
    <cellStyle name="Total 2 12 3" xfId="18260" xr:uid="{5547B2F1-4C4D-427A-BD27-E9BCEF85466D}"/>
    <cellStyle name="Total 2 12 3 2" xfId="18261" xr:uid="{81CE82E7-D152-4FD7-A2B8-BF284CACEC24}"/>
    <cellStyle name="Total 2 12 4" xfId="18262" xr:uid="{6C4321C1-C4D8-45A6-9A57-CB3A0A22860C}"/>
    <cellStyle name="Total 2 12 5" xfId="18263" xr:uid="{C90E35B0-CD57-4A94-8BB9-CBC8FA3D39B4}"/>
    <cellStyle name="Total 2 13" xfId="18264" xr:uid="{07DF739D-E9A4-449C-AD4D-F6B8F8417F0E}"/>
    <cellStyle name="Total 2 13 2" xfId="18265" xr:uid="{19AC45FC-B317-4830-810E-7779E5987290}"/>
    <cellStyle name="Total 2 13 2 2" xfId="18266" xr:uid="{E5632ED7-AD8D-445A-AAFE-7C8E6C35E41D}"/>
    <cellStyle name="Total 2 13 3" xfId="18267" xr:uid="{B37EF9C8-2B10-40C8-8FE6-0336265A13A6}"/>
    <cellStyle name="Total 2 13 3 2" xfId="18268" xr:uid="{889CB6E6-57E5-47E1-96F4-0105348C2AF9}"/>
    <cellStyle name="Total 2 13 4" xfId="18269" xr:uid="{B8E459C0-DB96-4D4E-B020-0A281B5C20C0}"/>
    <cellStyle name="Total 2 14" xfId="18270" xr:uid="{DDF2B59D-3945-4609-9A90-F7F3F374F1DF}"/>
    <cellStyle name="Total 2 14 2" xfId="18271" xr:uid="{9A701CB9-2C3E-4E02-9644-0ACBE5BE3D33}"/>
    <cellStyle name="Total 2 14 2 2" xfId="18272" xr:uid="{76ABC9B3-97D1-4428-B48D-73B629C27C46}"/>
    <cellStyle name="Total 2 14 3" xfId="18273" xr:uid="{B2AFE42C-B92A-49C0-8EB3-BAFFE5B1B3CA}"/>
    <cellStyle name="Total 2 14 3 2" xfId="18274" xr:uid="{11D11714-64E2-4533-A8D1-C4ED490A9D51}"/>
    <cellStyle name="Total 2 14 4" xfId="18275" xr:uid="{AE1800AC-B93D-4F73-80CA-72190978A046}"/>
    <cellStyle name="Total 2 15" xfId="18276" xr:uid="{ED38BA3B-C3AC-461D-BE79-203C5FC0438B}"/>
    <cellStyle name="Total 2 15 2" xfId="18277" xr:uid="{C56E20FD-D8B8-46B2-8BA8-52C27E9EC915}"/>
    <cellStyle name="Total 2 15 2 2" xfId="18278" xr:uid="{16C34607-D4BC-483B-8DDC-13A6101040B0}"/>
    <cellStyle name="Total 2 15 3" xfId="18279" xr:uid="{9B0BF265-EC2F-4165-900E-B926FB909346}"/>
    <cellStyle name="Total 2 15 3 2" xfId="18280" xr:uid="{27CBE02F-8F16-42EC-8F36-25AC554C8ACC}"/>
    <cellStyle name="Total 2 15 4" xfId="18281" xr:uid="{F99D5D5D-49AB-4376-B7E7-CA9D499EE3F5}"/>
    <cellStyle name="Total 2 15 4 2" xfId="18282" xr:uid="{D6DCFA6D-DA68-48C5-8FE1-D8CE6598B400}"/>
    <cellStyle name="Total 2 15 5" xfId="18283" xr:uid="{2B2D158F-8AE9-49A4-87FF-FA9962D9F735}"/>
    <cellStyle name="Total 2 16" xfId="18284" xr:uid="{03433BD7-1D28-4AC3-9A58-D28EC7ABCD46}"/>
    <cellStyle name="Total 2 16 2" xfId="18285" xr:uid="{016EF208-5B33-4C25-966D-9212DD1BE7EF}"/>
    <cellStyle name="Total 2 16 2 2" xfId="18286" xr:uid="{CB0790E9-FC58-4D19-95CD-ED23AFBA1FDD}"/>
    <cellStyle name="Total 2 16 3" xfId="18287" xr:uid="{B7140901-9828-4A26-9128-5D94C67F3F45}"/>
    <cellStyle name="Total 2 16 3 2" xfId="18288" xr:uid="{2A4C4CF6-6F57-41BB-B9F5-F6170B60F2BE}"/>
    <cellStyle name="Total 2 16 4" xfId="18289" xr:uid="{58A0F7FC-BECD-4D3D-BD11-780002731B4A}"/>
    <cellStyle name="Total 2 17" xfId="18290" xr:uid="{DCDC5DBA-3D20-4805-8C3C-CEF0C07D2CA7}"/>
    <cellStyle name="Total 2 17 2" xfId="18291" xr:uid="{F1CB58CE-75F8-415B-866F-61986BB00CB0}"/>
    <cellStyle name="Total 2 18" xfId="18292" xr:uid="{5A385965-7531-46DB-85D2-C457359BA900}"/>
    <cellStyle name="Total 2 18 2" xfId="18293" xr:uid="{8E345DBE-DF73-4E62-A499-D906B4A722EB}"/>
    <cellStyle name="Total 2 19" xfId="18294" xr:uid="{6BD41EB1-D07B-4C51-8149-E5F2C0BD6D5E}"/>
    <cellStyle name="Total 2 19 2" xfId="18295" xr:uid="{D1355A67-8860-46CD-A945-E65582B8B1A4}"/>
    <cellStyle name="Total 2 2" xfId="4819" xr:uid="{F9095929-9CD2-4EA5-BE08-AEDA81F739F8}"/>
    <cellStyle name="Total 2 2 10" xfId="18297" xr:uid="{30F096CB-D60C-4A9D-AAAF-69C84A3F787A}"/>
    <cellStyle name="Total 2 2 11" xfId="18296" xr:uid="{3B295EC5-634A-4231-B3C5-CE2A39D2C79F}"/>
    <cellStyle name="Total 2 2 2" xfId="18298" xr:uid="{42F7B567-ACE3-44A8-A8BE-F9B316907588}"/>
    <cellStyle name="Total 2 2 2 2" xfId="18299" xr:uid="{9211DFD1-8524-431C-A80A-B41D10CAC11F}"/>
    <cellStyle name="Total 2 2 2 2 2" xfId="18300" xr:uid="{A4922DAC-5A1F-4F77-A0B0-571AD51AC371}"/>
    <cellStyle name="Total 2 2 2 3" xfId="18301" xr:uid="{3B58F33A-D028-479B-863F-BB36001293EC}"/>
    <cellStyle name="Total 2 2 2 3 2" xfId="18302" xr:uid="{15F4B299-42D7-4A46-A869-A554291299D3}"/>
    <cellStyle name="Total 2 2 2 4" xfId="18303" xr:uid="{CEAE764C-65D8-4C69-8DB8-57FDF7A61CEC}"/>
    <cellStyle name="Total 2 2 3" xfId="18304" xr:uid="{2E07C017-91A3-4944-B4C5-69699CECA1CD}"/>
    <cellStyle name="Total 2 2 3 2" xfId="18305" xr:uid="{9A2372ED-0825-443E-A2B3-291A6F867EB5}"/>
    <cellStyle name="Total 2 2 3 2 2" xfId="18306" xr:uid="{DD9F95CD-8DA7-4A90-85CF-3E52D4191D4F}"/>
    <cellStyle name="Total 2 2 3 3" xfId="18307" xr:uid="{E5E3036B-8555-4273-A1DF-AD0AEE0D4DA9}"/>
    <cellStyle name="Total 2 2 3 3 2" xfId="18308" xr:uid="{17F8DF74-F902-4159-B4FA-540770A90493}"/>
    <cellStyle name="Total 2 2 3 4" xfId="18309" xr:uid="{F9A84245-2133-4A87-A467-579D182621F3}"/>
    <cellStyle name="Total 2 2 4" xfId="18310" xr:uid="{24A705F3-5311-4CA9-90F6-96DFDD76A427}"/>
    <cellStyle name="Total 2 2 4 2" xfId="18311" xr:uid="{6C684A29-9565-446D-8D64-87C330792A10}"/>
    <cellStyle name="Total 2 2 4 2 2" xfId="18312" xr:uid="{330E3E45-5121-4FA1-A53D-91459B64DF16}"/>
    <cellStyle name="Total 2 2 4 3" xfId="18313" xr:uid="{F02E6FCA-558C-45DA-86F1-700B384B1FB7}"/>
    <cellStyle name="Total 2 2 4 3 2" xfId="18314" xr:uid="{499DDA55-5E24-4A15-93FC-777A0681CE8F}"/>
    <cellStyle name="Total 2 2 4 4" xfId="18315" xr:uid="{09F0BE66-0350-441E-BED0-296C318DF613}"/>
    <cellStyle name="Total 2 2 4 4 2" xfId="18316" xr:uid="{3C32AC91-A6A9-4E48-A583-DCB2A9BEA6AB}"/>
    <cellStyle name="Total 2 2 4 5" xfId="18317" xr:uid="{31E01C6E-38F5-4311-938B-59B560C52B5A}"/>
    <cellStyle name="Total 2 2 5" xfId="18318" xr:uid="{EC8773DC-5C80-452B-8B60-97AE28835A9D}"/>
    <cellStyle name="Total 2 2 5 2" xfId="18319" xr:uid="{17EC271E-116E-49EB-B021-5A4EDA1720B7}"/>
    <cellStyle name="Total 2 2 5 2 2" xfId="18320" xr:uid="{C49373E8-81C0-4EA9-A244-C183FAE2D716}"/>
    <cellStyle name="Total 2 2 5 3" xfId="18321" xr:uid="{B19D6A2F-CA25-4DA2-BBD9-8A6C464C858C}"/>
    <cellStyle name="Total 2 2 5 3 2" xfId="18322" xr:uid="{C6E26273-4B66-4306-9775-5426F7149D99}"/>
    <cellStyle name="Total 2 2 5 4" xfId="18323" xr:uid="{F1199985-B3AD-4003-936F-074D20F9D95E}"/>
    <cellStyle name="Total 2 2 6" xfId="18324" xr:uid="{B9A76333-14C8-457B-8C35-1E44D4CB5FB1}"/>
    <cellStyle name="Total 2 2 6 2" xfId="18325" xr:uid="{8A4E6BCD-5297-4FE2-903A-CE998FB1B06E}"/>
    <cellStyle name="Total 2 2 7" xfId="18326" xr:uid="{C8C294E5-3E44-4147-A7CF-823ABF51C6C9}"/>
    <cellStyle name="Total 2 2 7 2" xfId="18327" xr:uid="{547178A5-FE11-4048-9864-7C77D5451210}"/>
    <cellStyle name="Total 2 2 8" xfId="18328" xr:uid="{1AB15C29-688C-4BF8-918D-288B204F9452}"/>
    <cellStyle name="Total 2 2 8 2" xfId="18329" xr:uid="{D9ED8187-6889-40DC-95B5-59667E958B93}"/>
    <cellStyle name="Total 2 2 9" xfId="18330" xr:uid="{051551FF-F207-40E2-9EB0-9A33AB55CE7E}"/>
    <cellStyle name="Total 2 20" xfId="18331" xr:uid="{B4F65589-38C0-47AD-897A-5FFB914F35C8}"/>
    <cellStyle name="Total 2 21" xfId="18332" xr:uid="{D6CA4DC0-CF9A-4631-95A8-28456245D79A}"/>
    <cellStyle name="Total 2 22" xfId="18186" xr:uid="{8C8FC12D-4AD6-4599-A434-7C11CD4404AA}"/>
    <cellStyle name="Total 2 3" xfId="4820" xr:uid="{F147DC00-8A57-4631-9C9B-FAC7C4D4109D}"/>
    <cellStyle name="Total 2 3 10" xfId="18334" xr:uid="{063CCF2F-DF31-452C-B41B-6F4148F445D2}"/>
    <cellStyle name="Total 2 3 11" xfId="18333" xr:uid="{ABF9FDD1-6FEB-40B0-957B-A87EB97968D0}"/>
    <cellStyle name="Total 2 3 2" xfId="18335" xr:uid="{1A928956-0366-4CBD-9455-2D857D648180}"/>
    <cellStyle name="Total 2 3 2 2" xfId="18336" xr:uid="{9A93B8F0-4486-4232-AEFF-0FC0BF91C10A}"/>
    <cellStyle name="Total 2 3 2 2 2" xfId="18337" xr:uid="{CE3A3A45-A7D0-49C8-A097-7200A56A2250}"/>
    <cellStyle name="Total 2 3 2 3" xfId="18338" xr:uid="{89DC9F4A-8250-4171-98BF-E8072E5460E6}"/>
    <cellStyle name="Total 2 3 2 3 2" xfId="18339" xr:uid="{BFEB7981-A440-485A-901B-276C94BCE4C8}"/>
    <cellStyle name="Total 2 3 2 4" xfId="18340" xr:uid="{FF4B74FC-3CD5-4EAC-B823-7CC14B6AD070}"/>
    <cellStyle name="Total 2 3 3" xfId="18341" xr:uid="{0F678E50-3764-4AB1-A740-945A8CEF4FD4}"/>
    <cellStyle name="Total 2 3 3 2" xfId="18342" xr:uid="{CC3E4CBD-0246-4E41-BDC4-A7567176DFBD}"/>
    <cellStyle name="Total 2 3 3 2 2" xfId="18343" xr:uid="{332AB9A8-85B0-4537-A866-265FE522C3F8}"/>
    <cellStyle name="Total 2 3 3 3" xfId="18344" xr:uid="{C9596015-143A-499D-9ED6-35162C6183A8}"/>
    <cellStyle name="Total 2 3 3 3 2" xfId="18345" xr:uid="{C6946FBE-0790-4520-B06D-BB740DAFD4FA}"/>
    <cellStyle name="Total 2 3 3 4" xfId="18346" xr:uid="{B759A735-52CB-4721-BA4D-D4C6E56CD11A}"/>
    <cellStyle name="Total 2 3 4" xfId="18347" xr:uid="{E899FAE7-2DAA-4CE4-B8BE-D66D5F9707F3}"/>
    <cellStyle name="Total 2 3 4 2" xfId="18348" xr:uid="{E5461C5A-F227-4E74-A1D9-9DEDD48115AC}"/>
    <cellStyle name="Total 2 3 4 2 2" xfId="18349" xr:uid="{747A0933-0CE2-4AD8-AD38-3076696D9E2E}"/>
    <cellStyle name="Total 2 3 4 3" xfId="18350" xr:uid="{77CAD3A1-8EB1-4E4C-8572-F10CE05B26E7}"/>
    <cellStyle name="Total 2 3 4 3 2" xfId="18351" xr:uid="{C63311C0-6F0C-41B4-9864-E27AFEE6A04D}"/>
    <cellStyle name="Total 2 3 4 4" xfId="18352" xr:uid="{8CAD238F-69DC-40E2-9A33-2C1E5309F47D}"/>
    <cellStyle name="Total 2 3 4 4 2" xfId="18353" xr:uid="{8866D397-3727-4D20-96B3-B4D1F146EA17}"/>
    <cellStyle name="Total 2 3 4 5" xfId="18354" xr:uid="{8CBB0084-0CE8-4BA3-8B3A-7BB8E5CACBC1}"/>
    <cellStyle name="Total 2 3 5" xfId="18355" xr:uid="{57F0D67E-6043-4D57-B6A0-725DDA3D8617}"/>
    <cellStyle name="Total 2 3 5 2" xfId="18356" xr:uid="{490D7315-3656-41C4-90B3-055FFE28AEF5}"/>
    <cellStyle name="Total 2 3 5 2 2" xfId="18357" xr:uid="{51CD2F43-093D-4F0E-B10A-0CECE034BC24}"/>
    <cellStyle name="Total 2 3 5 3" xfId="18358" xr:uid="{AD9C7B0D-52C9-4F9B-8346-A7F55185213C}"/>
    <cellStyle name="Total 2 3 5 3 2" xfId="18359" xr:uid="{2C842BC6-5C7E-44A8-8B8A-31AD849C2D60}"/>
    <cellStyle name="Total 2 3 5 4" xfId="18360" xr:uid="{36D749DC-DDB6-4F9A-8AB2-C161FCFF7618}"/>
    <cellStyle name="Total 2 3 6" xfId="18361" xr:uid="{F825FD62-6E86-4718-94DF-8F1BA9AA2A2E}"/>
    <cellStyle name="Total 2 3 6 2" xfId="18362" xr:uid="{8CFD6B0C-03E8-4C0C-9BD5-BAFE4079F58F}"/>
    <cellStyle name="Total 2 3 7" xfId="18363" xr:uid="{DC60A037-39BF-4656-8CF0-56E7CE4BA550}"/>
    <cellStyle name="Total 2 3 7 2" xfId="18364" xr:uid="{58059551-DE4E-4767-81BF-C466DF74607C}"/>
    <cellStyle name="Total 2 3 8" xfId="18365" xr:uid="{EB5B0D75-C233-4A67-80D8-6F725C56B4BE}"/>
    <cellStyle name="Total 2 3 8 2" xfId="18366" xr:uid="{F4C938EA-BA2E-41D5-92EF-966BA7D13842}"/>
    <cellStyle name="Total 2 3 9" xfId="18367" xr:uid="{9389890F-6724-4254-8285-8875B9801FE8}"/>
    <cellStyle name="Total 2 4" xfId="4821" xr:uid="{E7D609D4-BF43-47E2-9D6A-E65C6F8DB83B}"/>
    <cellStyle name="Total 2 4 10" xfId="18369" xr:uid="{5DDAB035-DD92-4B63-AC10-516170E3362D}"/>
    <cellStyle name="Total 2 4 11" xfId="18368" xr:uid="{105D4392-EBD4-44A7-9E04-73E74D26D6EA}"/>
    <cellStyle name="Total 2 4 2" xfId="18370" xr:uid="{DF2DD415-AE44-4AB7-8338-986DC80B230F}"/>
    <cellStyle name="Total 2 4 2 2" xfId="18371" xr:uid="{6DB812C1-9250-466A-9090-745A001F9B32}"/>
    <cellStyle name="Total 2 4 2 2 2" xfId="18372" xr:uid="{392227E4-5F2A-4324-AF61-021A9C89AD00}"/>
    <cellStyle name="Total 2 4 2 3" xfId="18373" xr:uid="{D4160A81-A4A5-4240-BFAA-2CCC6D07487A}"/>
    <cellStyle name="Total 2 4 2 3 2" xfId="18374" xr:uid="{580781C2-F6F9-4D2C-BAA8-4CF60FB77D9D}"/>
    <cellStyle name="Total 2 4 2 4" xfId="18375" xr:uid="{D7E086BF-DFA5-49C4-8EE9-C95E785C648E}"/>
    <cellStyle name="Total 2 4 3" xfId="18376" xr:uid="{98819AC4-9099-4D5E-8CC8-341A3C326197}"/>
    <cellStyle name="Total 2 4 3 2" xfId="18377" xr:uid="{5720F691-450B-4A75-9EF9-99AE1F7C890B}"/>
    <cellStyle name="Total 2 4 3 2 2" xfId="18378" xr:uid="{96CE2FA5-D093-4494-82D8-A1487A094227}"/>
    <cellStyle name="Total 2 4 3 3" xfId="18379" xr:uid="{E96DFA9F-5326-493D-A5D9-7D291469CE24}"/>
    <cellStyle name="Total 2 4 3 3 2" xfId="18380" xr:uid="{A2DC237C-6ECF-48E9-A755-5A8DE814EAF2}"/>
    <cellStyle name="Total 2 4 3 4" xfId="18381" xr:uid="{0FAE10AC-F655-4000-BA1B-E12DDBF9F735}"/>
    <cellStyle name="Total 2 4 4" xfId="18382" xr:uid="{C745DD61-0847-4B23-9B26-EC0A90FE5B33}"/>
    <cellStyle name="Total 2 4 4 2" xfId="18383" xr:uid="{8EF7C91B-391C-45A0-99AB-1D86B219B377}"/>
    <cellStyle name="Total 2 4 4 2 2" xfId="18384" xr:uid="{F55B4241-1F3C-47A6-B3BE-7778A06ED198}"/>
    <cellStyle name="Total 2 4 4 3" xfId="18385" xr:uid="{F39FD143-1E8C-4AC4-B38D-457BD476ACF3}"/>
    <cellStyle name="Total 2 4 4 3 2" xfId="18386" xr:uid="{77441A31-A6F9-4357-947E-B1F4F6A896B2}"/>
    <cellStyle name="Total 2 4 4 4" xfId="18387" xr:uid="{D105BBB6-7D9D-40A5-92DE-78CCB0CF1784}"/>
    <cellStyle name="Total 2 4 4 4 2" xfId="18388" xr:uid="{C24DB999-55A9-446C-814D-DC58711875B0}"/>
    <cellStyle name="Total 2 4 4 5" xfId="18389" xr:uid="{D5663099-CA33-4AD9-85E4-160074E44B98}"/>
    <cellStyle name="Total 2 4 5" xfId="18390" xr:uid="{A192C667-BADA-4F5B-B31F-C0DDD5056C69}"/>
    <cellStyle name="Total 2 4 5 2" xfId="18391" xr:uid="{600291BB-A609-4E12-99E1-7DEB48F99078}"/>
    <cellStyle name="Total 2 4 5 2 2" xfId="18392" xr:uid="{4819660E-4988-4044-A494-7166B4BC37DA}"/>
    <cellStyle name="Total 2 4 5 3" xfId="18393" xr:uid="{1A88A21F-46C4-4804-B4F8-50E821031074}"/>
    <cellStyle name="Total 2 4 5 3 2" xfId="18394" xr:uid="{BD54B523-32BC-4322-A367-927695978629}"/>
    <cellStyle name="Total 2 4 5 4" xfId="18395" xr:uid="{6BDB1260-55E0-4EC5-A951-938F641AE764}"/>
    <cellStyle name="Total 2 4 6" xfId="18396" xr:uid="{D32BFF5C-EFD6-4144-867B-A30E8818B12D}"/>
    <cellStyle name="Total 2 4 6 2" xfId="18397" xr:uid="{5FC69646-F82F-4FDC-914F-EBF7F371D955}"/>
    <cellStyle name="Total 2 4 7" xfId="18398" xr:uid="{FEA74090-BC3D-4902-9051-D67114E359D3}"/>
    <cellStyle name="Total 2 4 7 2" xfId="18399" xr:uid="{2D78A6D4-E8F1-41D6-BC57-0DDC088EBA91}"/>
    <cellStyle name="Total 2 4 8" xfId="18400" xr:uid="{3A1B754F-76FA-4FB4-80B5-AC221CB1816D}"/>
    <cellStyle name="Total 2 4 8 2" xfId="18401" xr:uid="{E478F707-32B5-4F23-9AA7-3EF2175205F0}"/>
    <cellStyle name="Total 2 4 9" xfId="18402" xr:uid="{2567B52E-A631-4DBF-8BCD-4E2560FF2504}"/>
    <cellStyle name="Total 2 5" xfId="4822" xr:uid="{7D00A1F8-1C7E-4EED-8DD6-24D22CD47EFA}"/>
    <cellStyle name="Total 2 5 10" xfId="18404" xr:uid="{92D99F18-9C5D-483F-BE65-92561B6CEACA}"/>
    <cellStyle name="Total 2 5 11" xfId="18403" xr:uid="{7D7571D7-5253-40C6-B0A9-25D204973E88}"/>
    <cellStyle name="Total 2 5 2" xfId="18405" xr:uid="{612ABAC3-71B7-4EC2-8985-B54B0A50139E}"/>
    <cellStyle name="Total 2 5 2 2" xfId="18406" xr:uid="{3ADCB90D-3A98-41B9-9CF8-08D2641D314A}"/>
    <cellStyle name="Total 2 5 2 2 2" xfId="18407" xr:uid="{A000C15F-05BC-4893-88FC-32DD1CEDBE10}"/>
    <cellStyle name="Total 2 5 2 3" xfId="18408" xr:uid="{4FC6EE78-8E84-49F1-845C-BE5C3207894C}"/>
    <cellStyle name="Total 2 5 2 3 2" xfId="18409" xr:uid="{5A2F411E-EC40-4C0E-A0C8-CBB5E51A2B5B}"/>
    <cellStyle name="Total 2 5 2 4" xfId="18410" xr:uid="{21876CEA-DF1A-4B83-8995-A9D417F38C93}"/>
    <cellStyle name="Total 2 5 3" xfId="18411" xr:uid="{450D0B6E-8285-4F4D-9CA3-E2D53BDC500E}"/>
    <cellStyle name="Total 2 5 3 2" xfId="18412" xr:uid="{06EE5666-059C-468C-AC62-287D6742A7C3}"/>
    <cellStyle name="Total 2 5 3 2 2" xfId="18413" xr:uid="{8E4986F6-378E-46CC-9F42-F9A0C9CBF35C}"/>
    <cellStyle name="Total 2 5 3 3" xfId="18414" xr:uid="{8638922D-C256-432F-9D08-96985178CA55}"/>
    <cellStyle name="Total 2 5 3 3 2" xfId="18415" xr:uid="{6E0F6462-D2C8-4778-9BF4-192CEE32F309}"/>
    <cellStyle name="Total 2 5 3 4" xfId="18416" xr:uid="{470B0A0E-B5C1-4446-932E-2F59A5090371}"/>
    <cellStyle name="Total 2 5 4" xfId="18417" xr:uid="{BC36C8E8-8A60-4659-9306-29AD60AA0D7F}"/>
    <cellStyle name="Total 2 5 4 2" xfId="18418" xr:uid="{AD78FAE1-4A40-48C2-81E7-F502C3D0E5F2}"/>
    <cellStyle name="Total 2 5 4 2 2" xfId="18419" xr:uid="{559D1BCB-EA00-42ED-AD16-4F13B76FC2A5}"/>
    <cellStyle name="Total 2 5 4 3" xfId="18420" xr:uid="{08C838C0-2CCC-47F8-AB54-53D7B2259F6F}"/>
    <cellStyle name="Total 2 5 4 3 2" xfId="18421" xr:uid="{145CF354-2995-44BA-9E97-CAD6797309BA}"/>
    <cellStyle name="Total 2 5 4 4" xfId="18422" xr:uid="{0AA9EA9C-7831-4E77-9BB4-D6B8F59EB25C}"/>
    <cellStyle name="Total 2 5 4 4 2" xfId="18423" xr:uid="{D10319F6-3E7F-4ECC-B896-26872E41E6D9}"/>
    <cellStyle name="Total 2 5 4 5" xfId="18424" xr:uid="{9486FBFE-2714-41B4-82C3-2B272DF1B219}"/>
    <cellStyle name="Total 2 5 5" xfId="18425" xr:uid="{06D9F862-FDEA-4D9F-8FC4-043FFDF03888}"/>
    <cellStyle name="Total 2 5 5 2" xfId="18426" xr:uid="{87D8B00D-2361-43A0-8F48-689E9B8FEF6E}"/>
    <cellStyle name="Total 2 5 5 2 2" xfId="18427" xr:uid="{7ECD99A6-822B-41EC-9B71-02E4A70D0245}"/>
    <cellStyle name="Total 2 5 5 3" xfId="18428" xr:uid="{412E42C0-BE3E-4B44-9852-50BE857923A7}"/>
    <cellStyle name="Total 2 5 5 3 2" xfId="18429" xr:uid="{513EB2BC-A9BB-4D4C-BCED-058D5D293D32}"/>
    <cellStyle name="Total 2 5 5 4" xfId="18430" xr:uid="{8C83EB00-0C58-4C17-9D0F-8932EE37260C}"/>
    <cellStyle name="Total 2 5 6" xfId="18431" xr:uid="{4B67061A-15D7-4D9A-B669-17F5372BF90B}"/>
    <cellStyle name="Total 2 5 6 2" xfId="18432" xr:uid="{6C04EED9-72E8-4047-8D17-C792558C4D45}"/>
    <cellStyle name="Total 2 5 7" xfId="18433" xr:uid="{FC34B9FA-BF84-4E37-BF53-5CA504376BC6}"/>
    <cellStyle name="Total 2 5 7 2" xfId="18434" xr:uid="{47CA2D02-0499-4809-B196-8D3EB5F01D50}"/>
    <cellStyle name="Total 2 5 8" xfId="18435" xr:uid="{CA0D5F49-7685-4F1F-B98F-DDA961D5028C}"/>
    <cellStyle name="Total 2 5 8 2" xfId="18436" xr:uid="{F4D3DBA6-A298-447F-A148-3A8ED9D38E3B}"/>
    <cellStyle name="Total 2 5 9" xfId="18437" xr:uid="{7C3225FA-75DD-4F20-B813-C7F35656B091}"/>
    <cellStyle name="Total 2 6" xfId="4823" xr:uid="{F0A923BC-0190-4614-8D8B-E94C473B295E}"/>
    <cellStyle name="Total 2 6 10" xfId="18439" xr:uid="{09BED1E0-FDD1-48D6-ADD9-3574196935A8}"/>
    <cellStyle name="Total 2 6 11" xfId="18438" xr:uid="{7E4FAFEA-2169-4EC6-AEE5-4E2539E7F759}"/>
    <cellStyle name="Total 2 6 2" xfId="18440" xr:uid="{95D8285F-472E-4B37-93F1-7A6584CDD7DA}"/>
    <cellStyle name="Total 2 6 2 2" xfId="18441" xr:uid="{A808FF66-1BAF-4F86-95A7-DFE51CD7C57E}"/>
    <cellStyle name="Total 2 6 2 2 2" xfId="18442" xr:uid="{51B16801-E07C-4BB5-A47D-6C722F17A1FA}"/>
    <cellStyle name="Total 2 6 2 3" xfId="18443" xr:uid="{29805997-B887-454A-8B68-B60A2C011232}"/>
    <cellStyle name="Total 2 6 2 3 2" xfId="18444" xr:uid="{75CBA5E7-2449-41E5-B47F-5EF917FDC631}"/>
    <cellStyle name="Total 2 6 2 4" xfId="18445" xr:uid="{CB81838F-0DAE-4110-96BB-6064153E67B7}"/>
    <cellStyle name="Total 2 6 3" xfId="18446" xr:uid="{CBA85543-7EB1-4867-968B-C34D7659CA73}"/>
    <cellStyle name="Total 2 6 3 2" xfId="18447" xr:uid="{C9CE76EE-C75C-4735-B35A-70394161E3D9}"/>
    <cellStyle name="Total 2 6 3 2 2" xfId="18448" xr:uid="{2B4B0520-8B28-4137-897E-08BAC80D95C0}"/>
    <cellStyle name="Total 2 6 3 3" xfId="18449" xr:uid="{C9A3BFEF-CA5F-4160-BEAB-88A44C1420C1}"/>
    <cellStyle name="Total 2 6 3 3 2" xfId="18450" xr:uid="{734775A3-3A02-4383-ACF3-B01C45EEA44B}"/>
    <cellStyle name="Total 2 6 3 4" xfId="18451" xr:uid="{B1C663C8-6E2A-4912-8F81-716E497D48D8}"/>
    <cellStyle name="Total 2 6 4" xfId="18452" xr:uid="{74AC35DA-439F-4769-A8EC-7F181F30D9EF}"/>
    <cellStyle name="Total 2 6 4 2" xfId="18453" xr:uid="{45DEC880-FAAE-4BB6-A510-25C462ED66DA}"/>
    <cellStyle name="Total 2 6 4 2 2" xfId="18454" xr:uid="{C02DD204-9055-4DD7-83AD-6CF2BD945DB0}"/>
    <cellStyle name="Total 2 6 4 3" xfId="18455" xr:uid="{0C503736-25F7-45B6-9BBF-D9EE46AE51BD}"/>
    <cellStyle name="Total 2 6 4 3 2" xfId="18456" xr:uid="{50B20160-9EF2-41AE-BB96-6844077BC921}"/>
    <cellStyle name="Total 2 6 4 4" xfId="18457" xr:uid="{60C3F8C7-D940-4F89-826E-1DF5DE0C6549}"/>
    <cellStyle name="Total 2 6 4 4 2" xfId="18458" xr:uid="{D6266BFC-2411-4514-9F09-E6AE77682C84}"/>
    <cellStyle name="Total 2 6 4 5" xfId="18459" xr:uid="{B14D9E9C-2171-405B-8173-6DD33CCBDFCD}"/>
    <cellStyle name="Total 2 6 5" xfId="18460" xr:uid="{BD5F9155-4E39-46F2-97F1-622893BD90EA}"/>
    <cellStyle name="Total 2 6 5 2" xfId="18461" xr:uid="{A18E7570-B817-4950-A3DF-C11F5CBDD807}"/>
    <cellStyle name="Total 2 6 5 2 2" xfId="18462" xr:uid="{CB40F641-7F3F-4D32-85C6-B175F10CBA70}"/>
    <cellStyle name="Total 2 6 5 3" xfId="18463" xr:uid="{C41DD3A7-499F-4226-8CE8-4AE5CFA34842}"/>
    <cellStyle name="Total 2 6 5 3 2" xfId="18464" xr:uid="{FAAEEFCC-5854-4C91-B50A-EC7AED99AFFE}"/>
    <cellStyle name="Total 2 6 5 4" xfId="18465" xr:uid="{95429911-FC05-45CF-80C4-E2A8B4268C24}"/>
    <cellStyle name="Total 2 6 6" xfId="18466" xr:uid="{49BA6F88-5FD8-4BF6-BB1F-5CDE532DC043}"/>
    <cellStyle name="Total 2 6 6 2" xfId="18467" xr:uid="{9AA44858-5C45-41A4-B6E8-B28ECFFCE748}"/>
    <cellStyle name="Total 2 6 7" xfId="18468" xr:uid="{08EDABA4-B8F2-4489-8790-1B413A709073}"/>
    <cellStyle name="Total 2 6 7 2" xfId="18469" xr:uid="{B4606511-9930-4821-9F86-FE85CBE4B110}"/>
    <cellStyle name="Total 2 6 8" xfId="18470" xr:uid="{88E571A0-F218-4B44-95D6-FA83108A8DA7}"/>
    <cellStyle name="Total 2 6 8 2" xfId="18471" xr:uid="{1A0A3473-DA0B-4F19-9A67-9E6E0C4902E3}"/>
    <cellStyle name="Total 2 6 9" xfId="18472" xr:uid="{6D7BD42D-5ECF-4AB1-9E2E-A665EF235B38}"/>
    <cellStyle name="Total 2 7" xfId="4824" xr:uid="{9FF452CD-B534-42EB-8375-94D2D12CDA08}"/>
    <cellStyle name="Total 2 7 10" xfId="18474" xr:uid="{F4219BCF-2C5B-48A5-869E-92A6FF7FCAD6}"/>
    <cellStyle name="Total 2 7 11" xfId="18473" xr:uid="{DB533CAE-D9F4-45B7-BC98-82BFED810C23}"/>
    <cellStyle name="Total 2 7 2" xfId="18475" xr:uid="{ECD90948-A823-4F14-9C14-2CA720A540BF}"/>
    <cellStyle name="Total 2 7 2 2" xfId="18476" xr:uid="{7A07FFAA-F62C-4D7E-BE93-F778818967CF}"/>
    <cellStyle name="Total 2 7 2 2 2" xfId="18477" xr:uid="{AEB8F41F-F7C1-458F-B10E-ED88588F49D5}"/>
    <cellStyle name="Total 2 7 2 3" xfId="18478" xr:uid="{97FCFC74-029C-4C58-80FE-BB0AA7BC79A0}"/>
    <cellStyle name="Total 2 7 2 3 2" xfId="18479" xr:uid="{750FCB6F-702E-4436-9EF5-8A1158C4CAB9}"/>
    <cellStyle name="Total 2 7 2 4" xfId="18480" xr:uid="{77900F46-176B-4EBF-BB1D-EB3684900F58}"/>
    <cellStyle name="Total 2 7 3" xfId="18481" xr:uid="{755E70B3-6717-47F2-8D72-87E578102B52}"/>
    <cellStyle name="Total 2 7 3 2" xfId="18482" xr:uid="{5C6F44B7-4A32-4B26-A408-3D7ACAC8DD13}"/>
    <cellStyle name="Total 2 7 3 2 2" xfId="18483" xr:uid="{2E956BE3-64CD-41CC-90DC-2D2D7B51791A}"/>
    <cellStyle name="Total 2 7 3 3" xfId="18484" xr:uid="{58E9C3BF-5BBC-4485-964D-1554D2D69AF0}"/>
    <cellStyle name="Total 2 7 3 3 2" xfId="18485" xr:uid="{87B8274E-FE3A-4238-BE09-C6AE26975E6D}"/>
    <cellStyle name="Total 2 7 3 4" xfId="18486" xr:uid="{79CFF755-09BC-4FB4-B361-52C867C43BDD}"/>
    <cellStyle name="Total 2 7 4" xfId="18487" xr:uid="{671000DF-ED03-4DFB-A320-9BBC70B40B4A}"/>
    <cellStyle name="Total 2 7 4 2" xfId="18488" xr:uid="{8B67E87D-19B8-4A5E-958E-B4FAB57ACBC5}"/>
    <cellStyle name="Total 2 7 4 2 2" xfId="18489" xr:uid="{85AE1D5C-A6A6-4F18-B597-F27AD27BCC92}"/>
    <cellStyle name="Total 2 7 4 3" xfId="18490" xr:uid="{6BF714A6-1634-4BBC-B21C-1BC0AFCB13EE}"/>
    <cellStyle name="Total 2 7 4 3 2" xfId="18491" xr:uid="{720E2A48-27E1-4DD3-A266-19517D7854F0}"/>
    <cellStyle name="Total 2 7 4 4" xfId="18492" xr:uid="{F7B3860D-6B14-4852-9245-1627980AF066}"/>
    <cellStyle name="Total 2 7 4 4 2" xfId="18493" xr:uid="{09FF6B45-C3A1-4092-9498-FA5A2E907D7D}"/>
    <cellStyle name="Total 2 7 4 5" xfId="18494" xr:uid="{7945A884-52EF-49E2-919B-FE5FCE818FD5}"/>
    <cellStyle name="Total 2 7 5" xfId="18495" xr:uid="{3E249CC0-9AA2-4EB3-8CA4-B63FF5E23AF9}"/>
    <cellStyle name="Total 2 7 5 2" xfId="18496" xr:uid="{A2E906F2-57DF-418D-97ED-992C969AB480}"/>
    <cellStyle name="Total 2 7 5 2 2" xfId="18497" xr:uid="{6349CD88-20CC-4A6B-9970-C76AAB5BDDE1}"/>
    <cellStyle name="Total 2 7 5 3" xfId="18498" xr:uid="{C1E2CF6A-5937-42A5-BCF2-9FABD15F630D}"/>
    <cellStyle name="Total 2 7 5 3 2" xfId="18499" xr:uid="{E60729DE-2883-40F1-8E31-140488E6F9B3}"/>
    <cellStyle name="Total 2 7 5 4" xfId="18500" xr:uid="{30929DE1-79BE-4A13-82B1-DDD781B51E7B}"/>
    <cellStyle name="Total 2 7 6" xfId="18501" xr:uid="{1AA45FC9-34C0-44B3-B3BC-977D8DABA036}"/>
    <cellStyle name="Total 2 7 6 2" xfId="18502" xr:uid="{D9A37D4B-6D7B-4DCC-A8E5-0132DCE7E6C7}"/>
    <cellStyle name="Total 2 7 7" xfId="18503" xr:uid="{D6F22CE5-004C-42ED-A839-357FFF0283BA}"/>
    <cellStyle name="Total 2 7 7 2" xfId="18504" xr:uid="{FA36F4D2-3D1D-47D8-811B-8A9ABBA4A22C}"/>
    <cellStyle name="Total 2 7 8" xfId="18505" xr:uid="{CE2EF027-2057-4DFC-8B96-C8F7C5082281}"/>
    <cellStyle name="Total 2 7 8 2" xfId="18506" xr:uid="{3FD6E5B6-0039-4FAB-9E7F-6F102A8800EE}"/>
    <cellStyle name="Total 2 7 9" xfId="18507" xr:uid="{CBC79C68-33C7-4358-80EF-370C45E33D12}"/>
    <cellStyle name="Total 2 8" xfId="4825" xr:uid="{54F78769-5FCF-48C6-AA63-EF9F1A5C2CA1}"/>
    <cellStyle name="Total 2 8 10" xfId="18509" xr:uid="{1CEC271B-704D-49D6-9B06-8A072BC04C4D}"/>
    <cellStyle name="Total 2 8 11" xfId="18508" xr:uid="{7C954A28-C2E6-4A9D-8DAD-B36BED73633B}"/>
    <cellStyle name="Total 2 8 2" xfId="18510" xr:uid="{87B86A3F-B908-482F-BBD3-B1036667D1B5}"/>
    <cellStyle name="Total 2 8 2 2" xfId="18511" xr:uid="{24D2A138-374C-44D0-88D1-AB59D49AA191}"/>
    <cellStyle name="Total 2 8 2 2 2" xfId="18512" xr:uid="{D213F09D-C9A4-47AB-B2C2-7BC5BBB612FC}"/>
    <cellStyle name="Total 2 8 2 3" xfId="18513" xr:uid="{D7161549-2157-46E4-A8A9-59E118835B72}"/>
    <cellStyle name="Total 2 8 2 3 2" xfId="18514" xr:uid="{A00B97F7-407E-4A98-9E7F-53F95A7440CE}"/>
    <cellStyle name="Total 2 8 2 4" xfId="18515" xr:uid="{25B8B33F-C77B-4546-A01B-98E69BE5A6A3}"/>
    <cellStyle name="Total 2 8 3" xfId="18516" xr:uid="{E91ACD28-6824-4844-A05F-918604EBBDAC}"/>
    <cellStyle name="Total 2 8 3 2" xfId="18517" xr:uid="{9478A3F7-29C5-4A79-AE44-058203AD9B89}"/>
    <cellStyle name="Total 2 8 3 2 2" xfId="18518" xr:uid="{485689B9-30DC-45CD-94EC-62C1E2D652C2}"/>
    <cellStyle name="Total 2 8 3 3" xfId="18519" xr:uid="{F56C3F6D-7928-47B0-83DE-6A93678B3ACD}"/>
    <cellStyle name="Total 2 8 3 3 2" xfId="18520" xr:uid="{84597441-C760-434F-A8AD-731E343F4FB4}"/>
    <cellStyle name="Total 2 8 3 4" xfId="18521" xr:uid="{6E2F26A2-1C93-401F-8266-FEE05E38C5E8}"/>
    <cellStyle name="Total 2 8 4" xfId="18522" xr:uid="{E02D96E5-1BEB-42AD-9E77-57F9EA3F9770}"/>
    <cellStyle name="Total 2 8 4 2" xfId="18523" xr:uid="{5C522EAA-CCA4-40F4-9798-9EBE3900A246}"/>
    <cellStyle name="Total 2 8 4 2 2" xfId="18524" xr:uid="{9A64E248-090B-4CB9-B899-3BDB6B5D95AF}"/>
    <cellStyle name="Total 2 8 4 3" xfId="18525" xr:uid="{B08709BB-3EB4-4236-9FDD-67B8B7AD52A2}"/>
    <cellStyle name="Total 2 8 4 3 2" xfId="18526" xr:uid="{D1B00A6F-7061-4021-96C9-0ACC757AEB68}"/>
    <cellStyle name="Total 2 8 4 4" xfId="18527" xr:uid="{A81CE364-4FC8-4D67-BEDA-92D38C423F6B}"/>
    <cellStyle name="Total 2 8 4 4 2" xfId="18528" xr:uid="{8A62B0C3-41E1-41AC-8F01-88D5509526BA}"/>
    <cellStyle name="Total 2 8 4 5" xfId="18529" xr:uid="{A77A59BC-3185-428E-BC74-408A78797717}"/>
    <cellStyle name="Total 2 8 5" xfId="18530" xr:uid="{1640D0D4-B71E-4C86-BD55-67ED8CF64E55}"/>
    <cellStyle name="Total 2 8 5 2" xfId="18531" xr:uid="{FE072640-D874-4A8D-8056-19EBFA54AD5F}"/>
    <cellStyle name="Total 2 8 5 2 2" xfId="18532" xr:uid="{4A1C5099-5CF6-4381-87C9-0ED732312DCE}"/>
    <cellStyle name="Total 2 8 5 3" xfId="18533" xr:uid="{137A2643-739A-4563-B04E-D3D25B11571F}"/>
    <cellStyle name="Total 2 8 5 3 2" xfId="18534" xr:uid="{1541FFB7-B6DA-469F-B446-6AA58A46F475}"/>
    <cellStyle name="Total 2 8 5 4" xfId="18535" xr:uid="{B74E4B5E-2A34-442D-AC2C-7B7D3D05B4B5}"/>
    <cellStyle name="Total 2 8 6" xfId="18536" xr:uid="{5DB775C4-4AA4-40EF-A36F-C992A7897BE8}"/>
    <cellStyle name="Total 2 8 6 2" xfId="18537" xr:uid="{B6B96520-C26F-4B5F-900E-A708C240DB9F}"/>
    <cellStyle name="Total 2 8 7" xfId="18538" xr:uid="{56AB94BD-C5CA-4176-B4BC-8D2F97B6BE61}"/>
    <cellStyle name="Total 2 8 7 2" xfId="18539" xr:uid="{56911C22-21D0-4F27-AFD0-2282E089682F}"/>
    <cellStyle name="Total 2 8 8" xfId="18540" xr:uid="{D02B2558-5F44-49E2-B3AB-3CA880C63C5F}"/>
    <cellStyle name="Total 2 8 8 2" xfId="18541" xr:uid="{2FC4390D-AA46-4873-8929-0F58D7856095}"/>
    <cellStyle name="Total 2 8 9" xfId="18542" xr:uid="{1577E674-2CAA-4C0F-8DC1-5E122244C062}"/>
    <cellStyle name="Total 2 9" xfId="4826" xr:uid="{98929FA0-60D5-4971-ABB7-E7DF75C5C0A3}"/>
    <cellStyle name="Total 2 9 10" xfId="18544" xr:uid="{1CA16F5D-0BC9-4BE4-B5A8-419894F6E873}"/>
    <cellStyle name="Total 2 9 11" xfId="18543" xr:uid="{1D067EAA-BA54-47C8-96FE-AC61EA9666E8}"/>
    <cellStyle name="Total 2 9 2" xfId="18545" xr:uid="{5CDD3408-C969-4D13-9A9A-D723FF468284}"/>
    <cellStyle name="Total 2 9 2 2" xfId="18546" xr:uid="{72BC89E5-85AC-4610-8291-2C7F10488075}"/>
    <cellStyle name="Total 2 9 2 2 2" xfId="18547" xr:uid="{0423F18D-A40B-40A2-94C8-F930196A0D4D}"/>
    <cellStyle name="Total 2 9 2 3" xfId="18548" xr:uid="{ED914CB8-C7E9-467E-AFA5-7B0A8ECA9C2C}"/>
    <cellStyle name="Total 2 9 2 3 2" xfId="18549" xr:uid="{773FD985-2798-4BB1-92B3-4AC788A905C5}"/>
    <cellStyle name="Total 2 9 2 4" xfId="18550" xr:uid="{1932736E-7029-49A0-8D7D-3C8C24D33C49}"/>
    <cellStyle name="Total 2 9 3" xfId="18551" xr:uid="{994315FD-50BC-4621-9348-650E8BFBABB2}"/>
    <cellStyle name="Total 2 9 3 2" xfId="18552" xr:uid="{BD8F7CED-B21E-416B-A03D-D87C9445F653}"/>
    <cellStyle name="Total 2 9 3 2 2" xfId="18553" xr:uid="{AA780E20-915D-4F48-9ED3-F097BD95DFA1}"/>
    <cellStyle name="Total 2 9 3 3" xfId="18554" xr:uid="{DF5E5AF8-0BC5-46D5-B09A-200D2929BEDD}"/>
    <cellStyle name="Total 2 9 3 3 2" xfId="18555" xr:uid="{27FD67CA-15BF-4359-A505-AB6BD2DA3A84}"/>
    <cellStyle name="Total 2 9 3 4" xfId="18556" xr:uid="{F1FF3C76-80CD-4624-B009-943F8AE2DC44}"/>
    <cellStyle name="Total 2 9 4" xfId="18557" xr:uid="{E8C5A348-A91B-431B-962F-71C2FE4E366C}"/>
    <cellStyle name="Total 2 9 4 2" xfId="18558" xr:uid="{B7D51CBE-C448-43DB-99D9-146A51DD147E}"/>
    <cellStyle name="Total 2 9 4 2 2" xfId="18559" xr:uid="{7557C748-7BD6-4CF9-B4E7-A111264DECB5}"/>
    <cellStyle name="Total 2 9 4 3" xfId="18560" xr:uid="{63D1B0D6-2CBC-4190-B7C7-F5A1113CE959}"/>
    <cellStyle name="Total 2 9 4 3 2" xfId="18561" xr:uid="{707B3650-F058-45F8-A1EB-23B7B75A4893}"/>
    <cellStyle name="Total 2 9 4 4" xfId="18562" xr:uid="{64D2BBE6-18BC-4A6B-BF98-F85EBB93C588}"/>
    <cellStyle name="Total 2 9 4 4 2" xfId="18563" xr:uid="{E8F20335-F1AC-4283-B7A0-AADE625789A6}"/>
    <cellStyle name="Total 2 9 4 5" xfId="18564" xr:uid="{63581110-E76F-4CD2-AD46-F4A71306C410}"/>
    <cellStyle name="Total 2 9 5" xfId="18565" xr:uid="{22E5CD69-051E-4CEE-A663-E67FC9717DB4}"/>
    <cellStyle name="Total 2 9 5 2" xfId="18566" xr:uid="{481F54C5-9D95-4963-BE99-24CB73BD1923}"/>
    <cellStyle name="Total 2 9 5 2 2" xfId="18567" xr:uid="{B46C4665-5BBA-4A01-B9F9-99D921D9EE68}"/>
    <cellStyle name="Total 2 9 5 3" xfId="18568" xr:uid="{CC4CB363-BD70-466D-9A7F-5E00056BC81A}"/>
    <cellStyle name="Total 2 9 5 3 2" xfId="18569" xr:uid="{ADBCD5A3-84C8-463C-85C7-5DD36D109689}"/>
    <cellStyle name="Total 2 9 5 4" xfId="18570" xr:uid="{83E7620F-BE8E-4365-AF3B-73D5FF0707C2}"/>
    <cellStyle name="Total 2 9 6" xfId="18571" xr:uid="{4169A93B-596C-40CE-9F10-2C2F01198053}"/>
    <cellStyle name="Total 2 9 6 2" xfId="18572" xr:uid="{B8AE7767-C5EE-4EEF-AFCC-D91A8F3C340D}"/>
    <cellStyle name="Total 2 9 7" xfId="18573" xr:uid="{87426914-EF65-466F-BCB3-40EB1A8EC4C2}"/>
    <cellStyle name="Total 2 9 7 2" xfId="18574" xr:uid="{D94F4E0A-D04C-40BD-B119-86B64DC16122}"/>
    <cellStyle name="Total 2 9 8" xfId="18575" xr:uid="{27656DB7-6721-456F-9A44-5E7C92BEC30D}"/>
    <cellStyle name="Total 2 9 8 2" xfId="18576" xr:uid="{AB2DB714-59BD-49C1-AB7E-E379E623AA79}"/>
    <cellStyle name="Total 2 9 9" xfId="18577" xr:uid="{A8B73BF3-1E9D-4679-836D-6C6D94F1E4CA}"/>
    <cellStyle name="Total 20" xfId="3317" xr:uid="{4FBAC135-4968-4797-801A-CDFD43805D4E}"/>
    <cellStyle name="Total 20 10" xfId="18579" xr:uid="{8CCF3259-9191-488F-A073-4642312F34A8}"/>
    <cellStyle name="Total 20 11" xfId="18580" xr:uid="{550299BB-5659-4335-958F-F80C8BEBAF43}"/>
    <cellStyle name="Total 20 12" xfId="18578" xr:uid="{176C26E3-9CAF-4633-B5FF-EE6843F66F4E}"/>
    <cellStyle name="Total 20 2" xfId="18581" xr:uid="{26CF83DA-095E-4480-B707-913CA14836FA}"/>
    <cellStyle name="Total 20 2 2" xfId="18582" xr:uid="{9DE67E4F-1F05-46A0-A74D-028C74940F5B}"/>
    <cellStyle name="Total 20 2 2 2" xfId="18583" xr:uid="{34DBDC9B-BCA1-42AC-9816-81F1A4AAC298}"/>
    <cellStyle name="Total 20 2 3" xfId="18584" xr:uid="{7F323F8A-FB3A-4A2E-8B2A-2211F9EB01CA}"/>
    <cellStyle name="Total 20 2 3 2" xfId="18585" xr:uid="{E16DD3AB-AF7E-4199-81CE-953B51CD5D6E}"/>
    <cellStyle name="Total 20 2 4" xfId="18586" xr:uid="{2541E808-F99D-4749-B05C-A18F4699189C}"/>
    <cellStyle name="Total 20 2 5" xfId="18587" xr:uid="{E97B685C-928A-4E38-A968-F39F084BEDF4}"/>
    <cellStyle name="Total 20 3" xfId="18588" xr:uid="{087A783B-32F3-4CB1-89C9-EB64C1A90CAA}"/>
    <cellStyle name="Total 20 3 2" xfId="18589" xr:uid="{D017C0DB-FDD9-46CF-BAC6-A8EC7DE15BCA}"/>
    <cellStyle name="Total 20 3 2 2" xfId="18590" xr:uid="{1CB58548-83F8-4A93-AD7F-2B60735C2C3D}"/>
    <cellStyle name="Total 20 3 3" xfId="18591" xr:uid="{F9922999-5B30-4239-8A7A-1036792D8286}"/>
    <cellStyle name="Total 20 3 3 2" xfId="18592" xr:uid="{F84E9C57-01A5-46FD-BC49-4A6CD11E3F80}"/>
    <cellStyle name="Total 20 3 4" xfId="18593" xr:uid="{688880DD-D285-448F-9C75-8F300E7CE4AB}"/>
    <cellStyle name="Total 20 4" xfId="18594" xr:uid="{6FD189A5-FF2A-4D00-9C4A-8761DAEB160F}"/>
    <cellStyle name="Total 20 4 2" xfId="18595" xr:uid="{ED0A2381-9268-4EED-B5FE-8483A025F8CA}"/>
    <cellStyle name="Total 20 4 2 2" xfId="18596" xr:uid="{43262C21-9654-477C-BCA2-FE8DDE759976}"/>
    <cellStyle name="Total 20 4 3" xfId="18597" xr:uid="{D3AF99F6-6EF0-4476-A07C-350E75D4F4AB}"/>
    <cellStyle name="Total 20 4 3 2" xfId="18598" xr:uid="{F876B163-6921-4F7F-A36E-3B00AB67FE0F}"/>
    <cellStyle name="Total 20 4 4" xfId="18599" xr:uid="{BD9FAF98-E66A-4939-B2BE-767B72AE4F35}"/>
    <cellStyle name="Total 20 5" xfId="18600" xr:uid="{FBEFBADD-371A-47F0-AB5A-F9A96EAF2A18}"/>
    <cellStyle name="Total 20 5 2" xfId="18601" xr:uid="{2840E9DB-13AB-4ADC-9595-AFCE38EDCD74}"/>
    <cellStyle name="Total 20 5 2 2" xfId="18602" xr:uid="{F4D17C49-B2BC-4EC4-BF5C-6D8495D055D8}"/>
    <cellStyle name="Total 20 5 3" xfId="18603" xr:uid="{8D491A50-2DC8-4CFF-A3C3-6FF9337FBC2D}"/>
    <cellStyle name="Total 20 5 3 2" xfId="18604" xr:uid="{0D41FFB1-E8CE-48C9-9D34-6566F887BCF1}"/>
    <cellStyle name="Total 20 5 4" xfId="18605" xr:uid="{C9CEE4CA-58ED-46C8-8D9C-8293EF639684}"/>
    <cellStyle name="Total 20 5 4 2" xfId="18606" xr:uid="{3A9A7AB0-A566-4411-ADFE-109A4ADBE63E}"/>
    <cellStyle name="Total 20 5 5" xfId="18607" xr:uid="{D0C64CCF-D558-4E9F-A017-AA7E9BAEA323}"/>
    <cellStyle name="Total 20 6" xfId="18608" xr:uid="{71B682A6-C755-48DF-8F27-02DB5CC59027}"/>
    <cellStyle name="Total 20 6 2" xfId="18609" xr:uid="{AAE591C5-5F02-4365-82B7-2845CB9F26AF}"/>
    <cellStyle name="Total 20 6 2 2" xfId="18610" xr:uid="{FACAE0DE-43AB-4574-AE3B-9A5185BFF68B}"/>
    <cellStyle name="Total 20 6 3" xfId="18611" xr:uid="{1D25D136-6019-4418-8DA8-73A293B2C5EE}"/>
    <cellStyle name="Total 20 6 3 2" xfId="18612" xr:uid="{F71DAB40-B272-4824-A84E-286442B4D3E9}"/>
    <cellStyle name="Total 20 6 4" xfId="18613" xr:uid="{796CED31-748D-4331-BE41-A1CF200D02DF}"/>
    <cellStyle name="Total 20 7" xfId="18614" xr:uid="{2C0077FC-4F0C-423F-B98E-2CAB3AD59478}"/>
    <cellStyle name="Total 20 7 2" xfId="18615" xr:uid="{FD95CA09-8E05-4A75-8B18-D129E718A4D8}"/>
    <cellStyle name="Total 20 8" xfId="18616" xr:uid="{E0607495-A9DD-41C6-9BF7-726268BC1431}"/>
    <cellStyle name="Total 20 8 2" xfId="18617" xr:uid="{C8168F52-0CD4-4B6C-B6D0-D39DD76C0223}"/>
    <cellStyle name="Total 20 9" xfId="18618" xr:uid="{F31EDD7D-E633-4BBD-A436-676D4B318290}"/>
    <cellStyle name="Total 20 9 2" xfId="18619" xr:uid="{87168DB6-8656-48FB-B0C5-A044BCA6380C}"/>
    <cellStyle name="Total 21" xfId="3318" xr:uid="{BA4DBAB9-5A97-4E77-825E-CE8F99840DC0}"/>
    <cellStyle name="Total 21 10" xfId="18621" xr:uid="{CEEE9C80-3BB7-456E-9D0D-DA274A7572CA}"/>
    <cellStyle name="Total 21 11" xfId="18622" xr:uid="{D340F75D-C71D-494E-9235-56EF717C7529}"/>
    <cellStyle name="Total 21 12" xfId="18620" xr:uid="{0DE2F104-631B-4FB0-9705-CAD09D091D20}"/>
    <cellStyle name="Total 21 2" xfId="18623" xr:uid="{B0D3273E-46D2-4766-BFBF-DEAD8E42716A}"/>
    <cellStyle name="Total 21 2 2" xfId="18624" xr:uid="{C28235EC-CEC5-4F39-87ED-1AB685FC5633}"/>
    <cellStyle name="Total 21 2 2 2" xfId="18625" xr:uid="{211AE8FC-F8AB-443B-8617-AB66922A4129}"/>
    <cellStyle name="Total 21 2 3" xfId="18626" xr:uid="{C217E466-D027-4343-BB2B-1B09AF7184E8}"/>
    <cellStyle name="Total 21 2 3 2" xfId="18627" xr:uid="{35CDCEAD-3A00-410A-9DD3-F30F5A39901A}"/>
    <cellStyle name="Total 21 2 4" xfId="18628" xr:uid="{87667D29-7E22-4479-9A61-E04FB561398D}"/>
    <cellStyle name="Total 21 2 5" xfId="18629" xr:uid="{37C84230-B877-43EE-91F8-80D349E0600E}"/>
    <cellStyle name="Total 21 3" xfId="18630" xr:uid="{C6830C27-37BA-404D-97D1-1C117C3C52F4}"/>
    <cellStyle name="Total 21 3 2" xfId="18631" xr:uid="{626B94CB-D0E6-403D-8364-B8EBDE6D07F6}"/>
    <cellStyle name="Total 21 3 2 2" xfId="18632" xr:uid="{C16D593F-DDD4-40ED-B1AD-C1026FE4AD2A}"/>
    <cellStyle name="Total 21 3 3" xfId="18633" xr:uid="{B6E15EBF-E95C-45CA-8C06-53D4419AF650}"/>
    <cellStyle name="Total 21 3 3 2" xfId="18634" xr:uid="{3559A494-4B26-44A1-AE4A-E72B871DA0B2}"/>
    <cellStyle name="Total 21 3 4" xfId="18635" xr:uid="{802D6724-90B0-4478-867B-6B323894DE30}"/>
    <cellStyle name="Total 21 4" xfId="18636" xr:uid="{F348EF3A-00CD-4780-AEF2-913412072CC1}"/>
    <cellStyle name="Total 21 4 2" xfId="18637" xr:uid="{1C58C044-478E-469A-9763-ED704F8ECA50}"/>
    <cellStyle name="Total 21 4 2 2" xfId="18638" xr:uid="{5484BD43-49FD-4329-8E76-3ED3D5D054B6}"/>
    <cellStyle name="Total 21 4 3" xfId="18639" xr:uid="{C2120CC8-E5C3-493B-8FA8-95F83C70024F}"/>
    <cellStyle name="Total 21 4 3 2" xfId="18640" xr:uid="{BF4BD434-DA78-49D2-BE26-B92479303E46}"/>
    <cellStyle name="Total 21 4 4" xfId="18641" xr:uid="{AAA60DA9-F56C-402D-A186-849806C033C7}"/>
    <cellStyle name="Total 21 5" xfId="18642" xr:uid="{7316484E-86C2-4407-9097-9BD298C58796}"/>
    <cellStyle name="Total 21 5 2" xfId="18643" xr:uid="{994EED63-2ACD-417A-96D8-F0702AD4A359}"/>
    <cellStyle name="Total 21 5 2 2" xfId="18644" xr:uid="{BDA202CD-7FB6-46D7-BAB1-2232A378472E}"/>
    <cellStyle name="Total 21 5 3" xfId="18645" xr:uid="{906FBEE8-62FF-4005-9E3C-3AA90E68D448}"/>
    <cellStyle name="Total 21 5 3 2" xfId="18646" xr:uid="{B6BFE955-7211-41D3-8352-651DFACFA42B}"/>
    <cellStyle name="Total 21 5 4" xfId="18647" xr:uid="{A512CBD3-628D-49B9-A85F-6F98F45ACD74}"/>
    <cellStyle name="Total 21 5 4 2" xfId="18648" xr:uid="{0384FBF1-F6C4-403E-987C-D9BD826CC42D}"/>
    <cellStyle name="Total 21 5 5" xfId="18649" xr:uid="{F1C838B6-64CE-457E-9194-85FE82FBA718}"/>
    <cellStyle name="Total 21 6" xfId="18650" xr:uid="{3EC7E8BA-7DD7-4237-81F1-B197AB72ECEE}"/>
    <cellStyle name="Total 21 6 2" xfId="18651" xr:uid="{84E3D1F9-866E-46BC-A548-8EF301DF0107}"/>
    <cellStyle name="Total 21 6 2 2" xfId="18652" xr:uid="{536C8EC7-A88D-4D4D-B191-01BD7B2F12B5}"/>
    <cellStyle name="Total 21 6 3" xfId="18653" xr:uid="{09483A36-067E-4B91-A53E-165D99C9B0A2}"/>
    <cellStyle name="Total 21 6 3 2" xfId="18654" xr:uid="{5DAEF975-3A52-4700-A916-594A227E6F07}"/>
    <cellStyle name="Total 21 6 4" xfId="18655" xr:uid="{C4DA4229-3BC2-47AA-9F5D-358F61233DDC}"/>
    <cellStyle name="Total 21 7" xfId="18656" xr:uid="{634BBD04-F705-432A-A6E1-861D7CBDB2CD}"/>
    <cellStyle name="Total 21 7 2" xfId="18657" xr:uid="{BEFFB39C-8B6B-49A2-9B63-DFBFCD10FF20}"/>
    <cellStyle name="Total 21 8" xfId="18658" xr:uid="{DFB69AB8-B7CA-4730-956E-3C54D7E789E6}"/>
    <cellStyle name="Total 21 8 2" xfId="18659" xr:uid="{1F21EE0F-909B-4A45-8A8F-AEA9211ADD46}"/>
    <cellStyle name="Total 21 9" xfId="18660" xr:uid="{C44B7902-DEF1-4F0C-B3A3-A98C892434B9}"/>
    <cellStyle name="Total 21 9 2" xfId="18661" xr:uid="{17A065B5-DA9A-452B-BCAC-7A0457707377}"/>
    <cellStyle name="Total 22" xfId="3319" xr:uid="{7D148B37-4FB0-43D9-98C3-EB64B370B9F4}"/>
    <cellStyle name="Total 22 10" xfId="18663" xr:uid="{54B081FC-83C4-4282-AC23-595CD7312B98}"/>
    <cellStyle name="Total 22 11" xfId="18664" xr:uid="{C0393229-1479-49BF-8C0A-9704F806AFAA}"/>
    <cellStyle name="Total 22 12" xfId="18662" xr:uid="{7D596182-3C63-4289-8730-D43F201633D5}"/>
    <cellStyle name="Total 22 2" xfId="18665" xr:uid="{9A6C4534-D35B-4040-90E6-16A82B0D3D7A}"/>
    <cellStyle name="Total 22 2 2" xfId="18666" xr:uid="{17BDB86E-84AC-45E6-9EE0-18CDC7390CCA}"/>
    <cellStyle name="Total 22 2 2 2" xfId="18667" xr:uid="{C2C77980-01CE-4D37-A598-C1616D35719C}"/>
    <cellStyle name="Total 22 2 3" xfId="18668" xr:uid="{29E90EE1-3FA3-46AD-BB77-574055C8293C}"/>
    <cellStyle name="Total 22 2 3 2" xfId="18669" xr:uid="{B1EEDE8F-403A-444F-8242-55ACE398385D}"/>
    <cellStyle name="Total 22 2 4" xfId="18670" xr:uid="{7509CDC5-3916-43B8-B49B-BE3E28B12C30}"/>
    <cellStyle name="Total 22 2 5" xfId="18671" xr:uid="{A4F1307F-C953-4EB0-8786-2C20B06DB1AF}"/>
    <cellStyle name="Total 22 3" xfId="18672" xr:uid="{E4C11459-A1A7-441D-BD3A-DF7F63D1FDAA}"/>
    <cellStyle name="Total 22 3 2" xfId="18673" xr:uid="{8EAD47CA-2179-407E-932C-9442F7403E52}"/>
    <cellStyle name="Total 22 3 2 2" xfId="18674" xr:uid="{FD89F6FC-0B16-492C-8A1F-450E37CBC4DA}"/>
    <cellStyle name="Total 22 3 3" xfId="18675" xr:uid="{EA64F931-2254-4F83-9BF5-A8933A2D158E}"/>
    <cellStyle name="Total 22 3 3 2" xfId="18676" xr:uid="{B19BABC0-6C3C-4D7E-ADAD-86DE293E22AA}"/>
    <cellStyle name="Total 22 3 4" xfId="18677" xr:uid="{ABB4BEB2-4AE4-429C-9552-6B626829F83B}"/>
    <cellStyle name="Total 22 4" xfId="18678" xr:uid="{BC154F06-3B23-4AAC-80E4-2EC938559290}"/>
    <cellStyle name="Total 22 4 2" xfId="18679" xr:uid="{03C17A2E-952D-4B28-A0A7-EAE31C831717}"/>
    <cellStyle name="Total 22 4 2 2" xfId="18680" xr:uid="{BAD4CFD2-34E7-4AF7-949B-1295DA07DB82}"/>
    <cellStyle name="Total 22 4 3" xfId="18681" xr:uid="{3CC97CEE-DE81-473B-9762-A0A2EC6284EA}"/>
    <cellStyle name="Total 22 4 3 2" xfId="18682" xr:uid="{A080AEA5-F5FF-414E-A31E-4760E0E734D5}"/>
    <cellStyle name="Total 22 4 4" xfId="18683" xr:uid="{BE9B42F2-1CD6-4EE1-949F-1B059EC0797B}"/>
    <cellStyle name="Total 22 5" xfId="18684" xr:uid="{09B42D30-0659-4B32-80A5-C53C5D08FABF}"/>
    <cellStyle name="Total 22 5 2" xfId="18685" xr:uid="{B97F95BF-71B6-448D-8E55-65C8B1CDABCB}"/>
    <cellStyle name="Total 22 5 2 2" xfId="18686" xr:uid="{E6E12511-996A-4AE1-B91B-727C0EF25431}"/>
    <cellStyle name="Total 22 5 3" xfId="18687" xr:uid="{0DA3CC38-B3A0-46DB-9084-82F5E463CD3F}"/>
    <cellStyle name="Total 22 5 3 2" xfId="18688" xr:uid="{B96A7A06-9552-4BDC-89FE-D180AB738E5D}"/>
    <cellStyle name="Total 22 5 4" xfId="18689" xr:uid="{5E7165B8-1B27-4458-86E2-A6C723980052}"/>
    <cellStyle name="Total 22 5 4 2" xfId="18690" xr:uid="{458768C1-1E45-47AE-A244-1FF5F4BF2C33}"/>
    <cellStyle name="Total 22 5 5" xfId="18691" xr:uid="{E82BCDE6-DF0D-488D-8450-2F5A74AD31AC}"/>
    <cellStyle name="Total 22 6" xfId="18692" xr:uid="{56A180DE-CC06-43D9-820C-DA87335A9BB3}"/>
    <cellStyle name="Total 22 6 2" xfId="18693" xr:uid="{69A28D83-2952-431C-A7DF-91D2E3776149}"/>
    <cellStyle name="Total 22 6 2 2" xfId="18694" xr:uid="{66CF4723-9D8B-40FB-BEFB-6EEAB8DA21AE}"/>
    <cellStyle name="Total 22 6 3" xfId="18695" xr:uid="{AE7B43FD-75E7-4343-A94B-164B0CA470CD}"/>
    <cellStyle name="Total 22 6 3 2" xfId="18696" xr:uid="{145DED6D-E167-4592-930B-5925EB296E25}"/>
    <cellStyle name="Total 22 6 4" xfId="18697" xr:uid="{DB376808-3E6D-463D-9FCC-420CDCE83B6C}"/>
    <cellStyle name="Total 22 7" xfId="18698" xr:uid="{32FF49FA-5FA4-4E85-8F8F-4FBF2B55B00B}"/>
    <cellStyle name="Total 22 7 2" xfId="18699" xr:uid="{1DCFE0F1-C77F-4C32-8034-EE2AC11E37D1}"/>
    <cellStyle name="Total 22 8" xfId="18700" xr:uid="{DF0702CD-4ABA-4605-A826-C3F60ACE6734}"/>
    <cellStyle name="Total 22 8 2" xfId="18701" xr:uid="{7C79DA1B-775B-4691-9515-414C6418149D}"/>
    <cellStyle name="Total 22 9" xfId="18702" xr:uid="{C3BB2B4A-0545-4D71-A9D5-1BD63DE64071}"/>
    <cellStyle name="Total 22 9 2" xfId="18703" xr:uid="{98D969D1-2868-410C-94DD-371B6E3EDF2C}"/>
    <cellStyle name="Total 23" xfId="3320" xr:uid="{3A0F086D-7EC7-46D1-AF89-4D1FD2AC555A}"/>
    <cellStyle name="Total 23 10" xfId="18705" xr:uid="{A5BE1349-6B50-4121-BE0D-97B6DA02D6A6}"/>
    <cellStyle name="Total 23 11" xfId="18706" xr:uid="{77D158DA-2A99-4E75-8C10-4AF5CB95E659}"/>
    <cellStyle name="Total 23 12" xfId="18704" xr:uid="{4FA477D1-0CE8-4CD2-9824-7E566E29A46B}"/>
    <cellStyle name="Total 23 2" xfId="18707" xr:uid="{0295E86D-CF88-468E-A662-CD66F2240152}"/>
    <cellStyle name="Total 23 2 2" xfId="18708" xr:uid="{74069F0B-4767-45E0-A84F-6B69D3D31670}"/>
    <cellStyle name="Total 23 2 2 2" xfId="18709" xr:uid="{37E10EA6-635E-45AE-8910-53516A7066BE}"/>
    <cellStyle name="Total 23 2 3" xfId="18710" xr:uid="{EFEAC02E-77A8-471C-A97F-860C5DE3EFF0}"/>
    <cellStyle name="Total 23 2 3 2" xfId="18711" xr:uid="{0F36D91D-7DB0-4E99-9DAD-B6F84BA189C5}"/>
    <cellStyle name="Total 23 2 4" xfId="18712" xr:uid="{FF889C3F-D1D9-4A0B-B339-12BBF0119EEF}"/>
    <cellStyle name="Total 23 2 5" xfId="18713" xr:uid="{A8DE1B85-D16E-4DBD-95E7-A6907C683578}"/>
    <cellStyle name="Total 23 3" xfId="18714" xr:uid="{70AD2DE3-78E4-416A-85A3-8998E5D38AA0}"/>
    <cellStyle name="Total 23 3 2" xfId="18715" xr:uid="{01426957-5FF0-426F-A727-3BD4F829D414}"/>
    <cellStyle name="Total 23 3 2 2" xfId="18716" xr:uid="{23C69C56-CC53-42D9-9140-FDE19BD49FE3}"/>
    <cellStyle name="Total 23 3 3" xfId="18717" xr:uid="{607F1BF3-7908-4E4F-B07B-60B470501997}"/>
    <cellStyle name="Total 23 3 3 2" xfId="18718" xr:uid="{00148527-14A8-4C15-A370-6A84B450829D}"/>
    <cellStyle name="Total 23 3 4" xfId="18719" xr:uid="{864545CB-B0F4-408F-9852-FEA1E8627AC7}"/>
    <cellStyle name="Total 23 4" xfId="18720" xr:uid="{D137C586-4066-435C-85C9-6D0E059142B1}"/>
    <cellStyle name="Total 23 4 2" xfId="18721" xr:uid="{4C64C39E-B437-48BA-A80F-200F41CFE1DA}"/>
    <cellStyle name="Total 23 4 2 2" xfId="18722" xr:uid="{D9A33743-085F-46DB-88FC-CEE2BE4C2AE6}"/>
    <cellStyle name="Total 23 4 3" xfId="18723" xr:uid="{2FF42358-3194-4251-AC0B-B25D78934733}"/>
    <cellStyle name="Total 23 4 3 2" xfId="18724" xr:uid="{8EA007F7-EE67-4AB1-B7E0-4134F031DD0F}"/>
    <cellStyle name="Total 23 4 4" xfId="18725" xr:uid="{7BE8474A-6660-4999-B361-A9F08E839DC3}"/>
    <cellStyle name="Total 23 5" xfId="18726" xr:uid="{C822E32A-C9D5-412A-9F68-1A0BA5D2417F}"/>
    <cellStyle name="Total 23 5 2" xfId="18727" xr:uid="{1ACB2D0C-5854-4FDC-864A-C600EA29C13D}"/>
    <cellStyle name="Total 23 5 2 2" xfId="18728" xr:uid="{817E9E57-FCA3-4EC4-A544-E37A42ED2169}"/>
    <cellStyle name="Total 23 5 3" xfId="18729" xr:uid="{3A083B7C-DE16-4BAE-8EF2-D95C046B5B22}"/>
    <cellStyle name="Total 23 5 3 2" xfId="18730" xr:uid="{26B6D6FA-6208-49E9-9AD7-BBB7B28036DA}"/>
    <cellStyle name="Total 23 5 4" xfId="18731" xr:uid="{C6A54CA7-FF16-4F09-90ED-BB8204D826ED}"/>
    <cellStyle name="Total 23 5 4 2" xfId="18732" xr:uid="{8EC3D7F5-5268-43C4-9D06-0EF9EDF3670B}"/>
    <cellStyle name="Total 23 5 5" xfId="18733" xr:uid="{75BD58E7-FA26-4E8B-BD6E-471DAF82A7C3}"/>
    <cellStyle name="Total 23 6" xfId="18734" xr:uid="{A1246A70-9691-4D81-B936-20CED2D8FBDC}"/>
    <cellStyle name="Total 23 6 2" xfId="18735" xr:uid="{969C04C4-CE76-4486-B84A-6B5EE7640FD3}"/>
    <cellStyle name="Total 23 6 2 2" xfId="18736" xr:uid="{7ADDA4DB-5A62-4A10-B8FE-DC6F78DA4AC9}"/>
    <cellStyle name="Total 23 6 3" xfId="18737" xr:uid="{D7FD3910-80F7-46FE-A432-B78EE9158EBC}"/>
    <cellStyle name="Total 23 6 3 2" xfId="18738" xr:uid="{9A4EF636-147C-40F6-9A89-DCA0DCB74643}"/>
    <cellStyle name="Total 23 6 4" xfId="18739" xr:uid="{3098EC16-571D-4842-8427-9E5C01160C69}"/>
    <cellStyle name="Total 23 7" xfId="18740" xr:uid="{49F6B51E-ABE4-4476-BAA8-168347D55FF8}"/>
    <cellStyle name="Total 23 7 2" xfId="18741" xr:uid="{01FA1B28-A66A-49AF-BDB4-797BA5788C44}"/>
    <cellStyle name="Total 23 8" xfId="18742" xr:uid="{15E1A640-C686-4107-8B59-0D39F532D41C}"/>
    <cellStyle name="Total 23 8 2" xfId="18743" xr:uid="{737FCAE3-7CBA-435C-8048-0AE655E3A0C5}"/>
    <cellStyle name="Total 23 9" xfId="18744" xr:uid="{D2233FC6-26DE-4C1B-9F15-85123D371227}"/>
    <cellStyle name="Total 23 9 2" xfId="18745" xr:uid="{0DDFD686-C214-410C-BC7A-B3D340C6975C}"/>
    <cellStyle name="Total 24" xfId="3321" xr:uid="{4901CBA9-C04C-45D1-BE2E-D8C0A6156449}"/>
    <cellStyle name="Total 24 10" xfId="18747" xr:uid="{6FAA32C8-2958-44C7-9554-EB8961B7F825}"/>
    <cellStyle name="Total 24 11" xfId="18748" xr:uid="{D9253894-4F0A-497E-AB66-913F8806709E}"/>
    <cellStyle name="Total 24 12" xfId="18746" xr:uid="{4822C9A3-23C8-4EDF-8828-9DBC6252D1BE}"/>
    <cellStyle name="Total 24 2" xfId="18749" xr:uid="{ECFF496F-5D65-409F-9B09-A765D65DC9C9}"/>
    <cellStyle name="Total 24 2 2" xfId="18750" xr:uid="{A8A25412-9A13-4E73-8AC3-EB2367518A3E}"/>
    <cellStyle name="Total 24 2 2 2" xfId="18751" xr:uid="{2166371A-E9DD-4F3A-8868-8CD715B625D7}"/>
    <cellStyle name="Total 24 2 3" xfId="18752" xr:uid="{E67B391F-F8D7-4903-B82C-88C10E2CC4E1}"/>
    <cellStyle name="Total 24 2 3 2" xfId="18753" xr:uid="{EFC09D12-5B7A-4F5A-8B22-107727BDC197}"/>
    <cellStyle name="Total 24 2 4" xfId="18754" xr:uid="{601BBB7D-524B-4AD1-9638-833EBDBE1080}"/>
    <cellStyle name="Total 24 2 5" xfId="18755" xr:uid="{5A6E4BC0-8F0F-4210-A07E-5CA29F7F3E5F}"/>
    <cellStyle name="Total 24 3" xfId="18756" xr:uid="{CF74B192-8F53-4571-AEC6-9F4164D19F4C}"/>
    <cellStyle name="Total 24 3 2" xfId="18757" xr:uid="{3C83B4D2-9EE3-4F98-892A-58EEB1D5FE35}"/>
    <cellStyle name="Total 24 3 2 2" xfId="18758" xr:uid="{951D5FBD-F4FA-4702-BF0E-E8DC9AFDBC02}"/>
    <cellStyle name="Total 24 3 3" xfId="18759" xr:uid="{30D5CAD2-6385-4D86-BDF3-7AAE2AACA6AB}"/>
    <cellStyle name="Total 24 3 3 2" xfId="18760" xr:uid="{E366B9FB-24F6-453D-B689-1DB9B963C7E8}"/>
    <cellStyle name="Total 24 3 4" xfId="18761" xr:uid="{61DBD80D-CA67-4EED-B08E-2FA901B61036}"/>
    <cellStyle name="Total 24 4" xfId="18762" xr:uid="{F5152D7B-238E-4A5C-9C02-8E354E91A905}"/>
    <cellStyle name="Total 24 4 2" xfId="18763" xr:uid="{62564251-25B3-45AB-86B8-387A4BF4BDC5}"/>
    <cellStyle name="Total 24 4 2 2" xfId="18764" xr:uid="{C4D738F4-FF6A-417C-B2BF-52FDF242096E}"/>
    <cellStyle name="Total 24 4 3" xfId="18765" xr:uid="{9342FA00-6E2D-4717-9DE9-647798204B9C}"/>
    <cellStyle name="Total 24 4 3 2" xfId="18766" xr:uid="{D400E523-2190-4108-8458-A001A85AA538}"/>
    <cellStyle name="Total 24 4 4" xfId="18767" xr:uid="{258DC9D5-B3C1-447A-AF97-E951E7D1CEE3}"/>
    <cellStyle name="Total 24 5" xfId="18768" xr:uid="{D8548F04-F6E0-414E-B320-B51C58758CC6}"/>
    <cellStyle name="Total 24 5 2" xfId="18769" xr:uid="{E5B00E0E-52D2-4DEA-969E-12AC7C47AA2E}"/>
    <cellStyle name="Total 24 5 2 2" xfId="18770" xr:uid="{F9D12F98-937F-4275-8265-B4B85EACAFBA}"/>
    <cellStyle name="Total 24 5 3" xfId="18771" xr:uid="{B8536999-837C-454D-AD7E-23C598B390B2}"/>
    <cellStyle name="Total 24 5 3 2" xfId="18772" xr:uid="{479D7D7E-85FB-4E30-A236-9B8619BDB55C}"/>
    <cellStyle name="Total 24 5 4" xfId="18773" xr:uid="{44B1B477-5888-460E-BFD7-24107DCA535C}"/>
    <cellStyle name="Total 24 5 4 2" xfId="18774" xr:uid="{DF9E9580-57E5-499D-B7E6-B7EB041DC0F6}"/>
    <cellStyle name="Total 24 5 5" xfId="18775" xr:uid="{C45734DA-5ED3-4DAA-A8A9-12BC69BBC856}"/>
    <cellStyle name="Total 24 6" xfId="18776" xr:uid="{A4366598-E674-45E4-874E-28DEA994C994}"/>
    <cellStyle name="Total 24 6 2" xfId="18777" xr:uid="{3672D7D3-0FD4-46C6-9F20-E5F5B663C8D7}"/>
    <cellStyle name="Total 24 6 2 2" xfId="18778" xr:uid="{F899230C-391D-4B3A-B830-02F21F32EE51}"/>
    <cellStyle name="Total 24 6 3" xfId="18779" xr:uid="{09F2DC5C-ACEB-43DD-BFAA-120EFD7D9797}"/>
    <cellStyle name="Total 24 6 3 2" xfId="18780" xr:uid="{72CA7635-9CD2-4B44-B093-A7BC74D4E0E6}"/>
    <cellStyle name="Total 24 6 4" xfId="18781" xr:uid="{351E457C-A54C-4013-9845-0862FC8436BB}"/>
    <cellStyle name="Total 24 7" xfId="18782" xr:uid="{E1002AC8-54AF-42FD-B1A9-09E530D15D71}"/>
    <cellStyle name="Total 24 7 2" xfId="18783" xr:uid="{E5249BF0-B6D3-4EC0-8C74-E267B7701171}"/>
    <cellStyle name="Total 24 8" xfId="18784" xr:uid="{92C4AE55-BEF0-42EB-8DB8-FC9F30AE9668}"/>
    <cellStyle name="Total 24 8 2" xfId="18785" xr:uid="{4214E73F-E457-45F2-88DC-B62D1DF5B9BA}"/>
    <cellStyle name="Total 24 9" xfId="18786" xr:uid="{17D56267-6739-4076-AF5A-2C978920ABDB}"/>
    <cellStyle name="Total 24 9 2" xfId="18787" xr:uid="{CD7D6CC2-F8DE-41D3-A76B-B74AECAAA53E}"/>
    <cellStyle name="Total 25" xfId="3322" xr:uid="{DE226110-6F25-40C2-A34F-1C037008169A}"/>
    <cellStyle name="Total 25 10" xfId="18789" xr:uid="{66B687F8-3087-4D96-B71E-341E9C3BB5B6}"/>
    <cellStyle name="Total 25 11" xfId="18790" xr:uid="{5596D33E-644E-45ED-91C4-40923ED0A74C}"/>
    <cellStyle name="Total 25 12" xfId="18788" xr:uid="{A661B5D9-E807-4EA6-8C76-7612C209AE86}"/>
    <cellStyle name="Total 25 2" xfId="18791" xr:uid="{305A3FD4-D86C-402B-9C24-55195444B41D}"/>
    <cellStyle name="Total 25 2 2" xfId="18792" xr:uid="{FC1B4C86-DF34-4F87-BB09-65B4350D7297}"/>
    <cellStyle name="Total 25 2 2 2" xfId="18793" xr:uid="{DF09FAB4-F69E-4B1A-85B2-743BDF429BEC}"/>
    <cellStyle name="Total 25 2 3" xfId="18794" xr:uid="{6D0C3DF5-8DD9-4246-A4C4-AC7E995105D6}"/>
    <cellStyle name="Total 25 2 3 2" xfId="18795" xr:uid="{0E63637A-59BF-4F80-96F1-2FDE24BF8627}"/>
    <cellStyle name="Total 25 2 4" xfId="18796" xr:uid="{7664CA66-E30B-4023-9281-1145CC451398}"/>
    <cellStyle name="Total 25 2 5" xfId="18797" xr:uid="{E0D7FD26-F13C-40D6-9DDA-6C480E6280A5}"/>
    <cellStyle name="Total 25 3" xfId="18798" xr:uid="{82FACF6D-2C6E-43D8-AD9C-361DBC341AA7}"/>
    <cellStyle name="Total 25 3 2" xfId="18799" xr:uid="{73AA4A8C-50BA-438C-BEA4-E8206A608F56}"/>
    <cellStyle name="Total 25 3 2 2" xfId="18800" xr:uid="{A24C2D93-F85B-4D96-90C5-488A006D1345}"/>
    <cellStyle name="Total 25 3 3" xfId="18801" xr:uid="{E999FD24-421C-4367-9B7D-D700CF2430C8}"/>
    <cellStyle name="Total 25 3 3 2" xfId="18802" xr:uid="{21BDD403-DDE1-4AED-B13E-052459827628}"/>
    <cellStyle name="Total 25 3 4" xfId="18803" xr:uid="{C5403624-2DD3-46A6-8442-8A234633E39A}"/>
    <cellStyle name="Total 25 4" xfId="18804" xr:uid="{6BF1F4B7-8965-4AF7-9556-A9F8FBDD953A}"/>
    <cellStyle name="Total 25 4 2" xfId="18805" xr:uid="{4BE59CF8-D5AE-4DDC-83C5-4F1A1F9CA5DF}"/>
    <cellStyle name="Total 25 4 2 2" xfId="18806" xr:uid="{2EBC2BBA-0A7D-4D06-A21C-90505A19E796}"/>
    <cellStyle name="Total 25 4 3" xfId="18807" xr:uid="{8403D785-9117-4FB0-A7CE-C55ED128C47E}"/>
    <cellStyle name="Total 25 4 3 2" xfId="18808" xr:uid="{FE28588F-6C56-452B-AC04-C9D8AEBD0702}"/>
    <cellStyle name="Total 25 4 4" xfId="18809" xr:uid="{6FF404B3-A02A-4C39-B6D4-EA3F4AC26647}"/>
    <cellStyle name="Total 25 5" xfId="18810" xr:uid="{6B3E19B4-89B5-41BD-B291-8CFF9D2FDFED}"/>
    <cellStyle name="Total 25 5 2" xfId="18811" xr:uid="{A5A95B4D-E936-4DAD-A126-5E7B4175A509}"/>
    <cellStyle name="Total 25 5 2 2" xfId="18812" xr:uid="{B1955438-C5F6-4FE6-88DE-69CB7A97E062}"/>
    <cellStyle name="Total 25 5 3" xfId="18813" xr:uid="{E656CA2E-E037-468A-93C1-0481F16CDDA1}"/>
    <cellStyle name="Total 25 5 3 2" xfId="18814" xr:uid="{78675209-97B1-43F1-8903-78140690ABA8}"/>
    <cellStyle name="Total 25 5 4" xfId="18815" xr:uid="{E2975F4A-95A4-47A8-9089-44552616620E}"/>
    <cellStyle name="Total 25 5 4 2" xfId="18816" xr:uid="{AAAB6B07-59E8-4064-AD30-D389F03B6C64}"/>
    <cellStyle name="Total 25 5 5" xfId="18817" xr:uid="{39D8C61F-C7E8-40A9-B134-DCAFE3DF37C5}"/>
    <cellStyle name="Total 25 6" xfId="18818" xr:uid="{4BD1FD7A-549B-4F9D-B1B4-24A1C11A5E9A}"/>
    <cellStyle name="Total 25 6 2" xfId="18819" xr:uid="{DBB474DC-F77C-4F9B-B426-66C2435F16CC}"/>
    <cellStyle name="Total 25 6 2 2" xfId="18820" xr:uid="{1F116883-A920-4991-88B7-34E941884DAB}"/>
    <cellStyle name="Total 25 6 3" xfId="18821" xr:uid="{C0C131B4-1904-40AA-9B6E-61A6474C0C9A}"/>
    <cellStyle name="Total 25 6 3 2" xfId="18822" xr:uid="{78D4E90D-9094-4712-86C2-603EFDEA8E24}"/>
    <cellStyle name="Total 25 6 4" xfId="18823" xr:uid="{F6AB53EE-ABE3-4625-8BEC-0E234AD71482}"/>
    <cellStyle name="Total 25 7" xfId="18824" xr:uid="{301063C6-B7F2-48F1-A99C-2A1DFCA18372}"/>
    <cellStyle name="Total 25 7 2" xfId="18825" xr:uid="{C7F24183-535B-4FEB-88BB-CF5C06C2BB1B}"/>
    <cellStyle name="Total 25 8" xfId="18826" xr:uid="{5DC41DB1-9DDD-4874-BEDF-DCA7C38D6F37}"/>
    <cellStyle name="Total 25 8 2" xfId="18827" xr:uid="{DFC99CD7-67ED-4F11-A32C-1D7ECF52486B}"/>
    <cellStyle name="Total 25 9" xfId="18828" xr:uid="{2831BE72-3E3A-49A4-9DB6-E3A2CA1D6223}"/>
    <cellStyle name="Total 25 9 2" xfId="18829" xr:uid="{A296CB37-1F96-4D9D-AC62-6DA8938CEEF5}"/>
    <cellStyle name="Total 26" xfId="3323" xr:uid="{0921F6B9-15EB-45B7-AF70-8AA711CC1FBF}"/>
    <cellStyle name="Total 26 10" xfId="18831" xr:uid="{7FC8AB20-8270-4A5B-AE33-2F643ACD4AB6}"/>
    <cellStyle name="Total 26 11" xfId="18832" xr:uid="{A0160D3E-18D5-4781-AA8B-744A5B41961F}"/>
    <cellStyle name="Total 26 12" xfId="18830" xr:uid="{0EFF31C0-500C-4952-B812-FE3665390567}"/>
    <cellStyle name="Total 26 2" xfId="18833" xr:uid="{F0BC1A88-9156-4ACF-A8C3-1E8EC2E55F3F}"/>
    <cellStyle name="Total 26 2 2" xfId="18834" xr:uid="{465F88F9-CA47-4025-A313-808ABCEA6070}"/>
    <cellStyle name="Total 26 2 2 2" xfId="18835" xr:uid="{A3AAF504-40DB-4167-A487-D8E4EFDC2BDC}"/>
    <cellStyle name="Total 26 2 3" xfId="18836" xr:uid="{5411DF1D-7C4F-4860-A473-9DA585ECFC08}"/>
    <cellStyle name="Total 26 2 3 2" xfId="18837" xr:uid="{93B53461-6B44-4AFB-9DBF-9156876B5967}"/>
    <cellStyle name="Total 26 2 4" xfId="18838" xr:uid="{3F87505A-A7AE-4F9D-9EA6-F9BC9452D608}"/>
    <cellStyle name="Total 26 2 5" xfId="18839" xr:uid="{55713298-5D94-4169-91E3-89BB183D34E3}"/>
    <cellStyle name="Total 26 3" xfId="18840" xr:uid="{03B75E5F-33A8-402D-9395-B41C452F9436}"/>
    <cellStyle name="Total 26 3 2" xfId="18841" xr:uid="{4B0DBD01-26E7-4CAC-9D8D-47FA77BE3166}"/>
    <cellStyle name="Total 26 3 2 2" xfId="18842" xr:uid="{C5F990BB-95D8-49FC-BDB7-35D3E36C60B4}"/>
    <cellStyle name="Total 26 3 3" xfId="18843" xr:uid="{ADF8128A-1A44-43A1-8C82-F118B1EB89E3}"/>
    <cellStyle name="Total 26 3 3 2" xfId="18844" xr:uid="{16EC3C99-F875-4F33-BB58-90EE1D908025}"/>
    <cellStyle name="Total 26 3 4" xfId="18845" xr:uid="{AC4BA03E-B6E7-424B-AF20-9791B98FAEEB}"/>
    <cellStyle name="Total 26 4" xfId="18846" xr:uid="{9FA1831E-E066-4AEF-A3FB-9110EF5AA4B2}"/>
    <cellStyle name="Total 26 4 2" xfId="18847" xr:uid="{6B68D2D2-985A-43BB-A385-1B76C6AE0BA2}"/>
    <cellStyle name="Total 26 4 2 2" xfId="18848" xr:uid="{F2333B07-AB13-4C13-91F4-9D5A4E4BB337}"/>
    <cellStyle name="Total 26 4 3" xfId="18849" xr:uid="{F3BD0CD7-D762-4336-92EC-72FB5E53A0DA}"/>
    <cellStyle name="Total 26 4 3 2" xfId="18850" xr:uid="{42E27DC7-7F4C-4431-8A97-01C6913BCA92}"/>
    <cellStyle name="Total 26 4 4" xfId="18851" xr:uid="{4EDEDF4A-6174-4C49-BE3A-2C11228A3CF9}"/>
    <cellStyle name="Total 26 5" xfId="18852" xr:uid="{F166C46E-5232-48CB-ACDD-551E74CDCED6}"/>
    <cellStyle name="Total 26 5 2" xfId="18853" xr:uid="{3665BE8A-3E1F-42A6-ADD7-09413D3CB9EE}"/>
    <cellStyle name="Total 26 5 2 2" xfId="18854" xr:uid="{CC317364-C28F-42BF-9EE3-78935491A6CA}"/>
    <cellStyle name="Total 26 5 3" xfId="18855" xr:uid="{D3D2822B-E641-493D-AC59-989D13B616CB}"/>
    <cellStyle name="Total 26 5 3 2" xfId="18856" xr:uid="{1F79076C-044A-4E39-97C4-9B2A11DD96EB}"/>
    <cellStyle name="Total 26 5 4" xfId="18857" xr:uid="{2A4B9891-EA33-4EAF-84AF-4E139323BF88}"/>
    <cellStyle name="Total 26 5 4 2" xfId="18858" xr:uid="{32956AE2-A58D-419E-A0A5-B63A7926ECEE}"/>
    <cellStyle name="Total 26 5 5" xfId="18859" xr:uid="{6C374EAA-A634-4140-BB20-39F10D0DC6E1}"/>
    <cellStyle name="Total 26 6" xfId="18860" xr:uid="{FE2B13A2-B56C-4888-9CA4-4B32ABD8FD1A}"/>
    <cellStyle name="Total 26 6 2" xfId="18861" xr:uid="{C5CD5451-E0AE-4FEE-9D42-CA22706EA8B6}"/>
    <cellStyle name="Total 26 6 2 2" xfId="18862" xr:uid="{6650E932-8AD7-4DDB-AA3F-4923539D2442}"/>
    <cellStyle name="Total 26 6 3" xfId="18863" xr:uid="{46D5903F-6460-4D52-B417-B4A2872892A9}"/>
    <cellStyle name="Total 26 6 3 2" xfId="18864" xr:uid="{8D40931B-92DE-47FA-BB0B-B69DFB8759AE}"/>
    <cellStyle name="Total 26 6 4" xfId="18865" xr:uid="{F59D1113-F2AF-496D-87BD-5CD8B061C6E8}"/>
    <cellStyle name="Total 26 7" xfId="18866" xr:uid="{6FFD3448-98C9-4F4B-903E-688D120645F2}"/>
    <cellStyle name="Total 26 7 2" xfId="18867" xr:uid="{A1AAA5E5-69DC-42F9-AE98-67C00AF908EA}"/>
    <cellStyle name="Total 26 8" xfId="18868" xr:uid="{F3F298E3-134D-4871-B289-69363660A920}"/>
    <cellStyle name="Total 26 8 2" xfId="18869" xr:uid="{D223A0D0-62B0-4EC5-AF21-2F22E4CB7646}"/>
    <cellStyle name="Total 26 9" xfId="18870" xr:uid="{3EFCE13A-A1F8-45D0-9BF5-AA626DA95758}"/>
    <cellStyle name="Total 26 9 2" xfId="18871" xr:uid="{6E526765-B17F-4E32-AE7F-3BDE19CD4ED7}"/>
    <cellStyle name="Total 27" xfId="3324" xr:uid="{5B189A4F-9A67-41CB-AD5D-74D9F4D0E3F7}"/>
    <cellStyle name="Total 27 10" xfId="18873" xr:uid="{AC7B18DC-B496-49EB-AB3A-7F4E539467F4}"/>
    <cellStyle name="Total 27 11" xfId="18874" xr:uid="{53BBC6E2-AFF4-4780-B8F9-A06AA378173D}"/>
    <cellStyle name="Total 27 12" xfId="18872" xr:uid="{79F386C1-4CD6-42B0-90B9-9E62F8E3EC43}"/>
    <cellStyle name="Total 27 2" xfId="18875" xr:uid="{BF2C05AC-83F2-4AD3-8073-E6160C6292EA}"/>
    <cellStyle name="Total 27 2 2" xfId="18876" xr:uid="{B64DFC54-B400-43A0-B848-5CADD9FEF248}"/>
    <cellStyle name="Total 27 2 2 2" xfId="18877" xr:uid="{1005E49E-A386-4D15-8BA9-C77089F621DD}"/>
    <cellStyle name="Total 27 2 3" xfId="18878" xr:uid="{4DBDB0F0-ABF7-4876-A2C3-D875EE1743BD}"/>
    <cellStyle name="Total 27 2 3 2" xfId="18879" xr:uid="{1D99E6D5-11A7-4F19-8A6A-D6765AD61715}"/>
    <cellStyle name="Total 27 2 4" xfId="18880" xr:uid="{FD556D9B-38D3-4CE1-9FF2-5C9ACAB92D57}"/>
    <cellStyle name="Total 27 2 5" xfId="18881" xr:uid="{3CBDF29B-0B40-4B51-9947-A3190C6C7D6A}"/>
    <cellStyle name="Total 27 3" xfId="18882" xr:uid="{BA2E881A-3670-4211-85CE-FF57067BAA9D}"/>
    <cellStyle name="Total 27 3 2" xfId="18883" xr:uid="{0656A3C9-B746-4407-8A04-5174248B33EA}"/>
    <cellStyle name="Total 27 3 2 2" xfId="18884" xr:uid="{1A4EA710-238F-4754-AF46-D8A1509CDDD5}"/>
    <cellStyle name="Total 27 3 3" xfId="18885" xr:uid="{64074489-8C39-422A-AA1F-E0DB8E4A09A7}"/>
    <cellStyle name="Total 27 3 3 2" xfId="18886" xr:uid="{723F0070-4160-442E-9A58-991869038C0C}"/>
    <cellStyle name="Total 27 3 4" xfId="18887" xr:uid="{ABD72A8B-2114-4091-9E36-7A48F7D9CAED}"/>
    <cellStyle name="Total 27 4" xfId="18888" xr:uid="{8F4F09D6-4615-4082-B60D-4F1424079BA6}"/>
    <cellStyle name="Total 27 4 2" xfId="18889" xr:uid="{59B044DA-5262-40A2-B41C-C9D51AF65B00}"/>
    <cellStyle name="Total 27 4 2 2" xfId="18890" xr:uid="{FE564B83-43F7-4BB1-8184-C8A94C6FF613}"/>
    <cellStyle name="Total 27 4 3" xfId="18891" xr:uid="{9640A7F9-1224-468C-8E7D-5EC8473679A8}"/>
    <cellStyle name="Total 27 4 3 2" xfId="18892" xr:uid="{89B85D2A-E275-4A73-8ABE-5B560D7D8347}"/>
    <cellStyle name="Total 27 4 4" xfId="18893" xr:uid="{F46796E5-4FF1-4E89-91B1-2102C21CC8EF}"/>
    <cellStyle name="Total 27 5" xfId="18894" xr:uid="{64484988-549C-4F44-95D7-8C85DD3B3EEF}"/>
    <cellStyle name="Total 27 5 2" xfId="18895" xr:uid="{6CAFEC1E-E593-4B48-ADFA-C4D2C49914D7}"/>
    <cellStyle name="Total 27 5 2 2" xfId="18896" xr:uid="{0EDCE437-C1F3-4F19-A059-D56BA201FF8A}"/>
    <cellStyle name="Total 27 5 3" xfId="18897" xr:uid="{6AE0C47A-7E85-4BD7-AB70-595AE767EE56}"/>
    <cellStyle name="Total 27 5 3 2" xfId="18898" xr:uid="{31D488B8-7FBC-44BB-B591-552A75DD56F2}"/>
    <cellStyle name="Total 27 5 4" xfId="18899" xr:uid="{52F9D57C-2B79-443B-97E6-DA060C9D358F}"/>
    <cellStyle name="Total 27 5 4 2" xfId="18900" xr:uid="{E7DF87F0-A993-4164-B69C-B9D90541C6E1}"/>
    <cellStyle name="Total 27 5 5" xfId="18901" xr:uid="{81D46367-E4C3-4D66-B965-76E65CBDB060}"/>
    <cellStyle name="Total 27 6" xfId="18902" xr:uid="{CCB7B135-B55C-42CD-A10C-C9E1CF07BA0A}"/>
    <cellStyle name="Total 27 6 2" xfId="18903" xr:uid="{E7CC9DEC-48AB-49D0-8E5F-3EE76CCF9510}"/>
    <cellStyle name="Total 27 6 2 2" xfId="18904" xr:uid="{6468D8F5-1BD2-4D29-B0A5-EE73C1293F98}"/>
    <cellStyle name="Total 27 6 3" xfId="18905" xr:uid="{367AEC2E-6035-47D3-A4B6-E5370D684914}"/>
    <cellStyle name="Total 27 6 3 2" xfId="18906" xr:uid="{8DA50B87-F2DD-47BB-A808-ED0D395EAAE9}"/>
    <cellStyle name="Total 27 6 4" xfId="18907" xr:uid="{C1255A1E-A3A1-4146-99DD-8E1ED7A815F3}"/>
    <cellStyle name="Total 27 7" xfId="18908" xr:uid="{825C18BC-CF76-4455-83CC-908128B4C1C7}"/>
    <cellStyle name="Total 27 7 2" xfId="18909" xr:uid="{60E18530-2BCE-43E6-BE39-262494244BF5}"/>
    <cellStyle name="Total 27 8" xfId="18910" xr:uid="{954C12DB-3E57-41E8-A564-C9C9EACF88D8}"/>
    <cellStyle name="Total 27 8 2" xfId="18911" xr:uid="{F2FAA04D-4641-4F08-9413-AF3E376D6A99}"/>
    <cellStyle name="Total 27 9" xfId="18912" xr:uid="{60A504B5-BCE6-45A2-A153-C8A9C9132379}"/>
    <cellStyle name="Total 27 9 2" xfId="18913" xr:uid="{1E67111A-ECA8-42A6-962D-DD572ADDE559}"/>
    <cellStyle name="Total 28" xfId="3325" xr:uid="{5D8682D4-B7F7-4B3C-AEA6-0C6FBAE71F67}"/>
    <cellStyle name="Total 28 10" xfId="18915" xr:uid="{879920EF-E27C-455B-AC6F-C3AF5080F1F3}"/>
    <cellStyle name="Total 28 11" xfId="18916" xr:uid="{A02BA18F-427E-4800-AF12-0D8AF36F1580}"/>
    <cellStyle name="Total 28 12" xfId="18914" xr:uid="{86840FC1-1CBD-4C81-9DB0-CA6CD09C7BD4}"/>
    <cellStyle name="Total 28 2" xfId="18917" xr:uid="{7A40EE7D-DE9D-4D94-ACE1-4FB76DDC6243}"/>
    <cellStyle name="Total 28 2 2" xfId="18918" xr:uid="{E3502D8C-5E29-414E-9FB9-A04CA97C78EC}"/>
    <cellStyle name="Total 28 2 2 2" xfId="18919" xr:uid="{D380B115-82A8-4559-93F5-E0DE4646BAE7}"/>
    <cellStyle name="Total 28 2 3" xfId="18920" xr:uid="{5C9CD054-55A2-44D8-BC3D-6F7D85EC42E1}"/>
    <cellStyle name="Total 28 2 3 2" xfId="18921" xr:uid="{BC7E7F7E-7057-4C63-B608-1123ABBBEE33}"/>
    <cellStyle name="Total 28 2 4" xfId="18922" xr:uid="{14A95F7B-0B0E-4AC6-827C-1A6BA20A79A8}"/>
    <cellStyle name="Total 28 2 5" xfId="18923" xr:uid="{F72A1129-BD64-49CF-8579-FC0AD6991184}"/>
    <cellStyle name="Total 28 3" xfId="18924" xr:uid="{8C489FC6-D529-4356-A2BD-4F6F2BA3EB12}"/>
    <cellStyle name="Total 28 3 2" xfId="18925" xr:uid="{464BD8AC-C123-4D80-8EA8-A5B44F74E8D4}"/>
    <cellStyle name="Total 28 3 2 2" xfId="18926" xr:uid="{51786135-8623-4829-95F8-456646318E02}"/>
    <cellStyle name="Total 28 3 3" xfId="18927" xr:uid="{0B179A94-AC2B-4ABD-9318-4AFA1C893945}"/>
    <cellStyle name="Total 28 3 3 2" xfId="18928" xr:uid="{28561994-2309-4D83-A317-5F16472E43AB}"/>
    <cellStyle name="Total 28 3 4" xfId="18929" xr:uid="{A6D013F4-0094-4061-AB7C-2F44D60EC5AF}"/>
    <cellStyle name="Total 28 4" xfId="18930" xr:uid="{71E1FF48-6A31-4EF3-BE36-D12849A190B1}"/>
    <cellStyle name="Total 28 4 2" xfId="18931" xr:uid="{A7965099-D27B-4062-8F50-980FA62A20AD}"/>
    <cellStyle name="Total 28 4 2 2" xfId="18932" xr:uid="{112687BB-5515-4392-BA32-82BA976CCEBF}"/>
    <cellStyle name="Total 28 4 3" xfId="18933" xr:uid="{BAC8B80D-5785-4319-934A-1E697E8D83C7}"/>
    <cellStyle name="Total 28 4 3 2" xfId="18934" xr:uid="{C92157F1-9425-46C5-B5C2-6606C93CCD21}"/>
    <cellStyle name="Total 28 4 4" xfId="18935" xr:uid="{86E204F6-950F-42FC-8E29-46B54EF86932}"/>
    <cellStyle name="Total 28 5" xfId="18936" xr:uid="{541DA75D-F5B0-4E32-BAA2-C24477D95546}"/>
    <cellStyle name="Total 28 5 2" xfId="18937" xr:uid="{808839BF-4A38-4916-974F-D5D6654482B6}"/>
    <cellStyle name="Total 28 5 2 2" xfId="18938" xr:uid="{DD5DACE2-DC5B-489C-AC0A-6E4D0C26974A}"/>
    <cellStyle name="Total 28 5 3" xfId="18939" xr:uid="{42432A0C-FBE4-4840-B47F-F28909B3ABB1}"/>
    <cellStyle name="Total 28 5 3 2" xfId="18940" xr:uid="{A20A36BA-D25D-45BF-AD27-0C5447F6B79E}"/>
    <cellStyle name="Total 28 5 4" xfId="18941" xr:uid="{B47BF2FC-D850-4763-B748-741F1D4B4A6F}"/>
    <cellStyle name="Total 28 5 4 2" xfId="18942" xr:uid="{8FCDF708-83B0-45AA-8BEE-EA1180F45F99}"/>
    <cellStyle name="Total 28 5 5" xfId="18943" xr:uid="{ADD7BB90-0E28-48E5-B498-42313ED227B8}"/>
    <cellStyle name="Total 28 6" xfId="18944" xr:uid="{33E16082-617A-4982-B3E4-0AF02625F37A}"/>
    <cellStyle name="Total 28 6 2" xfId="18945" xr:uid="{F282318B-414E-42D0-87D5-ADF88074C8FC}"/>
    <cellStyle name="Total 28 6 2 2" xfId="18946" xr:uid="{9881DB0E-4E24-461B-AA17-15043F6D8E42}"/>
    <cellStyle name="Total 28 6 3" xfId="18947" xr:uid="{26DD8438-2B16-464D-BFA8-D063A911D7D7}"/>
    <cellStyle name="Total 28 6 3 2" xfId="18948" xr:uid="{D027CAB0-FDAF-47CB-BA70-B9087B058E12}"/>
    <cellStyle name="Total 28 6 4" xfId="18949" xr:uid="{D5BBCCB2-B5F9-4D8E-9028-C6B99F4C2284}"/>
    <cellStyle name="Total 28 7" xfId="18950" xr:uid="{47E26180-952A-4DE7-A64A-B079556695D9}"/>
    <cellStyle name="Total 28 7 2" xfId="18951" xr:uid="{6FBC79B8-6901-4153-BF0A-8A732E9F0F7F}"/>
    <cellStyle name="Total 28 8" xfId="18952" xr:uid="{F354B809-1A8C-49CF-9994-C23F81334FF8}"/>
    <cellStyle name="Total 28 8 2" xfId="18953" xr:uid="{3BA2989A-E7EE-4382-8014-2C923C18A54B}"/>
    <cellStyle name="Total 28 9" xfId="18954" xr:uid="{78856237-EEE2-4FCE-BA65-68FD794239BC}"/>
    <cellStyle name="Total 28 9 2" xfId="18955" xr:uid="{67473CCC-D40E-48A7-BA9E-95AC718E1944}"/>
    <cellStyle name="Total 29" xfId="3326" xr:uid="{8188DAA9-700D-42EC-B3C8-D42C741884E5}"/>
    <cellStyle name="Total 29 10" xfId="18957" xr:uid="{A6BD5201-135F-4231-B701-B38B6F7D459E}"/>
    <cellStyle name="Total 29 11" xfId="18958" xr:uid="{73DF61F8-2A86-4137-8CA7-76BD97C91842}"/>
    <cellStyle name="Total 29 12" xfId="18956" xr:uid="{FFB971BC-F4EB-4539-860C-0F35FEFC40C1}"/>
    <cellStyle name="Total 29 2" xfId="18959" xr:uid="{9C0D5561-BAF3-4889-BB55-3C8DE5CB0BD8}"/>
    <cellStyle name="Total 29 2 2" xfId="18960" xr:uid="{813E8CED-34EC-4EF9-87CA-8BC1C2F777E2}"/>
    <cellStyle name="Total 29 2 2 2" xfId="18961" xr:uid="{8F5456F9-0006-45C8-BA3D-A362B85FE5E2}"/>
    <cellStyle name="Total 29 2 3" xfId="18962" xr:uid="{2AA4CC40-3E27-4F32-B4AC-0AC637231F3A}"/>
    <cellStyle name="Total 29 2 3 2" xfId="18963" xr:uid="{FCF73E60-95C8-454D-8EDF-81F532746C97}"/>
    <cellStyle name="Total 29 2 4" xfId="18964" xr:uid="{472DE353-E3AE-427C-B5AF-9B790210CAA5}"/>
    <cellStyle name="Total 29 2 5" xfId="18965" xr:uid="{5C066C12-D7BB-49CA-946C-0C6AC56127F5}"/>
    <cellStyle name="Total 29 3" xfId="18966" xr:uid="{FB08EDBE-5B3A-469C-9714-DBCDA4824E33}"/>
    <cellStyle name="Total 29 3 2" xfId="18967" xr:uid="{80E169F1-3C4A-4F50-9D53-AE5D624B66E5}"/>
    <cellStyle name="Total 29 3 2 2" xfId="18968" xr:uid="{2C5B0C48-38EC-4EF4-ADBB-68A49F36DB31}"/>
    <cellStyle name="Total 29 3 3" xfId="18969" xr:uid="{9EC1D3C7-6ABF-472B-A449-BDE9778F9B45}"/>
    <cellStyle name="Total 29 3 3 2" xfId="18970" xr:uid="{F07683D5-A02B-4225-998C-CA4F3D3D5AB9}"/>
    <cellStyle name="Total 29 3 4" xfId="18971" xr:uid="{4A38425E-4734-40B3-97A9-CDC52866C6FD}"/>
    <cellStyle name="Total 29 4" xfId="18972" xr:uid="{AE4CA53E-D96A-4890-A249-1DC22762399E}"/>
    <cellStyle name="Total 29 4 2" xfId="18973" xr:uid="{EF9BA13A-0000-4B16-B9C2-78689C2A1CE6}"/>
    <cellStyle name="Total 29 4 2 2" xfId="18974" xr:uid="{A72DDE14-1F07-4F0C-946B-1C7FAAEFAC87}"/>
    <cellStyle name="Total 29 4 3" xfId="18975" xr:uid="{5DF80F29-BD8E-4E89-9387-24D336909470}"/>
    <cellStyle name="Total 29 4 3 2" xfId="18976" xr:uid="{2CF6C37A-6D19-4182-AB23-D053ACB520CD}"/>
    <cellStyle name="Total 29 4 4" xfId="18977" xr:uid="{5D41C2D7-63B5-4356-BD96-7CA4A03EC772}"/>
    <cellStyle name="Total 29 5" xfId="18978" xr:uid="{0CFB7E54-81E1-4C0D-B5B8-C4F143D68A10}"/>
    <cellStyle name="Total 29 5 2" xfId="18979" xr:uid="{8859251A-D27D-4117-8944-AB1FBF075B85}"/>
    <cellStyle name="Total 29 5 2 2" xfId="18980" xr:uid="{32281628-F13F-403A-BD51-E798F09DD4F7}"/>
    <cellStyle name="Total 29 5 3" xfId="18981" xr:uid="{61524633-F990-4E63-AE26-091ABF665908}"/>
    <cellStyle name="Total 29 5 3 2" xfId="18982" xr:uid="{689E0EC5-0063-4D1F-9B0F-8CDCCF8C14BC}"/>
    <cellStyle name="Total 29 5 4" xfId="18983" xr:uid="{9BAB3901-42C8-472A-A642-7A6206AF6B3C}"/>
    <cellStyle name="Total 29 5 4 2" xfId="18984" xr:uid="{FF7FEC10-927F-464D-9FBA-49D2A987C746}"/>
    <cellStyle name="Total 29 5 5" xfId="18985" xr:uid="{45165671-AE15-4655-BEC4-5D3DE29E4924}"/>
    <cellStyle name="Total 29 6" xfId="18986" xr:uid="{10D54C4C-8ECD-4B0E-8E97-0025C22CA964}"/>
    <cellStyle name="Total 29 6 2" xfId="18987" xr:uid="{81A683B9-E4E8-4EBA-A5A4-2D5CE5C279B0}"/>
    <cellStyle name="Total 29 6 2 2" xfId="18988" xr:uid="{210036CA-3BA8-4B13-9B83-F188138553FD}"/>
    <cellStyle name="Total 29 6 3" xfId="18989" xr:uid="{18F869DB-4E59-437A-8BDB-0C4AFB814481}"/>
    <cellStyle name="Total 29 6 3 2" xfId="18990" xr:uid="{2AD8A329-6618-4595-BEB3-27DC1EB9B4A8}"/>
    <cellStyle name="Total 29 6 4" xfId="18991" xr:uid="{034E5B1C-BF88-457E-ACC0-71460CCD0712}"/>
    <cellStyle name="Total 29 7" xfId="18992" xr:uid="{EF2F2099-4B66-40AE-96A6-5BD2C00F859F}"/>
    <cellStyle name="Total 29 7 2" xfId="18993" xr:uid="{038CB693-BD56-4CC5-B831-80D758FF5812}"/>
    <cellStyle name="Total 29 8" xfId="18994" xr:uid="{24F33249-101F-4AF3-9922-8FF06AEEDDDC}"/>
    <cellStyle name="Total 29 8 2" xfId="18995" xr:uid="{74A77542-6B42-48E5-B096-ADCBF4885D1D}"/>
    <cellStyle name="Total 29 9" xfId="18996" xr:uid="{B74E01EE-B86E-41BF-91BD-36D30C842F7F}"/>
    <cellStyle name="Total 29 9 2" xfId="18997" xr:uid="{F6D5675C-80AA-4796-91B0-945D5C919ABF}"/>
    <cellStyle name="Total 3" xfId="318" xr:uid="{91297DCA-9616-405A-926A-2C84F5B1FDEE}"/>
    <cellStyle name="Total 3 10" xfId="18999" xr:uid="{6C4A7A47-F70B-439A-A183-9A1921137CC2}"/>
    <cellStyle name="Total 3 10 2" xfId="19000" xr:uid="{9057C468-CFE8-40B5-8B30-38F9A45DF080}"/>
    <cellStyle name="Total 3 11" xfId="19001" xr:uid="{50FC4FC7-AD30-4839-A1CA-E65DF748E092}"/>
    <cellStyle name="Total 3 12" xfId="19002" xr:uid="{4EFA7434-11B1-4B52-958B-97854062BB48}"/>
    <cellStyle name="Total 3 13" xfId="18998" xr:uid="{821FC1A7-BBD3-45C3-A10C-949F7B046C83}"/>
    <cellStyle name="Total 3 2" xfId="3327" xr:uid="{D506163C-8961-4F18-91FF-F3A94FA52C4B}"/>
    <cellStyle name="Total 3 2 10" xfId="19004" xr:uid="{1C0DB9E8-0C45-4D32-BA37-7E6FAE8FBC8B}"/>
    <cellStyle name="Total 3 2 11" xfId="19003" xr:uid="{4A7E678C-7DD6-422F-8A59-185F61999B41}"/>
    <cellStyle name="Total 3 2 2" xfId="19005" xr:uid="{06552471-3644-4112-8051-D5816565081F}"/>
    <cellStyle name="Total 3 2 2 2" xfId="19006" xr:uid="{8CFEC79E-30C9-44F6-9146-691C4E680444}"/>
    <cellStyle name="Total 3 2 2 2 2" xfId="19007" xr:uid="{43625766-8927-4410-B224-81A8433AA91A}"/>
    <cellStyle name="Total 3 2 2 3" xfId="19008" xr:uid="{C31FE130-8927-48E7-AB60-523B2A533D25}"/>
    <cellStyle name="Total 3 2 2 3 2" xfId="19009" xr:uid="{5CF89E3C-E8FE-4832-9E2D-0BD3173B29FA}"/>
    <cellStyle name="Total 3 2 2 4" xfId="19010" xr:uid="{17D3A54C-21A3-428D-9409-A701C1D23DF5}"/>
    <cellStyle name="Total 3 2 3" xfId="19011" xr:uid="{DB8599FC-B5D5-4332-A27E-D485963400FC}"/>
    <cellStyle name="Total 3 2 3 2" xfId="19012" xr:uid="{2F5F9E87-AC57-4ADF-B1B9-B2885196CB0B}"/>
    <cellStyle name="Total 3 2 3 2 2" xfId="19013" xr:uid="{70DEACC5-BF65-4CE8-96D1-E5D525539B1A}"/>
    <cellStyle name="Total 3 2 3 3" xfId="19014" xr:uid="{83A43243-C389-4641-BA7D-6259A15DCCE9}"/>
    <cellStyle name="Total 3 2 3 3 2" xfId="19015" xr:uid="{B72052F2-5070-4FC8-A02C-F8958C920DC7}"/>
    <cellStyle name="Total 3 2 3 4" xfId="19016" xr:uid="{20ADF644-4AB6-4711-985D-41703A1BA403}"/>
    <cellStyle name="Total 3 2 4" xfId="19017" xr:uid="{176A212E-FEC9-477C-A68A-BE8356E91E6F}"/>
    <cellStyle name="Total 3 2 4 2" xfId="19018" xr:uid="{98C2E465-D405-4C1F-AEED-E17396D5AD63}"/>
    <cellStyle name="Total 3 2 4 2 2" xfId="19019" xr:uid="{DC0600EF-8C42-49A2-8156-CB877A8A41AB}"/>
    <cellStyle name="Total 3 2 4 3" xfId="19020" xr:uid="{2DF84126-C7A3-417C-AFEB-585E8E5F2EFA}"/>
    <cellStyle name="Total 3 2 4 3 2" xfId="19021" xr:uid="{2D8FE9B5-2184-4FAC-B1BF-916E355AAE91}"/>
    <cellStyle name="Total 3 2 4 4" xfId="19022" xr:uid="{5DC2FDC5-AB64-4D37-A784-F66CCD439F26}"/>
    <cellStyle name="Total 3 2 4 4 2" xfId="19023" xr:uid="{7A889BF8-34C1-4A00-A12B-A4CD5DE15182}"/>
    <cellStyle name="Total 3 2 4 5" xfId="19024" xr:uid="{14605112-8E20-4CE9-BE24-884ED2C6481F}"/>
    <cellStyle name="Total 3 2 5" xfId="19025" xr:uid="{D5629BAA-190D-4641-A4BA-837482F7D6F6}"/>
    <cellStyle name="Total 3 2 5 2" xfId="19026" xr:uid="{6F1B6F5D-9078-444E-A281-3033FF3DF070}"/>
    <cellStyle name="Total 3 2 5 2 2" xfId="19027" xr:uid="{EDF2CE94-66D0-4DB2-BA4A-710B8204E1E5}"/>
    <cellStyle name="Total 3 2 5 3" xfId="19028" xr:uid="{7AF0B46E-D84F-42D6-A970-50CD234F32F3}"/>
    <cellStyle name="Total 3 2 5 3 2" xfId="19029" xr:uid="{B2B71881-3778-492D-B865-D14F20C017EB}"/>
    <cellStyle name="Total 3 2 5 4" xfId="19030" xr:uid="{FF7AA8C5-088E-4D2F-A8CB-A31DF70D1E58}"/>
    <cellStyle name="Total 3 2 6" xfId="19031" xr:uid="{4D1F064A-07FC-4A1D-A31B-55E2EC8E54E4}"/>
    <cellStyle name="Total 3 2 6 2" xfId="19032" xr:uid="{76A0F82B-F374-4AA0-AB0A-D44949F57522}"/>
    <cellStyle name="Total 3 2 7" xfId="19033" xr:uid="{A889CD50-A7C7-4963-A066-A0768D8BA37E}"/>
    <cellStyle name="Total 3 2 7 2" xfId="19034" xr:uid="{CB166AC6-AE30-4107-B46F-1D6E97B1E8B4}"/>
    <cellStyle name="Total 3 2 8" xfId="19035" xr:uid="{34DA5E24-3A3D-4A98-AB38-EAD83D282845}"/>
    <cellStyle name="Total 3 2 8 2" xfId="19036" xr:uid="{AA297011-EDF9-488F-B541-BA30D58D5AF2}"/>
    <cellStyle name="Total 3 2 9" xfId="19037" xr:uid="{8156B6E1-A93A-42AB-99E5-4CCBAEAC7C4E}"/>
    <cellStyle name="Total 3 3" xfId="4827" xr:uid="{03F0D99D-E4AE-4A88-88BD-30E2415D5E06}"/>
    <cellStyle name="Total 3 3 2" xfId="19039" xr:uid="{8E57AADD-1E65-483A-90CF-15AFCB271D42}"/>
    <cellStyle name="Total 3 3 2 2" xfId="19040" xr:uid="{AC9D13AF-6586-4E5B-8681-AA96B325516B}"/>
    <cellStyle name="Total 3 3 3" xfId="19041" xr:uid="{C8F727D8-AE1E-41DC-8706-4C5A529F3638}"/>
    <cellStyle name="Total 3 3 3 2" xfId="19042" xr:uid="{29A23E5B-D847-4CE1-8FA0-948579960A6A}"/>
    <cellStyle name="Total 3 3 4" xfId="19043" xr:uid="{EB51AEF5-A89B-40F5-8F3D-D53C0DAD54B5}"/>
    <cellStyle name="Total 3 3 5" xfId="19044" xr:uid="{F28CB538-12E5-4AA1-983B-C98A15AF3254}"/>
    <cellStyle name="Total 3 3 6" xfId="19038" xr:uid="{5DF1F400-C615-4E40-8DF9-AF71E495D389}"/>
    <cellStyle name="Total 3 4" xfId="19045" xr:uid="{A54D71CF-24D5-4C14-A164-BA0B00878672}"/>
    <cellStyle name="Total 3 4 2" xfId="19046" xr:uid="{576DF8B6-D0DE-4BB0-8441-1CDC4CD475F9}"/>
    <cellStyle name="Total 3 4 2 2" xfId="19047" xr:uid="{88CBD78F-6329-459A-9751-4D5B294BE28F}"/>
    <cellStyle name="Total 3 4 3" xfId="19048" xr:uid="{246D2479-712C-4910-80EB-FCA2BE7EDA55}"/>
    <cellStyle name="Total 3 4 3 2" xfId="19049" xr:uid="{B334A99C-935D-4409-A0DF-AC327E534A08}"/>
    <cellStyle name="Total 3 4 4" xfId="19050" xr:uid="{AF4FEC69-D761-4650-A49F-0169211DFDF5}"/>
    <cellStyle name="Total 3 5" xfId="19051" xr:uid="{3F71A012-F3D1-4E2B-9F2A-24DA59D0494B}"/>
    <cellStyle name="Total 3 5 2" xfId="19052" xr:uid="{CD65A57E-A46E-46BB-9D15-A983E343A074}"/>
    <cellStyle name="Total 3 5 2 2" xfId="19053" xr:uid="{82130A33-E97D-4E8C-ADE3-316CD112C157}"/>
    <cellStyle name="Total 3 5 3" xfId="19054" xr:uid="{CF74C252-AF57-430B-B235-58F62F1A276F}"/>
    <cellStyle name="Total 3 5 3 2" xfId="19055" xr:uid="{B4D5703F-8A47-4813-9448-845EB72E9EF0}"/>
    <cellStyle name="Total 3 5 4" xfId="19056" xr:uid="{8EB170CA-502E-4433-89AF-66CF8DAEF0B8}"/>
    <cellStyle name="Total 3 6" xfId="19057" xr:uid="{95387362-BD8B-433E-BB2C-905273890C78}"/>
    <cellStyle name="Total 3 6 2" xfId="19058" xr:uid="{CD22B719-D522-40FE-A642-8A7F25127327}"/>
    <cellStyle name="Total 3 6 2 2" xfId="19059" xr:uid="{6D750E34-5CB9-478D-9941-32E19A827E0F}"/>
    <cellStyle name="Total 3 6 3" xfId="19060" xr:uid="{257DD5C1-8A5F-48E4-BD6F-5E84F9579D36}"/>
    <cellStyle name="Total 3 6 3 2" xfId="19061" xr:uid="{FF236C96-CB1A-4ED5-8C4A-BEA44134815B}"/>
    <cellStyle name="Total 3 6 4" xfId="19062" xr:uid="{8E1C2572-6983-4B86-AF45-C70521AAD367}"/>
    <cellStyle name="Total 3 6 4 2" xfId="19063" xr:uid="{41D6B744-939F-42B2-B7CD-2BC63FBA5DA7}"/>
    <cellStyle name="Total 3 6 5" xfId="19064" xr:uid="{67A7B131-81A2-4061-B130-F5CB7F9B034F}"/>
    <cellStyle name="Total 3 7" xfId="19065" xr:uid="{B542FBBE-7198-4200-BA84-646EA7938C70}"/>
    <cellStyle name="Total 3 7 2" xfId="19066" xr:uid="{FAA0BB0B-4A27-46A1-A9C7-C787C4AC1FC9}"/>
    <cellStyle name="Total 3 7 2 2" xfId="19067" xr:uid="{CC7B682F-5C8E-4FB9-ABFF-E8FC22A6FAEC}"/>
    <cellStyle name="Total 3 7 3" xfId="19068" xr:uid="{468375AA-C778-474E-913C-E99097805078}"/>
    <cellStyle name="Total 3 7 3 2" xfId="19069" xr:uid="{2B38A6F0-6F43-450E-8186-703F950314F5}"/>
    <cellStyle name="Total 3 7 4" xfId="19070" xr:uid="{BBCAA858-29FA-4E19-8E14-555AC16F016A}"/>
    <cellStyle name="Total 3 8" xfId="19071" xr:uid="{028FC8D2-DE80-4353-BDF0-F43B79156D08}"/>
    <cellStyle name="Total 3 8 2" xfId="19072" xr:uid="{1B343AA5-0999-4BE0-B9DC-48F8F42A4C7D}"/>
    <cellStyle name="Total 3 9" xfId="19073" xr:uid="{F7AEF7AD-319A-479C-9866-3328504BC771}"/>
    <cellStyle name="Total 3 9 2" xfId="19074" xr:uid="{289C2722-4775-4AE2-B2AC-3883FFB729A5}"/>
    <cellStyle name="Total 30" xfId="3328" xr:uid="{42A3BAD1-3A53-4A84-B1A8-E6DA6DF5C027}"/>
    <cellStyle name="Total 30 10" xfId="19076" xr:uid="{588B09B8-D0A6-4E5E-91DF-B2CE3280AAE4}"/>
    <cellStyle name="Total 30 11" xfId="19077" xr:uid="{3D216BBD-5F5F-42CA-AFAC-B03EDB8AF3C9}"/>
    <cellStyle name="Total 30 12" xfId="19075" xr:uid="{5AA3E232-D4B2-43A0-AF6E-939E1C11A689}"/>
    <cellStyle name="Total 30 2" xfId="19078" xr:uid="{9083600E-656A-45FB-A662-1DCC3482E66B}"/>
    <cellStyle name="Total 30 2 2" xfId="19079" xr:uid="{E041078E-D675-4178-A67A-3D6D99206C2A}"/>
    <cellStyle name="Total 30 2 2 2" xfId="19080" xr:uid="{6F94B377-7998-4A92-A8C0-58946DF1FB1B}"/>
    <cellStyle name="Total 30 2 3" xfId="19081" xr:uid="{3CBFE18C-1E18-492D-A3C6-BD3DDC1BA43E}"/>
    <cellStyle name="Total 30 2 3 2" xfId="19082" xr:uid="{180522E3-C4F8-46BE-9C6C-C36E59AD2B4B}"/>
    <cellStyle name="Total 30 2 4" xfId="19083" xr:uid="{FE73CCC1-7ECC-4569-969C-8735ED53B4B8}"/>
    <cellStyle name="Total 30 2 5" xfId="19084" xr:uid="{DF815815-4F2E-4BF8-820D-843EA8BB88F4}"/>
    <cellStyle name="Total 30 3" xfId="19085" xr:uid="{879A0F2E-55C6-491B-97C8-10DC1B99C339}"/>
    <cellStyle name="Total 30 3 2" xfId="19086" xr:uid="{93FA2DCA-8509-4362-91BD-454A1E9EA503}"/>
    <cellStyle name="Total 30 3 2 2" xfId="19087" xr:uid="{ACACA1C9-8BA7-4B29-BC3C-12A6306108E1}"/>
    <cellStyle name="Total 30 3 3" xfId="19088" xr:uid="{FFA78969-63CF-46A8-A2B3-4D5A783D60F6}"/>
    <cellStyle name="Total 30 3 3 2" xfId="19089" xr:uid="{F61C7494-3D47-4C71-BEF6-9F926517AC82}"/>
    <cellStyle name="Total 30 3 4" xfId="19090" xr:uid="{5F68E1D6-0A06-426C-9CC4-D3F6213EBE89}"/>
    <cellStyle name="Total 30 4" xfId="19091" xr:uid="{C8D1FB19-C51A-4BE4-BA95-0B46FBC96AC2}"/>
    <cellStyle name="Total 30 4 2" xfId="19092" xr:uid="{0ECFE4AC-4318-40CF-B849-005FD34E4EDE}"/>
    <cellStyle name="Total 30 4 2 2" xfId="19093" xr:uid="{39C2894F-74E2-426B-B40B-C334DC20853D}"/>
    <cellStyle name="Total 30 4 3" xfId="19094" xr:uid="{17714D65-2171-4BBB-B6AD-4EE2F6AE178B}"/>
    <cellStyle name="Total 30 4 3 2" xfId="19095" xr:uid="{67CDA161-7392-49CF-91F3-C8831B188966}"/>
    <cellStyle name="Total 30 4 4" xfId="19096" xr:uid="{92205A2E-F938-470A-ACD9-77268C442A53}"/>
    <cellStyle name="Total 30 5" xfId="19097" xr:uid="{8CDBD14A-1744-46E3-A376-F24FE23A7770}"/>
    <cellStyle name="Total 30 5 2" xfId="19098" xr:uid="{8072AC55-B265-442A-B760-F850BD03F3E6}"/>
    <cellStyle name="Total 30 5 2 2" xfId="19099" xr:uid="{E08FE31B-D43D-4ED6-AAC5-9031634C4BB7}"/>
    <cellStyle name="Total 30 5 3" xfId="19100" xr:uid="{4DB29271-B219-4784-8EEF-41A0FD8A19FB}"/>
    <cellStyle name="Total 30 5 3 2" xfId="19101" xr:uid="{55968B36-CD52-48EE-B1B7-8A3996A359E8}"/>
    <cellStyle name="Total 30 5 4" xfId="19102" xr:uid="{B3A82A7E-0E98-4FED-9A4B-DD09E3366F54}"/>
    <cellStyle name="Total 30 5 4 2" xfId="19103" xr:uid="{A98705E8-23BA-420D-8713-0B95A54BA60C}"/>
    <cellStyle name="Total 30 5 5" xfId="19104" xr:uid="{CB0C3CE9-9B35-45C1-B1EB-A08A74F3A4CA}"/>
    <cellStyle name="Total 30 6" xfId="19105" xr:uid="{F5B5F110-E178-4F66-8066-9D90D5732209}"/>
    <cellStyle name="Total 30 6 2" xfId="19106" xr:uid="{A51C145C-F334-4F1A-B9F2-D20899ECA7AB}"/>
    <cellStyle name="Total 30 6 2 2" xfId="19107" xr:uid="{3546B4C4-7DC2-4D76-8959-0E731F0AF9E9}"/>
    <cellStyle name="Total 30 6 3" xfId="19108" xr:uid="{866FE808-FD0E-4FBF-9EC1-5D2332F0E186}"/>
    <cellStyle name="Total 30 6 3 2" xfId="19109" xr:uid="{116ACC53-1E66-43AF-A0E3-1DA1C846343B}"/>
    <cellStyle name="Total 30 6 4" xfId="19110" xr:uid="{2EBDF44A-314A-47EA-8695-889FB56B5A04}"/>
    <cellStyle name="Total 30 7" xfId="19111" xr:uid="{85033577-7539-4940-B760-1D606F9DE88E}"/>
    <cellStyle name="Total 30 7 2" xfId="19112" xr:uid="{8A8F44F9-47A3-4C0A-82C4-5D1389011029}"/>
    <cellStyle name="Total 30 8" xfId="19113" xr:uid="{18BC2EA1-E29D-4461-A5B2-D108D6B4D1CD}"/>
    <cellStyle name="Total 30 8 2" xfId="19114" xr:uid="{FABCF969-AC30-4FE8-B2C7-640B2F99020C}"/>
    <cellStyle name="Total 30 9" xfId="19115" xr:uid="{4B57CE76-D17A-4DA3-BB3A-656CBAD7AA3E}"/>
    <cellStyle name="Total 30 9 2" xfId="19116" xr:uid="{BB38A5DB-6DB3-4F74-90AE-90C2FB4F1BA8}"/>
    <cellStyle name="Total 31" xfId="3329" xr:uid="{E28744D8-C574-420A-8368-1D0C76D36F4B}"/>
    <cellStyle name="Total 31 10" xfId="19118" xr:uid="{FE1084CA-7E47-4B95-8F97-0103EEE11C75}"/>
    <cellStyle name="Total 31 11" xfId="19119" xr:uid="{3D1229D0-CBED-4B33-933A-2842D851DA01}"/>
    <cellStyle name="Total 31 12" xfId="19117" xr:uid="{D917285E-4F35-4C88-9EF5-7DCE0EA34DD6}"/>
    <cellStyle name="Total 31 2" xfId="19120" xr:uid="{8D72863F-C92B-45EA-9F5F-CBCB846A4471}"/>
    <cellStyle name="Total 31 2 2" xfId="19121" xr:uid="{7EBAB7B9-089F-49EE-8020-9DE2EC4371E5}"/>
    <cellStyle name="Total 31 2 2 2" xfId="19122" xr:uid="{D42C7651-0380-4180-83B2-435E76765061}"/>
    <cellStyle name="Total 31 2 3" xfId="19123" xr:uid="{FD76C45C-9982-40BE-BF8F-14A902F73C02}"/>
    <cellStyle name="Total 31 2 3 2" xfId="19124" xr:uid="{BD6D0C36-D11A-49C5-8BA6-2EF0293B1FBB}"/>
    <cellStyle name="Total 31 2 4" xfId="19125" xr:uid="{56DDB584-AF99-418A-9E57-A44ED3C5AA44}"/>
    <cellStyle name="Total 31 2 5" xfId="19126" xr:uid="{E4281E66-090C-4D68-845F-9420A890EB4A}"/>
    <cellStyle name="Total 31 3" xfId="19127" xr:uid="{788ABCEE-0B35-49C5-A28A-A13DAF3C7DBF}"/>
    <cellStyle name="Total 31 3 2" xfId="19128" xr:uid="{C19BD0BE-D9A4-4488-89E2-C19FA39D1CCD}"/>
    <cellStyle name="Total 31 3 2 2" xfId="19129" xr:uid="{F666E15D-58B2-48D8-975F-8D05C17D5757}"/>
    <cellStyle name="Total 31 3 3" xfId="19130" xr:uid="{A009C260-E164-4733-8FE7-AF1585C8E46A}"/>
    <cellStyle name="Total 31 3 3 2" xfId="19131" xr:uid="{C70F447C-933E-42CA-A57F-1E4D76728EFB}"/>
    <cellStyle name="Total 31 3 4" xfId="19132" xr:uid="{A5B3A995-3D8D-49F8-A5C8-2AB765CC6F49}"/>
    <cellStyle name="Total 31 4" xfId="19133" xr:uid="{E57B9AAD-6420-4E41-A76D-8B3A90042086}"/>
    <cellStyle name="Total 31 4 2" xfId="19134" xr:uid="{1E39E0E5-136A-4BC0-8602-567F6F2E4991}"/>
    <cellStyle name="Total 31 4 2 2" xfId="19135" xr:uid="{30E96D60-BE20-408B-B969-74962E45F6A9}"/>
    <cellStyle name="Total 31 4 3" xfId="19136" xr:uid="{CC4CD682-F6AC-4A2A-93EA-5DAC5BA3CDF3}"/>
    <cellStyle name="Total 31 4 3 2" xfId="19137" xr:uid="{A4A21DCE-FB51-453C-9064-2280A94690FE}"/>
    <cellStyle name="Total 31 4 4" xfId="19138" xr:uid="{98F9E5FD-3676-44D1-87A1-FF3CA618EAD0}"/>
    <cellStyle name="Total 31 5" xfId="19139" xr:uid="{F58FB32E-14FE-4B9D-81AA-EC19D7329EF4}"/>
    <cellStyle name="Total 31 5 2" xfId="19140" xr:uid="{4D1AFA0D-A395-4C3C-9D21-1E29A12582C6}"/>
    <cellStyle name="Total 31 5 2 2" xfId="19141" xr:uid="{EAD14183-AA37-4AC1-9621-1B0B263BB87A}"/>
    <cellStyle name="Total 31 5 3" xfId="19142" xr:uid="{5C66E9C2-30F2-4AAF-BD79-5CF99B6332EB}"/>
    <cellStyle name="Total 31 5 3 2" xfId="19143" xr:uid="{A7DE6D50-14C7-4042-B32A-3AAA7CA14E8F}"/>
    <cellStyle name="Total 31 5 4" xfId="19144" xr:uid="{FD1CC6DC-E3C8-42C8-A4CA-016599C70832}"/>
    <cellStyle name="Total 31 5 4 2" xfId="19145" xr:uid="{03A12876-A04C-4043-B67B-E3F831ABDFCD}"/>
    <cellStyle name="Total 31 5 5" xfId="19146" xr:uid="{420E080E-9619-4D10-838A-2011E35FDC6F}"/>
    <cellStyle name="Total 31 6" xfId="19147" xr:uid="{AB33DD3E-26DB-4EC8-96EF-F0265AE7A509}"/>
    <cellStyle name="Total 31 6 2" xfId="19148" xr:uid="{0AF39BEC-493E-42C4-AB82-88CD6EAFBBCB}"/>
    <cellStyle name="Total 31 6 2 2" xfId="19149" xr:uid="{5176022C-CCD3-4557-9D0E-A7FB482ED6BE}"/>
    <cellStyle name="Total 31 6 3" xfId="19150" xr:uid="{A203E81F-0430-4577-9EF3-673F7D5C1BCE}"/>
    <cellStyle name="Total 31 6 3 2" xfId="19151" xr:uid="{CB84FD39-7D9A-4871-A1C2-581B80D84862}"/>
    <cellStyle name="Total 31 6 4" xfId="19152" xr:uid="{FF2D0AA5-FCD0-4138-8884-C0C0FC971B06}"/>
    <cellStyle name="Total 31 7" xfId="19153" xr:uid="{5084E847-545D-4185-98A0-90E6F13B3106}"/>
    <cellStyle name="Total 31 7 2" xfId="19154" xr:uid="{7C3A3A2A-1101-4A19-AD38-A1CD922738BD}"/>
    <cellStyle name="Total 31 8" xfId="19155" xr:uid="{BB8C51F3-C8B4-4D16-A02E-BC39BF1B34EC}"/>
    <cellStyle name="Total 31 8 2" xfId="19156" xr:uid="{8A325A43-D87E-4C58-9F78-448B09DE5D3E}"/>
    <cellStyle name="Total 31 9" xfId="19157" xr:uid="{1709B23F-CF4B-4551-B6CD-28693FECA83E}"/>
    <cellStyle name="Total 31 9 2" xfId="19158" xr:uid="{52CE074F-DBA9-421F-9D63-03DABE8D3BDB}"/>
    <cellStyle name="Total 32" xfId="3330" xr:uid="{1047A1FD-2F1A-4755-BB43-5D4F9F402A86}"/>
    <cellStyle name="Total 32 10" xfId="19160" xr:uid="{E0BD47C4-E002-4E2F-9C30-4ACBFF3CDF11}"/>
    <cellStyle name="Total 32 11" xfId="19161" xr:uid="{BFA73837-0343-4639-B2A9-22438F0B4283}"/>
    <cellStyle name="Total 32 12" xfId="19159" xr:uid="{4DF42D03-F95F-44D6-93C5-A2AE1FC7B0E4}"/>
    <cellStyle name="Total 32 2" xfId="19162" xr:uid="{0BB7752C-83A0-4FD8-AC9F-8BC5F8E6BAEB}"/>
    <cellStyle name="Total 32 2 2" xfId="19163" xr:uid="{7C250D52-1061-435B-B83B-0D86A9BAD709}"/>
    <cellStyle name="Total 32 2 2 2" xfId="19164" xr:uid="{25D01BDF-A47E-415A-A4A3-C1E42F4804A6}"/>
    <cellStyle name="Total 32 2 3" xfId="19165" xr:uid="{90AEDBA6-07C9-4BDB-80DA-7DF0213ADDD2}"/>
    <cellStyle name="Total 32 2 3 2" xfId="19166" xr:uid="{FEFC482B-C9C3-4285-86A5-C419B0D526E3}"/>
    <cellStyle name="Total 32 2 4" xfId="19167" xr:uid="{6E6A979F-3655-4FB5-A4B9-9FC2DFB0C917}"/>
    <cellStyle name="Total 32 2 5" xfId="19168" xr:uid="{3C9E76CF-4D64-4AEC-A12C-1EE5826CC5CE}"/>
    <cellStyle name="Total 32 3" xfId="19169" xr:uid="{38B29ECD-A287-4B05-98A6-6E13F6D7045F}"/>
    <cellStyle name="Total 32 3 2" xfId="19170" xr:uid="{2CA1A285-18C4-4903-BB59-7B02FD270D75}"/>
    <cellStyle name="Total 32 3 2 2" xfId="19171" xr:uid="{8FA20203-BC36-4405-830E-7964D13AA41F}"/>
    <cellStyle name="Total 32 3 3" xfId="19172" xr:uid="{7A6DEEB5-3B33-4341-B323-00E13C5559DC}"/>
    <cellStyle name="Total 32 3 3 2" xfId="19173" xr:uid="{470ADBB0-B54C-4E20-A27B-C426EA22F791}"/>
    <cellStyle name="Total 32 3 4" xfId="19174" xr:uid="{170A9051-9CD8-40B4-8AE6-DCDADF4B9E89}"/>
    <cellStyle name="Total 32 4" xfId="19175" xr:uid="{639DB074-DADF-436D-8343-8A0FB17FDB96}"/>
    <cellStyle name="Total 32 4 2" xfId="19176" xr:uid="{11708632-C0F0-4F39-B259-27CE8CF9F1F2}"/>
    <cellStyle name="Total 32 4 2 2" xfId="19177" xr:uid="{673B4BD4-BF90-489B-AF5D-7851C969E707}"/>
    <cellStyle name="Total 32 4 3" xfId="19178" xr:uid="{3DD2536A-697A-4224-8BE2-36E44D0BE298}"/>
    <cellStyle name="Total 32 4 3 2" xfId="19179" xr:uid="{6FFB44FC-7007-41E5-87CE-6A69582064FC}"/>
    <cellStyle name="Total 32 4 4" xfId="19180" xr:uid="{BAD78812-0F69-48B4-B52A-EFE5B140C92A}"/>
    <cellStyle name="Total 32 5" xfId="19181" xr:uid="{6D85396F-A6A5-474A-9F31-60ACC4BDFD2C}"/>
    <cellStyle name="Total 32 5 2" xfId="19182" xr:uid="{8197D86C-3E78-425F-A883-726C399E8829}"/>
    <cellStyle name="Total 32 5 2 2" xfId="19183" xr:uid="{7F1C9E32-D995-40EF-9625-47C1BD8BDE76}"/>
    <cellStyle name="Total 32 5 3" xfId="19184" xr:uid="{72066D35-DBE8-46D9-A0AE-7977AC95E1C2}"/>
    <cellStyle name="Total 32 5 3 2" xfId="19185" xr:uid="{4916B822-CDF8-43B3-9E50-C8CE4FF425F9}"/>
    <cellStyle name="Total 32 5 4" xfId="19186" xr:uid="{867C085C-9CF1-47E2-85D7-9B63AB192E9D}"/>
    <cellStyle name="Total 32 5 4 2" xfId="19187" xr:uid="{054A6AA0-A35C-4B4C-B50A-F70B33011DEF}"/>
    <cellStyle name="Total 32 5 5" xfId="19188" xr:uid="{14A982FC-1D33-4643-9B85-DF65AE610105}"/>
    <cellStyle name="Total 32 6" xfId="19189" xr:uid="{3013CE08-0EEA-4C20-87EF-29D4F1D7F7A4}"/>
    <cellStyle name="Total 32 6 2" xfId="19190" xr:uid="{A2883963-FE9B-4BB0-89F3-E30CE01768F4}"/>
    <cellStyle name="Total 32 6 2 2" xfId="19191" xr:uid="{E79B3EB8-071B-4901-8F94-FB7BDA5C0CDC}"/>
    <cellStyle name="Total 32 6 3" xfId="19192" xr:uid="{643308BD-4F5D-4086-BA6F-1315FA176601}"/>
    <cellStyle name="Total 32 6 3 2" xfId="19193" xr:uid="{ABBE4440-D243-4D6F-B096-1CC8511CE43D}"/>
    <cellStyle name="Total 32 6 4" xfId="19194" xr:uid="{4CF789E4-E658-49DD-95FC-2CA130B30C94}"/>
    <cellStyle name="Total 32 7" xfId="19195" xr:uid="{DC748C67-4F46-476E-8F3F-0F761C2EBAE1}"/>
    <cellStyle name="Total 32 7 2" xfId="19196" xr:uid="{6980932B-9357-4A7E-BCBE-47DEFCE52045}"/>
    <cellStyle name="Total 32 8" xfId="19197" xr:uid="{253DC7AF-7D81-493F-AFCC-9C09634A5C41}"/>
    <cellStyle name="Total 32 8 2" xfId="19198" xr:uid="{0953062A-531C-44A3-9CE0-64D40F3B919E}"/>
    <cellStyle name="Total 32 9" xfId="19199" xr:uid="{846F1DA0-EEAD-4DEF-BE39-D38F514F01FB}"/>
    <cellStyle name="Total 32 9 2" xfId="19200" xr:uid="{814DD14E-9535-4CF4-B5DA-46E1FF4F6260}"/>
    <cellStyle name="Total 33" xfId="3331" xr:uid="{54D982B5-D836-46CB-9575-1619EBAF1217}"/>
    <cellStyle name="Total 33 10" xfId="19202" xr:uid="{4D72EBC9-56D2-4F22-B4E8-307F804F2D84}"/>
    <cellStyle name="Total 33 11" xfId="19203" xr:uid="{DAE05EC4-29C9-44B9-8D9D-B78B42DC0922}"/>
    <cellStyle name="Total 33 12" xfId="19201" xr:uid="{05DCC3FE-300F-4F50-A384-BA2BABAF29EF}"/>
    <cellStyle name="Total 33 2" xfId="19204" xr:uid="{17C977B1-7B5C-432B-9143-610A9BBB0B3B}"/>
    <cellStyle name="Total 33 2 2" xfId="19205" xr:uid="{CD991D02-D242-42D6-8F37-5BDCF94B9128}"/>
    <cellStyle name="Total 33 2 2 2" xfId="19206" xr:uid="{EF0723CF-2221-4E79-89EC-0CC4B762E0CF}"/>
    <cellStyle name="Total 33 2 3" xfId="19207" xr:uid="{308827C6-95D1-492C-88F0-9E69A9E78A45}"/>
    <cellStyle name="Total 33 2 3 2" xfId="19208" xr:uid="{4606EC8C-3D0B-4CF0-B9BB-F2BB091F1A67}"/>
    <cellStyle name="Total 33 2 4" xfId="19209" xr:uid="{CC104F0E-A458-4088-BF73-E34A2DA1D762}"/>
    <cellStyle name="Total 33 2 5" xfId="19210" xr:uid="{454D4B61-0603-4025-9F53-478DFFD5B435}"/>
    <cellStyle name="Total 33 3" xfId="19211" xr:uid="{0FFD2A5A-05C5-40D3-8724-82199A8E8EE5}"/>
    <cellStyle name="Total 33 3 2" xfId="19212" xr:uid="{4BDBAD4A-AF0A-4698-AB37-B90B5FC0F8C5}"/>
    <cellStyle name="Total 33 3 2 2" xfId="19213" xr:uid="{8708C173-94DE-4CC4-818D-0A6F68757D6B}"/>
    <cellStyle name="Total 33 3 3" xfId="19214" xr:uid="{CA2E5BDA-C5C2-48F8-942C-DBC7B4E9F32F}"/>
    <cellStyle name="Total 33 3 3 2" xfId="19215" xr:uid="{2B39A700-B2B4-4546-B299-755C485DC3D4}"/>
    <cellStyle name="Total 33 3 4" xfId="19216" xr:uid="{79A878EB-52B2-4909-8825-344BB07D3E6C}"/>
    <cellStyle name="Total 33 4" xfId="19217" xr:uid="{DB03B1C7-17B3-4786-9BC6-E52998A3C399}"/>
    <cellStyle name="Total 33 4 2" xfId="19218" xr:uid="{A0AF42C6-35C6-4FD7-BE8F-E0C61069B250}"/>
    <cellStyle name="Total 33 4 2 2" xfId="19219" xr:uid="{0B5AF78A-B9F9-4364-9D91-87BD908F7B0E}"/>
    <cellStyle name="Total 33 4 3" xfId="19220" xr:uid="{D74B2E78-E945-43F9-8888-932E5BDA57A5}"/>
    <cellStyle name="Total 33 4 3 2" xfId="19221" xr:uid="{3BC9AC79-DDEE-44A2-A7F0-97CE990DB9CF}"/>
    <cellStyle name="Total 33 4 4" xfId="19222" xr:uid="{79BA1364-6205-4909-9CE6-6190C3215700}"/>
    <cellStyle name="Total 33 5" xfId="19223" xr:uid="{E0416E7B-5EAF-462C-99FE-FDBEA707216B}"/>
    <cellStyle name="Total 33 5 2" xfId="19224" xr:uid="{1D33D12B-E8EC-41F4-B4F3-15E5C90C56A9}"/>
    <cellStyle name="Total 33 5 2 2" xfId="19225" xr:uid="{D24CA901-DF1D-4614-B7F3-FB1179DAE970}"/>
    <cellStyle name="Total 33 5 3" xfId="19226" xr:uid="{DCF50A85-812D-4F49-A245-23D26B887981}"/>
    <cellStyle name="Total 33 5 3 2" xfId="19227" xr:uid="{00C24589-2183-4C2E-AF84-7BB2BD0D09D2}"/>
    <cellStyle name="Total 33 5 4" xfId="19228" xr:uid="{D1F2C440-D6AD-4ED4-B309-54D16C4850E6}"/>
    <cellStyle name="Total 33 5 4 2" xfId="19229" xr:uid="{5B5BB4E3-BA04-434B-9669-445E5C9F924D}"/>
    <cellStyle name="Total 33 5 5" xfId="19230" xr:uid="{C899C755-B372-4112-8D5D-C13D37705DF4}"/>
    <cellStyle name="Total 33 6" xfId="19231" xr:uid="{E697C024-4109-42CD-A187-2CDEC35C99AC}"/>
    <cellStyle name="Total 33 6 2" xfId="19232" xr:uid="{E2A3E3C3-339E-446B-8381-E68FEE484485}"/>
    <cellStyle name="Total 33 6 2 2" xfId="19233" xr:uid="{4D236689-3E52-4BA9-BB2C-BF888B77AADC}"/>
    <cellStyle name="Total 33 6 3" xfId="19234" xr:uid="{2E3B9537-0D2B-4531-BB04-F08719CF8427}"/>
    <cellStyle name="Total 33 6 3 2" xfId="19235" xr:uid="{FCCCC103-2849-4C8B-A8EE-18B1A3F6E2EB}"/>
    <cellStyle name="Total 33 6 4" xfId="19236" xr:uid="{F0BD29E2-22BA-411A-B4CE-2DBA09C194DE}"/>
    <cellStyle name="Total 33 7" xfId="19237" xr:uid="{D2AF14B5-385F-4360-8E15-309FC1598CDE}"/>
    <cellStyle name="Total 33 7 2" xfId="19238" xr:uid="{F22182B9-7238-4011-9B74-B4F8174F6C9E}"/>
    <cellStyle name="Total 33 8" xfId="19239" xr:uid="{71264E0D-D0D0-40E8-BABB-5B46A7623EE4}"/>
    <cellStyle name="Total 33 8 2" xfId="19240" xr:uid="{612363C4-3E37-4007-AA36-93193426E06C}"/>
    <cellStyle name="Total 33 9" xfId="19241" xr:uid="{EFC49577-37AF-4B08-81B7-3A18DBD5F4F2}"/>
    <cellStyle name="Total 33 9 2" xfId="19242" xr:uid="{15BC64E5-A4DE-48C8-8A8D-4A81838241EE}"/>
    <cellStyle name="Total 34" xfId="3332" xr:uid="{C2A12AA4-E092-48B3-BD8D-C0DF5E347836}"/>
    <cellStyle name="Total 34 10" xfId="19244" xr:uid="{6F89DF2A-A8C7-4F17-B946-5806BF822EB7}"/>
    <cellStyle name="Total 34 11" xfId="19245" xr:uid="{1F6D82E0-5E82-40CF-93A0-E5F2A62AA8DB}"/>
    <cellStyle name="Total 34 12" xfId="19243" xr:uid="{35F711F0-3879-495C-8B8F-A765D39EAD22}"/>
    <cellStyle name="Total 34 2" xfId="19246" xr:uid="{54764996-CF4F-4E1E-AC10-7BE9305AE283}"/>
    <cellStyle name="Total 34 2 2" xfId="19247" xr:uid="{9F1D520F-B8D8-4849-8638-3BE5B56F450B}"/>
    <cellStyle name="Total 34 2 2 2" xfId="19248" xr:uid="{8F1C6486-B85E-4AD5-803B-B6B8A6F8D92F}"/>
    <cellStyle name="Total 34 2 3" xfId="19249" xr:uid="{E82E810C-0419-4A38-B204-415020879A2C}"/>
    <cellStyle name="Total 34 2 3 2" xfId="19250" xr:uid="{B6CCF075-AE85-4E15-A51D-9DA83932BF48}"/>
    <cellStyle name="Total 34 2 4" xfId="19251" xr:uid="{1E158AAA-8998-46E0-B837-26D3405B374B}"/>
    <cellStyle name="Total 34 2 5" xfId="19252" xr:uid="{D09C739A-D45A-4E63-B557-1EE927364D41}"/>
    <cellStyle name="Total 34 3" xfId="19253" xr:uid="{A954EED3-5B19-4D35-A734-14DC01E290FB}"/>
    <cellStyle name="Total 34 3 2" xfId="19254" xr:uid="{C858B909-EA81-47E1-BD76-FEB9510331CE}"/>
    <cellStyle name="Total 34 3 2 2" xfId="19255" xr:uid="{7263889D-25B3-408F-AE43-DF8A1F3F8A29}"/>
    <cellStyle name="Total 34 3 3" xfId="19256" xr:uid="{E156EA4D-53F0-4847-B68E-5D9719338398}"/>
    <cellStyle name="Total 34 3 3 2" xfId="19257" xr:uid="{AAAEDB38-5644-4303-B96F-6CEFCE53C564}"/>
    <cellStyle name="Total 34 3 4" xfId="19258" xr:uid="{12636E26-2452-4D7A-861A-147C35FA0E78}"/>
    <cellStyle name="Total 34 4" xfId="19259" xr:uid="{FDB0DDD8-CFCF-4813-B483-DB6D328AF73F}"/>
    <cellStyle name="Total 34 4 2" xfId="19260" xr:uid="{CC8A10F2-C8B9-4B06-91DF-4685F2053FEC}"/>
    <cellStyle name="Total 34 4 2 2" xfId="19261" xr:uid="{03BC0681-50EA-43D3-B107-781556BBC64D}"/>
    <cellStyle name="Total 34 4 3" xfId="19262" xr:uid="{2006ED2B-580A-43ED-A9C9-A0C994AF3247}"/>
    <cellStyle name="Total 34 4 3 2" xfId="19263" xr:uid="{5845B76C-5815-4AEB-BD8A-86F28DC32260}"/>
    <cellStyle name="Total 34 4 4" xfId="19264" xr:uid="{C488AFAE-4A7B-415E-81CE-40740B8E1960}"/>
    <cellStyle name="Total 34 5" xfId="19265" xr:uid="{FBD84F8C-2017-461E-AB00-68DD365F2563}"/>
    <cellStyle name="Total 34 5 2" xfId="19266" xr:uid="{15763D59-3293-43E8-ADD3-AAB0661D7B41}"/>
    <cellStyle name="Total 34 5 2 2" xfId="19267" xr:uid="{21C1416C-C972-49BC-B131-16278E79B21B}"/>
    <cellStyle name="Total 34 5 3" xfId="19268" xr:uid="{3BE705B1-6023-46E8-9B74-9908143A4CCB}"/>
    <cellStyle name="Total 34 5 3 2" xfId="19269" xr:uid="{755A17D3-D1DA-43F2-AAD8-A042F8791759}"/>
    <cellStyle name="Total 34 5 4" xfId="19270" xr:uid="{B575D1A7-5B38-4004-A561-06BC9D5EBD62}"/>
    <cellStyle name="Total 34 5 4 2" xfId="19271" xr:uid="{1801CBE3-7E15-447C-B31F-5272B8879312}"/>
    <cellStyle name="Total 34 5 5" xfId="19272" xr:uid="{D710D536-3E0C-4107-92C5-593CFF4CF281}"/>
    <cellStyle name="Total 34 6" xfId="19273" xr:uid="{C8D2A8B1-8963-438A-8930-C5BF175791EC}"/>
    <cellStyle name="Total 34 6 2" xfId="19274" xr:uid="{B7244C97-E302-4B76-9CB0-E27FF86E75C1}"/>
    <cellStyle name="Total 34 6 2 2" xfId="19275" xr:uid="{69169A76-20EF-43D3-AA72-FF6EBE637888}"/>
    <cellStyle name="Total 34 6 3" xfId="19276" xr:uid="{301EB5AA-D942-404F-973D-AACAAF16732F}"/>
    <cellStyle name="Total 34 6 3 2" xfId="19277" xr:uid="{5C181CAB-254E-425C-8C74-B0791C9C5F71}"/>
    <cellStyle name="Total 34 6 4" xfId="19278" xr:uid="{4396E728-6A7F-458E-B374-1D87B8E7C9C4}"/>
    <cellStyle name="Total 34 7" xfId="19279" xr:uid="{3DCCD95C-D616-48C0-A7F9-7B6B72DE2C3E}"/>
    <cellStyle name="Total 34 7 2" xfId="19280" xr:uid="{FB4174C3-38EF-4431-ABF1-64C8568A5A0F}"/>
    <cellStyle name="Total 34 8" xfId="19281" xr:uid="{867F73A7-4DB6-43DE-9747-AB2B9F0D55AD}"/>
    <cellStyle name="Total 34 8 2" xfId="19282" xr:uid="{C0F15F95-3250-49EA-BBFA-638646E8A219}"/>
    <cellStyle name="Total 34 9" xfId="19283" xr:uid="{C32977AC-7CC4-4718-8490-6B38ED7ACEBE}"/>
    <cellStyle name="Total 34 9 2" xfId="19284" xr:uid="{6286C9EF-7CBE-4A66-B68F-AA3E7624EED7}"/>
    <cellStyle name="Total 35" xfId="3333" xr:uid="{6A0BF7C0-8D60-473A-8A24-A70CA34C871D}"/>
    <cellStyle name="Total 35 10" xfId="19286" xr:uid="{32B2BEAC-9978-41C0-8929-EC1B0D8B4038}"/>
    <cellStyle name="Total 35 11" xfId="19287" xr:uid="{87BDF534-5676-4AA2-AD06-16CB4A8CC34C}"/>
    <cellStyle name="Total 35 12" xfId="19285" xr:uid="{5FE8767F-CF2E-4D04-A371-A91D2C45891D}"/>
    <cellStyle name="Total 35 2" xfId="19288" xr:uid="{1E47F890-69C4-4C6A-9756-E6E12A5F7CFE}"/>
    <cellStyle name="Total 35 2 2" xfId="19289" xr:uid="{C5E0A531-BEAF-472D-82CE-594100AEE039}"/>
    <cellStyle name="Total 35 2 2 2" xfId="19290" xr:uid="{D4D3FCC3-9E26-467C-9C7D-CD112BE9538F}"/>
    <cellStyle name="Total 35 2 3" xfId="19291" xr:uid="{35DEE5D9-47CB-4C9F-A68D-CF70DA5F25D9}"/>
    <cellStyle name="Total 35 2 3 2" xfId="19292" xr:uid="{D59141A2-540A-4816-A61E-C19DE28D35A5}"/>
    <cellStyle name="Total 35 2 4" xfId="19293" xr:uid="{8E740C98-99C2-4198-BD0B-4ED093F4BBB1}"/>
    <cellStyle name="Total 35 2 5" xfId="19294" xr:uid="{1003D5CA-907D-4493-BB17-931EF2F50363}"/>
    <cellStyle name="Total 35 3" xfId="19295" xr:uid="{39F4B7EF-EB1A-441C-A4A4-640B46BDCE45}"/>
    <cellStyle name="Total 35 3 2" xfId="19296" xr:uid="{1C8BEE3C-7EB1-4524-AB55-5186AFAFA775}"/>
    <cellStyle name="Total 35 3 2 2" xfId="19297" xr:uid="{0E122685-F249-4D73-B636-BDC2C22DAD41}"/>
    <cellStyle name="Total 35 3 3" xfId="19298" xr:uid="{14154E94-FD1C-44B7-8187-EDABC1867D96}"/>
    <cellStyle name="Total 35 3 3 2" xfId="19299" xr:uid="{E7FF10B7-4B15-408F-86C5-413D4F75C2D0}"/>
    <cellStyle name="Total 35 3 4" xfId="19300" xr:uid="{085A28A9-8106-407B-B852-05DE424718DC}"/>
    <cellStyle name="Total 35 4" xfId="19301" xr:uid="{CC7096B3-B92D-41AD-B33A-7FF903F11399}"/>
    <cellStyle name="Total 35 4 2" xfId="19302" xr:uid="{BC62C23B-6B24-4AC1-8B6B-ACF442BB62B0}"/>
    <cellStyle name="Total 35 4 2 2" xfId="19303" xr:uid="{673F7744-8405-4E2D-A803-6FA744791572}"/>
    <cellStyle name="Total 35 4 3" xfId="19304" xr:uid="{B0698F15-D683-46DE-A721-C5725050959E}"/>
    <cellStyle name="Total 35 4 3 2" xfId="19305" xr:uid="{481C195D-B8AA-4C96-A5AE-B948BACA8AD0}"/>
    <cellStyle name="Total 35 4 4" xfId="19306" xr:uid="{93287A26-A109-4064-9342-1B5FD6A377A6}"/>
    <cellStyle name="Total 35 5" xfId="19307" xr:uid="{D5C556A2-12C0-432D-A991-C790A49F593A}"/>
    <cellStyle name="Total 35 5 2" xfId="19308" xr:uid="{C15BA1EE-C87E-4441-9ACD-17A182341DA8}"/>
    <cellStyle name="Total 35 5 2 2" xfId="19309" xr:uid="{64417494-B5C1-4DF7-8BBD-6A653AE2D172}"/>
    <cellStyle name="Total 35 5 3" xfId="19310" xr:uid="{62999E0B-52CC-4911-A962-211AAE2A4683}"/>
    <cellStyle name="Total 35 5 3 2" xfId="19311" xr:uid="{E104AE3A-E31A-4043-A22A-D173CA194124}"/>
    <cellStyle name="Total 35 5 4" xfId="19312" xr:uid="{9BA5B944-37B7-4838-BB2C-0B776BE06A02}"/>
    <cellStyle name="Total 35 5 4 2" xfId="19313" xr:uid="{97BCFF34-532A-4E6E-83CF-5B3C9C398921}"/>
    <cellStyle name="Total 35 5 5" xfId="19314" xr:uid="{B130F663-E9C7-450A-8A06-9DE5FA2DA63C}"/>
    <cellStyle name="Total 35 6" xfId="19315" xr:uid="{D3B39E3A-69D6-452F-B674-9D1A30BA8D80}"/>
    <cellStyle name="Total 35 6 2" xfId="19316" xr:uid="{89ECFFCA-8115-4715-BD8E-D74133256AAD}"/>
    <cellStyle name="Total 35 6 2 2" xfId="19317" xr:uid="{F5C81858-4AEE-41F9-A280-F376DAD6D6D2}"/>
    <cellStyle name="Total 35 6 3" xfId="19318" xr:uid="{08B8E444-CB51-40F8-8B48-CAFCB4B11F08}"/>
    <cellStyle name="Total 35 6 3 2" xfId="19319" xr:uid="{100950D9-6E12-46AC-9A36-8339FCC304D9}"/>
    <cellStyle name="Total 35 6 4" xfId="19320" xr:uid="{75874EAE-1A43-44ED-A197-B07D23F4C584}"/>
    <cellStyle name="Total 35 7" xfId="19321" xr:uid="{E96F18F2-A366-413B-8955-3B83619328AC}"/>
    <cellStyle name="Total 35 7 2" xfId="19322" xr:uid="{3B05D55D-82B2-4A65-B8E4-64E1444608F6}"/>
    <cellStyle name="Total 35 8" xfId="19323" xr:uid="{B33F9147-CD5A-4BE6-8170-2647D7B08C7D}"/>
    <cellStyle name="Total 35 8 2" xfId="19324" xr:uid="{7C21028D-B09A-431F-8DAE-01CAE57DCBBC}"/>
    <cellStyle name="Total 35 9" xfId="19325" xr:uid="{D262A451-6903-4772-86DB-59373810A4BD}"/>
    <cellStyle name="Total 35 9 2" xfId="19326" xr:uid="{416993FE-3AD6-483E-8EEA-A90253A062DC}"/>
    <cellStyle name="Total 36" xfId="3334" xr:uid="{E5A62A23-D269-469E-85B0-038A3C294829}"/>
    <cellStyle name="Total 36 10" xfId="19328" xr:uid="{99C2AAB3-560D-4347-B086-04BF819401EF}"/>
    <cellStyle name="Total 36 11" xfId="19329" xr:uid="{7E22CD8D-692A-4361-ABBD-D2DD76B906E2}"/>
    <cellStyle name="Total 36 12" xfId="19327" xr:uid="{14B182C1-8383-4C7B-B9A6-F6BECA15E3EE}"/>
    <cellStyle name="Total 36 2" xfId="19330" xr:uid="{2B89C54F-35DF-4408-B0F0-0B0B5A36A2DE}"/>
    <cellStyle name="Total 36 2 2" xfId="19331" xr:uid="{6EF3C7D8-9AFF-4751-BB0B-15104D8F6335}"/>
    <cellStyle name="Total 36 2 2 2" xfId="19332" xr:uid="{3554485D-C9FE-49E0-9658-DC5F3CFB49A8}"/>
    <cellStyle name="Total 36 2 3" xfId="19333" xr:uid="{34A04367-0355-4B0A-A329-6E366A069AAE}"/>
    <cellStyle name="Total 36 2 3 2" xfId="19334" xr:uid="{AB8E2FDA-D9C7-4744-9959-DAD038811A12}"/>
    <cellStyle name="Total 36 2 4" xfId="19335" xr:uid="{F110D78B-B1FE-4BD5-BAFF-03D223FFB2E6}"/>
    <cellStyle name="Total 36 2 5" xfId="19336" xr:uid="{285F8727-7408-44B4-837A-185599669EF7}"/>
    <cellStyle name="Total 36 3" xfId="19337" xr:uid="{6C1EE561-F30D-4758-834A-A1B4C89474A0}"/>
    <cellStyle name="Total 36 3 2" xfId="19338" xr:uid="{4DD6CFDB-F303-4858-AB9D-EC08B0517078}"/>
    <cellStyle name="Total 36 3 2 2" xfId="19339" xr:uid="{E35D3A7A-B001-4669-9E9B-0F9E5CC7CDE9}"/>
    <cellStyle name="Total 36 3 3" xfId="19340" xr:uid="{2F753217-5D89-4C42-87B8-76742CB573CA}"/>
    <cellStyle name="Total 36 3 3 2" xfId="19341" xr:uid="{4582860E-F15E-4947-B9FF-E2F9D36ED4AF}"/>
    <cellStyle name="Total 36 3 4" xfId="19342" xr:uid="{17615BFD-9E12-4D9A-9B25-BDAF03C5DE53}"/>
    <cellStyle name="Total 36 4" xfId="19343" xr:uid="{9A3876BE-06FA-4B31-8A69-078DEAD0B80F}"/>
    <cellStyle name="Total 36 4 2" xfId="19344" xr:uid="{45C7C28F-5D62-476B-9141-0E827F1E62F1}"/>
    <cellStyle name="Total 36 4 2 2" xfId="19345" xr:uid="{A7561000-AA26-4823-BB40-D51DA8892DDF}"/>
    <cellStyle name="Total 36 4 3" xfId="19346" xr:uid="{BCF99C0B-808E-47AB-AD31-921F30126156}"/>
    <cellStyle name="Total 36 4 3 2" xfId="19347" xr:uid="{8B38B5C0-2DE0-4FAF-82B2-ECB7ACF883B5}"/>
    <cellStyle name="Total 36 4 4" xfId="19348" xr:uid="{DF0F6D25-BF40-4DA5-9810-5FF811D40F51}"/>
    <cellStyle name="Total 36 5" xfId="19349" xr:uid="{C1045BA9-6BE5-4C64-980F-995EAF0803D6}"/>
    <cellStyle name="Total 36 5 2" xfId="19350" xr:uid="{F33BC2C7-8B19-44C9-8CB1-E566F7DC308D}"/>
    <cellStyle name="Total 36 5 2 2" xfId="19351" xr:uid="{ED2749BF-47DB-4039-9D09-005927D7AFEC}"/>
    <cellStyle name="Total 36 5 3" xfId="19352" xr:uid="{C8EA5E40-9912-4214-B33F-70D2E36EDDF0}"/>
    <cellStyle name="Total 36 5 3 2" xfId="19353" xr:uid="{AD03207D-411D-44F1-9657-3F33883D1493}"/>
    <cellStyle name="Total 36 5 4" xfId="19354" xr:uid="{B1EC1C96-AFD3-490C-8EB1-16428C18E458}"/>
    <cellStyle name="Total 36 5 4 2" xfId="19355" xr:uid="{65F495EB-45C7-4556-8B7D-03F4A5C02EAE}"/>
    <cellStyle name="Total 36 5 5" xfId="19356" xr:uid="{1CFE4ED3-4CB3-42CD-8D08-4ADA70FB39D8}"/>
    <cellStyle name="Total 36 6" xfId="19357" xr:uid="{137D3E1B-1AD2-4366-9E5D-CBA56B1FDEE2}"/>
    <cellStyle name="Total 36 6 2" xfId="19358" xr:uid="{BE9C2288-B8FA-4975-A840-00BD54B1087A}"/>
    <cellStyle name="Total 36 6 2 2" xfId="19359" xr:uid="{CE58D0BF-357A-4B06-A9C4-CD11E10C80EE}"/>
    <cellStyle name="Total 36 6 3" xfId="19360" xr:uid="{015944BA-1551-44B8-B8E8-71993B60CEB1}"/>
    <cellStyle name="Total 36 6 3 2" xfId="19361" xr:uid="{F69A365F-92AE-4DC3-90C8-CF159F480C89}"/>
    <cellStyle name="Total 36 6 4" xfId="19362" xr:uid="{28A4B2D2-FA6A-4AAB-AD2C-171A725AE22B}"/>
    <cellStyle name="Total 36 7" xfId="19363" xr:uid="{D983402C-ED1B-4BC8-B811-49EE469C330B}"/>
    <cellStyle name="Total 36 7 2" xfId="19364" xr:uid="{940C6264-2D88-429A-AF44-241D90A27C25}"/>
    <cellStyle name="Total 36 8" xfId="19365" xr:uid="{625F487D-09F4-43B6-A4DD-258B5D0C53DA}"/>
    <cellStyle name="Total 36 8 2" xfId="19366" xr:uid="{0ECF4A4A-44E3-46CF-A72B-95539F25D41C}"/>
    <cellStyle name="Total 36 9" xfId="19367" xr:uid="{78DD5A95-E2BD-4B35-A9C6-B45FE4C89620}"/>
    <cellStyle name="Total 36 9 2" xfId="19368" xr:uid="{3768AC21-6BC2-40AB-96D2-87950E8A034F}"/>
    <cellStyle name="Total 37" xfId="3335" xr:uid="{E3C3D6FD-678C-4380-8F10-09775E3CD365}"/>
    <cellStyle name="Total 37 10" xfId="19370" xr:uid="{434606CA-4A86-486E-9FF7-CB970B5A2FE0}"/>
    <cellStyle name="Total 37 11" xfId="19371" xr:uid="{E9985389-6A26-4AD6-97CB-25E589C2D6C0}"/>
    <cellStyle name="Total 37 12" xfId="19369" xr:uid="{5BCAF927-7CE3-4092-8735-F7BCF3A5D90F}"/>
    <cellStyle name="Total 37 2" xfId="19372" xr:uid="{FB00E9B8-E6A8-4FE0-B7FA-D3BA8A6D11FB}"/>
    <cellStyle name="Total 37 2 2" xfId="19373" xr:uid="{BFD78672-B555-4837-AA57-D044EA679E0D}"/>
    <cellStyle name="Total 37 2 2 2" xfId="19374" xr:uid="{AE10DB67-6928-4C19-9158-5D33192EDF72}"/>
    <cellStyle name="Total 37 2 3" xfId="19375" xr:uid="{B4BD1268-3B37-405F-BD9E-7151C699D2C7}"/>
    <cellStyle name="Total 37 2 3 2" xfId="19376" xr:uid="{C8FCAE93-E25C-47AD-911A-08187C2EDB7D}"/>
    <cellStyle name="Total 37 2 4" xfId="19377" xr:uid="{C522477A-1034-40C2-A8C1-F1F7DBE39528}"/>
    <cellStyle name="Total 37 2 5" xfId="19378" xr:uid="{292B9DAB-554F-4638-AFFC-3ABC2824D8E8}"/>
    <cellStyle name="Total 37 3" xfId="19379" xr:uid="{A1D9A829-7CE4-483F-82CE-AD55F9E6C235}"/>
    <cellStyle name="Total 37 3 2" xfId="19380" xr:uid="{EDD7379A-E471-4A08-BCAA-6556B6D000B5}"/>
    <cellStyle name="Total 37 3 2 2" xfId="19381" xr:uid="{D33454F2-B387-4561-A1DD-91AC0292B33C}"/>
    <cellStyle name="Total 37 3 3" xfId="19382" xr:uid="{BFE7E98D-2FDC-4C92-BD9D-C0691FF93A71}"/>
    <cellStyle name="Total 37 3 3 2" xfId="19383" xr:uid="{F67259A6-769D-47EF-AEA2-861AC8354EEC}"/>
    <cellStyle name="Total 37 3 4" xfId="19384" xr:uid="{4DFE2960-8FC8-4492-8B26-14BEC5585DB6}"/>
    <cellStyle name="Total 37 4" xfId="19385" xr:uid="{F195B301-842C-4FBC-9888-E01BE7A5DF91}"/>
    <cellStyle name="Total 37 4 2" xfId="19386" xr:uid="{0BB818ED-A6F8-4B33-8651-9381681DC4CA}"/>
    <cellStyle name="Total 37 4 2 2" xfId="19387" xr:uid="{69FE2AB3-A384-4F81-8EC7-F3CE6C60344D}"/>
    <cellStyle name="Total 37 4 3" xfId="19388" xr:uid="{0B448E93-463A-4458-BF07-E8B1006B544F}"/>
    <cellStyle name="Total 37 4 3 2" xfId="19389" xr:uid="{8AB597A3-7126-4301-8D07-6751E2FE6C52}"/>
    <cellStyle name="Total 37 4 4" xfId="19390" xr:uid="{2FD2E6E8-D78D-4135-8DC9-FBDCA0E1688E}"/>
    <cellStyle name="Total 37 5" xfId="19391" xr:uid="{B8466109-B90C-46E6-B23F-B5D716CB940C}"/>
    <cellStyle name="Total 37 5 2" xfId="19392" xr:uid="{0B89150B-C7B1-463E-B52A-1C602DE7BE25}"/>
    <cellStyle name="Total 37 5 2 2" xfId="19393" xr:uid="{4BC7E195-78EE-4A97-BF66-C4F15BF0A66E}"/>
    <cellStyle name="Total 37 5 3" xfId="19394" xr:uid="{B77EF4C9-8690-4401-B390-4C32A9717CBD}"/>
    <cellStyle name="Total 37 5 3 2" xfId="19395" xr:uid="{88C42692-BD6F-4227-8C9B-270B010E9239}"/>
    <cellStyle name="Total 37 5 4" xfId="19396" xr:uid="{6BC94EDF-E54D-4F06-985D-F5989F0A2D72}"/>
    <cellStyle name="Total 37 5 4 2" xfId="19397" xr:uid="{A594FB8A-C204-486C-B65D-5C9730747018}"/>
    <cellStyle name="Total 37 5 5" xfId="19398" xr:uid="{444351EE-CC36-4A96-AA9C-C6F22D30C6D3}"/>
    <cellStyle name="Total 37 6" xfId="19399" xr:uid="{779D0BDE-01C1-4EA3-B779-2F5B554036D0}"/>
    <cellStyle name="Total 37 6 2" xfId="19400" xr:uid="{BC42A56E-4B37-4E65-A06C-2F3885FF60A6}"/>
    <cellStyle name="Total 37 6 2 2" xfId="19401" xr:uid="{F7A90F3A-2966-4CA7-A9AB-AA6F90FFD903}"/>
    <cellStyle name="Total 37 6 3" xfId="19402" xr:uid="{0574CB91-14CE-4F32-BF09-EF4A593B6036}"/>
    <cellStyle name="Total 37 6 3 2" xfId="19403" xr:uid="{52A72807-A707-4C7B-9C2C-E3B87B00C474}"/>
    <cellStyle name="Total 37 6 4" xfId="19404" xr:uid="{530A046C-996B-4B9D-93C8-DD8E627F7686}"/>
    <cellStyle name="Total 37 7" xfId="19405" xr:uid="{44552F24-DE5B-4194-B6F9-C618829019CF}"/>
    <cellStyle name="Total 37 7 2" xfId="19406" xr:uid="{89F3C11E-0535-4D5C-BD08-5B010462A44A}"/>
    <cellStyle name="Total 37 8" xfId="19407" xr:uid="{795E1CE8-2EA2-45F7-BFEE-C47CFF3CCA6A}"/>
    <cellStyle name="Total 37 8 2" xfId="19408" xr:uid="{22141A91-B4E2-4CC9-8379-4290A56EC5A1}"/>
    <cellStyle name="Total 37 9" xfId="19409" xr:uid="{B4BF60C4-E8B2-493E-93C4-876C49D981B4}"/>
    <cellStyle name="Total 37 9 2" xfId="19410" xr:uid="{8341BD47-0090-4361-998B-FEBFB953D3FB}"/>
    <cellStyle name="Total 38" xfId="3336" xr:uid="{4A59AF58-FD14-4272-9162-D92ED589CE05}"/>
    <cellStyle name="Total 38 10" xfId="19412" xr:uid="{12C68A7F-04F4-433A-8B86-A06C1E464B24}"/>
    <cellStyle name="Total 38 11" xfId="19413" xr:uid="{424E9EAD-7E6E-4AD2-864F-E2EFC23C170F}"/>
    <cellStyle name="Total 38 12" xfId="19411" xr:uid="{96B41F39-A180-42BC-B644-14EDA72C0066}"/>
    <cellStyle name="Total 38 2" xfId="19414" xr:uid="{40D5B374-856B-45EF-82B1-E793FD77F980}"/>
    <cellStyle name="Total 38 2 2" xfId="19415" xr:uid="{BA5B0A35-BBC4-443E-B731-803C85B6D654}"/>
    <cellStyle name="Total 38 2 2 2" xfId="19416" xr:uid="{3A19F974-3948-4762-BECD-8F2338060B08}"/>
    <cellStyle name="Total 38 2 3" xfId="19417" xr:uid="{4332F6F8-5B9F-45CC-BA8B-253288BDC56E}"/>
    <cellStyle name="Total 38 2 3 2" xfId="19418" xr:uid="{A4EDD209-A65B-41EA-93C1-8A23655D77D1}"/>
    <cellStyle name="Total 38 2 4" xfId="19419" xr:uid="{131053D8-FC00-4B26-8C7B-EC45EE4C4BA5}"/>
    <cellStyle name="Total 38 2 5" xfId="19420" xr:uid="{0012A3EC-7207-4949-9D45-377C9E0AE620}"/>
    <cellStyle name="Total 38 3" xfId="19421" xr:uid="{72686842-2FB4-4093-9BCC-569738AC8C4B}"/>
    <cellStyle name="Total 38 3 2" xfId="19422" xr:uid="{3674947F-7E48-45B3-B244-E2473E1DA46C}"/>
    <cellStyle name="Total 38 3 2 2" xfId="19423" xr:uid="{2B7B4856-330E-4E46-A51A-4A88170D80A2}"/>
    <cellStyle name="Total 38 3 3" xfId="19424" xr:uid="{EFE344CB-1F6C-4A55-BD88-10C089442AC6}"/>
    <cellStyle name="Total 38 3 3 2" xfId="19425" xr:uid="{EDE2BBF6-9E68-4CB7-BD81-16C4817F44E6}"/>
    <cellStyle name="Total 38 3 4" xfId="19426" xr:uid="{D362368E-4B9C-4943-83CE-ED7353594664}"/>
    <cellStyle name="Total 38 4" xfId="19427" xr:uid="{48DB4E42-A0F7-4423-8EBF-7738FCD93E1D}"/>
    <cellStyle name="Total 38 4 2" xfId="19428" xr:uid="{5A3304FC-038F-42B7-A695-5A04E4CB7578}"/>
    <cellStyle name="Total 38 4 2 2" xfId="19429" xr:uid="{B4449BCD-777E-4B79-88AC-6C16D008B839}"/>
    <cellStyle name="Total 38 4 3" xfId="19430" xr:uid="{F50FF653-5835-4ED2-87FC-4A82FC3B84E8}"/>
    <cellStyle name="Total 38 4 3 2" xfId="19431" xr:uid="{18D0ADD9-EBC8-4093-8D3F-8E9969006C5E}"/>
    <cellStyle name="Total 38 4 4" xfId="19432" xr:uid="{89824514-C339-4ABC-B2C1-8FA0D4A7EC34}"/>
    <cellStyle name="Total 38 5" xfId="19433" xr:uid="{9961B8F7-407C-4EE4-9146-2CB78BB2BC05}"/>
    <cellStyle name="Total 38 5 2" xfId="19434" xr:uid="{54B022F6-2B74-4524-836D-69D44C419A1B}"/>
    <cellStyle name="Total 38 5 2 2" xfId="19435" xr:uid="{9DFAFF8C-35D7-4BE4-8AAF-72642867F2EF}"/>
    <cellStyle name="Total 38 5 3" xfId="19436" xr:uid="{40BA9594-D319-415E-8B91-117CF033A907}"/>
    <cellStyle name="Total 38 5 3 2" xfId="19437" xr:uid="{4D84DA2D-6A4E-42D2-9C1C-E1CFCAA1376E}"/>
    <cellStyle name="Total 38 5 4" xfId="19438" xr:uid="{E7952DC6-0DFF-4992-8237-F0B478C95DF1}"/>
    <cellStyle name="Total 38 5 4 2" xfId="19439" xr:uid="{EB9730C3-BFB0-4C5D-BF79-20FB98E90790}"/>
    <cellStyle name="Total 38 5 5" xfId="19440" xr:uid="{CD1A746E-9263-4184-B0EF-E2AF005CF55A}"/>
    <cellStyle name="Total 38 6" xfId="19441" xr:uid="{6407D330-A3E8-4813-84F8-C1C1FD62B264}"/>
    <cellStyle name="Total 38 6 2" xfId="19442" xr:uid="{4DBB8E4E-48FF-4B74-87A2-A81037963CB2}"/>
    <cellStyle name="Total 38 6 2 2" xfId="19443" xr:uid="{23C563B3-DE96-4AAF-80E4-2D4C7279CFC3}"/>
    <cellStyle name="Total 38 6 3" xfId="19444" xr:uid="{BCA1CCAD-A69B-4401-81E0-94F2B831FB20}"/>
    <cellStyle name="Total 38 6 3 2" xfId="19445" xr:uid="{CF0E56A1-9D31-43EF-844E-5E18D35A7550}"/>
    <cellStyle name="Total 38 6 4" xfId="19446" xr:uid="{EAD1C98E-333A-4380-829F-74FC13A5F5D4}"/>
    <cellStyle name="Total 38 7" xfId="19447" xr:uid="{70B6AE1B-F125-4F60-9C02-5B90F0DDD639}"/>
    <cellStyle name="Total 38 7 2" xfId="19448" xr:uid="{C2D1E5A6-08CC-4FA8-813B-665858DFB93C}"/>
    <cellStyle name="Total 38 8" xfId="19449" xr:uid="{A77E79A5-211A-4965-9B80-0D527BC7703E}"/>
    <cellStyle name="Total 38 8 2" xfId="19450" xr:uid="{61909232-EBF1-42CA-B170-D67D2ABC5C51}"/>
    <cellStyle name="Total 38 9" xfId="19451" xr:uid="{E15700A7-FF19-4E7A-85BA-355DB228C268}"/>
    <cellStyle name="Total 38 9 2" xfId="19452" xr:uid="{38A92907-7E39-42C6-8CD9-8AFE659E8A97}"/>
    <cellStyle name="Total 39" xfId="3337" xr:uid="{030EC2B0-BB75-473D-A141-AFED186ADC65}"/>
    <cellStyle name="Total 39 10" xfId="19454" xr:uid="{B0DEC5F3-169A-41C9-AE5B-AA2A988F26B5}"/>
    <cellStyle name="Total 39 11" xfId="19455" xr:uid="{81A4265B-E353-4AD4-8B3D-3907C59AD338}"/>
    <cellStyle name="Total 39 12" xfId="19453" xr:uid="{FA907F4E-EEEC-4819-A973-2D0B15CCC544}"/>
    <cellStyle name="Total 39 2" xfId="19456" xr:uid="{5D5B0E09-3BEE-4204-9945-8E6C2DE106FB}"/>
    <cellStyle name="Total 39 2 2" xfId="19457" xr:uid="{CA8A365C-4EC6-4BDD-A8DF-2A4F5EA1D42F}"/>
    <cellStyle name="Total 39 2 2 2" xfId="19458" xr:uid="{933CF7E4-20BC-4E1E-B078-370970DE6A61}"/>
    <cellStyle name="Total 39 2 3" xfId="19459" xr:uid="{2451C41B-DE30-4620-AF96-8D46CF0CA50A}"/>
    <cellStyle name="Total 39 2 3 2" xfId="19460" xr:uid="{7F4562A2-9C56-450A-97D9-EA17A0569E36}"/>
    <cellStyle name="Total 39 2 4" xfId="19461" xr:uid="{0E01F62E-A7B7-459D-9AF9-9D279F9A3B68}"/>
    <cellStyle name="Total 39 2 5" xfId="19462" xr:uid="{4986F9B3-F259-4BF8-A9D9-7981519627AE}"/>
    <cellStyle name="Total 39 3" xfId="19463" xr:uid="{27EBCD4D-8B88-4A7D-9B76-68605350242A}"/>
    <cellStyle name="Total 39 3 2" xfId="19464" xr:uid="{EA504ED8-6623-43ED-8CDB-A3D4B57BE4BF}"/>
    <cellStyle name="Total 39 3 2 2" xfId="19465" xr:uid="{A9161F53-4DCE-455F-AF8C-78D8A2B4CE48}"/>
    <cellStyle name="Total 39 3 3" xfId="19466" xr:uid="{1D6D764D-54EC-484E-A983-3DBFC43C661B}"/>
    <cellStyle name="Total 39 3 3 2" xfId="19467" xr:uid="{D82378DF-4105-4DD4-A012-26B6D83B5BFC}"/>
    <cellStyle name="Total 39 3 4" xfId="19468" xr:uid="{ACD68B92-9B18-4E11-A712-DE0E212AECEB}"/>
    <cellStyle name="Total 39 4" xfId="19469" xr:uid="{85EEB66B-9293-4C9B-B596-933E011AC992}"/>
    <cellStyle name="Total 39 4 2" xfId="19470" xr:uid="{F76254CA-36FA-43E2-8C18-2E87E4F99554}"/>
    <cellStyle name="Total 39 4 2 2" xfId="19471" xr:uid="{BC3B5515-9E84-4D14-B6BF-99CE27DD258A}"/>
    <cellStyle name="Total 39 4 3" xfId="19472" xr:uid="{E60E54FB-F668-4AC6-8A70-88DCDC8F4F93}"/>
    <cellStyle name="Total 39 4 3 2" xfId="19473" xr:uid="{2574E7B2-85FF-47F0-93A4-05E80163A766}"/>
    <cellStyle name="Total 39 4 4" xfId="19474" xr:uid="{302C71FE-3293-41B8-A211-11762618895D}"/>
    <cellStyle name="Total 39 5" xfId="19475" xr:uid="{4104B96F-15B4-49E1-8FC8-61103BF1F7DA}"/>
    <cellStyle name="Total 39 5 2" xfId="19476" xr:uid="{A0851B36-4F52-4D0B-AEEC-D57649AC0FDE}"/>
    <cellStyle name="Total 39 5 2 2" xfId="19477" xr:uid="{DEB3283B-ACBE-44A9-9423-73FDDC335CB1}"/>
    <cellStyle name="Total 39 5 3" xfId="19478" xr:uid="{AF2DDEAE-1528-40CE-B3CD-40E6A4273C60}"/>
    <cellStyle name="Total 39 5 3 2" xfId="19479" xr:uid="{B7CD9782-C55A-4ACB-AD05-753152D13466}"/>
    <cellStyle name="Total 39 5 4" xfId="19480" xr:uid="{B0AB0469-2685-4C3A-B71A-A48484D61D55}"/>
    <cellStyle name="Total 39 5 4 2" xfId="19481" xr:uid="{C9588978-30D5-4E72-B4A8-6FB21A01F652}"/>
    <cellStyle name="Total 39 5 5" xfId="19482" xr:uid="{9E147A7C-E34A-45C4-B5F4-BC227870F7D6}"/>
    <cellStyle name="Total 39 6" xfId="19483" xr:uid="{A9044998-A354-409D-A5EC-92928CFEAE5A}"/>
    <cellStyle name="Total 39 6 2" xfId="19484" xr:uid="{AC3647AB-1CE8-4333-A011-3A52BE14BA12}"/>
    <cellStyle name="Total 39 6 2 2" xfId="19485" xr:uid="{A511ABE8-E99F-4C24-81AE-FD5D56FB6669}"/>
    <cellStyle name="Total 39 6 3" xfId="19486" xr:uid="{C5D8499D-4182-4DD7-B2A2-2CF409322E61}"/>
    <cellStyle name="Total 39 6 3 2" xfId="19487" xr:uid="{B7EF59CA-BEEF-4A50-B2F8-5494619C2547}"/>
    <cellStyle name="Total 39 6 4" xfId="19488" xr:uid="{4FF43247-F398-4A29-AA25-FEDBAD8CD9FE}"/>
    <cellStyle name="Total 39 7" xfId="19489" xr:uid="{49B5F4BE-9EB1-4201-82A0-80E736BACD47}"/>
    <cellStyle name="Total 39 7 2" xfId="19490" xr:uid="{74C4FD84-199E-44A0-AABE-B80FA676EA10}"/>
    <cellStyle name="Total 39 8" xfId="19491" xr:uid="{AF228A7F-009D-42EA-95A8-D6C758005172}"/>
    <cellStyle name="Total 39 8 2" xfId="19492" xr:uid="{68F5948B-4B50-4048-92B5-2BA994500D03}"/>
    <cellStyle name="Total 39 9" xfId="19493" xr:uid="{747DB870-A86A-4423-A4DA-6B3DCDC6C95E}"/>
    <cellStyle name="Total 39 9 2" xfId="19494" xr:uid="{4F2572B1-FDD0-4BFC-98E7-4DFF408D0065}"/>
    <cellStyle name="Total 4" xfId="3338" xr:uid="{16B0D8E4-8B8C-48A6-ACD8-C6BAB1B1D5D7}"/>
    <cellStyle name="Total 4 10" xfId="19496" xr:uid="{F7FBDCAD-EAA2-4BC7-84E3-9BE762FDC6AE}"/>
    <cellStyle name="Total 4 10 2" xfId="19497" xr:uid="{FC88831B-0FE8-48DF-A2EA-46FCE93A5DBF}"/>
    <cellStyle name="Total 4 11" xfId="19498" xr:uid="{5B6DA5F6-871B-45A7-B166-BE89F1E61606}"/>
    <cellStyle name="Total 4 12" xfId="19499" xr:uid="{9E87AFC8-094A-4E51-AE42-ADC6D5D4F0ED}"/>
    <cellStyle name="Total 4 13" xfId="19495" xr:uid="{873D2899-3C51-44BD-9FBA-3C4209282E45}"/>
    <cellStyle name="Total 4 2" xfId="19500" xr:uid="{BF141EE5-9A6D-4908-A939-5E4338D8A9AA}"/>
    <cellStyle name="Total 4 2 10" xfId="19501" xr:uid="{EF09AB9A-06F4-4799-B0A0-B25DA6C7B6B3}"/>
    <cellStyle name="Total 4 2 2" xfId="19502" xr:uid="{CD9F70C4-EBD0-45EC-85CF-B75B3AA37B1C}"/>
    <cellStyle name="Total 4 2 2 2" xfId="19503" xr:uid="{9AB6F502-D0C2-4FC5-A897-C0B9DE88C271}"/>
    <cellStyle name="Total 4 2 2 2 2" xfId="19504" xr:uid="{9C9EDF9B-4FF1-4241-8202-58E9666E22C3}"/>
    <cellStyle name="Total 4 2 2 3" xfId="19505" xr:uid="{95DCACA4-70B5-4740-8E71-50ED489E881A}"/>
    <cellStyle name="Total 4 2 2 3 2" xfId="19506" xr:uid="{59D6DA85-F5CB-4C15-822C-3AE5A28454E0}"/>
    <cellStyle name="Total 4 2 2 4" xfId="19507" xr:uid="{EBDC7A9E-AC98-4486-B675-792D7DDEE2C3}"/>
    <cellStyle name="Total 4 2 3" xfId="19508" xr:uid="{3FADEDCA-8DE8-4AF3-91BC-435C9E68D76C}"/>
    <cellStyle name="Total 4 2 3 2" xfId="19509" xr:uid="{35BAC46E-BC9B-49B8-9F55-DBC81AF8DA2B}"/>
    <cellStyle name="Total 4 2 3 2 2" xfId="19510" xr:uid="{6646B05D-D27A-4419-BB4D-8D0CFC7DB906}"/>
    <cellStyle name="Total 4 2 3 3" xfId="19511" xr:uid="{0F836537-5002-48E5-AE9E-CD078AF3972D}"/>
    <cellStyle name="Total 4 2 3 3 2" xfId="19512" xr:uid="{8D1590A2-E34E-40AE-99C1-D2CD55779EDD}"/>
    <cellStyle name="Total 4 2 3 4" xfId="19513" xr:uid="{7B5F8972-3BFB-4FC1-9E8B-5454BB5B4676}"/>
    <cellStyle name="Total 4 2 4" xfId="19514" xr:uid="{ABB76D17-3466-4198-BB6A-ACF77707A199}"/>
    <cellStyle name="Total 4 2 4 2" xfId="19515" xr:uid="{73D390AE-84E0-421D-A873-BF34D488E75D}"/>
    <cellStyle name="Total 4 2 4 2 2" xfId="19516" xr:uid="{233463D1-36D6-4790-8D96-C0ED69B7C013}"/>
    <cellStyle name="Total 4 2 4 3" xfId="19517" xr:uid="{EBAF8899-17DF-4BDC-B2A1-AB238086F692}"/>
    <cellStyle name="Total 4 2 4 3 2" xfId="19518" xr:uid="{4538227D-7A82-410F-A5FD-D92AEEEB3AB0}"/>
    <cellStyle name="Total 4 2 4 4" xfId="19519" xr:uid="{3CF83EE4-C4F9-4264-AD4A-8F4060D1F904}"/>
    <cellStyle name="Total 4 2 4 4 2" xfId="19520" xr:uid="{3A078585-F44B-4F06-95CD-FDD2EDCCCF8D}"/>
    <cellStyle name="Total 4 2 4 5" xfId="19521" xr:uid="{41AC99BE-66E6-4C24-BCCC-96F4FD867247}"/>
    <cellStyle name="Total 4 2 5" xfId="19522" xr:uid="{46A7373F-7FA4-4645-A0C1-D80292348595}"/>
    <cellStyle name="Total 4 2 5 2" xfId="19523" xr:uid="{772402A3-1D3E-45DB-B2D3-9632B0CD31F1}"/>
    <cellStyle name="Total 4 2 5 2 2" xfId="19524" xr:uid="{E609FCD3-8683-438D-9DA0-3FF877161354}"/>
    <cellStyle name="Total 4 2 5 3" xfId="19525" xr:uid="{5D9BE3B5-559A-4E3B-9F67-2B11EEBF620E}"/>
    <cellStyle name="Total 4 2 5 3 2" xfId="19526" xr:uid="{1CC6812D-49AC-4EE8-96B4-13E98F759CCA}"/>
    <cellStyle name="Total 4 2 5 4" xfId="19527" xr:uid="{B13F996D-43E5-42E1-A5E3-5DB94D6C5DED}"/>
    <cellStyle name="Total 4 2 6" xfId="19528" xr:uid="{CB70DE95-CA82-46E3-9F06-8A6EDAB719CC}"/>
    <cellStyle name="Total 4 2 6 2" xfId="19529" xr:uid="{67B9BC95-9C8F-4FC6-8EB2-215A3ED42D73}"/>
    <cellStyle name="Total 4 2 7" xfId="19530" xr:uid="{9724CE1F-5045-4B53-AA7D-2C8E5D121832}"/>
    <cellStyle name="Total 4 2 7 2" xfId="19531" xr:uid="{FABB9E68-689A-413A-A010-965AE2CA3C8C}"/>
    <cellStyle name="Total 4 2 8" xfId="19532" xr:uid="{8C67D79A-A9BA-449A-85FA-92ED860D602C}"/>
    <cellStyle name="Total 4 2 8 2" xfId="19533" xr:uid="{330A9E33-6BA5-4E6B-9438-DF4E16676C96}"/>
    <cellStyle name="Total 4 2 9" xfId="19534" xr:uid="{C01A0532-AB78-4205-ACFE-7FA179FB22CE}"/>
    <cellStyle name="Total 4 3" xfId="19535" xr:uid="{CF75F8A6-1E5F-4AAD-991A-1EC5E1A17C8C}"/>
    <cellStyle name="Total 4 3 2" xfId="19536" xr:uid="{CDCC2AD0-D458-4E41-925C-3F22A68373A8}"/>
    <cellStyle name="Total 4 3 2 2" xfId="19537" xr:uid="{6129D8E7-92C1-4886-90E0-74E7A2DC86E0}"/>
    <cellStyle name="Total 4 3 3" xfId="19538" xr:uid="{FF8FC90A-7227-4BA4-9F46-80CB4AE266A7}"/>
    <cellStyle name="Total 4 3 3 2" xfId="19539" xr:uid="{CDDCB425-4191-4A45-A178-D47DE5C80A3C}"/>
    <cellStyle name="Total 4 3 4" xfId="19540" xr:uid="{FF7A2A5E-4C88-4E07-90FF-86F51452C60F}"/>
    <cellStyle name="Total 4 3 5" xfId="19541" xr:uid="{BED63E8D-7121-4BD7-8568-52695B3ADBAA}"/>
    <cellStyle name="Total 4 4" xfId="19542" xr:uid="{FEB35244-B44A-4521-BB16-B87FC5D671CA}"/>
    <cellStyle name="Total 4 4 2" xfId="19543" xr:uid="{E593D098-2E60-4F30-806A-DC44603EA361}"/>
    <cellStyle name="Total 4 4 2 2" xfId="19544" xr:uid="{925E43E4-7B47-4473-B11A-68406AB6CF67}"/>
    <cellStyle name="Total 4 4 3" xfId="19545" xr:uid="{64B55130-A518-4A95-B087-A8B165A52743}"/>
    <cellStyle name="Total 4 4 3 2" xfId="19546" xr:uid="{B682A013-EACA-41BF-9671-58A9BD77598A}"/>
    <cellStyle name="Total 4 4 4" xfId="19547" xr:uid="{DCBA712C-D2BA-4C84-8EC9-E478A8CF9212}"/>
    <cellStyle name="Total 4 5" xfId="19548" xr:uid="{DFD1DE33-759A-402A-BA46-1818A19EC9BD}"/>
    <cellStyle name="Total 4 5 2" xfId="19549" xr:uid="{C9AB28ED-5EA0-4906-A5A0-95F652EE7E76}"/>
    <cellStyle name="Total 4 5 2 2" xfId="19550" xr:uid="{545145B5-B9AE-4EB3-8D54-B77EC9177F83}"/>
    <cellStyle name="Total 4 5 3" xfId="19551" xr:uid="{0D66FF23-BF0B-4153-840B-A541F047ACBE}"/>
    <cellStyle name="Total 4 5 3 2" xfId="19552" xr:uid="{71A0B6E5-D4FD-453D-B1F8-2A33B6D7ED6C}"/>
    <cellStyle name="Total 4 5 4" xfId="19553" xr:uid="{3762D307-6810-4758-A12C-6BA4D0E3962D}"/>
    <cellStyle name="Total 4 6" xfId="19554" xr:uid="{59C07460-AB37-4B50-A0D3-916618F77EB6}"/>
    <cellStyle name="Total 4 6 2" xfId="19555" xr:uid="{F6DCF425-A44A-4034-A104-4CB0D3713472}"/>
    <cellStyle name="Total 4 6 2 2" xfId="19556" xr:uid="{36480710-5640-4B55-8389-225B5489730F}"/>
    <cellStyle name="Total 4 6 3" xfId="19557" xr:uid="{EC0A0B8A-0DE3-43BE-B5F0-FC22DF263AC8}"/>
    <cellStyle name="Total 4 6 3 2" xfId="19558" xr:uid="{A1F82CF4-72BD-461B-945E-8075DB39C4B4}"/>
    <cellStyle name="Total 4 6 4" xfId="19559" xr:uid="{4F9446D8-5ED7-492B-8398-7170A171BC63}"/>
    <cellStyle name="Total 4 6 4 2" xfId="19560" xr:uid="{7D026B21-E111-47A8-B179-E1BC6ED8882A}"/>
    <cellStyle name="Total 4 6 5" xfId="19561" xr:uid="{CA0755FE-A94D-4FB5-909C-31B9C4D79EA3}"/>
    <cellStyle name="Total 4 7" xfId="19562" xr:uid="{256B7E4C-814E-43FD-ACEA-B2FC8A9880E7}"/>
    <cellStyle name="Total 4 7 2" xfId="19563" xr:uid="{75D9BF43-73E3-4D38-89DC-C24BE572B7EB}"/>
    <cellStyle name="Total 4 7 2 2" xfId="19564" xr:uid="{F06F8805-EC9B-4EAD-83E5-6C8369609098}"/>
    <cellStyle name="Total 4 7 3" xfId="19565" xr:uid="{1DBE6BDF-5263-4EAE-81E1-4A5CC2BFECF6}"/>
    <cellStyle name="Total 4 7 3 2" xfId="19566" xr:uid="{E01B2F77-F2E7-4EB2-9612-1F8D6F3E70A2}"/>
    <cellStyle name="Total 4 7 4" xfId="19567" xr:uid="{FF00438F-F583-4203-AE99-6D36A14CF86E}"/>
    <cellStyle name="Total 4 8" xfId="19568" xr:uid="{E7488284-3993-46E5-B3B3-EF6F62258A2A}"/>
    <cellStyle name="Total 4 8 2" xfId="19569" xr:uid="{A62A447F-7FCB-4770-BEB8-650B54D7E0DC}"/>
    <cellStyle name="Total 4 9" xfId="19570" xr:uid="{A2F7714E-66F0-42CC-9FA6-49340A071E7D}"/>
    <cellStyle name="Total 4 9 2" xfId="19571" xr:uid="{7AF113EF-FC62-407B-BB53-FA9A9BAF5195}"/>
    <cellStyle name="Total 40" xfId="3339" xr:uid="{FC44225D-E324-4FEE-8CC8-E5B5F24BCDD6}"/>
    <cellStyle name="Total 40 10" xfId="19573" xr:uid="{9ADFD628-4981-4E87-8038-73051C60852F}"/>
    <cellStyle name="Total 40 11" xfId="19574" xr:uid="{F8D3FA44-D860-421B-B539-E74006539E19}"/>
    <cellStyle name="Total 40 12" xfId="19572" xr:uid="{0822E4FE-6E26-4420-B27A-489B5D69CD55}"/>
    <cellStyle name="Total 40 2" xfId="19575" xr:uid="{1FE7E968-474B-4D80-BB0D-3832368D0BC4}"/>
    <cellStyle name="Total 40 2 2" xfId="19576" xr:uid="{412749D0-EE97-4D48-A6A5-A8A3D2D43C87}"/>
    <cellStyle name="Total 40 2 2 2" xfId="19577" xr:uid="{C2638354-7A38-4531-BECA-DFDF8D990E38}"/>
    <cellStyle name="Total 40 2 3" xfId="19578" xr:uid="{8144CFF2-AE0A-4FAC-9E28-EEB0DAB50795}"/>
    <cellStyle name="Total 40 2 3 2" xfId="19579" xr:uid="{90832DDA-EF75-4608-BD98-5566114FD0F7}"/>
    <cellStyle name="Total 40 2 4" xfId="19580" xr:uid="{D03F648B-7C6D-4AD0-BEF1-3F480FD2186B}"/>
    <cellStyle name="Total 40 2 5" xfId="19581" xr:uid="{92B3CF28-5D6E-49CF-8742-5126C46EB8E2}"/>
    <cellStyle name="Total 40 3" xfId="19582" xr:uid="{51488E0E-9D84-496A-9EF3-D61740815C2E}"/>
    <cellStyle name="Total 40 3 2" xfId="19583" xr:uid="{B41842A4-76FD-4864-99AA-EBFFA502092F}"/>
    <cellStyle name="Total 40 3 2 2" xfId="19584" xr:uid="{2A7F516A-C432-4D0A-B50F-145289BEA6B6}"/>
    <cellStyle name="Total 40 3 3" xfId="19585" xr:uid="{7B749B8D-B40A-4180-830A-63AB4A2D584B}"/>
    <cellStyle name="Total 40 3 3 2" xfId="19586" xr:uid="{30ABB234-D3E8-448B-B33C-5920D2AAEBCD}"/>
    <cellStyle name="Total 40 3 4" xfId="19587" xr:uid="{A71D457A-BDB7-4515-8B63-C072B17BFBD7}"/>
    <cellStyle name="Total 40 4" xfId="19588" xr:uid="{41CA1548-D459-4D5D-A85F-0CB7C766CCB9}"/>
    <cellStyle name="Total 40 4 2" xfId="19589" xr:uid="{E4D13E30-5F6B-4198-985D-BC2528A1BA1A}"/>
    <cellStyle name="Total 40 4 2 2" xfId="19590" xr:uid="{B37A4372-198E-4FED-9928-DE92D393A980}"/>
    <cellStyle name="Total 40 4 3" xfId="19591" xr:uid="{3B505FD5-5EF7-4D78-BA3F-1014027FF603}"/>
    <cellStyle name="Total 40 4 3 2" xfId="19592" xr:uid="{65A26516-6ECB-4098-9F36-3384F7196B60}"/>
    <cellStyle name="Total 40 4 4" xfId="19593" xr:uid="{B9B4FE5C-C041-4667-A9DF-A34E3C1A5090}"/>
    <cellStyle name="Total 40 5" xfId="19594" xr:uid="{FDB484B4-A269-4682-9677-1CAF9F0D677D}"/>
    <cellStyle name="Total 40 5 2" xfId="19595" xr:uid="{2D6467FE-4AB5-4C7E-8E38-E22C031BA8E9}"/>
    <cellStyle name="Total 40 5 2 2" xfId="19596" xr:uid="{093A99DF-AE83-4CDB-8DB3-8742B67386DB}"/>
    <cellStyle name="Total 40 5 3" xfId="19597" xr:uid="{A4931DC9-29A3-482B-A76B-1C674D55FA2A}"/>
    <cellStyle name="Total 40 5 3 2" xfId="19598" xr:uid="{539EB57F-6429-4D1D-8157-F6003ABBDA42}"/>
    <cellStyle name="Total 40 5 4" xfId="19599" xr:uid="{A30FB176-5502-4913-AB3D-3BD9F65BFEAC}"/>
    <cellStyle name="Total 40 5 4 2" xfId="19600" xr:uid="{AB472378-EFA4-43C9-98F9-2CAEFBACA70C}"/>
    <cellStyle name="Total 40 5 5" xfId="19601" xr:uid="{CFDD1AF9-4863-4150-97E4-92E30D1BD256}"/>
    <cellStyle name="Total 40 6" xfId="19602" xr:uid="{A8D077ED-5A6A-4682-A05A-991D04F9C762}"/>
    <cellStyle name="Total 40 6 2" xfId="19603" xr:uid="{F82243EC-A3AD-43AE-88C0-22FFF41402C9}"/>
    <cellStyle name="Total 40 6 2 2" xfId="19604" xr:uid="{7C16CC99-62F3-44D8-BA9B-889FFBD6BE70}"/>
    <cellStyle name="Total 40 6 3" xfId="19605" xr:uid="{46CAFA0E-C00D-47C7-A7FE-FD452FD02408}"/>
    <cellStyle name="Total 40 6 3 2" xfId="19606" xr:uid="{ACD1CF14-3862-4DD6-91CE-8930EEEB6814}"/>
    <cellStyle name="Total 40 6 4" xfId="19607" xr:uid="{0E2762FC-EC4F-4B06-9495-037679DB3D9F}"/>
    <cellStyle name="Total 40 7" xfId="19608" xr:uid="{6B2A02B6-44DC-4923-9EEA-8493ABDBA03F}"/>
    <cellStyle name="Total 40 7 2" xfId="19609" xr:uid="{182D2661-E3B6-49DF-8F77-5371E48EB3C5}"/>
    <cellStyle name="Total 40 8" xfId="19610" xr:uid="{EDFA1266-68CF-4344-8022-073D30A9B751}"/>
    <cellStyle name="Total 40 8 2" xfId="19611" xr:uid="{744CD24D-970C-423A-9AFF-4C97BF5A2404}"/>
    <cellStyle name="Total 40 9" xfId="19612" xr:uid="{1A71A8C5-D9B4-4DAA-9C1E-284105F26839}"/>
    <cellStyle name="Total 40 9 2" xfId="19613" xr:uid="{158BDBE8-DB8E-401D-B58B-3B73AB132F30}"/>
    <cellStyle name="Total 41" xfId="3340" xr:uid="{7E126EE4-531C-46FC-A858-7782E0BA47F4}"/>
    <cellStyle name="Total 41 10" xfId="19615" xr:uid="{0585EC0A-F320-42BB-BF0F-11EE2AEC180D}"/>
    <cellStyle name="Total 41 11" xfId="19616" xr:uid="{53458D61-C2A3-4619-9B72-75C2825F5688}"/>
    <cellStyle name="Total 41 12" xfId="19614" xr:uid="{D0020620-0243-4C16-BE64-00759CF44735}"/>
    <cellStyle name="Total 41 2" xfId="19617" xr:uid="{F954167E-9EB1-4F8E-A3C3-590D57DB3843}"/>
    <cellStyle name="Total 41 2 2" xfId="19618" xr:uid="{68EE03A4-32B6-4006-B4F5-EDC939151B72}"/>
    <cellStyle name="Total 41 2 2 2" xfId="19619" xr:uid="{07816BF8-008F-47EC-9AF0-610E8318ADD2}"/>
    <cellStyle name="Total 41 2 3" xfId="19620" xr:uid="{1F0B584E-8B70-477C-A604-3D4AD34CB503}"/>
    <cellStyle name="Total 41 2 3 2" xfId="19621" xr:uid="{C0F05BED-444A-4857-9509-0763DDE484C5}"/>
    <cellStyle name="Total 41 2 4" xfId="19622" xr:uid="{AD31E913-5A87-41F8-9E96-B2F879CBC075}"/>
    <cellStyle name="Total 41 2 5" xfId="19623" xr:uid="{B8882D42-55BF-4B01-8121-D0A105150ED4}"/>
    <cellStyle name="Total 41 3" xfId="19624" xr:uid="{09E0EEC8-6523-44AE-B10E-B1E907D31000}"/>
    <cellStyle name="Total 41 3 2" xfId="19625" xr:uid="{A3DEE852-FAF0-47D0-B967-F37AF11811CD}"/>
    <cellStyle name="Total 41 3 2 2" xfId="19626" xr:uid="{A6758A81-3952-4B9D-B782-35C6D8CADF9C}"/>
    <cellStyle name="Total 41 3 3" xfId="19627" xr:uid="{6FCC912B-3ECB-4E75-9714-1B8E622C5148}"/>
    <cellStyle name="Total 41 3 3 2" xfId="19628" xr:uid="{45AD23D8-1ED4-4046-8C0D-EA98CB6EC8D8}"/>
    <cellStyle name="Total 41 3 4" xfId="19629" xr:uid="{D86A4F38-9B76-4EAB-8A46-FD3A134C80B8}"/>
    <cellStyle name="Total 41 4" xfId="19630" xr:uid="{B46FC5CF-D95F-43CC-A3D4-90C7FC5C19C0}"/>
    <cellStyle name="Total 41 4 2" xfId="19631" xr:uid="{0D7438F3-1EBC-4CDA-A002-63981C5DA4C7}"/>
    <cellStyle name="Total 41 4 2 2" xfId="19632" xr:uid="{7EE035B7-2D26-4F27-9ADB-72376069029F}"/>
    <cellStyle name="Total 41 4 3" xfId="19633" xr:uid="{58246844-D7EA-452F-943D-86A928B1E5BD}"/>
    <cellStyle name="Total 41 4 3 2" xfId="19634" xr:uid="{4D19313F-53CB-4FB3-B15F-468CC4809A21}"/>
    <cellStyle name="Total 41 4 4" xfId="19635" xr:uid="{A84F92E3-C4C0-40AC-BD57-3A0A30332EC4}"/>
    <cellStyle name="Total 41 5" xfId="19636" xr:uid="{92CFA058-10AD-4EF8-89FA-05C4F82C2E41}"/>
    <cellStyle name="Total 41 5 2" xfId="19637" xr:uid="{0B356E1F-CB52-4555-AE88-C0108D20ED1D}"/>
    <cellStyle name="Total 41 5 2 2" xfId="19638" xr:uid="{E84CF6E5-E744-4942-9727-8DC6B01037EA}"/>
    <cellStyle name="Total 41 5 3" xfId="19639" xr:uid="{E55A98B5-4196-415E-B53B-0BDEABC81150}"/>
    <cellStyle name="Total 41 5 3 2" xfId="19640" xr:uid="{327FB321-71FD-40C0-A79A-1826C7AE8D5B}"/>
    <cellStyle name="Total 41 5 4" xfId="19641" xr:uid="{70959F52-A4DC-4645-A906-1CDF63320573}"/>
    <cellStyle name="Total 41 5 4 2" xfId="19642" xr:uid="{7CC538B4-DF4C-4CC5-93CD-A4D167B704A3}"/>
    <cellStyle name="Total 41 5 5" xfId="19643" xr:uid="{E3819B00-E1E7-446E-9039-3DD05813F557}"/>
    <cellStyle name="Total 41 6" xfId="19644" xr:uid="{9199E821-255F-492F-BD8C-CB648910EED2}"/>
    <cellStyle name="Total 41 6 2" xfId="19645" xr:uid="{2A935EC7-97B1-4229-A28C-57571972305E}"/>
    <cellStyle name="Total 41 6 2 2" xfId="19646" xr:uid="{24CACECC-2D0A-426D-A05A-2546A66876DD}"/>
    <cellStyle name="Total 41 6 3" xfId="19647" xr:uid="{C863701B-B3CE-4592-9814-9426825B3B20}"/>
    <cellStyle name="Total 41 6 3 2" xfId="19648" xr:uid="{D07AD619-30A0-4D8D-B842-F85584DE3A4E}"/>
    <cellStyle name="Total 41 6 4" xfId="19649" xr:uid="{E57C04CF-6124-4F0E-A2C1-5F635F59DA95}"/>
    <cellStyle name="Total 41 7" xfId="19650" xr:uid="{B302F0E3-685A-4C5A-953D-A45DFB1C4C7C}"/>
    <cellStyle name="Total 41 7 2" xfId="19651" xr:uid="{6B826185-10F0-4BAD-9866-103066E9E789}"/>
    <cellStyle name="Total 41 8" xfId="19652" xr:uid="{87E79FAC-C872-47BC-AFB9-48097CE677A5}"/>
    <cellStyle name="Total 41 8 2" xfId="19653" xr:uid="{BD5A7089-402D-438E-AFB7-FAFB7942EAF4}"/>
    <cellStyle name="Total 41 9" xfId="19654" xr:uid="{48850960-96A9-48FA-88C1-66ACA3E61C6C}"/>
    <cellStyle name="Total 41 9 2" xfId="19655" xr:uid="{98F201C6-C1C8-4B08-A202-D8041CD9A1B3}"/>
    <cellStyle name="Total 42" xfId="3341" xr:uid="{3044DC9E-655B-4A25-8151-C948701D32B9}"/>
    <cellStyle name="Total 42 10" xfId="19657" xr:uid="{AE0B90D8-1443-4D6C-8994-D7831C5DE8E2}"/>
    <cellStyle name="Total 42 11" xfId="19658" xr:uid="{847ED008-2A5F-4B79-BD43-23B097EE3FED}"/>
    <cellStyle name="Total 42 12" xfId="19656" xr:uid="{C491D4DB-D6E4-4301-997A-8968F5F8B3F9}"/>
    <cellStyle name="Total 42 2" xfId="19659" xr:uid="{6089FC28-B52F-49A0-9483-1B9479C00E9E}"/>
    <cellStyle name="Total 42 2 2" xfId="19660" xr:uid="{D46E9FC8-CC90-4616-9B25-77DAACDE4F92}"/>
    <cellStyle name="Total 42 2 2 2" xfId="19661" xr:uid="{2C1D7177-95D0-42B2-B87C-098242C9E711}"/>
    <cellStyle name="Total 42 2 3" xfId="19662" xr:uid="{A9DA94D6-1459-4B2E-AD24-92CDAD8EBB9B}"/>
    <cellStyle name="Total 42 2 3 2" xfId="19663" xr:uid="{CB5D3E3C-8171-4C06-9FCC-E3F18B40FF19}"/>
    <cellStyle name="Total 42 2 4" xfId="19664" xr:uid="{DD1ABFD2-1961-498F-A725-6427A19F677D}"/>
    <cellStyle name="Total 42 2 5" xfId="19665" xr:uid="{DB670D2A-5E64-4B30-A596-4D7103AD39F5}"/>
    <cellStyle name="Total 42 3" xfId="19666" xr:uid="{98404A8F-158F-4A7B-8F9F-7AC5B75E90F8}"/>
    <cellStyle name="Total 42 3 2" xfId="19667" xr:uid="{1799E695-B054-4C8A-9E97-B9D852163819}"/>
    <cellStyle name="Total 42 3 2 2" xfId="19668" xr:uid="{B29CA216-E8DE-48F9-B42B-A847ECDF45B2}"/>
    <cellStyle name="Total 42 3 3" xfId="19669" xr:uid="{6F78FCB2-EFFF-4221-ADEF-F5FCBE164EC8}"/>
    <cellStyle name="Total 42 3 3 2" xfId="19670" xr:uid="{2C5533FD-BA03-426F-B208-83E61D7AF97C}"/>
    <cellStyle name="Total 42 3 4" xfId="19671" xr:uid="{D4182698-8E84-4DB5-B0E0-8464F22E7A42}"/>
    <cellStyle name="Total 42 4" xfId="19672" xr:uid="{D95EC9D3-7FA6-4596-B9B5-4D676D5CA3E4}"/>
    <cellStyle name="Total 42 4 2" xfId="19673" xr:uid="{EBA740E4-244B-4854-BB36-76925E5C292D}"/>
    <cellStyle name="Total 42 4 2 2" xfId="19674" xr:uid="{2A5D36EB-9BA8-4ADB-B266-CE010D75D549}"/>
    <cellStyle name="Total 42 4 3" xfId="19675" xr:uid="{D063646E-BABA-4C8B-9397-FD57AB6B31B0}"/>
    <cellStyle name="Total 42 4 3 2" xfId="19676" xr:uid="{E644BD74-C99E-4073-9558-30B6C800015D}"/>
    <cellStyle name="Total 42 4 4" xfId="19677" xr:uid="{80169784-EF72-49B7-BE0E-1C2E5ED955EA}"/>
    <cellStyle name="Total 42 5" xfId="19678" xr:uid="{D71CBE9B-C871-43BE-940D-D16DC40DDA79}"/>
    <cellStyle name="Total 42 5 2" xfId="19679" xr:uid="{42F5F72D-E5B7-452D-BE72-D0AB7E7248F9}"/>
    <cellStyle name="Total 42 5 2 2" xfId="19680" xr:uid="{D78CD06E-3185-42A0-9354-53F9673F6843}"/>
    <cellStyle name="Total 42 5 3" xfId="19681" xr:uid="{BE79BD35-23B3-4474-879A-38FDC53489A0}"/>
    <cellStyle name="Total 42 5 3 2" xfId="19682" xr:uid="{776B831E-2B68-4190-AAAE-5B81ED74C997}"/>
    <cellStyle name="Total 42 5 4" xfId="19683" xr:uid="{593DCBCB-BE94-4C59-8FF7-7477B2E5920B}"/>
    <cellStyle name="Total 42 5 4 2" xfId="19684" xr:uid="{28C31BD4-1D7D-48DA-9AE9-D53E3943640B}"/>
    <cellStyle name="Total 42 5 5" xfId="19685" xr:uid="{A35D052D-F0EA-4680-8DB4-9CEEE1E26FCD}"/>
    <cellStyle name="Total 42 6" xfId="19686" xr:uid="{F54B41B1-3B94-4085-8222-61BB6B20D19E}"/>
    <cellStyle name="Total 42 6 2" xfId="19687" xr:uid="{8C07E299-FB7B-4BC6-919B-8825D47319B4}"/>
    <cellStyle name="Total 42 6 2 2" xfId="19688" xr:uid="{BC999157-1913-4703-9037-4AB873DE91BC}"/>
    <cellStyle name="Total 42 6 3" xfId="19689" xr:uid="{FBF7DC47-1F88-4C53-BBBE-3094FB614BFA}"/>
    <cellStyle name="Total 42 6 3 2" xfId="19690" xr:uid="{EE16993E-4B24-4A9E-8DFE-DD3FEEF7FED2}"/>
    <cellStyle name="Total 42 6 4" xfId="19691" xr:uid="{ECAF7F52-77EA-4A7D-AD33-E2E31478E31E}"/>
    <cellStyle name="Total 42 7" xfId="19692" xr:uid="{E515A001-8588-4760-AA4E-8FF44AE5A640}"/>
    <cellStyle name="Total 42 7 2" xfId="19693" xr:uid="{46057025-8E0B-4E18-B96B-5E851354D060}"/>
    <cellStyle name="Total 42 8" xfId="19694" xr:uid="{B121DB8E-5C24-42D2-8CF9-384CCF2128FA}"/>
    <cellStyle name="Total 42 8 2" xfId="19695" xr:uid="{885FDDB4-39B1-467E-9D2D-45A6E5C28878}"/>
    <cellStyle name="Total 42 9" xfId="19696" xr:uid="{6B864893-7023-4528-9CFF-6C3B48E44F43}"/>
    <cellStyle name="Total 42 9 2" xfId="19697" xr:uid="{F2114256-1D77-47EE-895E-A1D89CE1479B}"/>
    <cellStyle name="Total 5" xfId="3342" xr:uid="{5B0C790F-FEEC-4759-9E2E-817AD1C78000}"/>
    <cellStyle name="Total 5 10" xfId="19699" xr:uid="{3272974C-0973-403A-91A2-B0F240EDDC87}"/>
    <cellStyle name="Total 5 10 2" xfId="19700" xr:uid="{399D19A8-B29A-4550-9C69-9C95369CA13F}"/>
    <cellStyle name="Total 5 11" xfId="19701" xr:uid="{C1212A2B-CC26-4D27-928A-1DC4790EE382}"/>
    <cellStyle name="Total 5 12" xfId="19702" xr:uid="{8C1437A0-10CE-4CBE-A05A-3E7EB0264E5E}"/>
    <cellStyle name="Total 5 13" xfId="19698" xr:uid="{9603AF2E-2077-4CC1-8D63-A1B28FCCFE0E}"/>
    <cellStyle name="Total 5 2" xfId="19703" xr:uid="{D81F0FA1-8929-48A8-ACA6-8844C680E13A}"/>
    <cellStyle name="Total 5 2 10" xfId="19704" xr:uid="{267BE01D-7ED4-4CE1-B6DF-6392631729B6}"/>
    <cellStyle name="Total 5 2 2" xfId="19705" xr:uid="{CD129089-CAFE-4CAE-9CB1-633588858B9B}"/>
    <cellStyle name="Total 5 2 2 2" xfId="19706" xr:uid="{51A858E5-D64D-45E5-BD2D-32BF9C1DF32E}"/>
    <cellStyle name="Total 5 2 2 2 2" xfId="19707" xr:uid="{DF8E4F67-0C58-4F5B-8FF3-0F872B3D471A}"/>
    <cellStyle name="Total 5 2 2 3" xfId="19708" xr:uid="{1FD2D347-EC95-495A-9E0E-EE535B482BF9}"/>
    <cellStyle name="Total 5 2 2 3 2" xfId="19709" xr:uid="{6E35F6A1-85FF-4D38-AB44-1052013E7300}"/>
    <cellStyle name="Total 5 2 2 4" xfId="19710" xr:uid="{B5BB304C-6470-489B-878E-46A8D485567C}"/>
    <cellStyle name="Total 5 2 3" xfId="19711" xr:uid="{466753EB-FBFF-4A81-BB61-A4599C499CDC}"/>
    <cellStyle name="Total 5 2 3 2" xfId="19712" xr:uid="{7D1FD8BF-5A6D-48C1-8CBE-03D5094543C3}"/>
    <cellStyle name="Total 5 2 3 2 2" xfId="19713" xr:uid="{2CECEE22-E626-415F-8F7D-488CF3080B5B}"/>
    <cellStyle name="Total 5 2 3 3" xfId="19714" xr:uid="{C7412782-4445-4FBE-A626-55F8DFE35C04}"/>
    <cellStyle name="Total 5 2 3 3 2" xfId="19715" xr:uid="{407A6E2A-2FB7-415D-8D04-742EE084E375}"/>
    <cellStyle name="Total 5 2 3 4" xfId="19716" xr:uid="{5C5F52E2-053E-47D1-86B6-8FE760F29135}"/>
    <cellStyle name="Total 5 2 4" xfId="19717" xr:uid="{6773807F-7E40-49C7-A572-25BE02EBEE3B}"/>
    <cellStyle name="Total 5 2 4 2" xfId="19718" xr:uid="{0AD5B7A2-80F3-49EF-BF23-49A7AC106F03}"/>
    <cellStyle name="Total 5 2 4 2 2" xfId="19719" xr:uid="{88A3250B-DB8A-4D50-9D23-C8C44B26310D}"/>
    <cellStyle name="Total 5 2 4 3" xfId="19720" xr:uid="{1ED795B4-3DD0-4F64-8276-64CCD1497EAF}"/>
    <cellStyle name="Total 5 2 4 3 2" xfId="19721" xr:uid="{EFD325C5-C750-449D-B72C-96D09430262C}"/>
    <cellStyle name="Total 5 2 4 4" xfId="19722" xr:uid="{7E669777-C85E-496F-8425-F9B163196393}"/>
    <cellStyle name="Total 5 2 4 4 2" xfId="19723" xr:uid="{E7653912-B57C-4E3A-A0C6-730E17FD0960}"/>
    <cellStyle name="Total 5 2 4 5" xfId="19724" xr:uid="{21DE9B9F-7E39-4F1C-9291-AEF7BAF8E567}"/>
    <cellStyle name="Total 5 2 5" xfId="19725" xr:uid="{93475D98-A266-44E9-B699-588566C0B05A}"/>
    <cellStyle name="Total 5 2 5 2" xfId="19726" xr:uid="{10CEB1AC-6E4C-4084-9583-8C87F6285C2D}"/>
    <cellStyle name="Total 5 2 5 2 2" xfId="19727" xr:uid="{7F873BB6-7B24-4987-AA5E-12F200D1649A}"/>
    <cellStyle name="Total 5 2 5 3" xfId="19728" xr:uid="{600053B6-D7D7-4F5A-AC84-C8869FFB347D}"/>
    <cellStyle name="Total 5 2 5 3 2" xfId="19729" xr:uid="{9428BF4A-4A40-4226-9130-5C9D549C61DF}"/>
    <cellStyle name="Total 5 2 5 4" xfId="19730" xr:uid="{8D72BC0F-4174-491E-A69F-E7BCE1B82D84}"/>
    <cellStyle name="Total 5 2 6" xfId="19731" xr:uid="{0CB3EF92-E718-4510-A2F5-958C3C106E8B}"/>
    <cellStyle name="Total 5 2 6 2" xfId="19732" xr:uid="{7A308E27-FA7F-4983-AB01-A51177CC0ABF}"/>
    <cellStyle name="Total 5 2 7" xfId="19733" xr:uid="{F09D413D-9D7C-4FC9-9C52-E4EBA637795E}"/>
    <cellStyle name="Total 5 2 7 2" xfId="19734" xr:uid="{6348FFD8-617C-49D2-871F-3E30C3AEFE7C}"/>
    <cellStyle name="Total 5 2 8" xfId="19735" xr:uid="{DE112030-76E6-466A-9335-B36365D59681}"/>
    <cellStyle name="Total 5 2 8 2" xfId="19736" xr:uid="{BADFA621-6E6C-4811-A350-17D85D5304C1}"/>
    <cellStyle name="Total 5 2 9" xfId="19737" xr:uid="{A675904C-0824-418E-93B2-1521F5307E0B}"/>
    <cellStyle name="Total 5 3" xfId="19738" xr:uid="{63734049-E6FB-4895-8768-04E6334D1A33}"/>
    <cellStyle name="Total 5 3 2" xfId="19739" xr:uid="{2DB395EF-864A-4BC4-9CFC-B2A1FE681E78}"/>
    <cellStyle name="Total 5 3 2 2" xfId="19740" xr:uid="{83CB94BE-5C95-411D-BF70-7CC46BD7511C}"/>
    <cellStyle name="Total 5 3 3" xfId="19741" xr:uid="{2A409061-D7A9-46B2-9895-F9B9977BCA8E}"/>
    <cellStyle name="Total 5 3 3 2" xfId="19742" xr:uid="{FC5F31AC-96B0-4098-8374-7DBD38351FB8}"/>
    <cellStyle name="Total 5 3 4" xfId="19743" xr:uid="{0B331BA7-03B6-479B-82DE-21F7D52337B3}"/>
    <cellStyle name="Total 5 3 5" xfId="19744" xr:uid="{9EC168D9-C9E8-4A02-B0B9-3DE690EE8AE2}"/>
    <cellStyle name="Total 5 4" xfId="19745" xr:uid="{35FC9B69-2B34-4DE1-88FF-91845A2FD0EF}"/>
    <cellStyle name="Total 5 4 2" xfId="19746" xr:uid="{3E0CB89E-25AB-4B55-B9C0-AA78AA7FDABE}"/>
    <cellStyle name="Total 5 4 2 2" xfId="19747" xr:uid="{8ACD8FD3-FCF0-477D-8C8D-E6781357BC8F}"/>
    <cellStyle name="Total 5 4 3" xfId="19748" xr:uid="{27F219F0-4E2F-4C00-B909-0140218DAA78}"/>
    <cellStyle name="Total 5 4 3 2" xfId="19749" xr:uid="{9021991E-CA3D-4686-A0FF-F54BEE1D8C35}"/>
    <cellStyle name="Total 5 4 4" xfId="19750" xr:uid="{D3D0F347-E044-44F1-A81D-833F6BD017DE}"/>
    <cellStyle name="Total 5 5" xfId="19751" xr:uid="{E44443A1-11C3-4C71-8056-87957AF222C7}"/>
    <cellStyle name="Total 5 5 2" xfId="19752" xr:uid="{49214B64-DD4A-48E9-B4DA-724A9932555F}"/>
    <cellStyle name="Total 5 5 2 2" xfId="19753" xr:uid="{3A165104-DA80-4CBF-B900-EBB8FB88DC21}"/>
    <cellStyle name="Total 5 5 3" xfId="19754" xr:uid="{4AB94079-42A5-41BE-B053-1702824FD793}"/>
    <cellStyle name="Total 5 5 3 2" xfId="19755" xr:uid="{056D632E-1176-462D-BA8E-DECCDAF22980}"/>
    <cellStyle name="Total 5 5 4" xfId="19756" xr:uid="{78D9AEFE-1C32-4794-A876-568D55CC873B}"/>
    <cellStyle name="Total 5 6" xfId="19757" xr:uid="{4171A6D1-9E62-42BD-9780-7E01F434D2C0}"/>
    <cellStyle name="Total 5 6 2" xfId="19758" xr:uid="{232EED50-D2D7-40D7-8197-09290A1176DE}"/>
    <cellStyle name="Total 5 6 2 2" xfId="19759" xr:uid="{AB2B8D92-63C6-4102-BFBC-90ED550A6179}"/>
    <cellStyle name="Total 5 6 3" xfId="19760" xr:uid="{9B9BEC77-1A80-41ED-8CD4-9C8D76C81085}"/>
    <cellStyle name="Total 5 6 3 2" xfId="19761" xr:uid="{6E404F2C-32D0-4D3E-ACC4-1673F27901A3}"/>
    <cellStyle name="Total 5 6 4" xfId="19762" xr:uid="{7B825A37-C285-4917-993C-E258BC5F67FB}"/>
    <cellStyle name="Total 5 6 4 2" xfId="19763" xr:uid="{E7B884B7-5E15-48EF-9E32-7F87BC654F9E}"/>
    <cellStyle name="Total 5 6 5" xfId="19764" xr:uid="{FBC6ABC4-D5BA-48C6-8185-FB9AF0990F0F}"/>
    <cellStyle name="Total 5 7" xfId="19765" xr:uid="{A8E9C55C-AB99-452E-A94D-080928C59C1B}"/>
    <cellStyle name="Total 5 7 2" xfId="19766" xr:uid="{1BACFE71-FA58-483C-B65C-FA9DB94D937C}"/>
    <cellStyle name="Total 5 7 2 2" xfId="19767" xr:uid="{1A366F8E-86C0-476C-9143-B13738D527A8}"/>
    <cellStyle name="Total 5 7 3" xfId="19768" xr:uid="{6AF70C2E-BEAC-4874-BA08-26F93B82DFBB}"/>
    <cellStyle name="Total 5 7 3 2" xfId="19769" xr:uid="{C6AE02BF-300D-4FB5-92CE-6875CEF598B2}"/>
    <cellStyle name="Total 5 7 4" xfId="19770" xr:uid="{AE3AD91E-48FF-4CFB-A65D-710891DCA793}"/>
    <cellStyle name="Total 5 8" xfId="19771" xr:uid="{69BEBD49-FBA1-4A9C-9DA5-31929B3B1A0A}"/>
    <cellStyle name="Total 5 8 2" xfId="19772" xr:uid="{855BA1EE-89CD-43E4-90B1-B2A8286A7A2D}"/>
    <cellStyle name="Total 5 9" xfId="19773" xr:uid="{546E9420-B5AF-44CF-9ADD-3DBA930D9A8A}"/>
    <cellStyle name="Total 5 9 2" xfId="19774" xr:uid="{34D66153-AF52-4203-A72D-ED83AC6A9ABD}"/>
    <cellStyle name="Total 6" xfId="3343" xr:uid="{C14907C5-7765-46B3-BC88-CC93F71F5086}"/>
    <cellStyle name="Total 6 10" xfId="19776" xr:uid="{C0E30150-0524-446B-9E11-770EAD7D88DE}"/>
    <cellStyle name="Total 6 10 2" xfId="19777" xr:uid="{136D30F4-72BC-4ECA-983F-B571219C7879}"/>
    <cellStyle name="Total 6 11" xfId="19778" xr:uid="{F7956653-FAAC-40F7-AF62-8C66E5132ABE}"/>
    <cellStyle name="Total 6 12" xfId="19779" xr:uid="{AE52187F-524C-4BEC-A7BC-EA88FC64D9DF}"/>
    <cellStyle name="Total 6 13" xfId="19775" xr:uid="{A446F236-E373-449E-9DDB-4EA2C9E1452A}"/>
    <cellStyle name="Total 6 2" xfId="19780" xr:uid="{118DC492-F44A-4DDD-AB81-E16290054D33}"/>
    <cellStyle name="Total 6 2 10" xfId="19781" xr:uid="{66FAF388-5F53-4606-8663-341BEC4A5786}"/>
    <cellStyle name="Total 6 2 2" xfId="19782" xr:uid="{4BC807AC-9302-4620-9A9C-77D6F866E4C0}"/>
    <cellStyle name="Total 6 2 2 2" xfId="19783" xr:uid="{BB952E35-3E16-4A57-8626-BC42FFCA6F75}"/>
    <cellStyle name="Total 6 2 2 2 2" xfId="19784" xr:uid="{EEBFF4B6-7F92-4254-8FAE-74110FA5CD6E}"/>
    <cellStyle name="Total 6 2 2 3" xfId="19785" xr:uid="{D72DB18D-6169-47D3-99E8-52C46A95213F}"/>
    <cellStyle name="Total 6 2 2 3 2" xfId="19786" xr:uid="{15087B70-CDDF-490D-AA4E-AA00C4354985}"/>
    <cellStyle name="Total 6 2 2 4" xfId="19787" xr:uid="{1FFC3FFC-511F-4575-8A22-C748DD0F71E5}"/>
    <cellStyle name="Total 6 2 3" xfId="19788" xr:uid="{A0775EFD-184C-4534-8F00-911BD96AAE61}"/>
    <cellStyle name="Total 6 2 3 2" xfId="19789" xr:uid="{AA427B18-894F-427A-B4B8-0A8C0BD40BC0}"/>
    <cellStyle name="Total 6 2 3 2 2" xfId="19790" xr:uid="{AF33F311-AF16-45C6-BB29-543F4ED805BD}"/>
    <cellStyle name="Total 6 2 3 3" xfId="19791" xr:uid="{AEC568D5-0D9B-4BFF-97F9-83B587E33E3B}"/>
    <cellStyle name="Total 6 2 3 3 2" xfId="19792" xr:uid="{230A99D9-7225-4EB5-8312-5BA6DA1B0263}"/>
    <cellStyle name="Total 6 2 3 4" xfId="19793" xr:uid="{330B12C3-243C-47C6-A2DE-DCEC50F1287F}"/>
    <cellStyle name="Total 6 2 4" xfId="19794" xr:uid="{5C8D0E6B-D889-4B91-9F02-9644FC4412AA}"/>
    <cellStyle name="Total 6 2 4 2" xfId="19795" xr:uid="{44AA8AB6-E2B1-484E-A2A9-23B0752DA286}"/>
    <cellStyle name="Total 6 2 4 2 2" xfId="19796" xr:uid="{2C335919-3322-4080-A9BE-E289BF3DAA33}"/>
    <cellStyle name="Total 6 2 4 3" xfId="19797" xr:uid="{33446128-A572-40E1-AA59-227355BD2FA0}"/>
    <cellStyle name="Total 6 2 4 3 2" xfId="19798" xr:uid="{4FEF6C82-FB2A-4449-8B26-561E27FF09FB}"/>
    <cellStyle name="Total 6 2 4 4" xfId="19799" xr:uid="{8F0B9588-E0F6-4FED-A510-69039ABAFAC8}"/>
    <cellStyle name="Total 6 2 4 4 2" xfId="19800" xr:uid="{4FB4E270-B265-438F-B9AF-8C20F63C64E2}"/>
    <cellStyle name="Total 6 2 4 5" xfId="19801" xr:uid="{8F17A043-4B27-4D0D-8015-AB2B97F7C5A8}"/>
    <cellStyle name="Total 6 2 5" xfId="19802" xr:uid="{6DB87B10-09C3-4801-8363-A8125EE405E5}"/>
    <cellStyle name="Total 6 2 5 2" xfId="19803" xr:uid="{93056F40-47D1-4BB8-8D73-6AD81F1E3902}"/>
    <cellStyle name="Total 6 2 5 2 2" xfId="19804" xr:uid="{B2D2CA4D-1C84-48B6-9B52-0A01093CAA4A}"/>
    <cellStyle name="Total 6 2 5 3" xfId="19805" xr:uid="{21497A5B-74D0-42EB-B597-F92D1BB74818}"/>
    <cellStyle name="Total 6 2 5 3 2" xfId="19806" xr:uid="{563CCD91-5F5E-4815-A418-F7771E4A2DC1}"/>
    <cellStyle name="Total 6 2 5 4" xfId="19807" xr:uid="{045BD990-200F-4D33-B90D-507BB05E360F}"/>
    <cellStyle name="Total 6 2 6" xfId="19808" xr:uid="{F018CED0-281A-4A0A-871C-DA5D304C5B51}"/>
    <cellStyle name="Total 6 2 6 2" xfId="19809" xr:uid="{A09F74FB-DD2A-4AB4-9B38-37AC6CE76A9F}"/>
    <cellStyle name="Total 6 2 7" xfId="19810" xr:uid="{6E83AE16-DCB5-4B15-858B-158553C934BC}"/>
    <cellStyle name="Total 6 2 7 2" xfId="19811" xr:uid="{24FEABBF-A105-4F90-93E0-A191B2EB7842}"/>
    <cellStyle name="Total 6 2 8" xfId="19812" xr:uid="{CB8A74C8-8DB8-4555-AA98-F797BFC271D6}"/>
    <cellStyle name="Total 6 2 8 2" xfId="19813" xr:uid="{C37281F9-1F4C-4AEE-AD7C-441229BD2AB1}"/>
    <cellStyle name="Total 6 2 9" xfId="19814" xr:uid="{AF48905D-7747-499C-B249-455778C5362B}"/>
    <cellStyle name="Total 6 3" xfId="19815" xr:uid="{F926DF86-BA4F-4780-995D-655E7B7F7BD8}"/>
    <cellStyle name="Total 6 3 2" xfId="19816" xr:uid="{0915E872-A007-47A1-B011-5D5C9D6694A3}"/>
    <cellStyle name="Total 6 3 2 2" xfId="19817" xr:uid="{E30CA0D8-D80A-421A-AFC6-3A76E2365055}"/>
    <cellStyle name="Total 6 3 3" xfId="19818" xr:uid="{8C094AE1-FB75-4907-BFBD-458E97751477}"/>
    <cellStyle name="Total 6 3 3 2" xfId="19819" xr:uid="{F96C86BB-3D4A-4F84-9FE0-EEB78D2FDE24}"/>
    <cellStyle name="Total 6 3 4" xfId="19820" xr:uid="{5038F1CB-CCB5-4842-9DDE-0D42257455C2}"/>
    <cellStyle name="Total 6 3 5" xfId="19821" xr:uid="{F8866864-9F04-4D3B-B8E7-6FDFB7A0284C}"/>
    <cellStyle name="Total 6 4" xfId="19822" xr:uid="{3F4236BB-9159-48D3-AAAC-A56C8419B8E4}"/>
    <cellStyle name="Total 6 4 2" xfId="19823" xr:uid="{55CE83EA-1BD7-4998-800F-486FCFDE6FEA}"/>
    <cellStyle name="Total 6 4 2 2" xfId="19824" xr:uid="{9B42C4DE-B929-41A3-B1ED-45146463B352}"/>
    <cellStyle name="Total 6 4 3" xfId="19825" xr:uid="{DD80B0D3-50CA-4848-929F-D19630EA2415}"/>
    <cellStyle name="Total 6 4 3 2" xfId="19826" xr:uid="{4FD71C5A-BF86-4ADD-9E0D-582EFF07B7A1}"/>
    <cellStyle name="Total 6 4 4" xfId="19827" xr:uid="{896DBDF2-BA18-4840-8DA7-8B8C42F180A4}"/>
    <cellStyle name="Total 6 5" xfId="19828" xr:uid="{07C86B2D-C9CC-4EBA-AFA3-F5F5099983AA}"/>
    <cellStyle name="Total 6 5 2" xfId="19829" xr:uid="{82DEA094-DC7A-4761-AABD-E501A37E9354}"/>
    <cellStyle name="Total 6 5 2 2" xfId="19830" xr:uid="{17393EF4-1556-4B55-9209-DBCEA636EF79}"/>
    <cellStyle name="Total 6 5 3" xfId="19831" xr:uid="{92B33834-13D0-4BD8-9D08-D93134FDFA36}"/>
    <cellStyle name="Total 6 5 3 2" xfId="19832" xr:uid="{065F651E-3749-48D6-AA0D-01FCF2619659}"/>
    <cellStyle name="Total 6 5 4" xfId="19833" xr:uid="{E4E90202-6257-446B-9106-2DF73E8459B1}"/>
    <cellStyle name="Total 6 6" xfId="19834" xr:uid="{41283B43-C52B-4B49-9629-0F696E1D78F7}"/>
    <cellStyle name="Total 6 6 2" xfId="19835" xr:uid="{25DAB912-10C4-4EE2-BFA3-CA5936DC2AFA}"/>
    <cellStyle name="Total 6 6 2 2" xfId="19836" xr:uid="{5A5239B4-758E-457E-AA1A-2E0302865443}"/>
    <cellStyle name="Total 6 6 3" xfId="19837" xr:uid="{FFF45571-501D-4483-BC67-5CDB8E587230}"/>
    <cellStyle name="Total 6 6 3 2" xfId="19838" xr:uid="{D5EB4C33-A2F4-4DF1-83C4-1C963D3B7AC6}"/>
    <cellStyle name="Total 6 6 4" xfId="19839" xr:uid="{5ABB51B6-DD56-42C4-8763-24747DD103B6}"/>
    <cellStyle name="Total 6 6 4 2" xfId="19840" xr:uid="{B5776E15-806D-4BCF-9ED3-E5E0A03165F4}"/>
    <cellStyle name="Total 6 6 5" xfId="19841" xr:uid="{A511A4F6-8869-4C9F-B5AB-D6FABD5D4C03}"/>
    <cellStyle name="Total 6 7" xfId="19842" xr:uid="{B903F237-5A43-41CC-960C-47870C79ED58}"/>
    <cellStyle name="Total 6 7 2" xfId="19843" xr:uid="{5AD6FE03-2D7E-43C0-A7C7-A8F8812D6076}"/>
    <cellStyle name="Total 6 7 2 2" xfId="19844" xr:uid="{CFE813E0-B200-40F8-8C8A-AD7FF6DC1D89}"/>
    <cellStyle name="Total 6 7 3" xfId="19845" xr:uid="{647F285E-D791-4EB7-9986-AA3B886BFE32}"/>
    <cellStyle name="Total 6 7 3 2" xfId="19846" xr:uid="{AB003F19-BB07-48F1-949C-1C1296948233}"/>
    <cellStyle name="Total 6 7 4" xfId="19847" xr:uid="{8821E10D-18E7-4D3B-94FB-C517224B1217}"/>
    <cellStyle name="Total 6 8" xfId="19848" xr:uid="{2DB0DAD9-BE05-48EF-82CE-47AEC5A5F1F2}"/>
    <cellStyle name="Total 6 8 2" xfId="19849" xr:uid="{0AE17F58-A2CE-44C0-BDFC-42836F11428A}"/>
    <cellStyle name="Total 6 9" xfId="19850" xr:uid="{E6352E72-BB16-4D4E-8400-3FD2DB7310FF}"/>
    <cellStyle name="Total 6 9 2" xfId="19851" xr:uid="{D295EAFF-7DA5-482C-959F-ED7B554ACA8A}"/>
    <cellStyle name="Total 7" xfId="3344" xr:uid="{B60A218D-F73D-43D5-BF0F-88E186B6C1B3}"/>
    <cellStyle name="Total 7 10" xfId="19853" xr:uid="{B7F156FC-8F4E-4FF6-9A22-511803A1B287}"/>
    <cellStyle name="Total 7 11" xfId="19854" xr:uid="{38D12377-5067-43E8-8BEC-B4D1AA06BE81}"/>
    <cellStyle name="Total 7 12" xfId="19852" xr:uid="{02EEF1F2-FB78-425F-AFFF-D6A06785DA0D}"/>
    <cellStyle name="Total 7 2" xfId="19855" xr:uid="{8E366A0F-D65A-4AAE-8A56-DFAA23FF670B}"/>
    <cellStyle name="Total 7 2 2" xfId="19856" xr:uid="{1A66A4D2-4B5A-4C55-AF8C-BAD26D902BC6}"/>
    <cellStyle name="Total 7 2 2 2" xfId="19857" xr:uid="{8D6C1836-EF71-4F57-9EA8-01ED11FD6D1E}"/>
    <cellStyle name="Total 7 2 3" xfId="19858" xr:uid="{50E1C036-A7D6-48F6-AD37-2DC26E2013D3}"/>
    <cellStyle name="Total 7 2 3 2" xfId="19859" xr:uid="{2F361255-7920-4C80-8873-1B001DC570E7}"/>
    <cellStyle name="Total 7 2 4" xfId="19860" xr:uid="{E1F14130-2905-4DD8-9AEC-368B50C94B22}"/>
    <cellStyle name="Total 7 2 5" xfId="19861" xr:uid="{3AB104B7-8B7F-4230-87E1-E2B84C72963E}"/>
    <cellStyle name="Total 7 3" xfId="19862" xr:uid="{3258B714-02C3-4720-BBA2-1B895A48A532}"/>
    <cellStyle name="Total 7 3 2" xfId="19863" xr:uid="{FDA1176B-C46F-4E6D-A92E-1B313530B631}"/>
    <cellStyle name="Total 7 3 2 2" xfId="19864" xr:uid="{B3DF5177-1886-44B0-A2D1-CE0924F609D0}"/>
    <cellStyle name="Total 7 3 3" xfId="19865" xr:uid="{E15B0B17-E66F-4238-999C-266F60120812}"/>
    <cellStyle name="Total 7 3 3 2" xfId="19866" xr:uid="{E1FAF10D-73BD-423D-BB8A-6864B5FC14A2}"/>
    <cellStyle name="Total 7 3 4" xfId="19867" xr:uid="{C5A47FD9-3C7F-4F27-96D9-568258D9CAD2}"/>
    <cellStyle name="Total 7 4" xfId="19868" xr:uid="{D9C445C3-5595-4474-978B-CE882DBE95BB}"/>
    <cellStyle name="Total 7 4 2" xfId="19869" xr:uid="{33D91CBA-74DD-4210-A0F3-B1F968BC9480}"/>
    <cellStyle name="Total 7 4 2 2" xfId="19870" xr:uid="{BE084093-07FC-4A45-9A44-E28A0B44C8FD}"/>
    <cellStyle name="Total 7 4 3" xfId="19871" xr:uid="{10170A2B-7922-4697-8595-13CA3CC22D78}"/>
    <cellStyle name="Total 7 4 3 2" xfId="19872" xr:uid="{46F7F15F-7606-490B-9F52-080DFD0008B2}"/>
    <cellStyle name="Total 7 4 4" xfId="19873" xr:uid="{2E7D0790-E42D-4B2D-82B4-65223CB53797}"/>
    <cellStyle name="Total 7 5" xfId="19874" xr:uid="{1B945E4D-65A8-4585-8568-0A8CC888E5CB}"/>
    <cellStyle name="Total 7 5 2" xfId="19875" xr:uid="{895CFA46-2B1B-4E87-8F6D-FE4BB0FBE941}"/>
    <cellStyle name="Total 7 5 2 2" xfId="19876" xr:uid="{2F80E223-6D94-417C-853E-7C8377C5D8C2}"/>
    <cellStyle name="Total 7 5 3" xfId="19877" xr:uid="{EC35791C-99CA-492A-99F4-946A17C53BDE}"/>
    <cellStyle name="Total 7 5 3 2" xfId="19878" xr:uid="{AFF453C2-C7F0-4AB3-BE5C-8267B4325E07}"/>
    <cellStyle name="Total 7 5 4" xfId="19879" xr:uid="{C07481A3-400C-4794-97CE-82D0D4E95E18}"/>
    <cellStyle name="Total 7 5 4 2" xfId="19880" xr:uid="{82B72BAD-DFA7-40CD-BA9B-5BAD4B46578A}"/>
    <cellStyle name="Total 7 5 5" xfId="19881" xr:uid="{62258AE6-E012-49E9-B9E9-185A56F47BB1}"/>
    <cellStyle name="Total 7 6" xfId="19882" xr:uid="{3E43CED6-43B6-4203-AAB7-EC8182E82466}"/>
    <cellStyle name="Total 7 6 2" xfId="19883" xr:uid="{6C8DE918-9D33-4D41-9D09-7D8A4431F19A}"/>
    <cellStyle name="Total 7 6 2 2" xfId="19884" xr:uid="{6478AA12-F9B6-4D44-8EE0-4975D49C06F3}"/>
    <cellStyle name="Total 7 6 3" xfId="19885" xr:uid="{D590E464-7820-48DB-97E9-94841B753666}"/>
    <cellStyle name="Total 7 6 3 2" xfId="19886" xr:uid="{4332975D-D93E-4FC2-8835-0428D134C5BF}"/>
    <cellStyle name="Total 7 6 4" xfId="19887" xr:uid="{02B287DA-321E-4C08-AFCE-1E120655E6F4}"/>
    <cellStyle name="Total 7 7" xfId="19888" xr:uid="{F6E96B19-4DE1-4DDB-B7BF-7CEA5D5D1C90}"/>
    <cellStyle name="Total 7 7 2" xfId="19889" xr:uid="{CF582C5F-8D01-4E81-9006-65DFF225FD3F}"/>
    <cellStyle name="Total 7 8" xfId="19890" xr:uid="{9ED1C8B1-17D3-49AD-9CB1-B70D4B7DB092}"/>
    <cellStyle name="Total 7 8 2" xfId="19891" xr:uid="{7EA1E85F-32E5-4402-9223-D5C2ED4B4CE1}"/>
    <cellStyle name="Total 7 9" xfId="19892" xr:uid="{F11554FC-F527-4BAA-A2A1-F9ECBFF0E909}"/>
    <cellStyle name="Total 7 9 2" xfId="19893" xr:uid="{C026F78A-A488-4EB7-9F0E-08CF237F8FD6}"/>
    <cellStyle name="Total 8" xfId="3345" xr:uid="{C5C419FA-8193-47C7-AE73-68A5B38599FD}"/>
    <cellStyle name="Total 8 10" xfId="19895" xr:uid="{5DCB2930-613E-49B6-9E19-D0A7EE08E08B}"/>
    <cellStyle name="Total 8 11" xfId="19896" xr:uid="{37D83915-8AF9-43B4-9952-60ADC7FAA28A}"/>
    <cellStyle name="Total 8 12" xfId="19894" xr:uid="{0BA09182-5B60-4CBC-BC4A-4F910D5FCED4}"/>
    <cellStyle name="Total 8 2" xfId="19897" xr:uid="{833FC8FC-2010-407B-9847-1298C7039A09}"/>
    <cellStyle name="Total 8 2 2" xfId="19898" xr:uid="{6D713DAD-38D1-4F1E-A69E-9EBD4224173B}"/>
    <cellStyle name="Total 8 2 2 2" xfId="19899" xr:uid="{16BFAC21-6D26-4574-BE93-552E8E2201D2}"/>
    <cellStyle name="Total 8 2 3" xfId="19900" xr:uid="{116FC57B-36AD-4BE3-8983-72F08082F099}"/>
    <cellStyle name="Total 8 2 3 2" xfId="19901" xr:uid="{9C4827F6-EFBF-47AA-876B-F8A7C21DE91A}"/>
    <cellStyle name="Total 8 2 4" xfId="19902" xr:uid="{57A39223-CF43-4FCA-A669-1C3F633BD53B}"/>
    <cellStyle name="Total 8 2 5" xfId="19903" xr:uid="{C02E7121-99F1-4717-9D0F-626C60CC068A}"/>
    <cellStyle name="Total 8 3" xfId="19904" xr:uid="{BD7EFEAB-40C6-4061-9DCD-A3BBA06A4FEF}"/>
    <cellStyle name="Total 8 3 2" xfId="19905" xr:uid="{F942E3EB-87C3-4D93-91E0-2BE4C1FA352E}"/>
    <cellStyle name="Total 8 3 2 2" xfId="19906" xr:uid="{42B81944-B202-47A8-B212-E09680C49595}"/>
    <cellStyle name="Total 8 3 3" xfId="19907" xr:uid="{58B13C06-0457-4FF3-B86C-8A11292B0AF4}"/>
    <cellStyle name="Total 8 3 3 2" xfId="19908" xr:uid="{8FD0D79D-85AD-4AB6-B179-D1A0A023A9BB}"/>
    <cellStyle name="Total 8 3 4" xfId="19909" xr:uid="{8AF39E8B-62A5-4F4C-8F08-7392791CE28D}"/>
    <cellStyle name="Total 8 4" xfId="19910" xr:uid="{4260C5EF-00DE-429F-BEBC-B658944E1ACB}"/>
    <cellStyle name="Total 8 4 2" xfId="19911" xr:uid="{72AFA8BA-C996-4F29-A862-73FC7575AE39}"/>
    <cellStyle name="Total 8 4 2 2" xfId="19912" xr:uid="{06B7DE62-5BFA-4673-8CD6-1F1CEDD22684}"/>
    <cellStyle name="Total 8 4 3" xfId="19913" xr:uid="{D2DBFD43-525D-4194-9B85-082BF30BEFDB}"/>
    <cellStyle name="Total 8 4 3 2" xfId="19914" xr:uid="{AB7328CA-E255-4A30-ABC1-8BCEC21C68DF}"/>
    <cellStyle name="Total 8 4 4" xfId="19915" xr:uid="{FC4FA8C4-2089-46E1-B1A5-D5E3D34E395D}"/>
    <cellStyle name="Total 8 5" xfId="19916" xr:uid="{7F6424B8-F520-4241-B78C-F1E7473EC163}"/>
    <cellStyle name="Total 8 5 2" xfId="19917" xr:uid="{78C35FED-B71E-4F38-AF08-C0FAF26552A8}"/>
    <cellStyle name="Total 8 5 2 2" xfId="19918" xr:uid="{13BEF275-B9B1-4232-80D5-1AE62AF1D517}"/>
    <cellStyle name="Total 8 5 3" xfId="19919" xr:uid="{85197EB1-6E96-44CA-8074-A965CC552F20}"/>
    <cellStyle name="Total 8 5 3 2" xfId="19920" xr:uid="{FD90DBFB-AF58-4EC5-AA8C-87C8DB6FF935}"/>
    <cellStyle name="Total 8 5 4" xfId="19921" xr:uid="{4371A3B0-108E-4C14-84E0-68C4CE425672}"/>
    <cellStyle name="Total 8 5 4 2" xfId="19922" xr:uid="{89B7733C-6CDB-43EF-9ED2-AF3198AA4560}"/>
    <cellStyle name="Total 8 5 5" xfId="19923" xr:uid="{9340C421-0E81-409F-821C-DA2F98C030E4}"/>
    <cellStyle name="Total 8 6" xfId="19924" xr:uid="{3831D3BD-B966-4EAF-A758-2AABE435C16C}"/>
    <cellStyle name="Total 8 6 2" xfId="19925" xr:uid="{AC1BE711-443A-4F98-A635-790B9B8AFE96}"/>
    <cellStyle name="Total 8 6 2 2" xfId="19926" xr:uid="{48F7F1AF-38E4-45D6-9E68-59EDB9A345B8}"/>
    <cellStyle name="Total 8 6 3" xfId="19927" xr:uid="{7EE1B827-855D-461F-A1F0-6602C79C14E3}"/>
    <cellStyle name="Total 8 6 3 2" xfId="19928" xr:uid="{752CE389-993E-4841-ADF6-518384AAD1DF}"/>
    <cellStyle name="Total 8 6 4" xfId="19929" xr:uid="{48470152-AA37-42ED-BA76-6746D3ABF418}"/>
    <cellStyle name="Total 8 7" xfId="19930" xr:uid="{86084811-8DC1-4F38-951E-EFBE255DC956}"/>
    <cellStyle name="Total 8 7 2" xfId="19931" xr:uid="{5B58171F-1369-44CC-AA3D-AF0363CF17DB}"/>
    <cellStyle name="Total 8 8" xfId="19932" xr:uid="{8C0BA305-E667-48BB-AE38-AA2A52418CA5}"/>
    <cellStyle name="Total 8 8 2" xfId="19933" xr:uid="{4A7CEBFD-A7D6-444E-91DF-E49408EFE30E}"/>
    <cellStyle name="Total 8 9" xfId="19934" xr:uid="{2515E5F4-EB1E-4964-B848-9B6C6EB06245}"/>
    <cellStyle name="Total 8 9 2" xfId="19935" xr:uid="{19E5FDB6-44E8-4AE7-9A64-C40C7DBE8D84}"/>
    <cellStyle name="Total 9" xfId="3346" xr:uid="{B1417D77-57D3-4398-AFF3-55BE7CCFB0C1}"/>
    <cellStyle name="Total 9 10" xfId="19937" xr:uid="{2111A8E5-1131-43F1-84AE-78FC772E7BD5}"/>
    <cellStyle name="Total 9 11" xfId="19938" xr:uid="{8D0E1D49-1EC0-42A9-8B8A-4F2A37C28413}"/>
    <cellStyle name="Total 9 12" xfId="19936" xr:uid="{B9D54D05-B8FB-411D-AE54-818AA55E333A}"/>
    <cellStyle name="Total 9 2" xfId="19939" xr:uid="{EF3EF4C1-5B3C-49C4-A9D2-284F75DD846F}"/>
    <cellStyle name="Total 9 2 2" xfId="19940" xr:uid="{4E8CAD4F-A58D-431E-BFE4-B85C917FCB63}"/>
    <cellStyle name="Total 9 2 2 2" xfId="19941" xr:uid="{4B794A91-4CDF-4EAE-817E-7C818251F860}"/>
    <cellStyle name="Total 9 2 3" xfId="19942" xr:uid="{6EB4CBA1-2698-421A-85EB-F14FBC05BCDF}"/>
    <cellStyle name="Total 9 2 3 2" xfId="19943" xr:uid="{7CC8FC48-1AE8-440F-B494-1B998879B67D}"/>
    <cellStyle name="Total 9 2 4" xfId="19944" xr:uid="{33B15148-9FD0-4B84-9325-92A73030C47E}"/>
    <cellStyle name="Total 9 2 5" xfId="19945" xr:uid="{E35EC7F7-53F3-477D-B98D-CC60B7F0C064}"/>
    <cellStyle name="Total 9 3" xfId="19946" xr:uid="{ABABE41B-E13D-49C3-A592-AA7B0FDAE738}"/>
    <cellStyle name="Total 9 3 2" xfId="19947" xr:uid="{C256CD93-E07D-423C-BE90-405E65622E35}"/>
    <cellStyle name="Total 9 3 2 2" xfId="19948" xr:uid="{AD913FC9-8987-4129-9CFC-8163964A3ACD}"/>
    <cellStyle name="Total 9 3 3" xfId="19949" xr:uid="{E5086EAD-9A1A-45B6-B656-A556AE438B31}"/>
    <cellStyle name="Total 9 3 3 2" xfId="19950" xr:uid="{99A2C7D0-D952-42BC-8EAB-015F529CE5C2}"/>
    <cellStyle name="Total 9 3 4" xfId="19951" xr:uid="{4A7AF639-B30E-4532-BD3C-B78F8100D489}"/>
    <cellStyle name="Total 9 4" xfId="19952" xr:uid="{E453E768-86B2-48ED-8249-D967D3FCDB68}"/>
    <cellStyle name="Total 9 4 2" xfId="19953" xr:uid="{2F41D133-40D4-4E5B-8891-1224F273142D}"/>
    <cellStyle name="Total 9 4 2 2" xfId="19954" xr:uid="{6FC91C8D-4B7F-49D0-97D7-33012B653632}"/>
    <cellStyle name="Total 9 4 3" xfId="19955" xr:uid="{EC3311A9-354C-475F-9420-102C71D69573}"/>
    <cellStyle name="Total 9 4 3 2" xfId="19956" xr:uid="{A2EEE61B-75B6-4174-8F92-EFA9274C9C51}"/>
    <cellStyle name="Total 9 4 4" xfId="19957" xr:uid="{E0B29A60-0D36-4109-9D5D-8F1D9E4CB125}"/>
    <cellStyle name="Total 9 5" xfId="19958" xr:uid="{3FEBE639-01BE-40D1-A4D7-007DF54E826B}"/>
    <cellStyle name="Total 9 5 2" xfId="19959" xr:uid="{DD8A6781-01C4-441C-9C4B-40CC66DA5833}"/>
    <cellStyle name="Total 9 5 2 2" xfId="19960" xr:uid="{7654CD32-EA31-4DFB-8754-C3A3205EB964}"/>
    <cellStyle name="Total 9 5 3" xfId="19961" xr:uid="{E573FB2F-EC08-471F-BFAD-B67CDF238BD9}"/>
    <cellStyle name="Total 9 5 3 2" xfId="19962" xr:uid="{9BB9B5EA-742B-4E35-B9BC-616E9F4152EA}"/>
    <cellStyle name="Total 9 5 4" xfId="19963" xr:uid="{547F6AEF-95CE-4989-9621-472FBC0A1740}"/>
    <cellStyle name="Total 9 5 4 2" xfId="19964" xr:uid="{2E92C21D-1435-499C-AC11-6613EAF0C897}"/>
    <cellStyle name="Total 9 5 5" xfId="19965" xr:uid="{E868FD68-9F41-4C27-88E5-0B7A165F3B5A}"/>
    <cellStyle name="Total 9 6" xfId="19966" xr:uid="{112D1085-4F37-40AB-816D-8D4C0A9E3176}"/>
    <cellStyle name="Total 9 6 2" xfId="19967" xr:uid="{883748A3-DF9D-4E97-949E-77890C9B7E5F}"/>
    <cellStyle name="Total 9 6 2 2" xfId="19968" xr:uid="{78B78D80-BB97-48AD-9F4C-B3F31F2537B0}"/>
    <cellStyle name="Total 9 6 3" xfId="19969" xr:uid="{488C5599-FAE0-4AD5-8ABD-6177B3C330E0}"/>
    <cellStyle name="Total 9 6 3 2" xfId="19970" xr:uid="{2437CD52-5BF6-4C1A-9A36-B7D98B485EF9}"/>
    <cellStyle name="Total 9 6 4" xfId="19971" xr:uid="{344C5645-E962-4252-8A7E-D50DAEFEDA0C}"/>
    <cellStyle name="Total 9 7" xfId="19972" xr:uid="{C74EE616-1C9C-414E-AFCF-9B4E54C3F53E}"/>
    <cellStyle name="Total 9 7 2" xfId="19973" xr:uid="{9ADC746D-23A3-4B35-A456-A14559FE1CB7}"/>
    <cellStyle name="Total 9 8" xfId="19974" xr:uid="{166B7565-2757-4901-B261-F4F7100AD4F7}"/>
    <cellStyle name="Total 9 8 2" xfId="19975" xr:uid="{6993AEA5-04F3-45DE-886B-9DB055F96C3D}"/>
    <cellStyle name="Total 9 9" xfId="19976" xr:uid="{7468C970-CA65-40BA-B862-C95F10D0B3E0}"/>
    <cellStyle name="Total 9 9 2" xfId="19977" xr:uid="{6E48E61D-C39B-4281-AE29-33EEB004454B}"/>
    <cellStyle name="Überschrift" xfId="3347" xr:uid="{39849BD6-3992-48A3-B820-BB9CFE1BA7EB}"/>
    <cellStyle name="Überschrift 1" xfId="3348" xr:uid="{97DAFD3A-349C-4546-879E-C5B86A48FBDD}"/>
    <cellStyle name="Überschrift 1 10" xfId="19980" xr:uid="{600EB7C5-C1DC-40D6-B48C-5BE1F33559B1}"/>
    <cellStyle name="Überschrift 1 11" xfId="19981" xr:uid="{FC87823C-0899-4C16-B17A-797EE9D0B09B}"/>
    <cellStyle name="Überschrift 1 12" xfId="19979" xr:uid="{E1D42683-1E0B-4E82-A6EC-B9A0BC37CB32}"/>
    <cellStyle name="Überschrift 1 2" xfId="19982" xr:uid="{2167D305-8FB1-4F70-8BD5-006E345E1FA9}"/>
    <cellStyle name="Überschrift 1 2 2" xfId="19983" xr:uid="{A5E9A7CE-A17E-413E-916D-7F906290C66F}"/>
    <cellStyle name="Überschrift 1 2 2 2" xfId="19984" xr:uid="{7E3420A0-35D9-40D1-B621-DB0C26E2EAAE}"/>
    <cellStyle name="Überschrift 1 2 3" xfId="19985" xr:uid="{A5B2F800-9474-4732-AEC7-326410E9FDF3}"/>
    <cellStyle name="Überschrift 1 2 3 2" xfId="19986" xr:uid="{CBE842F9-02DE-4A9B-B8C1-91479BF20A43}"/>
    <cellStyle name="Überschrift 1 2 4" xfId="19987" xr:uid="{836E753A-9AFA-440E-8B5D-699345AEC0B2}"/>
    <cellStyle name="Überschrift 1 2 5" xfId="19988" xr:uid="{899BB2AF-A559-44B5-A57C-054E752BEA57}"/>
    <cellStyle name="Überschrift 1 3" xfId="19989" xr:uid="{C2F22ADF-AE58-4B45-A0FA-05806A5FD567}"/>
    <cellStyle name="Überschrift 1 3 2" xfId="19990" xr:uid="{B0BC52D1-B561-4FB7-9357-6AB90F7FBB85}"/>
    <cellStyle name="Überschrift 1 3 2 2" xfId="19991" xr:uid="{DA7060D8-A7C8-476A-A2D1-5E75E743DDF3}"/>
    <cellStyle name="Überschrift 1 3 3" xfId="19992" xr:uid="{A32798FA-826A-4B82-A0B0-FC9323789BBF}"/>
    <cellStyle name="Überschrift 1 3 3 2" xfId="19993" xr:uid="{A5D28E52-3852-4FC6-B76E-C5AC88F1FA4B}"/>
    <cellStyle name="Überschrift 1 3 4" xfId="19994" xr:uid="{1BCEE1F2-E046-4FC5-9CA6-DF85F334AD88}"/>
    <cellStyle name="Überschrift 1 4" xfId="19995" xr:uid="{6B8AE11E-1FE9-43F6-86AB-19848FB34508}"/>
    <cellStyle name="Überschrift 1 4 2" xfId="19996" xr:uid="{D3DBA4F1-D045-415C-AB8D-34DF559A2B1E}"/>
    <cellStyle name="Überschrift 1 4 2 2" xfId="19997" xr:uid="{DCFFD6F2-DA9A-4161-A3EB-413B87641B02}"/>
    <cellStyle name="Überschrift 1 4 3" xfId="19998" xr:uid="{E5D5CA51-E272-40A6-B268-ACDDF4AFC509}"/>
    <cellStyle name="Überschrift 1 4 3 2" xfId="19999" xr:uid="{BE104CBE-6A07-4B8D-A64C-950B49FF4D5E}"/>
    <cellStyle name="Überschrift 1 4 4" xfId="20000" xr:uid="{931798ED-09A9-4277-AFB9-49488FA945E4}"/>
    <cellStyle name="Überschrift 1 5" xfId="20001" xr:uid="{0F61B2AB-31B7-4285-9E89-A82F6F9B58F5}"/>
    <cellStyle name="Überschrift 1 5 2" xfId="20002" xr:uid="{8B152FA6-7028-499F-B976-55A467CE51AC}"/>
    <cellStyle name="Überschrift 1 5 2 2" xfId="20003" xr:uid="{085A839A-E550-4D02-A9A1-0C8CC294DC05}"/>
    <cellStyle name="Überschrift 1 5 3" xfId="20004" xr:uid="{3B98D39E-53CA-414D-A099-3CDB6655F9DC}"/>
    <cellStyle name="Überschrift 1 5 3 2" xfId="20005" xr:uid="{AB91ACEC-0345-4220-9C18-0FDC4693DFD0}"/>
    <cellStyle name="Überschrift 1 5 4" xfId="20006" xr:uid="{223051B0-FD26-49AB-8E03-406C04FC00CA}"/>
    <cellStyle name="Überschrift 1 5 4 2" xfId="20007" xr:uid="{E78B798F-AAF9-472A-8E57-094AE498E4BF}"/>
    <cellStyle name="Überschrift 1 5 5" xfId="20008" xr:uid="{136EFCF2-2E0E-49B4-9F59-F9AB7961E17E}"/>
    <cellStyle name="Überschrift 1 6" xfId="20009" xr:uid="{53245F1A-4BA6-43E3-8E51-7C3A5B267647}"/>
    <cellStyle name="Überschrift 1 6 2" xfId="20010" xr:uid="{812C8F90-201F-4B20-B736-6C1970025E5F}"/>
    <cellStyle name="Überschrift 1 6 2 2" xfId="20011" xr:uid="{6E023C2A-1512-46D6-A65A-DBD44685D63B}"/>
    <cellStyle name="Überschrift 1 6 3" xfId="20012" xr:uid="{3E3DF9EC-DEA3-41E7-879E-3A4CC3BD31A7}"/>
    <cellStyle name="Überschrift 1 6 3 2" xfId="20013" xr:uid="{49D8D93A-D065-4B2E-A512-B76AC630171B}"/>
    <cellStyle name="Überschrift 1 6 4" xfId="20014" xr:uid="{44BD0372-AFB2-4926-A70C-28F4455F867C}"/>
    <cellStyle name="Überschrift 1 7" xfId="20015" xr:uid="{55E85206-AE84-494A-813F-98D451560466}"/>
    <cellStyle name="Überschrift 1 7 2" xfId="20016" xr:uid="{78EC55FC-4D73-42C5-B101-A33DE91DBD06}"/>
    <cellStyle name="Überschrift 1 8" xfId="20017" xr:uid="{D9707E60-4D6E-44D6-BFCF-B9B432FCC272}"/>
    <cellStyle name="Überschrift 1 8 2" xfId="20018" xr:uid="{B4FBBEA6-1994-4D45-B758-6A6B2DF5A31D}"/>
    <cellStyle name="Überschrift 1 9" xfId="20019" xr:uid="{AC68EE7A-4838-499B-9EAB-E2B7CC412ECC}"/>
    <cellStyle name="Überschrift 1 9 2" xfId="20020" xr:uid="{93952F68-A872-4D58-A19D-834AAA9FC897}"/>
    <cellStyle name="Überschrift 10" xfId="20021" xr:uid="{08ABD30E-6857-4064-8766-F74AE1451013}"/>
    <cellStyle name="Überschrift 10 2" xfId="20022" xr:uid="{E8FDCF4D-DC79-4F87-A995-85C41B876414}"/>
    <cellStyle name="Überschrift 11" xfId="20023" xr:uid="{979233B6-8C48-4EC0-8C7E-5F43686A811C}"/>
    <cellStyle name="Überschrift 11 2" xfId="20024" xr:uid="{081C054B-DF27-4AF6-9809-FC54C0D4EC4E}"/>
    <cellStyle name="Überschrift 12" xfId="20025" xr:uid="{33928DF3-CE98-423C-B756-8452B41FB1DC}"/>
    <cellStyle name="Überschrift 12 2" xfId="20026" xr:uid="{D3E6848B-7AA8-4025-B8E3-4EB63C4F8795}"/>
    <cellStyle name="Überschrift 13" xfId="20027" xr:uid="{B9741DE2-B697-4027-8075-96139B273E6B}"/>
    <cellStyle name="Überschrift 14" xfId="20028" xr:uid="{58D3B32D-FD05-4C98-8EA6-F574E871D667}"/>
    <cellStyle name="Überschrift 15" xfId="19978" xr:uid="{68F900C6-70B6-474C-8D85-BE6A273D16FE}"/>
    <cellStyle name="Überschrift 2" xfId="3349" xr:uid="{11FF30D3-B4FC-4A06-8D94-CD0675A1F1AF}"/>
    <cellStyle name="Überschrift 2 10" xfId="20030" xr:uid="{AA2D0AB4-1DAB-4F82-B022-705FC18D857C}"/>
    <cellStyle name="Überschrift 2 11" xfId="20031" xr:uid="{4A85A4E8-CED1-4E77-8C17-9F5578BB1FD5}"/>
    <cellStyle name="Überschrift 2 12" xfId="20029" xr:uid="{53452B05-7A30-40D4-994E-A9B6F9667E19}"/>
    <cellStyle name="Überschrift 2 2" xfId="20032" xr:uid="{376CBBFC-79C5-43CF-88D2-5FB5CB2B2A31}"/>
    <cellStyle name="Überschrift 2 2 2" xfId="20033" xr:uid="{5B3D7D68-7286-4576-ACCF-E525DA38F475}"/>
    <cellStyle name="Überschrift 2 2 2 2" xfId="20034" xr:uid="{0E22E000-0C48-4711-8241-14974C8BAF04}"/>
    <cellStyle name="Überschrift 2 2 3" xfId="20035" xr:uid="{3245B497-CD88-4BE9-8156-7619DDF3E772}"/>
    <cellStyle name="Überschrift 2 2 3 2" xfId="20036" xr:uid="{DC15A286-E46A-42C0-AFCF-83F5947F5EFC}"/>
    <cellStyle name="Überschrift 2 2 4" xfId="20037" xr:uid="{7F84E5F7-8350-44AC-8834-A043BE42CDD1}"/>
    <cellStyle name="Überschrift 2 2 5" xfId="20038" xr:uid="{94F0B36E-C0F9-4A51-B867-0419BADA6368}"/>
    <cellStyle name="Überschrift 2 3" xfId="20039" xr:uid="{801BF888-FD54-43CD-B597-DE941DF9A30F}"/>
    <cellStyle name="Überschrift 2 3 2" xfId="20040" xr:uid="{7D68DE02-84C1-4F82-B9C8-C8F526F64ADD}"/>
    <cellStyle name="Überschrift 2 3 2 2" xfId="20041" xr:uid="{26C2A475-3B1A-4AEF-B290-5EF1376415D6}"/>
    <cellStyle name="Überschrift 2 3 3" xfId="20042" xr:uid="{DB4593A0-3B9C-482D-9C7B-DE433D2E5E98}"/>
    <cellStyle name="Überschrift 2 3 3 2" xfId="20043" xr:uid="{3B4E5B31-620D-4944-9FE1-54FA1498C82F}"/>
    <cellStyle name="Überschrift 2 3 4" xfId="20044" xr:uid="{1413BE3C-5B25-4D50-ABF6-EAA1E823C00E}"/>
    <cellStyle name="Überschrift 2 4" xfId="20045" xr:uid="{66457A11-615F-4D23-A557-9217A6E18B31}"/>
    <cellStyle name="Überschrift 2 4 2" xfId="20046" xr:uid="{420F39F3-1D94-4D57-8354-B231F78E0AE4}"/>
    <cellStyle name="Überschrift 2 4 2 2" xfId="20047" xr:uid="{9FF376D0-56F7-494E-8E03-BA7B226EFAF4}"/>
    <cellStyle name="Überschrift 2 4 3" xfId="20048" xr:uid="{5492C931-DE56-4269-95B0-064A4387FCB4}"/>
    <cellStyle name="Überschrift 2 4 3 2" xfId="20049" xr:uid="{D7F88E53-BF6A-48F3-8ED5-C50E4BEF6D81}"/>
    <cellStyle name="Überschrift 2 4 4" xfId="20050" xr:uid="{FEB650CA-85C4-4E97-8B8E-FBA090EA1660}"/>
    <cellStyle name="Überschrift 2 5" xfId="20051" xr:uid="{A19D77AC-5799-49AB-A7AE-868AB80DD877}"/>
    <cellStyle name="Überschrift 2 5 2" xfId="20052" xr:uid="{D821FC3A-D94C-4C78-923B-5C22D35AA375}"/>
    <cellStyle name="Überschrift 2 5 2 2" xfId="20053" xr:uid="{E8B8005E-1B21-4C24-835B-685747A5E8E0}"/>
    <cellStyle name="Überschrift 2 5 3" xfId="20054" xr:uid="{872C1371-1FFD-4A2C-8F31-799848D84ABC}"/>
    <cellStyle name="Überschrift 2 5 3 2" xfId="20055" xr:uid="{8BFC1267-DC43-48ED-94C7-5EA20CCC619B}"/>
    <cellStyle name="Überschrift 2 5 4" xfId="20056" xr:uid="{EE90BDD6-9F5D-4080-9BE4-A84A5C96609A}"/>
    <cellStyle name="Überschrift 2 5 4 2" xfId="20057" xr:uid="{1F09859F-6624-4E01-9D69-4F6174ACCC15}"/>
    <cellStyle name="Überschrift 2 5 5" xfId="20058" xr:uid="{BB3E7404-4BFA-48B0-BC00-42964914AF03}"/>
    <cellStyle name="Überschrift 2 6" xfId="20059" xr:uid="{4DD21862-E963-4325-8157-10FAC2DD5164}"/>
    <cellStyle name="Überschrift 2 6 2" xfId="20060" xr:uid="{E07719FB-B103-4FF6-8210-3ADE265BA86C}"/>
    <cellStyle name="Überschrift 2 6 2 2" xfId="20061" xr:uid="{DECA2E90-5746-4AB1-A614-8E69B8380B12}"/>
    <cellStyle name="Überschrift 2 6 3" xfId="20062" xr:uid="{E6BCDAEF-5A72-4BF8-8286-72ABF7E46F35}"/>
    <cellStyle name="Überschrift 2 6 3 2" xfId="20063" xr:uid="{B0FA3E50-1EC7-4B56-B624-3017BE706140}"/>
    <cellStyle name="Überschrift 2 6 4" xfId="20064" xr:uid="{55784D20-07A1-4D49-B870-AAF393B32C25}"/>
    <cellStyle name="Überschrift 2 7" xfId="20065" xr:uid="{04F899B3-78A1-4718-8F97-49A649C58864}"/>
    <cellStyle name="Überschrift 2 7 2" xfId="20066" xr:uid="{61CE6445-48BF-41F2-AFC4-09A28E15232C}"/>
    <cellStyle name="Überschrift 2 8" xfId="20067" xr:uid="{AB54B33B-6A16-4B1C-96FA-01CE5F83CF96}"/>
    <cellStyle name="Überschrift 2 8 2" xfId="20068" xr:uid="{C9939F4E-464B-4648-90BA-FC8B2662E047}"/>
    <cellStyle name="Überschrift 2 9" xfId="20069" xr:uid="{C473ADC3-9E07-4964-ACA7-E584731DE53C}"/>
    <cellStyle name="Überschrift 2 9 2" xfId="20070" xr:uid="{9DCAD36E-D6B9-43E9-A269-E3AE97D77E22}"/>
    <cellStyle name="Überschrift 3" xfId="3350" xr:uid="{77B207C9-7E9F-488B-9FBA-AB05D36EDDE9}"/>
    <cellStyle name="Überschrift 3 10" xfId="20072" xr:uid="{BA4819E3-611A-41EB-B083-F3578DA084FB}"/>
    <cellStyle name="Überschrift 3 11" xfId="20073" xr:uid="{9CD1432A-9985-4A9A-812A-C28163312631}"/>
    <cellStyle name="Überschrift 3 12" xfId="20071" xr:uid="{3C2ADD63-1F64-4474-8E5D-87A1F6A089A9}"/>
    <cellStyle name="Überschrift 3 2" xfId="20074" xr:uid="{7CB8CA68-E333-4C0D-81E8-34B4DCB1CB92}"/>
    <cellStyle name="Überschrift 3 2 2" xfId="20075" xr:uid="{E50398BA-676B-4011-8DDE-CCA24B63FE2E}"/>
    <cellStyle name="Überschrift 3 2 2 2" xfId="20076" xr:uid="{4D56A4BF-52AD-477C-901B-B8A70550E173}"/>
    <cellStyle name="Überschrift 3 2 3" xfId="20077" xr:uid="{F41E548D-A0C0-4D05-A1A8-0472BA491CD9}"/>
    <cellStyle name="Überschrift 3 2 3 2" xfId="20078" xr:uid="{0BBC2FB2-CBE2-45A9-AA28-2A41F335FFDB}"/>
    <cellStyle name="Überschrift 3 2 4" xfId="20079" xr:uid="{2491FF10-85EB-4AB5-B4E9-2576D0ADE0AA}"/>
    <cellStyle name="Überschrift 3 2 5" xfId="20080" xr:uid="{E9114034-0D49-41CD-9DFC-9670762FA847}"/>
    <cellStyle name="Überschrift 3 3" xfId="20081" xr:uid="{DBBD55DF-9898-4090-835C-51BFB773057C}"/>
    <cellStyle name="Überschrift 3 3 2" xfId="20082" xr:uid="{A27F180E-8207-4B4B-8262-15817FE2ED00}"/>
    <cellStyle name="Überschrift 3 3 2 2" xfId="20083" xr:uid="{1B229E00-4D27-4E19-B6F3-573D5D517CDC}"/>
    <cellStyle name="Überschrift 3 3 3" xfId="20084" xr:uid="{AFF194D0-1AEF-45F6-AB9C-6CD3F7E239B5}"/>
    <cellStyle name="Überschrift 3 3 3 2" xfId="20085" xr:uid="{C8367C80-9116-46FD-9C3E-02A3DB75A4AD}"/>
    <cellStyle name="Überschrift 3 3 4" xfId="20086" xr:uid="{45AFE1D2-FEC8-4D53-A9B2-254ADCCF865A}"/>
    <cellStyle name="Überschrift 3 4" xfId="20087" xr:uid="{A910F076-96D0-41A9-B5F4-63B072FA5B87}"/>
    <cellStyle name="Überschrift 3 4 2" xfId="20088" xr:uid="{9A23039D-4FDA-4E86-B380-210A19B4419C}"/>
    <cellStyle name="Überschrift 3 4 2 2" xfId="20089" xr:uid="{E7A1454D-71A2-4926-9DAA-127DD11B5512}"/>
    <cellStyle name="Überschrift 3 4 3" xfId="20090" xr:uid="{EF92BE24-F7D7-4351-B950-9DA7507E7999}"/>
    <cellStyle name="Überschrift 3 4 3 2" xfId="20091" xr:uid="{B11044F1-170B-4C76-B6BE-CCFA79F3FBED}"/>
    <cellStyle name="Überschrift 3 4 4" xfId="20092" xr:uid="{5355D246-D950-49E9-9956-C4FD9204995C}"/>
    <cellStyle name="Überschrift 3 5" xfId="20093" xr:uid="{01ED4BC3-FB34-49DB-BDDA-D2CF5380717E}"/>
    <cellStyle name="Überschrift 3 5 2" xfId="20094" xr:uid="{39112923-71F7-41DF-8B4D-12AB1B0AEA6E}"/>
    <cellStyle name="Überschrift 3 5 2 2" xfId="20095" xr:uid="{F20571E5-F50C-4BCE-892B-91075674D24A}"/>
    <cellStyle name="Überschrift 3 5 3" xfId="20096" xr:uid="{764B8E81-ADFF-469F-939D-6B975DB49D15}"/>
    <cellStyle name="Überschrift 3 5 3 2" xfId="20097" xr:uid="{4BCF290E-35EF-406E-BBA3-C6AC21E76252}"/>
    <cellStyle name="Überschrift 3 5 4" xfId="20098" xr:uid="{FB55365C-A868-4AA2-8C2D-DFF8C83D4AEF}"/>
    <cellStyle name="Überschrift 3 5 4 2" xfId="20099" xr:uid="{EF044A32-5D2B-41C2-A639-E77D46662840}"/>
    <cellStyle name="Überschrift 3 5 5" xfId="20100" xr:uid="{275FE158-3D42-4844-9EC0-C0B8750E6F42}"/>
    <cellStyle name="Überschrift 3 6" xfId="20101" xr:uid="{095EBF09-9FE0-4034-B21E-293DCC3B814F}"/>
    <cellStyle name="Überschrift 3 6 2" xfId="20102" xr:uid="{4670E428-5386-49DF-962A-5F3020647054}"/>
    <cellStyle name="Überschrift 3 6 2 2" xfId="20103" xr:uid="{D5883360-459E-49B9-85AD-A6EF11271A41}"/>
    <cellStyle name="Überschrift 3 6 3" xfId="20104" xr:uid="{EEA969F3-6D6F-4527-8DC0-199A7ACBFD9F}"/>
    <cellStyle name="Überschrift 3 6 3 2" xfId="20105" xr:uid="{996D71E1-FA58-4569-A196-1A0D8C56EA7B}"/>
    <cellStyle name="Überschrift 3 6 4" xfId="20106" xr:uid="{164C2715-5CA6-4CAB-B011-990CEFF52B93}"/>
    <cellStyle name="Überschrift 3 7" xfId="20107" xr:uid="{4DE9EE80-7216-4459-AE2C-3E055FF7351B}"/>
    <cellStyle name="Überschrift 3 7 2" xfId="20108" xr:uid="{BC3ED456-27F4-414D-B81A-4B408366901A}"/>
    <cellStyle name="Überschrift 3 8" xfId="20109" xr:uid="{DB65B46B-D694-4122-8ED8-89274ED7DF88}"/>
    <cellStyle name="Überschrift 3 8 2" xfId="20110" xr:uid="{93B71E40-B7C5-4B72-BA2C-BCA71F5E6B5B}"/>
    <cellStyle name="Überschrift 3 9" xfId="20111" xr:uid="{921A5C05-C989-4FB9-902C-EBEC5EBEC9F4}"/>
    <cellStyle name="Überschrift 3 9 2" xfId="20112" xr:uid="{37D61A68-123A-4894-A61A-EA157E2B3BD2}"/>
    <cellStyle name="Überschrift 4" xfId="3351" xr:uid="{E26FFA2B-B8EF-4563-A962-CA4654A0FC5C}"/>
    <cellStyle name="Überschrift 4 10" xfId="20114" xr:uid="{E97139A3-2C3C-41AC-8D53-6CE71336DDB6}"/>
    <cellStyle name="Überschrift 4 11" xfId="20115" xr:uid="{D1A79419-0E6C-4E3F-ADF9-4A406E036380}"/>
    <cellStyle name="Überschrift 4 12" xfId="20113" xr:uid="{99C9D1F8-4CBB-4AFF-AB4A-7263FED2B46C}"/>
    <cellStyle name="Überschrift 4 2" xfId="20116" xr:uid="{0683DE08-577F-46A4-80DC-AD83C13AB14B}"/>
    <cellStyle name="Überschrift 4 2 2" xfId="20117" xr:uid="{6113C717-806D-4042-960D-5018D1609C06}"/>
    <cellStyle name="Überschrift 4 2 2 2" xfId="20118" xr:uid="{290CC9E7-690C-4328-9663-C710E222CC34}"/>
    <cellStyle name="Überschrift 4 2 3" xfId="20119" xr:uid="{3ADC2EBE-6933-4DA7-B100-C82185D3C1DA}"/>
    <cellStyle name="Überschrift 4 2 3 2" xfId="20120" xr:uid="{91578807-F0E9-499A-9062-3DF93F1D0C8E}"/>
    <cellStyle name="Überschrift 4 2 4" xfId="20121" xr:uid="{D74259F5-7A1D-4EB5-ADFC-530E39B91266}"/>
    <cellStyle name="Überschrift 4 2 5" xfId="20122" xr:uid="{BE911B7B-9EC7-4143-8149-AB994E8398AC}"/>
    <cellStyle name="Überschrift 4 3" xfId="20123" xr:uid="{30EDBFA6-9CA9-4237-A1A5-394C954E1694}"/>
    <cellStyle name="Überschrift 4 3 2" xfId="20124" xr:uid="{D25FAE9C-2FCC-458E-984C-9B55CC854910}"/>
    <cellStyle name="Überschrift 4 3 2 2" xfId="20125" xr:uid="{950AD380-E8F6-4F86-AE80-27789E34B3A9}"/>
    <cellStyle name="Überschrift 4 3 3" xfId="20126" xr:uid="{D07C91C5-5544-457E-A3C2-924E51E16679}"/>
    <cellStyle name="Überschrift 4 3 3 2" xfId="20127" xr:uid="{A8CD3E93-FD20-420D-B580-1B6C94475DB4}"/>
    <cellStyle name="Überschrift 4 3 4" xfId="20128" xr:uid="{8DF0CACD-5B48-4BB0-B8CC-105C9CA263A7}"/>
    <cellStyle name="Überschrift 4 4" xfId="20129" xr:uid="{2D2272F4-16EA-4176-AE38-B291356E989D}"/>
    <cellStyle name="Überschrift 4 4 2" xfId="20130" xr:uid="{A1070C1E-DEBE-48C2-B3D7-06CEBBD7DF8B}"/>
    <cellStyle name="Überschrift 4 4 2 2" xfId="20131" xr:uid="{3A922B8A-C3FD-4830-8862-8BBEF2E18A89}"/>
    <cellStyle name="Überschrift 4 4 3" xfId="20132" xr:uid="{21B3E492-7121-475F-9BFA-07492406F7C2}"/>
    <cellStyle name="Überschrift 4 4 3 2" xfId="20133" xr:uid="{58A07D9E-1FF7-439E-A8E9-DDA54E717DFF}"/>
    <cellStyle name="Überschrift 4 4 4" xfId="20134" xr:uid="{7DD9ED5E-560F-4D75-BDE9-D9DBDC9D86B1}"/>
    <cellStyle name="Überschrift 4 5" xfId="20135" xr:uid="{41F47940-E108-4134-8C08-83D8EE1922D2}"/>
    <cellStyle name="Überschrift 4 5 2" xfId="20136" xr:uid="{47BFD8FB-55CA-4C24-975A-E050192702AA}"/>
    <cellStyle name="Überschrift 4 5 2 2" xfId="20137" xr:uid="{EA975EC8-A049-491B-8C72-1953C1E7DE30}"/>
    <cellStyle name="Überschrift 4 5 3" xfId="20138" xr:uid="{7826614D-84C9-45F8-A8C2-B04E8BBDA71B}"/>
    <cellStyle name="Überschrift 4 5 3 2" xfId="20139" xr:uid="{6CC7FEFE-B9B1-4111-9DE7-6FC359C158E9}"/>
    <cellStyle name="Überschrift 4 5 4" xfId="20140" xr:uid="{D19AAB81-1D9C-401C-A805-D7394AB5790A}"/>
    <cellStyle name="Überschrift 4 5 4 2" xfId="20141" xr:uid="{F9BC5D4F-A2D8-4A18-BAA9-773A6F4F23E0}"/>
    <cellStyle name="Überschrift 4 5 5" xfId="20142" xr:uid="{B51F417B-FDA9-4C5C-8432-E449C4A39278}"/>
    <cellStyle name="Überschrift 4 6" xfId="20143" xr:uid="{69B48727-BF1A-4A2D-9D10-1F1AA4A19A7E}"/>
    <cellStyle name="Überschrift 4 6 2" xfId="20144" xr:uid="{194A9C44-36A3-433E-9275-2DC1D4DC2EAF}"/>
    <cellStyle name="Überschrift 4 6 2 2" xfId="20145" xr:uid="{89D8DA10-5636-4B2B-9F3B-C3AA142BF11E}"/>
    <cellStyle name="Überschrift 4 6 3" xfId="20146" xr:uid="{EFB204C1-2BFD-4426-A269-0236939BDCD4}"/>
    <cellStyle name="Überschrift 4 6 3 2" xfId="20147" xr:uid="{0ADB1304-46E5-4A77-91BC-8D8E21745D14}"/>
    <cellStyle name="Überschrift 4 6 4" xfId="20148" xr:uid="{38AF37F2-2637-4E5E-A3DE-FAE97D865E54}"/>
    <cellStyle name="Überschrift 4 7" xfId="20149" xr:uid="{60EF17A6-7656-4A19-8157-E4F6AEDAD88B}"/>
    <cellStyle name="Überschrift 4 7 2" xfId="20150" xr:uid="{A47796B6-8F7D-4777-9C20-AA83616E8CF9}"/>
    <cellStyle name="Überschrift 4 8" xfId="20151" xr:uid="{8B256166-D213-438C-AFD6-E5E478E6578A}"/>
    <cellStyle name="Überschrift 4 8 2" xfId="20152" xr:uid="{31E8550F-3E74-4318-B5F8-1233B419CEBF}"/>
    <cellStyle name="Überschrift 4 9" xfId="20153" xr:uid="{0D1490E7-81E6-4292-90A6-ACA5331F9A97}"/>
    <cellStyle name="Überschrift 4 9 2" xfId="20154" xr:uid="{E696B9C3-DF3B-45B7-9E5A-9DA8FC4AD622}"/>
    <cellStyle name="Überschrift 5" xfId="20155" xr:uid="{AF6AA266-0516-40C5-8DCE-E1FD9191935A}"/>
    <cellStyle name="Überschrift 5 2" xfId="20156" xr:uid="{431A203A-4D73-4492-8599-F690A7BA5A54}"/>
    <cellStyle name="Überschrift 5 2 2" xfId="20157" xr:uid="{8A7C5F37-DFCC-48AB-AD2A-FB7CBC8A5C71}"/>
    <cellStyle name="Überschrift 5 3" xfId="20158" xr:uid="{555C3CB6-C43B-4EF9-9EC6-3DC6FF5B65BC}"/>
    <cellStyle name="Überschrift 5 3 2" xfId="20159" xr:uid="{65C53369-1BA4-4A09-A3DD-D012ABD28D2F}"/>
    <cellStyle name="Überschrift 5 4" xfId="20160" xr:uid="{67A9FBB9-4135-4A03-9293-A27A323F0904}"/>
    <cellStyle name="Überschrift 5 5" xfId="20161" xr:uid="{A8FEF439-543C-4FD7-AFA9-257051D9B08F}"/>
    <cellStyle name="Überschrift 6" xfId="20162" xr:uid="{FD0EC2DD-FCBE-4BAC-AE99-49E45A088F05}"/>
    <cellStyle name="Überschrift 6 2" xfId="20163" xr:uid="{B96339F4-F3CD-44D8-B979-76EC4D3BAD19}"/>
    <cellStyle name="Überschrift 6 2 2" xfId="20164" xr:uid="{7DBA1B44-3382-485C-A08B-56079291A741}"/>
    <cellStyle name="Überschrift 6 3" xfId="20165" xr:uid="{B8A2C572-2612-4798-8581-4FDF6616DAF5}"/>
    <cellStyle name="Überschrift 6 3 2" xfId="20166" xr:uid="{7FC18FAF-BC30-46D2-B54C-266F4997151A}"/>
    <cellStyle name="Überschrift 6 4" xfId="20167" xr:uid="{64AAC967-BBF8-4BE5-82B2-0981F84A6BCF}"/>
    <cellStyle name="Überschrift 7" xfId="20168" xr:uid="{6A946168-F54A-4BA6-B68F-4DB9FDE090B8}"/>
    <cellStyle name="Überschrift 7 2" xfId="20169" xr:uid="{3AA26AC8-104B-428E-A37E-2BFACCCD540E}"/>
    <cellStyle name="Überschrift 7 2 2" xfId="20170" xr:uid="{1A900072-B98B-40DD-9EBD-1E85496A97EC}"/>
    <cellStyle name="Überschrift 7 3" xfId="20171" xr:uid="{0998FD49-024C-4129-B0EA-E7AF7F71C9FF}"/>
    <cellStyle name="Überschrift 7 3 2" xfId="20172" xr:uid="{20925B87-B88D-4810-816B-ABB08444649A}"/>
    <cellStyle name="Überschrift 7 4" xfId="20173" xr:uid="{F885659B-382F-4618-B8AE-D3A10EE18E24}"/>
    <cellStyle name="Überschrift 8" xfId="20174" xr:uid="{3F16C436-9943-44B4-9FAB-D92BB107470F}"/>
    <cellStyle name="Überschrift 8 2" xfId="20175" xr:uid="{09FCC5B1-CCE7-4D4D-AA8D-72CA51C4326F}"/>
    <cellStyle name="Überschrift 8 2 2" xfId="20176" xr:uid="{8EBE91AF-5CCC-47D4-803E-BD5A36FE1853}"/>
    <cellStyle name="Überschrift 8 3" xfId="20177" xr:uid="{3B13B4A8-8AC5-4A32-AAB8-05B790B55501}"/>
    <cellStyle name="Überschrift 8 3 2" xfId="20178" xr:uid="{9D1B4108-15AB-4EEE-B8AA-1D77AD917E7D}"/>
    <cellStyle name="Überschrift 8 4" xfId="20179" xr:uid="{B779B5CB-E7D1-4FCE-AB60-FD50792C1994}"/>
    <cellStyle name="Überschrift 8 4 2" xfId="20180" xr:uid="{CB46746B-47C1-4109-98FF-66520E96B69D}"/>
    <cellStyle name="Überschrift 8 5" xfId="20181" xr:uid="{61243CBF-D646-4B07-B069-23580D0EF4D8}"/>
    <cellStyle name="Überschrift 9" xfId="20182" xr:uid="{A2ED771E-6561-4B75-8D65-05686E4D85AA}"/>
    <cellStyle name="Überschrift 9 2" xfId="20183" xr:uid="{099D5880-801C-48A7-BBA1-DC81F0F6B061}"/>
    <cellStyle name="Überschrift 9 2 2" xfId="20184" xr:uid="{8600B6FE-CC32-4FD4-94FB-29B4494CE8FD}"/>
    <cellStyle name="Überschrift 9 3" xfId="20185" xr:uid="{BDA57238-7C29-45F3-BDBD-218EB6DDAB52}"/>
    <cellStyle name="Überschrift 9 3 2" xfId="20186" xr:uid="{712122C8-4AE2-45BC-A399-0E7146BACDAF}"/>
    <cellStyle name="Überschrift 9 4" xfId="20187" xr:uid="{8CB6DFF3-B035-47A3-9728-4F59EBE62654}"/>
    <cellStyle name="Valuutta_Layo9704" xfId="319" xr:uid="{BE273EE3-F54A-412B-912A-BCF88958CD14}"/>
    <cellStyle name="Verknüpfte Zelle" xfId="3352" xr:uid="{5CFFD958-EBAA-4179-8A01-A8A800EE33F1}"/>
    <cellStyle name="Verknüpfte Zelle 10" xfId="20189" xr:uid="{BA95F0D4-5DC9-4CF7-95E6-AEF1F3D89CCE}"/>
    <cellStyle name="Verknüpfte Zelle 11" xfId="20190" xr:uid="{81BEDA03-0470-4678-B3FA-0A5AD5B68125}"/>
    <cellStyle name="Verknüpfte Zelle 12" xfId="20188" xr:uid="{7EB616F8-1FAD-4A0B-83E8-9F3706D4489F}"/>
    <cellStyle name="Verknüpfte Zelle 2" xfId="20191" xr:uid="{6392C5A7-7A8C-47E8-8835-3F303236EFC0}"/>
    <cellStyle name="Verknüpfte Zelle 2 2" xfId="20192" xr:uid="{7D4326AA-E507-43EE-87AA-9A9AD388F6A5}"/>
    <cellStyle name="Verknüpfte Zelle 2 2 2" xfId="20193" xr:uid="{386F7965-D00B-4CA1-9C30-F1185E8813EF}"/>
    <cellStyle name="Verknüpfte Zelle 2 3" xfId="20194" xr:uid="{CDEF9ABE-A240-496E-B71C-7835A9B7798E}"/>
    <cellStyle name="Verknüpfte Zelle 2 3 2" xfId="20195" xr:uid="{73BF8029-C21F-4D70-9BC2-77E381FD1FE7}"/>
    <cellStyle name="Verknüpfte Zelle 2 4" xfId="20196" xr:uid="{9306569C-3EC5-473D-AA6E-86AFB6EEACDC}"/>
    <cellStyle name="Verknüpfte Zelle 2 5" xfId="20197" xr:uid="{B341F108-1054-4583-937A-BDE4A8B61FCD}"/>
    <cellStyle name="Verknüpfte Zelle 3" xfId="20198" xr:uid="{05841A20-8137-4A9F-B9A2-F1DADB349135}"/>
    <cellStyle name="Verknüpfte Zelle 3 2" xfId="20199" xr:uid="{CF3E6055-9F64-4368-8C2D-3E7841BD7580}"/>
    <cellStyle name="Verknüpfte Zelle 3 2 2" xfId="20200" xr:uid="{5E9FE896-BEB8-4008-953C-0EF23F08304C}"/>
    <cellStyle name="Verknüpfte Zelle 3 3" xfId="20201" xr:uid="{8D01F468-AE1B-4804-AB7F-CF1E86FF318C}"/>
    <cellStyle name="Verknüpfte Zelle 3 3 2" xfId="20202" xr:uid="{4D36D73E-DC64-471A-83E6-AACF31263975}"/>
    <cellStyle name="Verknüpfte Zelle 3 4" xfId="20203" xr:uid="{6CA3E044-9302-49D3-80CE-A009F943962D}"/>
    <cellStyle name="Verknüpfte Zelle 4" xfId="20204" xr:uid="{12B73715-67B0-40A7-AB29-011989B853C3}"/>
    <cellStyle name="Verknüpfte Zelle 4 2" xfId="20205" xr:uid="{FCA334F3-5320-4F82-91DB-3F71DE212526}"/>
    <cellStyle name="Verknüpfte Zelle 4 2 2" xfId="20206" xr:uid="{56C1D3FE-F0D1-4030-98DC-BF52661CA38C}"/>
    <cellStyle name="Verknüpfte Zelle 4 3" xfId="20207" xr:uid="{587E125D-CA5D-44E0-87EE-69FD57F51845}"/>
    <cellStyle name="Verknüpfte Zelle 4 3 2" xfId="20208" xr:uid="{597CF831-394F-4BAC-BF57-8815D57CF893}"/>
    <cellStyle name="Verknüpfte Zelle 4 4" xfId="20209" xr:uid="{73E5777D-AD85-4225-B9D5-E7C12C609BD1}"/>
    <cellStyle name="Verknüpfte Zelle 5" xfId="20210" xr:uid="{B342354E-83AC-42B8-98E6-EC8E2833009B}"/>
    <cellStyle name="Verknüpfte Zelle 5 2" xfId="20211" xr:uid="{A0D89FCE-1AAF-4463-9724-1EEFE4424B41}"/>
    <cellStyle name="Verknüpfte Zelle 5 2 2" xfId="20212" xr:uid="{2F263C86-5051-42D6-8B82-7627F6C58BA3}"/>
    <cellStyle name="Verknüpfte Zelle 5 3" xfId="20213" xr:uid="{A6766CD0-E478-4E14-B34E-3CCEC58B2709}"/>
    <cellStyle name="Verknüpfte Zelle 5 3 2" xfId="20214" xr:uid="{3F094A98-53E4-45A5-9E2C-0D0A65633C6B}"/>
    <cellStyle name="Verknüpfte Zelle 5 4" xfId="20215" xr:uid="{E94FEAB9-8ED0-42BA-94AC-23C3446E2D1F}"/>
    <cellStyle name="Verknüpfte Zelle 5 4 2" xfId="20216" xr:uid="{C09B1610-743F-4F2A-BC87-0E89DF1A1D20}"/>
    <cellStyle name="Verknüpfte Zelle 5 5" xfId="20217" xr:uid="{CEA3810F-0F94-438B-9E47-60942C7A0F1D}"/>
    <cellStyle name="Verknüpfte Zelle 6" xfId="20218" xr:uid="{7B139C2B-35A8-405C-80FD-8E5548DA6151}"/>
    <cellStyle name="Verknüpfte Zelle 6 2" xfId="20219" xr:uid="{BE0CCEB0-141C-4533-BD04-657A53F1BE4A}"/>
    <cellStyle name="Verknüpfte Zelle 6 2 2" xfId="20220" xr:uid="{30B010AC-441B-4A59-903A-FFB54573BD3B}"/>
    <cellStyle name="Verknüpfte Zelle 6 3" xfId="20221" xr:uid="{35D2B2A5-4A25-415D-826E-75FE5B36446E}"/>
    <cellStyle name="Verknüpfte Zelle 6 3 2" xfId="20222" xr:uid="{90ABFF5E-84DF-4C26-A5D9-EE1D484559B7}"/>
    <cellStyle name="Verknüpfte Zelle 6 4" xfId="20223" xr:uid="{447EC97A-FC34-46D1-8E61-43EDCB228A5F}"/>
    <cellStyle name="Verknüpfte Zelle 7" xfId="20224" xr:uid="{A26C80BA-EB33-4508-96D3-1421B8628DC0}"/>
    <cellStyle name="Verknüpfte Zelle 7 2" xfId="20225" xr:uid="{F5258CC7-CBC4-48B5-9123-1699D3ECE3E2}"/>
    <cellStyle name="Verknüpfte Zelle 8" xfId="20226" xr:uid="{C5C5299D-D334-4FAB-B50D-5F091374AD25}"/>
    <cellStyle name="Verknüpfte Zelle 8 2" xfId="20227" xr:uid="{21098601-EC4F-4657-832B-59D723D42AC8}"/>
    <cellStyle name="Verknüpfte Zelle 9" xfId="20228" xr:uid="{A83811BE-BEC7-4067-AB2E-973147DAE175}"/>
    <cellStyle name="Verknüpfte Zelle 9 2" xfId="20229" xr:uid="{F970BE16-77BB-40A6-BFDC-B5318BBD9479}"/>
    <cellStyle name="Warnender Text" xfId="3353" xr:uid="{55C3BEB7-046B-492F-8450-564ED565C9E5}"/>
    <cellStyle name="Warnender Text 10" xfId="20231" xr:uid="{F22993E3-DE42-4EC6-A7D4-69204685875C}"/>
    <cellStyle name="Warnender Text 11" xfId="20232" xr:uid="{723B243D-2A80-4B34-8B64-8ED8966DAAC6}"/>
    <cellStyle name="Warnender Text 12" xfId="20230" xr:uid="{E9F56B83-20F4-45AA-B27E-5DB5074E1B51}"/>
    <cellStyle name="Warnender Text 2" xfId="20233" xr:uid="{4D36BFAB-42B9-45B7-ACA7-363A0066A9DF}"/>
    <cellStyle name="Warnender Text 2 2" xfId="20234" xr:uid="{E27FEB84-5707-4983-9FB0-26482B856899}"/>
    <cellStyle name="Warnender Text 2 2 2" xfId="20235" xr:uid="{44759C9B-0E2E-496E-A482-1B1E3BE1BBB8}"/>
    <cellStyle name="Warnender Text 2 3" xfId="20236" xr:uid="{9166B66D-1DF6-4215-A704-92F846CC8FFC}"/>
    <cellStyle name="Warnender Text 2 3 2" xfId="20237" xr:uid="{70C46C3D-B057-4AF1-9AD9-E43349FA3415}"/>
    <cellStyle name="Warnender Text 2 4" xfId="20238" xr:uid="{4C786865-0820-4F19-BD33-8A29D5C0BE1D}"/>
    <cellStyle name="Warnender Text 2 5" xfId="20239" xr:uid="{FCB44173-9C94-4229-B3BE-8DF40A4AE0C4}"/>
    <cellStyle name="Warnender Text 3" xfId="20240" xr:uid="{A4F49650-E5DA-4FBF-959F-C76322F60ECA}"/>
    <cellStyle name="Warnender Text 3 2" xfId="20241" xr:uid="{309FE505-9ECA-4BA3-BE11-54F7D634059E}"/>
    <cellStyle name="Warnender Text 3 2 2" xfId="20242" xr:uid="{D3C797D6-0AC4-43B9-878B-32A5E1069919}"/>
    <cellStyle name="Warnender Text 3 3" xfId="20243" xr:uid="{AA135BF8-C37A-42A4-A11A-E2043DB32F36}"/>
    <cellStyle name="Warnender Text 3 3 2" xfId="20244" xr:uid="{231423FE-8D72-4E2E-8496-671580A72049}"/>
    <cellStyle name="Warnender Text 3 4" xfId="20245" xr:uid="{3A8986E1-C2D0-4C10-92E5-AC33F6678D65}"/>
    <cellStyle name="Warnender Text 4" xfId="20246" xr:uid="{81FBBEC5-9157-4D34-AC57-180F16766E44}"/>
    <cellStyle name="Warnender Text 4 2" xfId="20247" xr:uid="{7C3354B9-CA55-40A3-B41C-D69EC4568D4A}"/>
    <cellStyle name="Warnender Text 4 2 2" xfId="20248" xr:uid="{6B35EF30-5538-4170-9FD6-0A560A12C4B6}"/>
    <cellStyle name="Warnender Text 4 3" xfId="20249" xr:uid="{CA806EAE-187F-455A-AB13-08D091B81F13}"/>
    <cellStyle name="Warnender Text 4 3 2" xfId="20250" xr:uid="{D49ECC5F-6CF1-4092-AFB2-CE06B8E56D82}"/>
    <cellStyle name="Warnender Text 4 4" xfId="20251" xr:uid="{138A2C60-CED5-4465-A61E-52466EBCAE78}"/>
    <cellStyle name="Warnender Text 5" xfId="20252" xr:uid="{53249655-8DEC-4E18-A732-CDB200277E02}"/>
    <cellStyle name="Warnender Text 5 2" xfId="20253" xr:uid="{FDD779C6-2739-42F1-BB53-58C6CC1BF3D4}"/>
    <cellStyle name="Warnender Text 5 2 2" xfId="20254" xr:uid="{7953A594-EFBC-4BB6-9ED5-E63C21E22E77}"/>
    <cellStyle name="Warnender Text 5 3" xfId="20255" xr:uid="{3E407421-D374-4125-A02D-DA685559E6C7}"/>
    <cellStyle name="Warnender Text 5 3 2" xfId="20256" xr:uid="{207693FE-A468-42C8-A21A-1B5AF5E3EAFC}"/>
    <cellStyle name="Warnender Text 5 4" xfId="20257" xr:uid="{1E9F38EB-D090-4A6B-AEB2-8A7297E5A7F9}"/>
    <cellStyle name="Warnender Text 5 4 2" xfId="20258" xr:uid="{88881B8E-A277-42C8-9806-0E403E04EE9D}"/>
    <cellStyle name="Warnender Text 5 5" xfId="20259" xr:uid="{5FB2A4AD-F170-447D-B0F7-86D310AFD3B8}"/>
    <cellStyle name="Warnender Text 6" xfId="20260" xr:uid="{F8B4272F-FD11-454D-8BAD-1D7A6B0D35F9}"/>
    <cellStyle name="Warnender Text 6 2" xfId="20261" xr:uid="{A8DA28F8-1CCD-4A8F-A4CE-52F20767FE8E}"/>
    <cellStyle name="Warnender Text 6 2 2" xfId="20262" xr:uid="{044D6D12-C209-4F2C-81AB-75FD738D0693}"/>
    <cellStyle name="Warnender Text 6 3" xfId="20263" xr:uid="{5DF9A364-6D6B-4609-95EB-2975B5BDD854}"/>
    <cellStyle name="Warnender Text 6 3 2" xfId="20264" xr:uid="{2D0CF572-00F0-4E7E-94A5-18694FE7AF4B}"/>
    <cellStyle name="Warnender Text 6 4" xfId="20265" xr:uid="{8FB8F3BC-571D-4BDA-9A86-1FA42F24FEDB}"/>
    <cellStyle name="Warnender Text 7" xfId="20266" xr:uid="{F1960338-D219-42CC-B9FE-E854CA97AA9F}"/>
    <cellStyle name="Warnender Text 7 2" xfId="20267" xr:uid="{DC5B2702-2819-4F14-A964-FD7825121C2B}"/>
    <cellStyle name="Warnender Text 8" xfId="20268" xr:uid="{4D93F680-8A7D-4B78-AF92-D9508E159937}"/>
    <cellStyle name="Warnender Text 8 2" xfId="20269" xr:uid="{389018DF-B138-4A0D-9314-8911E4F3293B}"/>
    <cellStyle name="Warnender Text 9" xfId="20270" xr:uid="{162389C8-D229-4AC8-A1AD-006BE73B1575}"/>
    <cellStyle name="Warnender Text 9 2" xfId="20271" xr:uid="{60161256-E006-40A3-B21D-244256B41D53}"/>
    <cellStyle name="Warning Text" xfId="16" builtinId="11" customBuiltin="1"/>
    <cellStyle name="Warning Text 10" xfId="3354" xr:uid="{7AE997CA-DD35-4AE6-BD21-82FC5ACCBF0C}"/>
    <cellStyle name="Warning Text 10 10" xfId="20273" xr:uid="{17CE7E31-F083-4FCE-91A1-FBF2568C16DA}"/>
    <cellStyle name="Warning Text 10 11" xfId="20274" xr:uid="{34104348-6084-4B4C-9713-EA8504CA5F2C}"/>
    <cellStyle name="Warning Text 10 12" xfId="20272" xr:uid="{43A23B7E-15A8-4B21-9150-9EB16F1C73FA}"/>
    <cellStyle name="Warning Text 10 2" xfId="20275" xr:uid="{B8EBEED4-607E-4C76-8D84-07622A0FDBEC}"/>
    <cellStyle name="Warning Text 10 2 2" xfId="20276" xr:uid="{DD9FFD06-C4F6-430F-A8C7-C2E7152161EE}"/>
    <cellStyle name="Warning Text 10 2 2 2" xfId="20277" xr:uid="{EEE21C9B-B4C0-4959-9D5A-2B743603D771}"/>
    <cellStyle name="Warning Text 10 2 3" xfId="20278" xr:uid="{51BAE0ED-90C7-4746-AFF9-EEE800753834}"/>
    <cellStyle name="Warning Text 10 2 3 2" xfId="20279" xr:uid="{5BD0EAAE-4257-4253-AD5A-588B11801CAB}"/>
    <cellStyle name="Warning Text 10 2 4" xfId="20280" xr:uid="{6A924F03-3DB7-423C-9F4A-8ACA7259AD58}"/>
    <cellStyle name="Warning Text 10 2 5" xfId="20281" xr:uid="{8994765B-7620-4223-88B8-FF88679E7756}"/>
    <cellStyle name="Warning Text 10 3" xfId="20282" xr:uid="{68CA58CA-1F34-4834-BC21-916A83C32FC2}"/>
    <cellStyle name="Warning Text 10 3 2" xfId="20283" xr:uid="{6DA21B2A-EDA9-464C-B351-FA596DB416B9}"/>
    <cellStyle name="Warning Text 10 3 2 2" xfId="20284" xr:uid="{F1DB3822-045C-4CAD-89E8-65579FD04E37}"/>
    <cellStyle name="Warning Text 10 3 3" xfId="20285" xr:uid="{208D44EC-562B-479D-8F60-0BDB5CAA3A1F}"/>
    <cellStyle name="Warning Text 10 3 3 2" xfId="20286" xr:uid="{CD184917-9806-405A-A799-3087CB5AD896}"/>
    <cellStyle name="Warning Text 10 3 4" xfId="20287" xr:uid="{0B19AEC0-2821-40DD-B9AC-BB88320949AC}"/>
    <cellStyle name="Warning Text 10 4" xfId="20288" xr:uid="{A4078346-F770-4A1F-858E-1924F9D329C1}"/>
    <cellStyle name="Warning Text 10 4 2" xfId="20289" xr:uid="{94B3943B-7639-4C6D-BB84-FBD2ABA270B1}"/>
    <cellStyle name="Warning Text 10 4 2 2" xfId="20290" xr:uid="{F428458A-1EEB-47E8-A777-AFF63962F009}"/>
    <cellStyle name="Warning Text 10 4 3" xfId="20291" xr:uid="{BA056585-5D9B-4645-9195-97647B4FF6C0}"/>
    <cellStyle name="Warning Text 10 4 3 2" xfId="20292" xr:uid="{58F2FA55-1649-41AB-8377-982F6ADEE25B}"/>
    <cellStyle name="Warning Text 10 4 4" xfId="20293" xr:uid="{32A59699-9AAF-404F-A378-027F7E1D9853}"/>
    <cellStyle name="Warning Text 10 5" xfId="20294" xr:uid="{4B728206-F4DA-439E-9340-0A36A90017B1}"/>
    <cellStyle name="Warning Text 10 5 2" xfId="20295" xr:uid="{B61A67E6-0D40-4D1F-AF97-525F2CA54FB2}"/>
    <cellStyle name="Warning Text 10 5 2 2" xfId="20296" xr:uid="{151FC95E-D5B0-439D-889A-1FF9C51A0363}"/>
    <cellStyle name="Warning Text 10 5 3" xfId="20297" xr:uid="{63316225-F50F-47CC-ABDC-DFB02C9B7E7B}"/>
    <cellStyle name="Warning Text 10 5 3 2" xfId="20298" xr:uid="{858041ED-5CEE-4915-9F1E-1EE53E5D5FE4}"/>
    <cellStyle name="Warning Text 10 5 4" xfId="20299" xr:uid="{8692EAB6-2F3E-4951-A3F7-48BFD8FC69FB}"/>
    <cellStyle name="Warning Text 10 5 4 2" xfId="20300" xr:uid="{551F9E4D-E48E-43B5-A13B-BF161DCDA958}"/>
    <cellStyle name="Warning Text 10 5 5" xfId="20301" xr:uid="{02C0DC07-B0EB-478A-BC36-279E107D0946}"/>
    <cellStyle name="Warning Text 10 6" xfId="20302" xr:uid="{A91EB501-4B5F-46B0-AEC9-C25E22098BEC}"/>
    <cellStyle name="Warning Text 10 6 2" xfId="20303" xr:uid="{10B94D42-E003-449D-BB53-ABE15AF22FEB}"/>
    <cellStyle name="Warning Text 10 6 2 2" xfId="20304" xr:uid="{5FC95856-3C3F-464C-BAE0-DB6DE4FE0367}"/>
    <cellStyle name="Warning Text 10 6 3" xfId="20305" xr:uid="{C7C29D36-CF02-4F47-AE09-575B5AB2D17A}"/>
    <cellStyle name="Warning Text 10 6 3 2" xfId="20306" xr:uid="{C5953598-CB29-4339-90B9-87D57D24E941}"/>
    <cellStyle name="Warning Text 10 6 4" xfId="20307" xr:uid="{AD34EB82-06B1-4220-ABEC-698EDC80029E}"/>
    <cellStyle name="Warning Text 10 7" xfId="20308" xr:uid="{41E6A258-F673-4AE3-883B-5ABA3C625D1A}"/>
    <cellStyle name="Warning Text 10 7 2" xfId="20309" xr:uid="{85A14F05-2A1F-404D-850C-753DCA5FC54B}"/>
    <cellStyle name="Warning Text 10 8" xfId="20310" xr:uid="{942EC383-8593-459E-9CB0-EFDF31BC3DEE}"/>
    <cellStyle name="Warning Text 10 8 2" xfId="20311" xr:uid="{DC073E4E-9A58-44EA-9F9F-E6CB51279220}"/>
    <cellStyle name="Warning Text 10 9" xfId="20312" xr:uid="{BCB6AC3B-0391-4118-9CF0-32E81E570D4B}"/>
    <cellStyle name="Warning Text 10 9 2" xfId="20313" xr:uid="{EF39423F-ADDB-445B-A1D1-067199804A65}"/>
    <cellStyle name="Warning Text 11" xfId="3355" xr:uid="{DEF11469-6464-4970-9750-E7B3846FD2A6}"/>
    <cellStyle name="Warning Text 11 10" xfId="20315" xr:uid="{AFE19E7E-C3BA-4E00-B1AE-1A152096BBFC}"/>
    <cellStyle name="Warning Text 11 11" xfId="20316" xr:uid="{78304D3C-025A-4CAB-B1A6-7FAC0B5048DA}"/>
    <cellStyle name="Warning Text 11 12" xfId="20314" xr:uid="{AF7CC629-C06C-40A3-8BE5-213AD202DDC5}"/>
    <cellStyle name="Warning Text 11 2" xfId="20317" xr:uid="{EB357E56-5A9A-4288-8A09-911ACD88D6A4}"/>
    <cellStyle name="Warning Text 11 2 2" xfId="20318" xr:uid="{C8AE2F45-3E9C-4CCA-92B7-2A2B27D2E3F3}"/>
    <cellStyle name="Warning Text 11 2 2 2" xfId="20319" xr:uid="{BF9D330F-3B31-4542-9FB8-A0FA2FB9CD30}"/>
    <cellStyle name="Warning Text 11 2 3" xfId="20320" xr:uid="{38D63790-5F1A-4D38-A260-F0A46AC199AC}"/>
    <cellStyle name="Warning Text 11 2 3 2" xfId="20321" xr:uid="{7C439BA4-C9A1-4D39-B636-00ED9C0DD6EA}"/>
    <cellStyle name="Warning Text 11 2 4" xfId="20322" xr:uid="{DA5C451D-6E86-4600-949A-68E2DB685ADD}"/>
    <cellStyle name="Warning Text 11 2 5" xfId="20323" xr:uid="{E88D5D69-855F-4C1C-889B-6E6C0674622E}"/>
    <cellStyle name="Warning Text 11 3" xfId="20324" xr:uid="{CFC7B725-D257-43D2-B2A6-D836AF0AD8B6}"/>
    <cellStyle name="Warning Text 11 3 2" xfId="20325" xr:uid="{AD0BDC92-0EF9-450E-94AC-3720B28487E6}"/>
    <cellStyle name="Warning Text 11 3 2 2" xfId="20326" xr:uid="{5E5483ED-BD9D-4AD6-9B90-F21CF38E60C4}"/>
    <cellStyle name="Warning Text 11 3 3" xfId="20327" xr:uid="{66E69CEE-486D-4E7E-84B9-719AE55A4C53}"/>
    <cellStyle name="Warning Text 11 3 3 2" xfId="20328" xr:uid="{0A160E69-48D6-4164-8BC3-FE5166F12481}"/>
    <cellStyle name="Warning Text 11 3 4" xfId="20329" xr:uid="{A6F396C7-32CD-4B2A-94F3-4C94ED34F34D}"/>
    <cellStyle name="Warning Text 11 4" xfId="20330" xr:uid="{623DC1F7-B914-41B3-99DA-8291E2F4F1A6}"/>
    <cellStyle name="Warning Text 11 4 2" xfId="20331" xr:uid="{9E2910C3-36E2-41EB-AA3E-A83122E80D7A}"/>
    <cellStyle name="Warning Text 11 4 2 2" xfId="20332" xr:uid="{C91D19A9-142A-4003-8383-5D5CEC1A0572}"/>
    <cellStyle name="Warning Text 11 4 3" xfId="20333" xr:uid="{6431B975-5695-42CE-AC37-19BACA6562E4}"/>
    <cellStyle name="Warning Text 11 4 3 2" xfId="20334" xr:uid="{F9FBF1D0-E856-4F84-BEBA-95403B06E43F}"/>
    <cellStyle name="Warning Text 11 4 4" xfId="20335" xr:uid="{9BB16C61-8BBB-4FF7-AB64-25697D58E76E}"/>
    <cellStyle name="Warning Text 11 5" xfId="20336" xr:uid="{ED126588-2A55-4068-A32C-7B9B28446A90}"/>
    <cellStyle name="Warning Text 11 5 2" xfId="20337" xr:uid="{3D49227A-B593-4458-A754-AD343AA8B921}"/>
    <cellStyle name="Warning Text 11 5 2 2" xfId="20338" xr:uid="{233BB22A-B435-4465-B606-30FCB662E040}"/>
    <cellStyle name="Warning Text 11 5 3" xfId="20339" xr:uid="{90416E90-F1D3-4DD0-9FB4-606B58F903C3}"/>
    <cellStyle name="Warning Text 11 5 3 2" xfId="20340" xr:uid="{5CC5DDF5-DE45-4E3A-B69C-262166E74779}"/>
    <cellStyle name="Warning Text 11 5 4" xfId="20341" xr:uid="{188BBAC8-4F1F-44B9-AC3B-032F811E96FA}"/>
    <cellStyle name="Warning Text 11 5 4 2" xfId="20342" xr:uid="{F7B05BF8-71D7-465C-AAA8-8E223A8EA7D3}"/>
    <cellStyle name="Warning Text 11 5 5" xfId="20343" xr:uid="{386D76E2-CD3C-4657-846D-B16D4C445BBF}"/>
    <cellStyle name="Warning Text 11 6" xfId="20344" xr:uid="{5ED23575-DE59-4D5F-8CF8-D506B3FB2B98}"/>
    <cellStyle name="Warning Text 11 6 2" xfId="20345" xr:uid="{465EA48B-2ED5-445A-9D56-0C9D1785C513}"/>
    <cellStyle name="Warning Text 11 6 2 2" xfId="20346" xr:uid="{BD9AB342-A24E-47F5-9C4F-B280B0304043}"/>
    <cellStyle name="Warning Text 11 6 3" xfId="20347" xr:uid="{D359FC50-29A6-49C2-9CBB-B7C0C3245B21}"/>
    <cellStyle name="Warning Text 11 6 3 2" xfId="20348" xr:uid="{042BE93B-96F7-4785-923C-DEAE580FA207}"/>
    <cellStyle name="Warning Text 11 6 4" xfId="20349" xr:uid="{98EE827E-F973-49B8-8902-2D069560FE68}"/>
    <cellStyle name="Warning Text 11 7" xfId="20350" xr:uid="{B01BAE0A-2872-49FD-B126-A03A4CDD2356}"/>
    <cellStyle name="Warning Text 11 7 2" xfId="20351" xr:uid="{E9EBEEF9-2623-4641-A9A5-864740E06A4B}"/>
    <cellStyle name="Warning Text 11 8" xfId="20352" xr:uid="{3940AA38-00B5-4B03-900A-E16A7D34B519}"/>
    <cellStyle name="Warning Text 11 8 2" xfId="20353" xr:uid="{035AFF2C-2CC0-4D8F-ABD0-5A04408EF424}"/>
    <cellStyle name="Warning Text 11 9" xfId="20354" xr:uid="{5A2A2125-7883-4836-8951-986A00655698}"/>
    <cellStyle name="Warning Text 11 9 2" xfId="20355" xr:uid="{A76C2BF8-B03E-411C-A10D-804FA609E848}"/>
    <cellStyle name="Warning Text 12" xfId="3356" xr:uid="{3F422197-16ED-4F9F-90BF-295156F4C17E}"/>
    <cellStyle name="Warning Text 12 10" xfId="20357" xr:uid="{1A38EC91-8255-4AB1-9CE3-1C6CDE8E9BF1}"/>
    <cellStyle name="Warning Text 12 11" xfId="20358" xr:uid="{B0F09364-1EE7-4E61-94B9-E0917BED5BB4}"/>
    <cellStyle name="Warning Text 12 12" xfId="20356" xr:uid="{1568F538-7595-472B-AB7B-DA3F196C6BEC}"/>
    <cellStyle name="Warning Text 12 2" xfId="20359" xr:uid="{4FA513AE-F33F-4F64-8677-8F7F7BBF85F6}"/>
    <cellStyle name="Warning Text 12 2 2" xfId="20360" xr:uid="{58C927CE-7EEF-4868-A8A5-7ED53F8F0EE1}"/>
    <cellStyle name="Warning Text 12 2 2 2" xfId="20361" xr:uid="{BE287719-BDE5-4E03-8DDC-792303AE7175}"/>
    <cellStyle name="Warning Text 12 2 3" xfId="20362" xr:uid="{792AD7EF-FF2B-4482-81C6-35369CD74C26}"/>
    <cellStyle name="Warning Text 12 2 3 2" xfId="20363" xr:uid="{3F7A454F-6A17-4C12-A41B-EDDDC03F2149}"/>
    <cellStyle name="Warning Text 12 2 4" xfId="20364" xr:uid="{7B773466-B3FD-4A70-A13B-370CD2E0B5D3}"/>
    <cellStyle name="Warning Text 12 2 5" xfId="20365" xr:uid="{42F4CB47-0294-4549-A3CC-47D8E367C4DE}"/>
    <cellStyle name="Warning Text 12 3" xfId="20366" xr:uid="{929F7394-B6FB-4F64-A682-4666E76B4F5F}"/>
    <cellStyle name="Warning Text 12 3 2" xfId="20367" xr:uid="{602B032C-BB9C-4ABC-97D7-3D0A72C3BFE0}"/>
    <cellStyle name="Warning Text 12 3 2 2" xfId="20368" xr:uid="{F9DBAF12-551D-40F5-ABBB-577C30CB7868}"/>
    <cellStyle name="Warning Text 12 3 3" xfId="20369" xr:uid="{B16D2508-C0B8-421E-91FB-42C7E86A7AC0}"/>
    <cellStyle name="Warning Text 12 3 3 2" xfId="20370" xr:uid="{9DB2C6EB-40F5-4945-BB5F-CCAC3D4ACDE4}"/>
    <cellStyle name="Warning Text 12 3 4" xfId="20371" xr:uid="{4A3D28C3-7E50-4604-BF33-C73F308A875F}"/>
    <cellStyle name="Warning Text 12 4" xfId="20372" xr:uid="{0CF572F9-38FD-4B16-8F61-8E76604143F2}"/>
    <cellStyle name="Warning Text 12 4 2" xfId="20373" xr:uid="{E49F43DD-BF3F-4D74-830C-C70B2DE2D7FF}"/>
    <cellStyle name="Warning Text 12 4 2 2" xfId="20374" xr:uid="{D0DF4C22-222C-442A-9161-82DED443766A}"/>
    <cellStyle name="Warning Text 12 4 3" xfId="20375" xr:uid="{6BBFC5D5-AFDE-422F-9679-072E3791D36C}"/>
    <cellStyle name="Warning Text 12 4 3 2" xfId="20376" xr:uid="{60007C26-851C-4E18-A2EE-156B4798C50F}"/>
    <cellStyle name="Warning Text 12 4 4" xfId="20377" xr:uid="{3F7C97E6-C35D-42CC-94BC-2610FA6CA082}"/>
    <cellStyle name="Warning Text 12 5" xfId="20378" xr:uid="{C74F5F03-EC08-470A-AFAB-631CA4882CAA}"/>
    <cellStyle name="Warning Text 12 5 2" xfId="20379" xr:uid="{910EBB00-4A62-49D0-B857-F00A4CA9FAF2}"/>
    <cellStyle name="Warning Text 12 5 2 2" xfId="20380" xr:uid="{AC803F9E-8CE2-47AB-9E2E-746D2616C485}"/>
    <cellStyle name="Warning Text 12 5 3" xfId="20381" xr:uid="{0EFF1E78-D616-4D66-B5EA-40DB08EB976A}"/>
    <cellStyle name="Warning Text 12 5 3 2" xfId="20382" xr:uid="{AC2737A3-BB70-45BF-8DD8-35B2C0BA4677}"/>
    <cellStyle name="Warning Text 12 5 4" xfId="20383" xr:uid="{9A4906D8-5493-4C45-A0D5-2109B46EF575}"/>
    <cellStyle name="Warning Text 12 5 4 2" xfId="20384" xr:uid="{8C87250B-F377-4B7E-BA8D-2B25CE094774}"/>
    <cellStyle name="Warning Text 12 5 5" xfId="20385" xr:uid="{7859ABDA-90D6-4A55-9CEF-0CAA84117332}"/>
    <cellStyle name="Warning Text 12 6" xfId="20386" xr:uid="{D4D21450-8B2A-4AE7-974C-4ACC81CA5383}"/>
    <cellStyle name="Warning Text 12 6 2" xfId="20387" xr:uid="{C9E657D2-8FBE-4E04-AD4D-FAC80E774B3B}"/>
    <cellStyle name="Warning Text 12 6 2 2" xfId="20388" xr:uid="{8ECF51C8-09E7-462B-8F86-A2A7BDFC7004}"/>
    <cellStyle name="Warning Text 12 6 3" xfId="20389" xr:uid="{CB59B88A-4AD9-40C3-AD85-77742FCBB994}"/>
    <cellStyle name="Warning Text 12 6 3 2" xfId="20390" xr:uid="{DB59EEB5-B049-414E-ACDB-09F3F888988D}"/>
    <cellStyle name="Warning Text 12 6 4" xfId="20391" xr:uid="{C8EDC496-A9FD-4BB8-95FE-2AC03960D4D1}"/>
    <cellStyle name="Warning Text 12 7" xfId="20392" xr:uid="{D7E8D58C-CC52-4911-B2A9-19574202AFB9}"/>
    <cellStyle name="Warning Text 12 7 2" xfId="20393" xr:uid="{082AC7EF-5EB4-474D-9894-9611CCD57B0A}"/>
    <cellStyle name="Warning Text 12 8" xfId="20394" xr:uid="{A518843C-ED09-4C0F-A532-4F4AFC48C3EB}"/>
    <cellStyle name="Warning Text 12 8 2" xfId="20395" xr:uid="{4BDC6065-82F0-494A-83D1-A8C74215B630}"/>
    <cellStyle name="Warning Text 12 9" xfId="20396" xr:uid="{16165738-16BA-4142-BC17-EF4C798FB825}"/>
    <cellStyle name="Warning Text 12 9 2" xfId="20397" xr:uid="{88411A3E-9D2A-469D-8517-6D5E7F8CE048}"/>
    <cellStyle name="Warning Text 13" xfId="3357" xr:uid="{84C0CEC6-B8E9-445A-ADB7-5EF87DD68A19}"/>
    <cellStyle name="Warning Text 13 10" xfId="20399" xr:uid="{40850317-7E2E-4800-BCE5-A9C66294F1AD}"/>
    <cellStyle name="Warning Text 13 11" xfId="20400" xr:uid="{23853094-6E6B-433D-B73F-D4834907DA59}"/>
    <cellStyle name="Warning Text 13 12" xfId="20398" xr:uid="{C7D85404-853C-40DA-9292-D682E7D98C7D}"/>
    <cellStyle name="Warning Text 13 2" xfId="20401" xr:uid="{0D8AB62A-84D2-44B0-A47A-205717A76EF0}"/>
    <cellStyle name="Warning Text 13 2 2" xfId="20402" xr:uid="{821B2A03-184B-49F6-BEF9-7FD21128B952}"/>
    <cellStyle name="Warning Text 13 2 2 2" xfId="20403" xr:uid="{D2390B26-C3D3-4639-BD0D-814DAB63B8FE}"/>
    <cellStyle name="Warning Text 13 2 3" xfId="20404" xr:uid="{D67A4A1B-D13D-429F-9549-E75C6A2D800D}"/>
    <cellStyle name="Warning Text 13 2 3 2" xfId="20405" xr:uid="{8D70C1BE-9ABB-45DB-98B3-8B09BDEE3F3B}"/>
    <cellStyle name="Warning Text 13 2 4" xfId="20406" xr:uid="{D95EB317-ACEC-400E-81D9-920AF59F782F}"/>
    <cellStyle name="Warning Text 13 2 5" xfId="20407" xr:uid="{8C008084-E4B5-4CE2-A990-D0D29268687A}"/>
    <cellStyle name="Warning Text 13 3" xfId="20408" xr:uid="{7B514E1F-EEF5-43BD-A809-6E93D61D4D14}"/>
    <cellStyle name="Warning Text 13 3 2" xfId="20409" xr:uid="{D84A671A-1999-409D-BDD5-23D232C65CE2}"/>
    <cellStyle name="Warning Text 13 3 2 2" xfId="20410" xr:uid="{4BDB26BB-FDFA-481F-BB61-1F605ADC8A98}"/>
    <cellStyle name="Warning Text 13 3 3" xfId="20411" xr:uid="{5DD0737B-36C1-4FF8-B973-F5FF75450DDC}"/>
    <cellStyle name="Warning Text 13 3 3 2" xfId="20412" xr:uid="{1EE9BCD3-83E6-4B34-82C3-20B55C391508}"/>
    <cellStyle name="Warning Text 13 3 4" xfId="20413" xr:uid="{A0FEADAE-41A2-4A9E-A591-6CC4D07AF02F}"/>
    <cellStyle name="Warning Text 13 4" xfId="20414" xr:uid="{604269E4-E501-44DF-9C7F-7F7E17483993}"/>
    <cellStyle name="Warning Text 13 4 2" xfId="20415" xr:uid="{5D7A835A-10BE-486B-B4BC-F7876574CADF}"/>
    <cellStyle name="Warning Text 13 4 2 2" xfId="20416" xr:uid="{41AA2522-E940-4D0B-9D6D-FAE8548A21D1}"/>
    <cellStyle name="Warning Text 13 4 3" xfId="20417" xr:uid="{F797BED6-098E-40AB-BBF4-EDE1DA6A33AA}"/>
    <cellStyle name="Warning Text 13 4 3 2" xfId="20418" xr:uid="{CE9003DA-F783-4A2B-94FE-0281863DDD40}"/>
    <cellStyle name="Warning Text 13 4 4" xfId="20419" xr:uid="{E66B3EB1-2C70-4B31-9FFD-1CC2A4A2F392}"/>
    <cellStyle name="Warning Text 13 5" xfId="20420" xr:uid="{7B796304-6EC3-41D9-9DDF-525B45AEBCC0}"/>
    <cellStyle name="Warning Text 13 5 2" xfId="20421" xr:uid="{AB4ECEBE-29CF-4CCF-ABD9-7D2E29B4B25D}"/>
    <cellStyle name="Warning Text 13 5 2 2" xfId="20422" xr:uid="{3B07E878-F291-4144-BEB9-4F43C7434378}"/>
    <cellStyle name="Warning Text 13 5 3" xfId="20423" xr:uid="{CB5726C5-29DB-46FD-A593-B04FF888E358}"/>
    <cellStyle name="Warning Text 13 5 3 2" xfId="20424" xr:uid="{E09F151F-4A87-433B-9EC9-907691A415BD}"/>
    <cellStyle name="Warning Text 13 5 4" xfId="20425" xr:uid="{B548CADD-7917-4E9C-BDC5-8909FB989702}"/>
    <cellStyle name="Warning Text 13 5 4 2" xfId="20426" xr:uid="{EE9D6400-7A88-418B-9E99-C6D636639461}"/>
    <cellStyle name="Warning Text 13 5 5" xfId="20427" xr:uid="{A69A0094-A1AF-4F41-B237-32B29F161619}"/>
    <cellStyle name="Warning Text 13 6" xfId="20428" xr:uid="{65632A59-CF9B-467F-A511-8DF7C4FCD574}"/>
    <cellStyle name="Warning Text 13 6 2" xfId="20429" xr:uid="{7B678B9F-21D6-4036-9178-C109DE198A53}"/>
    <cellStyle name="Warning Text 13 6 2 2" xfId="20430" xr:uid="{A921E146-BD6D-48E6-A0EB-0EDA7DD17902}"/>
    <cellStyle name="Warning Text 13 6 3" xfId="20431" xr:uid="{FCC4ADEB-ECAF-449A-A66E-F0E367C6C127}"/>
    <cellStyle name="Warning Text 13 6 3 2" xfId="20432" xr:uid="{6BED690F-7A4C-4821-8530-33B6CA2F1C38}"/>
    <cellStyle name="Warning Text 13 6 4" xfId="20433" xr:uid="{0D2EA648-980D-4556-93DE-8FB6950D8A1E}"/>
    <cellStyle name="Warning Text 13 7" xfId="20434" xr:uid="{C1D943DC-8054-46E2-8649-5F6DBF646404}"/>
    <cellStyle name="Warning Text 13 7 2" xfId="20435" xr:uid="{F42BBAB8-B35E-4581-83B7-87A06EF35EF7}"/>
    <cellStyle name="Warning Text 13 8" xfId="20436" xr:uid="{CDE4F0BC-6CEB-4F77-B270-9F106BFE0C76}"/>
    <cellStyle name="Warning Text 13 8 2" xfId="20437" xr:uid="{4006A2F7-654B-47E7-A7D3-4648F4E27125}"/>
    <cellStyle name="Warning Text 13 9" xfId="20438" xr:uid="{2F02CF8A-5E1F-45DF-ABBA-02A155718850}"/>
    <cellStyle name="Warning Text 13 9 2" xfId="20439" xr:uid="{EE1FC8D1-07F2-4DA7-91C2-A0552CFB89D7}"/>
    <cellStyle name="Warning Text 14" xfId="3358" xr:uid="{7403F62E-1235-4EEA-A9F7-372BC79EC431}"/>
    <cellStyle name="Warning Text 14 10" xfId="20441" xr:uid="{81B99135-8918-41CB-8BB1-D2E1194EA7F9}"/>
    <cellStyle name="Warning Text 14 11" xfId="20442" xr:uid="{7F47814F-22FF-4325-8D08-25C312DB3584}"/>
    <cellStyle name="Warning Text 14 12" xfId="20440" xr:uid="{B853F3EF-1230-427E-BF0A-04BF63791843}"/>
    <cellStyle name="Warning Text 14 2" xfId="20443" xr:uid="{1E56EDC4-655D-4F14-A9C3-3958A1E19810}"/>
    <cellStyle name="Warning Text 14 2 2" xfId="20444" xr:uid="{03213103-8B26-4598-9B4D-FA5328BDE436}"/>
    <cellStyle name="Warning Text 14 2 2 2" xfId="20445" xr:uid="{32176C33-A7CA-4C3F-A249-B21E3158A28D}"/>
    <cellStyle name="Warning Text 14 2 3" xfId="20446" xr:uid="{0DE16EE3-7C11-4826-9B16-361FDD663F06}"/>
    <cellStyle name="Warning Text 14 2 3 2" xfId="20447" xr:uid="{022E0F3D-171A-44E7-9556-07B931030146}"/>
    <cellStyle name="Warning Text 14 2 4" xfId="20448" xr:uid="{175FC1C8-1F04-4C0D-8110-5533288D8560}"/>
    <cellStyle name="Warning Text 14 2 5" xfId="20449" xr:uid="{C34A9DE4-766A-4DDB-87D8-60EEEC7C745B}"/>
    <cellStyle name="Warning Text 14 3" xfId="20450" xr:uid="{DE39ECD5-2BB2-4289-84D5-80E1162B889A}"/>
    <cellStyle name="Warning Text 14 3 2" xfId="20451" xr:uid="{0BB6B30D-03AF-4CBA-85D4-E5A5D63D0B42}"/>
    <cellStyle name="Warning Text 14 3 2 2" xfId="20452" xr:uid="{7A039245-E09B-4AA7-B3E9-2AD759BEF122}"/>
    <cellStyle name="Warning Text 14 3 3" xfId="20453" xr:uid="{A791A276-9ECD-4051-A4F8-1DA4022107EA}"/>
    <cellStyle name="Warning Text 14 3 3 2" xfId="20454" xr:uid="{03FB7428-20F0-4E51-9E71-3910BBFC08F5}"/>
    <cellStyle name="Warning Text 14 3 4" xfId="20455" xr:uid="{57B37CE1-DC41-4CCA-A35A-2DA18357D3E5}"/>
    <cellStyle name="Warning Text 14 4" xfId="20456" xr:uid="{906DB75A-BA17-4E43-8807-E321DA2EEEA5}"/>
    <cellStyle name="Warning Text 14 4 2" xfId="20457" xr:uid="{8973A667-AD23-453F-86AA-2B76B6E77AE2}"/>
    <cellStyle name="Warning Text 14 4 2 2" xfId="20458" xr:uid="{B40F3D17-C30D-4CEC-9A57-D6DD7B2889A0}"/>
    <cellStyle name="Warning Text 14 4 3" xfId="20459" xr:uid="{F3996B4E-76B6-48FB-AAF5-5B6D9F78DBB8}"/>
    <cellStyle name="Warning Text 14 4 3 2" xfId="20460" xr:uid="{69B29705-04E1-4EEA-886D-1E2A765B99F8}"/>
    <cellStyle name="Warning Text 14 4 4" xfId="20461" xr:uid="{D96B9B93-5567-4525-8C66-2D54429502CC}"/>
    <cellStyle name="Warning Text 14 5" xfId="20462" xr:uid="{A146A676-460A-4326-834E-D82105FC1312}"/>
    <cellStyle name="Warning Text 14 5 2" xfId="20463" xr:uid="{597D5456-752D-4371-83E9-5607DC496EC5}"/>
    <cellStyle name="Warning Text 14 5 2 2" xfId="20464" xr:uid="{5F93EC16-1DE3-433E-B920-F71F06FEE6D5}"/>
    <cellStyle name="Warning Text 14 5 3" xfId="20465" xr:uid="{E90BAA2A-452B-41A4-8069-44156BB8AF00}"/>
    <cellStyle name="Warning Text 14 5 3 2" xfId="20466" xr:uid="{1E9B382C-CFF6-4480-8E7D-4E12C67C1274}"/>
    <cellStyle name="Warning Text 14 5 4" xfId="20467" xr:uid="{707C92E7-1A75-43B4-BCC9-BE5B4708391F}"/>
    <cellStyle name="Warning Text 14 5 4 2" xfId="20468" xr:uid="{1C20AAC3-01FF-47FD-BE4D-657973C8CC64}"/>
    <cellStyle name="Warning Text 14 5 5" xfId="20469" xr:uid="{3FDC07C6-A931-4A13-BB9B-23165F02B5E3}"/>
    <cellStyle name="Warning Text 14 6" xfId="20470" xr:uid="{8E474DB8-76AF-45E7-80D8-D3334DCE901C}"/>
    <cellStyle name="Warning Text 14 6 2" xfId="20471" xr:uid="{E7F262D7-BE90-44F0-AA72-CAF55F32E94E}"/>
    <cellStyle name="Warning Text 14 6 2 2" xfId="20472" xr:uid="{3D32071D-5F5B-463D-9E8F-2639312D18A1}"/>
    <cellStyle name="Warning Text 14 6 3" xfId="20473" xr:uid="{5AFCCAB9-C64A-4A25-A778-17674D664D13}"/>
    <cellStyle name="Warning Text 14 6 3 2" xfId="20474" xr:uid="{8363A1AC-A3F5-4B52-866C-6129A4A2DA98}"/>
    <cellStyle name="Warning Text 14 6 4" xfId="20475" xr:uid="{FCAB8FA2-14CD-4910-96A9-422BCF306C46}"/>
    <cellStyle name="Warning Text 14 7" xfId="20476" xr:uid="{665A2D97-5BF4-4422-91C9-9C9FD5E5AC22}"/>
    <cellStyle name="Warning Text 14 7 2" xfId="20477" xr:uid="{12E8C693-76AD-44AB-801F-DFB4F1BDFEEA}"/>
    <cellStyle name="Warning Text 14 8" xfId="20478" xr:uid="{6480944B-2800-4D6B-B77F-3242FC04346C}"/>
    <cellStyle name="Warning Text 14 8 2" xfId="20479" xr:uid="{B973CFC5-27BB-4E84-8414-21DB00DB32D4}"/>
    <cellStyle name="Warning Text 14 9" xfId="20480" xr:uid="{8198D6AE-9E23-462A-B0D2-43E90D24A9C2}"/>
    <cellStyle name="Warning Text 14 9 2" xfId="20481" xr:uid="{774594AD-B1CB-430C-815E-B80186270A51}"/>
    <cellStyle name="Warning Text 15" xfId="3359" xr:uid="{C7DBDDD6-F2DD-4D9F-BA94-9827112CDEB9}"/>
    <cellStyle name="Warning Text 15 10" xfId="20483" xr:uid="{DBEEDBDF-DFC0-45AA-A808-82BC6AD951F5}"/>
    <cellStyle name="Warning Text 15 11" xfId="20484" xr:uid="{89D8B395-4E74-4FD5-AF0F-73D77DC1E920}"/>
    <cellStyle name="Warning Text 15 12" xfId="20482" xr:uid="{0A57A51E-80B2-4EDD-A43C-298FF34253D9}"/>
    <cellStyle name="Warning Text 15 2" xfId="20485" xr:uid="{EC6201A1-7C00-4799-887A-3D8CFCBDF7D9}"/>
    <cellStyle name="Warning Text 15 2 2" xfId="20486" xr:uid="{E21B9AA0-C64F-4868-8DB0-F6241162C58B}"/>
    <cellStyle name="Warning Text 15 2 2 2" xfId="20487" xr:uid="{C9E51E41-EAEA-4A41-B0AA-A72453D20878}"/>
    <cellStyle name="Warning Text 15 2 3" xfId="20488" xr:uid="{89C2FC14-44E5-48B5-AA6C-039BAAE36827}"/>
    <cellStyle name="Warning Text 15 2 3 2" xfId="20489" xr:uid="{548FE550-E4A4-4F58-ACCA-23AC02548B8A}"/>
    <cellStyle name="Warning Text 15 2 4" xfId="20490" xr:uid="{F39F949A-27A4-4CC7-843B-1994C02460C9}"/>
    <cellStyle name="Warning Text 15 2 5" xfId="20491" xr:uid="{126E91C1-E02E-4905-8DE4-99EC80715207}"/>
    <cellStyle name="Warning Text 15 3" xfId="20492" xr:uid="{F4E6AFCE-D819-4EC5-A9B5-7927951B961E}"/>
    <cellStyle name="Warning Text 15 3 2" xfId="20493" xr:uid="{693D71E6-AD5C-47C4-95C6-A2C7D2C28EF2}"/>
    <cellStyle name="Warning Text 15 3 2 2" xfId="20494" xr:uid="{D68F705C-187A-4A0F-8651-DB256FE2C8C4}"/>
    <cellStyle name="Warning Text 15 3 3" xfId="20495" xr:uid="{CBF91A9E-AF33-44E4-B8EE-566310AA0DED}"/>
    <cellStyle name="Warning Text 15 3 3 2" xfId="20496" xr:uid="{CDF07321-7F13-4B6A-9A2F-0A9E2531395B}"/>
    <cellStyle name="Warning Text 15 3 4" xfId="20497" xr:uid="{94DF851A-5937-4FE2-B184-96E87C6C9031}"/>
    <cellStyle name="Warning Text 15 4" xfId="20498" xr:uid="{918E6AA1-EDB0-4515-BDE4-D0928923EDF9}"/>
    <cellStyle name="Warning Text 15 4 2" xfId="20499" xr:uid="{A4E936C6-9446-4CF2-B34F-EBB84856D250}"/>
    <cellStyle name="Warning Text 15 4 2 2" xfId="20500" xr:uid="{209C62E5-ADD4-4114-BF18-DB4B4F285E00}"/>
    <cellStyle name="Warning Text 15 4 3" xfId="20501" xr:uid="{D482551B-8677-477E-BB76-EA406C70D572}"/>
    <cellStyle name="Warning Text 15 4 3 2" xfId="20502" xr:uid="{C2C1B23E-E1F3-4AE8-87C9-BCE787609F46}"/>
    <cellStyle name="Warning Text 15 4 4" xfId="20503" xr:uid="{151EC729-0AC1-4536-9B26-0B012BD91BD0}"/>
    <cellStyle name="Warning Text 15 5" xfId="20504" xr:uid="{49BF3C34-EB0F-4323-9F50-864A494D7417}"/>
    <cellStyle name="Warning Text 15 5 2" xfId="20505" xr:uid="{B8DA3F04-9604-454C-9FEC-9BF6504B8B76}"/>
    <cellStyle name="Warning Text 15 5 2 2" xfId="20506" xr:uid="{AF9A4E0D-3BAF-44E3-B15C-CF28CD8020C8}"/>
    <cellStyle name="Warning Text 15 5 3" xfId="20507" xr:uid="{412750BF-05A6-4665-A9DB-B0FC0C9CBBF0}"/>
    <cellStyle name="Warning Text 15 5 3 2" xfId="20508" xr:uid="{5A36DB90-0F6A-4560-B254-DAF0190ABFA8}"/>
    <cellStyle name="Warning Text 15 5 4" xfId="20509" xr:uid="{1CEDA879-4A74-4951-983A-6423C678EADA}"/>
    <cellStyle name="Warning Text 15 5 4 2" xfId="20510" xr:uid="{9F9EC1D4-E867-49AC-99D8-8B5F5C5C3EA5}"/>
    <cellStyle name="Warning Text 15 5 5" xfId="20511" xr:uid="{D8379F60-80A8-4752-ABFD-01CC7A29327E}"/>
    <cellStyle name="Warning Text 15 6" xfId="20512" xr:uid="{D578E57C-878F-47BC-8DF0-6C715B7B19B8}"/>
    <cellStyle name="Warning Text 15 6 2" xfId="20513" xr:uid="{5E2CE50B-6987-45FD-B9F0-B21AEEDDD973}"/>
    <cellStyle name="Warning Text 15 6 2 2" xfId="20514" xr:uid="{43EC476E-9BB9-4D66-A16C-9C94E22D52F0}"/>
    <cellStyle name="Warning Text 15 6 3" xfId="20515" xr:uid="{B064286F-6B8A-4803-BE73-769E393FC9DA}"/>
    <cellStyle name="Warning Text 15 6 3 2" xfId="20516" xr:uid="{1A2EB58C-0052-436D-A3A4-5C0656554719}"/>
    <cellStyle name="Warning Text 15 6 4" xfId="20517" xr:uid="{6A62D7B1-3763-4711-8023-6B9A15E73A36}"/>
    <cellStyle name="Warning Text 15 7" xfId="20518" xr:uid="{DE486FFD-1895-465A-ABB9-E78C1C664809}"/>
    <cellStyle name="Warning Text 15 7 2" xfId="20519" xr:uid="{6C3B4DCA-8FA6-4521-9948-A68E22BDE559}"/>
    <cellStyle name="Warning Text 15 8" xfId="20520" xr:uid="{FAA37627-6B21-47A6-876E-444AB7EA3280}"/>
    <cellStyle name="Warning Text 15 8 2" xfId="20521" xr:uid="{C9C02EFF-E268-4B13-A72F-F0DA4639ED4D}"/>
    <cellStyle name="Warning Text 15 9" xfId="20522" xr:uid="{1F1123F8-4387-4BE0-A166-B70C16BE784F}"/>
    <cellStyle name="Warning Text 15 9 2" xfId="20523" xr:uid="{19BB79D1-D1BA-4CC5-9975-EED4BDA4EE57}"/>
    <cellStyle name="Warning Text 16" xfId="3360" xr:uid="{44609EF6-A7C3-4E0C-B544-999E0EDE4A68}"/>
    <cellStyle name="Warning Text 16 10" xfId="20525" xr:uid="{88C05837-396D-47F5-A579-D240EBA1BEBF}"/>
    <cellStyle name="Warning Text 16 11" xfId="20526" xr:uid="{8DDA69EB-AF60-4A76-AA51-A2A7C62A98F0}"/>
    <cellStyle name="Warning Text 16 12" xfId="20524" xr:uid="{434D6E95-BCC6-4969-8C6F-D62B49564A59}"/>
    <cellStyle name="Warning Text 16 2" xfId="20527" xr:uid="{BBDD96E9-0F29-45D6-930F-53CE4158D448}"/>
    <cellStyle name="Warning Text 16 2 2" xfId="20528" xr:uid="{464B01DB-59C2-43D7-8872-BCA270DD9C76}"/>
    <cellStyle name="Warning Text 16 2 2 2" xfId="20529" xr:uid="{FF8CFE97-29DC-42CE-A533-8E1B0C6EF72A}"/>
    <cellStyle name="Warning Text 16 2 3" xfId="20530" xr:uid="{52214813-F57F-440C-B7B1-B806761CCA91}"/>
    <cellStyle name="Warning Text 16 2 3 2" xfId="20531" xr:uid="{A54B89CA-CF99-4A59-9CB3-9E4897CA3D58}"/>
    <cellStyle name="Warning Text 16 2 4" xfId="20532" xr:uid="{C6314E9B-3E27-4586-BE43-DAEF30FDB8D0}"/>
    <cellStyle name="Warning Text 16 2 5" xfId="20533" xr:uid="{D0A9BF90-3D7C-4C29-9E28-105AE3C04A3C}"/>
    <cellStyle name="Warning Text 16 3" xfId="20534" xr:uid="{BCC8F673-FE5A-4C75-9BF3-C5C3D6DD8D06}"/>
    <cellStyle name="Warning Text 16 3 2" xfId="20535" xr:uid="{80FE715E-23AD-4D6A-8500-592869D79C09}"/>
    <cellStyle name="Warning Text 16 3 2 2" xfId="20536" xr:uid="{E5F6CE25-C71B-49C5-9105-43ED98978003}"/>
    <cellStyle name="Warning Text 16 3 3" xfId="20537" xr:uid="{D0B2A8DD-2ECF-43A4-9CEF-5F77A83E75FC}"/>
    <cellStyle name="Warning Text 16 3 3 2" xfId="20538" xr:uid="{47AFF183-AAE2-4619-B9C5-C6C674CA7430}"/>
    <cellStyle name="Warning Text 16 3 4" xfId="20539" xr:uid="{F23899E6-6A1C-4942-B216-84E90ECA8903}"/>
    <cellStyle name="Warning Text 16 4" xfId="20540" xr:uid="{44F181B0-78A9-4CF9-AE36-6FF08D8FD249}"/>
    <cellStyle name="Warning Text 16 4 2" xfId="20541" xr:uid="{9C757B14-A497-4F64-8D71-16D3BFCE0C83}"/>
    <cellStyle name="Warning Text 16 4 2 2" xfId="20542" xr:uid="{80746546-D8EC-4320-A197-58FDC3E99704}"/>
    <cellStyle name="Warning Text 16 4 3" xfId="20543" xr:uid="{8064AADE-7B52-49D0-9AF5-EBBFDDF688D9}"/>
    <cellStyle name="Warning Text 16 4 3 2" xfId="20544" xr:uid="{1B5C3684-5EDE-439E-829F-797397FE1D90}"/>
    <cellStyle name="Warning Text 16 4 4" xfId="20545" xr:uid="{C3D587AC-4854-4A10-95A8-F56ADBA14B01}"/>
    <cellStyle name="Warning Text 16 5" xfId="20546" xr:uid="{8D3F4C52-C925-492C-8724-A2C9CAF8CCC8}"/>
    <cellStyle name="Warning Text 16 5 2" xfId="20547" xr:uid="{53DBADDD-BA8C-47BC-9723-1C9B57DD2999}"/>
    <cellStyle name="Warning Text 16 5 2 2" xfId="20548" xr:uid="{D384F586-6DCF-4B5B-86A8-5824D7A5361D}"/>
    <cellStyle name="Warning Text 16 5 3" xfId="20549" xr:uid="{0CE6893E-09DD-4C97-AC22-44B7CD2774D7}"/>
    <cellStyle name="Warning Text 16 5 3 2" xfId="20550" xr:uid="{0ADE7216-8F3D-4073-8FE8-7D43519B5C85}"/>
    <cellStyle name="Warning Text 16 5 4" xfId="20551" xr:uid="{D2727CE5-634F-40C2-A10B-2B9E7E43C332}"/>
    <cellStyle name="Warning Text 16 5 4 2" xfId="20552" xr:uid="{04E0CF0F-9540-4163-A250-9AB066EC8B74}"/>
    <cellStyle name="Warning Text 16 5 5" xfId="20553" xr:uid="{F275B324-1250-42FC-A896-93E95BB125DD}"/>
    <cellStyle name="Warning Text 16 6" xfId="20554" xr:uid="{90700605-2E9B-4239-B72E-CD9861081755}"/>
    <cellStyle name="Warning Text 16 6 2" xfId="20555" xr:uid="{8548C819-5DE2-4D5C-9FFD-98104F3D199D}"/>
    <cellStyle name="Warning Text 16 6 2 2" xfId="20556" xr:uid="{A558541E-2CAB-4DC0-B95B-4857A0EE2B03}"/>
    <cellStyle name="Warning Text 16 6 3" xfId="20557" xr:uid="{061A2C91-3970-452F-B8FC-80F77E1762C7}"/>
    <cellStyle name="Warning Text 16 6 3 2" xfId="20558" xr:uid="{D35298D8-6620-4C16-A0D4-5C209C78A863}"/>
    <cellStyle name="Warning Text 16 6 4" xfId="20559" xr:uid="{716B17EB-3BFE-445E-BBA8-83B7719D93B4}"/>
    <cellStyle name="Warning Text 16 7" xfId="20560" xr:uid="{987C3B9C-C692-4BF5-BD85-5AAD6925545A}"/>
    <cellStyle name="Warning Text 16 7 2" xfId="20561" xr:uid="{56F3E053-6046-4E02-82AC-B44AC2D2FDF3}"/>
    <cellStyle name="Warning Text 16 8" xfId="20562" xr:uid="{6B29053F-256D-4662-8F67-F1AC2C5A0BD5}"/>
    <cellStyle name="Warning Text 16 8 2" xfId="20563" xr:uid="{3AA85259-542C-4884-8CA1-0EF334E15929}"/>
    <cellStyle name="Warning Text 16 9" xfId="20564" xr:uid="{710610AE-7370-46D6-BE90-CAAC43293BF2}"/>
    <cellStyle name="Warning Text 16 9 2" xfId="20565" xr:uid="{83AA0279-E67E-4F86-90D4-4F22A9EA1C70}"/>
    <cellStyle name="Warning Text 17" xfId="3361" xr:uid="{575CAE62-AA70-407C-915E-2CB7EBC67890}"/>
    <cellStyle name="Warning Text 17 10" xfId="20567" xr:uid="{02D6B0DF-B032-4C23-A3BA-025FFBAC1AA6}"/>
    <cellStyle name="Warning Text 17 11" xfId="20568" xr:uid="{E8DA7B11-495C-46F5-B382-1EE2ED8B360A}"/>
    <cellStyle name="Warning Text 17 12" xfId="20566" xr:uid="{6D0B649B-389C-4117-8B2D-EFAF46EE6DBC}"/>
    <cellStyle name="Warning Text 17 2" xfId="20569" xr:uid="{0EBD1C31-4550-4BF7-BDB4-DD2F10C8433F}"/>
    <cellStyle name="Warning Text 17 2 2" xfId="20570" xr:uid="{5CB8BD53-6C30-42B5-80BD-3CEAA4295876}"/>
    <cellStyle name="Warning Text 17 2 2 2" xfId="20571" xr:uid="{4B775588-D7DC-4F63-877B-7F873F494236}"/>
    <cellStyle name="Warning Text 17 2 3" xfId="20572" xr:uid="{1FA0C50B-ABB0-49EE-A477-0E1CB12D182D}"/>
    <cellStyle name="Warning Text 17 2 3 2" xfId="20573" xr:uid="{5EECA654-B4D7-4FEA-828E-55113A016527}"/>
    <cellStyle name="Warning Text 17 2 4" xfId="20574" xr:uid="{B2A0D430-F375-412E-B670-333D60335B47}"/>
    <cellStyle name="Warning Text 17 2 5" xfId="20575" xr:uid="{232F4C0E-3A37-4C3B-A3D5-302567708CC8}"/>
    <cellStyle name="Warning Text 17 3" xfId="20576" xr:uid="{8E253BFE-14FE-4F92-A24F-1F38E2709A5E}"/>
    <cellStyle name="Warning Text 17 3 2" xfId="20577" xr:uid="{98DC6620-DA32-4290-BB49-046A27B1C2B9}"/>
    <cellStyle name="Warning Text 17 3 2 2" xfId="20578" xr:uid="{5DDAEA8A-7220-48F3-A4DB-7A07984A2407}"/>
    <cellStyle name="Warning Text 17 3 3" xfId="20579" xr:uid="{01A1F6AC-B35A-44E8-AEFB-2126E6109155}"/>
    <cellStyle name="Warning Text 17 3 3 2" xfId="20580" xr:uid="{D8A5C45B-5F95-4A78-BEF6-28636E959FF7}"/>
    <cellStyle name="Warning Text 17 3 4" xfId="20581" xr:uid="{ADF882D3-D15C-47DB-9F00-7FB7545AA2AA}"/>
    <cellStyle name="Warning Text 17 4" xfId="20582" xr:uid="{DE124F3B-FEE3-4689-836F-FA161F6424CC}"/>
    <cellStyle name="Warning Text 17 4 2" xfId="20583" xr:uid="{C67FB3E1-66FA-44E7-BC91-70D91B7AF436}"/>
    <cellStyle name="Warning Text 17 4 2 2" xfId="20584" xr:uid="{1BAE44E9-F681-4ADF-B060-9DF5FF7173FD}"/>
    <cellStyle name="Warning Text 17 4 3" xfId="20585" xr:uid="{5D321295-1489-4CF9-9417-2E32D5BD528F}"/>
    <cellStyle name="Warning Text 17 4 3 2" xfId="20586" xr:uid="{20A8B446-5E4D-41EC-B9B8-8D011B5D5DAC}"/>
    <cellStyle name="Warning Text 17 4 4" xfId="20587" xr:uid="{26583C0E-0A4C-4BB1-8B8D-2F8C72E9A478}"/>
    <cellStyle name="Warning Text 17 5" xfId="20588" xr:uid="{4E9D4683-D7A4-4734-BCD2-7485E4F0079A}"/>
    <cellStyle name="Warning Text 17 5 2" xfId="20589" xr:uid="{1A0F6ECF-83D6-432C-9980-ADF57EF2ECE0}"/>
    <cellStyle name="Warning Text 17 5 2 2" xfId="20590" xr:uid="{07F3B3BB-648B-4CA9-A07B-6E7856480A29}"/>
    <cellStyle name="Warning Text 17 5 3" xfId="20591" xr:uid="{BD7BB5D2-9BEE-484F-96FA-49C8F4B8DCB3}"/>
    <cellStyle name="Warning Text 17 5 3 2" xfId="20592" xr:uid="{89C3908C-859A-4521-B18C-62FDB6973DBB}"/>
    <cellStyle name="Warning Text 17 5 4" xfId="20593" xr:uid="{619FF783-15CD-4F30-8BA4-94E50BE2A8DB}"/>
    <cellStyle name="Warning Text 17 5 4 2" xfId="20594" xr:uid="{4C26DE92-D487-44BA-BAEC-9D1B63F1F770}"/>
    <cellStyle name="Warning Text 17 5 5" xfId="20595" xr:uid="{C08CEFFC-7247-4EC1-A262-25BE8E9DE278}"/>
    <cellStyle name="Warning Text 17 6" xfId="20596" xr:uid="{084F541B-302A-4A64-9971-57CE66F0167D}"/>
    <cellStyle name="Warning Text 17 6 2" xfId="20597" xr:uid="{8034FA87-21F8-4ED4-B23A-C52F27AA93A9}"/>
    <cellStyle name="Warning Text 17 6 2 2" xfId="20598" xr:uid="{8BD31822-00A8-4125-AAC0-9258506EF31F}"/>
    <cellStyle name="Warning Text 17 6 3" xfId="20599" xr:uid="{0D38208C-D1A1-43CE-85CA-EE6AAC548EF2}"/>
    <cellStyle name="Warning Text 17 6 3 2" xfId="20600" xr:uid="{562A689E-3AA4-4990-BE06-C6485CD7C3BF}"/>
    <cellStyle name="Warning Text 17 6 4" xfId="20601" xr:uid="{E08E4A50-ED7E-4DC0-AB11-7D13CE6220AD}"/>
    <cellStyle name="Warning Text 17 7" xfId="20602" xr:uid="{07C7FF08-B6CA-418A-A8C7-1C68E3821772}"/>
    <cellStyle name="Warning Text 17 7 2" xfId="20603" xr:uid="{02BE71FF-3623-456D-9FDA-4AB63AF46F39}"/>
    <cellStyle name="Warning Text 17 8" xfId="20604" xr:uid="{783FA946-0F78-4269-904A-1A1BD32225FE}"/>
    <cellStyle name="Warning Text 17 8 2" xfId="20605" xr:uid="{A67E90C9-B411-4D24-94A9-C6FA3CEADD96}"/>
    <cellStyle name="Warning Text 17 9" xfId="20606" xr:uid="{98D635B8-8230-45AB-BC95-F7933FD9BBE5}"/>
    <cellStyle name="Warning Text 17 9 2" xfId="20607" xr:uid="{45C1EC1A-D6FC-4263-955B-BF38E9B9486E}"/>
    <cellStyle name="Warning Text 18" xfId="3362" xr:uid="{567B2634-5869-4F76-BD65-E1694A26CF4A}"/>
    <cellStyle name="Warning Text 18 10" xfId="20609" xr:uid="{A633EBDF-ED37-4B83-A11B-FB0AC27E49FD}"/>
    <cellStyle name="Warning Text 18 11" xfId="20610" xr:uid="{53C5FE3B-C074-4EC5-B941-AFCDB136841F}"/>
    <cellStyle name="Warning Text 18 12" xfId="20608" xr:uid="{8853CCA4-D732-4671-B3E4-72B2EB6AE4E6}"/>
    <cellStyle name="Warning Text 18 2" xfId="20611" xr:uid="{DD179442-D5BE-4106-882C-3BD87B5FFDA9}"/>
    <cellStyle name="Warning Text 18 2 2" xfId="20612" xr:uid="{8824C783-0C0B-428B-AADC-0A6C7E89304F}"/>
    <cellStyle name="Warning Text 18 2 2 2" xfId="20613" xr:uid="{C0C4CB0E-3F52-4863-9D5E-CA06E3C008C4}"/>
    <cellStyle name="Warning Text 18 2 3" xfId="20614" xr:uid="{6654A7C5-1EBF-466E-A860-88BA41D38AA5}"/>
    <cellStyle name="Warning Text 18 2 3 2" xfId="20615" xr:uid="{500B7B5A-7A6D-49E9-8258-9A01A8001A0E}"/>
    <cellStyle name="Warning Text 18 2 4" xfId="20616" xr:uid="{D6432DE1-383E-43D3-AE80-3F62F2BAFF43}"/>
    <cellStyle name="Warning Text 18 2 5" xfId="20617" xr:uid="{72805A68-C662-43EE-9653-D426035A0FAC}"/>
    <cellStyle name="Warning Text 18 3" xfId="20618" xr:uid="{1751655E-6838-4276-B0B8-6E5DD22147F6}"/>
    <cellStyle name="Warning Text 18 3 2" xfId="20619" xr:uid="{43B24694-97A9-488A-A5AA-23CD630BC25A}"/>
    <cellStyle name="Warning Text 18 3 2 2" xfId="20620" xr:uid="{4D8C4F38-9CE4-47E5-8388-5960CD5E9695}"/>
    <cellStyle name="Warning Text 18 3 3" xfId="20621" xr:uid="{2FD54C75-8E20-405D-A862-19BF20BA660F}"/>
    <cellStyle name="Warning Text 18 3 3 2" xfId="20622" xr:uid="{2E1881F1-CFAA-4DF6-BFE1-50A054E5236C}"/>
    <cellStyle name="Warning Text 18 3 4" xfId="20623" xr:uid="{70C591D8-B13F-4852-8C6A-74BAFC600B5F}"/>
    <cellStyle name="Warning Text 18 4" xfId="20624" xr:uid="{63581A91-10BF-4897-BBED-ADA0AAF9782B}"/>
    <cellStyle name="Warning Text 18 4 2" xfId="20625" xr:uid="{8D8DF45E-C94F-42FC-A3FA-C1DF24F3FC90}"/>
    <cellStyle name="Warning Text 18 4 2 2" xfId="20626" xr:uid="{860128EE-8AA1-4DE5-B44B-867FB7F5BD8F}"/>
    <cellStyle name="Warning Text 18 4 3" xfId="20627" xr:uid="{54634BA5-2A68-44A9-86E6-2F8868857209}"/>
    <cellStyle name="Warning Text 18 4 3 2" xfId="20628" xr:uid="{835E1644-92FF-4459-8416-29A8DE775976}"/>
    <cellStyle name="Warning Text 18 4 4" xfId="20629" xr:uid="{A4299B50-7335-4D6E-BC36-1D181AC76A24}"/>
    <cellStyle name="Warning Text 18 5" xfId="20630" xr:uid="{1F5A133F-4773-4CA1-9346-CE0DB806A096}"/>
    <cellStyle name="Warning Text 18 5 2" xfId="20631" xr:uid="{9F086803-E9B8-4DE2-9DCF-CDB819F92B1A}"/>
    <cellStyle name="Warning Text 18 5 2 2" xfId="20632" xr:uid="{45DD07A3-C02C-49E2-BF14-A1CFAA933DF7}"/>
    <cellStyle name="Warning Text 18 5 3" xfId="20633" xr:uid="{A6DF652A-82CA-447A-ADA1-E5C6CFC47AFE}"/>
    <cellStyle name="Warning Text 18 5 3 2" xfId="20634" xr:uid="{74650C7F-4F85-46A1-8373-CE2C1EDA88DB}"/>
    <cellStyle name="Warning Text 18 5 4" xfId="20635" xr:uid="{622BE6F4-E516-4A0C-9592-253B8B645E3F}"/>
    <cellStyle name="Warning Text 18 5 4 2" xfId="20636" xr:uid="{EA1813BA-0A92-47E7-8A24-893AFB03BA36}"/>
    <cellStyle name="Warning Text 18 5 5" xfId="20637" xr:uid="{D4E1F1EE-7DE5-4610-BEC0-33C4C177BFB9}"/>
    <cellStyle name="Warning Text 18 6" xfId="20638" xr:uid="{6D6B21A7-6E83-46E1-982F-7360AF250A89}"/>
    <cellStyle name="Warning Text 18 6 2" xfId="20639" xr:uid="{D7FCBF13-2C46-4C05-AD18-79694ADF9ADE}"/>
    <cellStyle name="Warning Text 18 6 2 2" xfId="20640" xr:uid="{D37665D5-A1D1-4210-9E0F-EEC593D32E8F}"/>
    <cellStyle name="Warning Text 18 6 3" xfId="20641" xr:uid="{2EA6119C-A56B-42B1-9163-5F0B99200DAD}"/>
    <cellStyle name="Warning Text 18 6 3 2" xfId="20642" xr:uid="{3497046D-CF59-4C8D-860D-C64FF04AD004}"/>
    <cellStyle name="Warning Text 18 6 4" xfId="20643" xr:uid="{C8020DBB-6649-489F-941C-16C7C13F0184}"/>
    <cellStyle name="Warning Text 18 7" xfId="20644" xr:uid="{BA78A36D-9F8F-4F9C-A3ED-D087E39315D5}"/>
    <cellStyle name="Warning Text 18 7 2" xfId="20645" xr:uid="{B2B00AB7-D365-4F4C-B35A-983E74B05D61}"/>
    <cellStyle name="Warning Text 18 8" xfId="20646" xr:uid="{B3E3AA16-86CC-49BD-B185-C4D0229A8868}"/>
    <cellStyle name="Warning Text 18 8 2" xfId="20647" xr:uid="{0754D74E-6A4A-4BE8-93E0-F75D03B59A41}"/>
    <cellStyle name="Warning Text 18 9" xfId="20648" xr:uid="{E86E5001-4D4A-461A-A06D-07F0F1BDB93D}"/>
    <cellStyle name="Warning Text 18 9 2" xfId="20649" xr:uid="{F3BBB28F-0E60-47F4-94CE-19856A3E5EA7}"/>
    <cellStyle name="Warning Text 19" xfId="3363" xr:uid="{88D5CB9F-039A-4B8A-8542-8C23B8872674}"/>
    <cellStyle name="Warning Text 19 10" xfId="20651" xr:uid="{4E746BFD-96F8-432B-A16D-B79291257B52}"/>
    <cellStyle name="Warning Text 19 11" xfId="20652" xr:uid="{7640F4FE-9AF8-427D-81CF-84B52FB45843}"/>
    <cellStyle name="Warning Text 19 12" xfId="20650" xr:uid="{2A8FCFA4-11C8-4A73-B532-8C8626206A6B}"/>
    <cellStyle name="Warning Text 19 2" xfId="20653" xr:uid="{02F72B75-653B-4793-A0CE-04E969F85357}"/>
    <cellStyle name="Warning Text 19 2 2" xfId="20654" xr:uid="{696CD063-3882-4BA4-963E-83F6955E9E86}"/>
    <cellStyle name="Warning Text 19 2 2 2" xfId="20655" xr:uid="{0702518E-AB14-4A7F-905B-B051C31D7BED}"/>
    <cellStyle name="Warning Text 19 2 3" xfId="20656" xr:uid="{AEC72227-E154-4F55-A624-9FDA9E0CC0D6}"/>
    <cellStyle name="Warning Text 19 2 3 2" xfId="20657" xr:uid="{69C44050-5E91-4AE4-A2F6-3467F8D95714}"/>
    <cellStyle name="Warning Text 19 2 4" xfId="20658" xr:uid="{2438076B-B8F5-454E-B825-235968804E35}"/>
    <cellStyle name="Warning Text 19 2 5" xfId="20659" xr:uid="{961E1081-6913-435A-9AE4-BF0674F439A7}"/>
    <cellStyle name="Warning Text 19 3" xfId="20660" xr:uid="{199A8C4E-1E65-42C1-B051-88A868D3789A}"/>
    <cellStyle name="Warning Text 19 3 2" xfId="20661" xr:uid="{392D3403-CCA5-4745-9CD2-C9CC4BF018E0}"/>
    <cellStyle name="Warning Text 19 3 2 2" xfId="20662" xr:uid="{3BC3300C-F04D-4B82-905C-D6D64E5443A7}"/>
    <cellStyle name="Warning Text 19 3 3" xfId="20663" xr:uid="{435C5A2A-36F6-4A30-B8B1-C2C899100EEE}"/>
    <cellStyle name="Warning Text 19 3 3 2" xfId="20664" xr:uid="{46DF18F6-F9AD-4994-8259-DA6C5694764B}"/>
    <cellStyle name="Warning Text 19 3 4" xfId="20665" xr:uid="{7AADC545-0C39-4AE5-B7F8-2110D424654F}"/>
    <cellStyle name="Warning Text 19 4" xfId="20666" xr:uid="{A5CACD9A-27F9-47A5-9676-90B9969E148D}"/>
    <cellStyle name="Warning Text 19 4 2" xfId="20667" xr:uid="{24DF178A-B696-4D89-B821-D02074453764}"/>
    <cellStyle name="Warning Text 19 4 2 2" xfId="20668" xr:uid="{CC7140D9-472D-4CF6-8098-D0608E680242}"/>
    <cellStyle name="Warning Text 19 4 3" xfId="20669" xr:uid="{DA60161F-A69D-414C-B41B-28CEC2F2701A}"/>
    <cellStyle name="Warning Text 19 4 3 2" xfId="20670" xr:uid="{D273D8D6-7FB7-46EF-9732-9708C90A2FF9}"/>
    <cellStyle name="Warning Text 19 4 4" xfId="20671" xr:uid="{AAEC2C57-AD54-4AC1-85E0-D0F62415DF55}"/>
    <cellStyle name="Warning Text 19 5" xfId="20672" xr:uid="{E28039A0-FD66-4C22-B2F9-3FB8F416B414}"/>
    <cellStyle name="Warning Text 19 5 2" xfId="20673" xr:uid="{3CCF0A1C-5FA2-441D-A5E2-2F9A0E210379}"/>
    <cellStyle name="Warning Text 19 5 2 2" xfId="20674" xr:uid="{9E55D0FA-CEDC-4609-B7D0-DDA848DCCB73}"/>
    <cellStyle name="Warning Text 19 5 3" xfId="20675" xr:uid="{391927E5-AB06-43C9-897A-61B5630DBEB1}"/>
    <cellStyle name="Warning Text 19 5 3 2" xfId="20676" xr:uid="{DCBB4BD8-C725-4407-B776-3A0280319E3D}"/>
    <cellStyle name="Warning Text 19 5 4" xfId="20677" xr:uid="{3577430B-2850-4D48-9C5C-50FB9E8467A7}"/>
    <cellStyle name="Warning Text 19 5 4 2" xfId="20678" xr:uid="{D26975CC-E6DF-46D0-AC79-3617678E186C}"/>
    <cellStyle name="Warning Text 19 5 5" xfId="20679" xr:uid="{373A2D01-629E-4C47-86E8-F938D89C7F42}"/>
    <cellStyle name="Warning Text 19 6" xfId="20680" xr:uid="{E355FE57-618A-4E3F-AA1A-1A0A34541E6F}"/>
    <cellStyle name="Warning Text 19 6 2" xfId="20681" xr:uid="{40FF84A1-492F-478D-AC64-DD13F997821F}"/>
    <cellStyle name="Warning Text 19 6 2 2" xfId="20682" xr:uid="{BCC73C5A-3BF7-4147-BC9A-723B5A1768AD}"/>
    <cellStyle name="Warning Text 19 6 3" xfId="20683" xr:uid="{E59FFCDF-50AC-4559-AC3C-3D49EDE68556}"/>
    <cellStyle name="Warning Text 19 6 3 2" xfId="20684" xr:uid="{F8FAF7F0-6B53-4B33-9416-A41B18E851AC}"/>
    <cellStyle name="Warning Text 19 6 4" xfId="20685" xr:uid="{7F5A5433-304E-4D19-8159-E312E194E06B}"/>
    <cellStyle name="Warning Text 19 7" xfId="20686" xr:uid="{BB676FAE-92BF-4C18-A78A-F47803E4EA9E}"/>
    <cellStyle name="Warning Text 19 7 2" xfId="20687" xr:uid="{B8FB58CD-3CB2-4ABE-9604-92E84B064AE2}"/>
    <cellStyle name="Warning Text 19 8" xfId="20688" xr:uid="{A0B44B5F-2AF8-45CD-8F93-501B1766205D}"/>
    <cellStyle name="Warning Text 19 8 2" xfId="20689" xr:uid="{3E6C6160-A8D9-4D7E-A08B-44096DCEDCA1}"/>
    <cellStyle name="Warning Text 19 9" xfId="20690" xr:uid="{30C17FEC-11F4-4FE9-AF8B-D99B7BAFE6A2}"/>
    <cellStyle name="Warning Text 19 9 2" xfId="20691" xr:uid="{523E8962-6E22-4E51-9D3A-D97EC11E1A9D}"/>
    <cellStyle name="Warning Text 2" xfId="320" xr:uid="{0F49FFFC-6892-439D-87AB-A7F5D08ECD3E}"/>
    <cellStyle name="Warning Text 2 10" xfId="4828" xr:uid="{A4F0C71B-A022-42FB-AF44-C064BF111D58}"/>
    <cellStyle name="Warning Text 2 10 10" xfId="20694" xr:uid="{78B80ED7-729D-434A-86B0-33604EEE52C1}"/>
    <cellStyle name="Warning Text 2 10 11" xfId="20693" xr:uid="{A010D184-4011-4C27-9537-D19C8175F496}"/>
    <cellStyle name="Warning Text 2 10 2" xfId="20695" xr:uid="{8A22D502-EFFD-4892-9168-F594EB0581ED}"/>
    <cellStyle name="Warning Text 2 10 2 2" xfId="20696" xr:uid="{EF862A37-4F7C-4AD5-99B8-E4FC1DDC06E0}"/>
    <cellStyle name="Warning Text 2 10 2 2 2" xfId="20697" xr:uid="{56BCE300-03A8-4CB1-9662-FCE5F5139E89}"/>
    <cellStyle name="Warning Text 2 10 2 3" xfId="20698" xr:uid="{8CE649B3-A6C2-4F95-8EB3-525329C231A4}"/>
    <cellStyle name="Warning Text 2 10 2 3 2" xfId="20699" xr:uid="{628E8AEC-A261-4DE0-8E26-95F332CBE59E}"/>
    <cellStyle name="Warning Text 2 10 2 4" xfId="20700" xr:uid="{7848AB69-4A6C-4315-84B1-E5CF3A7A3287}"/>
    <cellStyle name="Warning Text 2 10 3" xfId="20701" xr:uid="{7A9816E3-E77C-4C8C-A5F5-AEEE9CAC96B3}"/>
    <cellStyle name="Warning Text 2 10 3 2" xfId="20702" xr:uid="{CA1BE7FC-2D42-41C3-942E-7FE5020BE217}"/>
    <cellStyle name="Warning Text 2 10 3 2 2" xfId="20703" xr:uid="{C1F79F56-5C4F-45E3-A825-79272BB69580}"/>
    <cellStyle name="Warning Text 2 10 3 3" xfId="20704" xr:uid="{362510CA-4793-4654-B489-6AB85E529E35}"/>
    <cellStyle name="Warning Text 2 10 3 3 2" xfId="20705" xr:uid="{0206663B-F01C-4A90-82FD-E8F7AC768472}"/>
    <cellStyle name="Warning Text 2 10 3 4" xfId="20706" xr:uid="{4AD21187-33A5-46C8-83AF-11D3BCC093EF}"/>
    <cellStyle name="Warning Text 2 10 4" xfId="20707" xr:uid="{F665594E-BD89-4B08-BC18-521C85651563}"/>
    <cellStyle name="Warning Text 2 10 4 2" xfId="20708" xr:uid="{02E6F85D-BE5F-408A-A069-26585DB10115}"/>
    <cellStyle name="Warning Text 2 10 4 2 2" xfId="20709" xr:uid="{507C5719-ADB5-4941-A266-6791BC9F828A}"/>
    <cellStyle name="Warning Text 2 10 4 3" xfId="20710" xr:uid="{F0C41E20-7D17-412B-B9BB-962808B6E4BF}"/>
    <cellStyle name="Warning Text 2 10 4 3 2" xfId="20711" xr:uid="{E88B5823-6442-43C4-AB50-49ED24FD0A05}"/>
    <cellStyle name="Warning Text 2 10 4 4" xfId="20712" xr:uid="{AA7E3C15-3D95-4BC6-A95F-974CA32A2E05}"/>
    <cellStyle name="Warning Text 2 10 4 4 2" xfId="20713" xr:uid="{F294B87C-BC7A-4501-8C2B-2AC509C1B5F3}"/>
    <cellStyle name="Warning Text 2 10 4 5" xfId="20714" xr:uid="{F3F7134C-CB06-41F0-84D1-8929685A1C14}"/>
    <cellStyle name="Warning Text 2 10 5" xfId="20715" xr:uid="{B6A7DA65-7BFE-4B47-9F93-7EDF3237C3C9}"/>
    <cellStyle name="Warning Text 2 10 5 2" xfId="20716" xr:uid="{D0F4DE12-6E01-4DFE-90C4-A41436AB5F49}"/>
    <cellStyle name="Warning Text 2 10 5 2 2" xfId="20717" xr:uid="{7F65086A-F8F0-4C1D-8311-91380BDFB584}"/>
    <cellStyle name="Warning Text 2 10 5 3" xfId="20718" xr:uid="{005C96F1-4D1A-4B75-8782-518D4194D777}"/>
    <cellStyle name="Warning Text 2 10 5 3 2" xfId="20719" xr:uid="{EFE10F2A-6CD9-4185-B939-5A2F9F9C747E}"/>
    <cellStyle name="Warning Text 2 10 5 4" xfId="20720" xr:uid="{B9735E37-97B4-42A0-8E48-41228531DEBD}"/>
    <cellStyle name="Warning Text 2 10 6" xfId="20721" xr:uid="{0FA333CD-DFBC-43B9-93CB-0A044FA99CD7}"/>
    <cellStyle name="Warning Text 2 10 6 2" xfId="20722" xr:uid="{DC448DDC-04EB-434B-A4FA-6922B7821998}"/>
    <cellStyle name="Warning Text 2 10 7" xfId="20723" xr:uid="{5BC63D05-D08E-4C4E-9021-5FB657F645D0}"/>
    <cellStyle name="Warning Text 2 10 7 2" xfId="20724" xr:uid="{2B38EE17-D988-4D64-9E4E-769AEDEF09FD}"/>
    <cellStyle name="Warning Text 2 10 8" xfId="20725" xr:uid="{8537715F-B87B-4230-954C-FCA6604F7E39}"/>
    <cellStyle name="Warning Text 2 10 8 2" xfId="20726" xr:uid="{0102F271-C797-422E-9715-794FD2AED5BE}"/>
    <cellStyle name="Warning Text 2 10 9" xfId="20727" xr:uid="{A0C22EBB-62D6-47D5-986E-29E77D439973}"/>
    <cellStyle name="Warning Text 2 11" xfId="20728" xr:uid="{2ECFF061-D9C9-4D71-9D6C-783C45EE0096}"/>
    <cellStyle name="Warning Text 2 11 2" xfId="20729" xr:uid="{1162AFFB-4D79-4DEC-B9F6-CA996632C910}"/>
    <cellStyle name="Warning Text 2 11 2 2" xfId="20730" xr:uid="{2D2C5F4A-0228-44B3-8A50-786EB3B78034}"/>
    <cellStyle name="Warning Text 2 11 3" xfId="20731" xr:uid="{08C2094D-ACE5-480D-BF99-5F368BBA1767}"/>
    <cellStyle name="Warning Text 2 11 3 2" xfId="20732" xr:uid="{D8EDF8E6-514E-44BD-836A-D200E81E4A0F}"/>
    <cellStyle name="Warning Text 2 11 4" xfId="20733" xr:uid="{D35269AB-1175-4B4E-BE38-F49103A7847D}"/>
    <cellStyle name="Warning Text 2 11 5" xfId="20734" xr:uid="{21A3EE4B-0398-4D9E-97E4-8108EB330204}"/>
    <cellStyle name="Warning Text 2 12" xfId="20735" xr:uid="{F002C2D2-2077-44F1-B4B0-269D5AB292B7}"/>
    <cellStyle name="Warning Text 2 12 2" xfId="20736" xr:uid="{2E819210-08C7-43B5-9A95-9BEE3196CF6D}"/>
    <cellStyle name="Warning Text 2 12 2 2" xfId="20737" xr:uid="{41EDF66A-6E2D-4615-AD14-9F9C24C53AB9}"/>
    <cellStyle name="Warning Text 2 12 3" xfId="20738" xr:uid="{B24955DF-9C8B-4D2F-BC2D-E871416740EB}"/>
    <cellStyle name="Warning Text 2 12 3 2" xfId="20739" xr:uid="{CE72613C-74C4-4FE6-994A-65FC7B0D4EB9}"/>
    <cellStyle name="Warning Text 2 12 4" xfId="20740" xr:uid="{14B1DAE1-96DB-451D-8F34-B57CE3BDDDE9}"/>
    <cellStyle name="Warning Text 2 13" xfId="20741" xr:uid="{2461AEDB-33D8-41FE-A330-C6D0FBEB4264}"/>
    <cellStyle name="Warning Text 2 13 2" xfId="20742" xr:uid="{7E9416C6-6F5D-4D09-A755-D59FAD00F89F}"/>
    <cellStyle name="Warning Text 2 13 2 2" xfId="20743" xr:uid="{D401AE4E-1582-4E3B-B693-7BC2C54FDAEA}"/>
    <cellStyle name="Warning Text 2 13 3" xfId="20744" xr:uid="{C4389EF7-EF31-4AFE-B6ED-DFA56AA46783}"/>
    <cellStyle name="Warning Text 2 13 3 2" xfId="20745" xr:uid="{490BC422-A6C2-42E0-9A8E-C3EEDA3E1E1D}"/>
    <cellStyle name="Warning Text 2 13 4" xfId="20746" xr:uid="{6E261C8F-90BF-403A-B397-8CC1423446B4}"/>
    <cellStyle name="Warning Text 2 14" xfId="20747" xr:uid="{371E2B58-F6A3-457F-B0D5-07B1E086DF41}"/>
    <cellStyle name="Warning Text 2 14 2" xfId="20748" xr:uid="{236A88B0-92B2-4FD9-A41D-A94E88C9739F}"/>
    <cellStyle name="Warning Text 2 14 2 2" xfId="20749" xr:uid="{38804B37-C7E6-4FEA-9453-D81B4A852F94}"/>
    <cellStyle name="Warning Text 2 14 3" xfId="20750" xr:uid="{6C0EF639-1FC0-4B63-9A8A-DDAB70E2B74D}"/>
    <cellStyle name="Warning Text 2 14 3 2" xfId="20751" xr:uid="{07AFD407-D375-4F4D-A8A3-C229639C1184}"/>
    <cellStyle name="Warning Text 2 14 4" xfId="20752" xr:uid="{8FCDB942-3E82-41D8-A32C-8E0E5AEDD9BD}"/>
    <cellStyle name="Warning Text 2 14 4 2" xfId="20753" xr:uid="{BBD124DA-198A-45CE-BC02-40E4C0C930FA}"/>
    <cellStyle name="Warning Text 2 14 5" xfId="20754" xr:uid="{49CCE3C1-C949-4083-B472-366A25FCFCA0}"/>
    <cellStyle name="Warning Text 2 15" xfId="20755" xr:uid="{4C19C057-58A6-4066-91AA-EE969173128F}"/>
    <cellStyle name="Warning Text 2 15 2" xfId="20756" xr:uid="{278B1BF0-B759-4A42-8928-E52EB52518F5}"/>
    <cellStyle name="Warning Text 2 15 2 2" xfId="20757" xr:uid="{6284AC15-5EDB-475B-B30A-26081B35F44E}"/>
    <cellStyle name="Warning Text 2 15 3" xfId="20758" xr:uid="{C846E920-C928-4238-8F95-940E1EFA606A}"/>
    <cellStyle name="Warning Text 2 15 3 2" xfId="20759" xr:uid="{8746444C-D075-4B87-B837-0195F599C79C}"/>
    <cellStyle name="Warning Text 2 15 4" xfId="20760" xr:uid="{0C6D669F-E870-4596-BDF2-CAC26260D55C}"/>
    <cellStyle name="Warning Text 2 16" xfId="20761" xr:uid="{C71FD8D1-305E-4CDF-84EA-EBE18E99D5E1}"/>
    <cellStyle name="Warning Text 2 16 2" xfId="20762" xr:uid="{401131E5-A6B6-437E-8955-8F29E833C81D}"/>
    <cellStyle name="Warning Text 2 17" xfId="20763" xr:uid="{4FC66DFF-F328-450F-907C-10D09A9FDF20}"/>
    <cellStyle name="Warning Text 2 17 2" xfId="20764" xr:uid="{829788E4-C4FF-4581-83E7-61D64EBFC734}"/>
    <cellStyle name="Warning Text 2 18" xfId="20765" xr:uid="{5854288D-9569-4653-9580-4B561E65D954}"/>
    <cellStyle name="Warning Text 2 18 2" xfId="20766" xr:uid="{B1D64DE4-62ED-488A-A126-35C98761EE06}"/>
    <cellStyle name="Warning Text 2 19" xfId="20767" xr:uid="{7E7D049C-FA18-4D04-89F3-4B4660797DEC}"/>
    <cellStyle name="Warning Text 2 2" xfId="4829" xr:uid="{B564628A-E15E-4193-8F73-8F7EB6AE8749}"/>
    <cellStyle name="Warning Text 2 2 10" xfId="20769" xr:uid="{633A0321-417B-471B-90E7-569485E0F509}"/>
    <cellStyle name="Warning Text 2 2 11" xfId="20768" xr:uid="{7E6BC13E-6309-43F6-9377-4F25C6D76E85}"/>
    <cellStyle name="Warning Text 2 2 2" xfId="20770" xr:uid="{D90DAF5A-3A3C-450E-8795-3088F7C53530}"/>
    <cellStyle name="Warning Text 2 2 2 2" xfId="20771" xr:uid="{DBC9AFE2-639D-46E2-B7E8-DBEC2FC70330}"/>
    <cellStyle name="Warning Text 2 2 2 2 2" xfId="20772" xr:uid="{81098806-5089-4F63-91A5-281D5E178C73}"/>
    <cellStyle name="Warning Text 2 2 2 3" xfId="20773" xr:uid="{E34EA939-579A-4DB4-A792-950CDDEF9746}"/>
    <cellStyle name="Warning Text 2 2 2 3 2" xfId="20774" xr:uid="{3C923FE9-DEC0-4EF0-B448-E8AF61E29004}"/>
    <cellStyle name="Warning Text 2 2 2 4" xfId="20775" xr:uid="{CD9CDAC3-2914-4542-844A-FC35468FD56A}"/>
    <cellStyle name="Warning Text 2 2 3" xfId="20776" xr:uid="{0DCB843D-8906-4A8E-A250-A82032F31E74}"/>
    <cellStyle name="Warning Text 2 2 3 2" xfId="20777" xr:uid="{6BF894A3-CF7C-48D9-935A-ACD7651FB4DE}"/>
    <cellStyle name="Warning Text 2 2 3 2 2" xfId="20778" xr:uid="{2D2A8875-EAFF-42CF-B482-E50D909DFE2F}"/>
    <cellStyle name="Warning Text 2 2 3 3" xfId="20779" xr:uid="{30A0EF88-9970-40E4-859E-9D9E68DDE7C8}"/>
    <cellStyle name="Warning Text 2 2 3 3 2" xfId="20780" xr:uid="{794DD6AA-CB78-4BE7-9C4F-3D3190CAF7C3}"/>
    <cellStyle name="Warning Text 2 2 3 4" xfId="20781" xr:uid="{D06F59D8-EA92-4C1A-9D06-FA2AA16AD5FA}"/>
    <cellStyle name="Warning Text 2 2 4" xfId="20782" xr:uid="{7F639F7F-998A-4444-A31B-F48242CE215B}"/>
    <cellStyle name="Warning Text 2 2 4 2" xfId="20783" xr:uid="{6E4E7275-6DFE-4EEF-8E4B-923FC0DB778B}"/>
    <cellStyle name="Warning Text 2 2 4 2 2" xfId="20784" xr:uid="{F2775ACB-0AFD-4EF2-8D7F-3DCFB5C2F9B3}"/>
    <cellStyle name="Warning Text 2 2 4 3" xfId="20785" xr:uid="{D9ADE99E-41C8-4ED2-BD5D-4066F02AA06E}"/>
    <cellStyle name="Warning Text 2 2 4 3 2" xfId="20786" xr:uid="{63CEEF6A-A562-4283-B845-5E4844AC2BF2}"/>
    <cellStyle name="Warning Text 2 2 4 4" xfId="20787" xr:uid="{AD8D71AE-A77F-4608-8F4F-50DD79429CDA}"/>
    <cellStyle name="Warning Text 2 2 4 4 2" xfId="20788" xr:uid="{86C98575-B186-42F1-83E8-053581563E83}"/>
    <cellStyle name="Warning Text 2 2 4 5" xfId="20789" xr:uid="{CC9EBF56-D16F-4F81-BEFE-9BBF782817E9}"/>
    <cellStyle name="Warning Text 2 2 5" xfId="20790" xr:uid="{22E700B5-4CB7-4503-9287-83356F566F32}"/>
    <cellStyle name="Warning Text 2 2 5 2" xfId="20791" xr:uid="{C1B9DCA3-1777-4E52-BD6D-2B52041FEE90}"/>
    <cellStyle name="Warning Text 2 2 5 2 2" xfId="20792" xr:uid="{CFD975FC-34D0-4877-BA6E-D71AC0FA3EC6}"/>
    <cellStyle name="Warning Text 2 2 5 3" xfId="20793" xr:uid="{7A496BD5-0FC5-4934-9694-19FCE61E8703}"/>
    <cellStyle name="Warning Text 2 2 5 3 2" xfId="20794" xr:uid="{28F99C1F-0DDC-42F0-822C-786FED46C8B8}"/>
    <cellStyle name="Warning Text 2 2 5 4" xfId="20795" xr:uid="{1DC077E5-5B87-402E-B79D-FCBE5D61887A}"/>
    <cellStyle name="Warning Text 2 2 6" xfId="20796" xr:uid="{FA271C79-4765-47FA-A386-C430FEDC675D}"/>
    <cellStyle name="Warning Text 2 2 6 2" xfId="20797" xr:uid="{1A4C52BE-EFF5-4BCE-A365-ECC367CF5BC7}"/>
    <cellStyle name="Warning Text 2 2 7" xfId="20798" xr:uid="{B0A9B764-CA42-44EA-A8F7-A09932E9D981}"/>
    <cellStyle name="Warning Text 2 2 7 2" xfId="20799" xr:uid="{DC1CE98C-E872-483B-86D0-4A7EACE83601}"/>
    <cellStyle name="Warning Text 2 2 8" xfId="20800" xr:uid="{1EA9CAC3-643A-482D-ABEF-BA3208EA7F8D}"/>
    <cellStyle name="Warning Text 2 2 8 2" xfId="20801" xr:uid="{F7B2275C-2957-4C10-A748-7FDCF9AA54CC}"/>
    <cellStyle name="Warning Text 2 2 9" xfId="20802" xr:uid="{4FEBA567-4348-43F6-A48F-D6EC958D6CF6}"/>
    <cellStyle name="Warning Text 2 20" xfId="20803" xr:uid="{5E3D8A1F-C9D1-4B31-99E5-7EF6FB20F16E}"/>
    <cellStyle name="Warning Text 2 21" xfId="20692" xr:uid="{B8132F84-CE02-4E79-8AA9-6DCCFC5280B6}"/>
    <cellStyle name="Warning Text 2 3" xfId="4830" xr:uid="{C7636170-95E3-4222-98B4-96655E36D54E}"/>
    <cellStyle name="Warning Text 2 3 10" xfId="20805" xr:uid="{1AAED0C2-E6DF-493B-B3F4-0DBD6C9B4782}"/>
    <cellStyle name="Warning Text 2 3 11" xfId="20804" xr:uid="{9EC8C6AD-1045-4D41-B44B-A6A7B9FF7110}"/>
    <cellStyle name="Warning Text 2 3 2" xfId="20806" xr:uid="{FD606D21-9AE1-4A21-B437-57578A5495B7}"/>
    <cellStyle name="Warning Text 2 3 2 2" xfId="20807" xr:uid="{E50746D6-61A5-4F6B-864F-95B1E72F3E69}"/>
    <cellStyle name="Warning Text 2 3 2 2 2" xfId="20808" xr:uid="{E5409BF1-7299-40F2-BBBB-73982A136E90}"/>
    <cellStyle name="Warning Text 2 3 2 3" xfId="20809" xr:uid="{D1D25366-C646-4A87-B2FF-FC74898287C7}"/>
    <cellStyle name="Warning Text 2 3 2 3 2" xfId="20810" xr:uid="{B77B95D9-EAE6-4D76-9E5B-BD16E3BDA0F4}"/>
    <cellStyle name="Warning Text 2 3 2 4" xfId="20811" xr:uid="{8E896198-1B8B-4485-8762-CA598AA300F9}"/>
    <cellStyle name="Warning Text 2 3 3" xfId="20812" xr:uid="{AF7B3FA3-C019-4257-A9B7-377BB6EC75EB}"/>
    <cellStyle name="Warning Text 2 3 3 2" xfId="20813" xr:uid="{D0139033-99CD-479E-9A2B-CBCF7B85E52D}"/>
    <cellStyle name="Warning Text 2 3 3 2 2" xfId="20814" xr:uid="{B312676F-8588-4020-8FD1-7A678D87D165}"/>
    <cellStyle name="Warning Text 2 3 3 3" xfId="20815" xr:uid="{F43C1CA8-5741-4209-83CC-81C116865D79}"/>
    <cellStyle name="Warning Text 2 3 3 3 2" xfId="20816" xr:uid="{33444216-43E5-48BC-B56B-C7A4DC7A7AC3}"/>
    <cellStyle name="Warning Text 2 3 3 4" xfId="20817" xr:uid="{8658FB4A-B80A-4DCD-9479-EA09812EFA3B}"/>
    <cellStyle name="Warning Text 2 3 4" xfId="20818" xr:uid="{A85F502E-02E0-4B51-B3E6-9AD6D79DB548}"/>
    <cellStyle name="Warning Text 2 3 4 2" xfId="20819" xr:uid="{C7140CFD-855D-462E-90B6-A5525AF9BD7B}"/>
    <cellStyle name="Warning Text 2 3 4 2 2" xfId="20820" xr:uid="{E9B5AD13-192E-4366-9AF7-FC54C2AE3AF6}"/>
    <cellStyle name="Warning Text 2 3 4 3" xfId="20821" xr:uid="{EA424C8C-3C9A-4D43-BB91-B3BF7AF52E15}"/>
    <cellStyle name="Warning Text 2 3 4 3 2" xfId="20822" xr:uid="{CF8F3A51-D0A0-467F-9CDD-A85B61E9210C}"/>
    <cellStyle name="Warning Text 2 3 4 4" xfId="20823" xr:uid="{55D2B9B2-939C-437E-903D-4941D1BFC4AE}"/>
    <cellStyle name="Warning Text 2 3 4 4 2" xfId="20824" xr:uid="{4F97A781-53CB-4DC3-8DF7-5C4ED0B45D4E}"/>
    <cellStyle name="Warning Text 2 3 4 5" xfId="20825" xr:uid="{A18DE42B-418F-47BD-8663-E7FB83F08B8D}"/>
    <cellStyle name="Warning Text 2 3 5" xfId="20826" xr:uid="{E4DF32F5-4CC3-48CD-9305-143ED01B3D06}"/>
    <cellStyle name="Warning Text 2 3 5 2" xfId="20827" xr:uid="{A72383CA-3238-4164-8C26-9D657530B350}"/>
    <cellStyle name="Warning Text 2 3 5 2 2" xfId="20828" xr:uid="{F679CA97-BD4F-4B62-B7D6-5E56A352FFD6}"/>
    <cellStyle name="Warning Text 2 3 5 3" xfId="20829" xr:uid="{B9E98FBC-41BA-4187-BA46-6E1D1FA4BF15}"/>
    <cellStyle name="Warning Text 2 3 5 3 2" xfId="20830" xr:uid="{25A39636-2E17-4D6B-AB59-8DEC6640D248}"/>
    <cellStyle name="Warning Text 2 3 5 4" xfId="20831" xr:uid="{B5D8E1F0-901F-45DE-8D31-4392668355FD}"/>
    <cellStyle name="Warning Text 2 3 6" xfId="20832" xr:uid="{9AFD06A9-DB81-4941-859F-D24B1E3132BB}"/>
    <cellStyle name="Warning Text 2 3 6 2" xfId="20833" xr:uid="{9460A13B-3ABD-4014-8C0B-B0D73D7F04D3}"/>
    <cellStyle name="Warning Text 2 3 7" xfId="20834" xr:uid="{BD3F5BD0-3642-4217-94E6-6C33603DFBCB}"/>
    <cellStyle name="Warning Text 2 3 7 2" xfId="20835" xr:uid="{0F357E33-88FE-4493-A0C5-C3E6BB3CC6DC}"/>
    <cellStyle name="Warning Text 2 3 8" xfId="20836" xr:uid="{34122B16-196D-4FC3-8276-F5DF8E2917DF}"/>
    <cellStyle name="Warning Text 2 3 8 2" xfId="20837" xr:uid="{4D826CE1-D021-4106-AE6D-3FF47A894195}"/>
    <cellStyle name="Warning Text 2 3 9" xfId="20838" xr:uid="{8108C6E5-FBFE-44AD-B3EB-48A82441400E}"/>
    <cellStyle name="Warning Text 2 4" xfId="4831" xr:uid="{C555DF68-51B4-4FE8-A238-FAD85D758F5B}"/>
    <cellStyle name="Warning Text 2 4 10" xfId="20840" xr:uid="{AAB6A946-D768-4E49-A92F-52FB3BDBCCF7}"/>
    <cellStyle name="Warning Text 2 4 11" xfId="20839" xr:uid="{E73D100B-973D-4D25-8896-5782B7219388}"/>
    <cellStyle name="Warning Text 2 4 2" xfId="20841" xr:uid="{BA48413F-7889-4488-B6C0-A02D88DE42B2}"/>
    <cellStyle name="Warning Text 2 4 2 2" xfId="20842" xr:uid="{576FF3CF-9501-4900-B4F3-D04516013B55}"/>
    <cellStyle name="Warning Text 2 4 2 2 2" xfId="20843" xr:uid="{3C5EA15C-9F6B-4BA9-81EF-10B2C0BAB753}"/>
    <cellStyle name="Warning Text 2 4 2 3" xfId="20844" xr:uid="{A63B47BB-9762-4F86-86CB-16BBDBAA6F75}"/>
    <cellStyle name="Warning Text 2 4 2 3 2" xfId="20845" xr:uid="{4CF51B99-C093-4DCA-BEC1-2D09A4D81B65}"/>
    <cellStyle name="Warning Text 2 4 2 4" xfId="20846" xr:uid="{4556AFAE-B300-4A81-B336-1306E43597DA}"/>
    <cellStyle name="Warning Text 2 4 3" xfId="20847" xr:uid="{B05657E3-C849-4610-ACBC-E95E781A7209}"/>
    <cellStyle name="Warning Text 2 4 3 2" xfId="20848" xr:uid="{6A753DB3-1266-438E-A0DD-5DF75C74801A}"/>
    <cellStyle name="Warning Text 2 4 3 2 2" xfId="20849" xr:uid="{E8B0B0D8-3BFB-47A2-B2D5-79A79F77523B}"/>
    <cellStyle name="Warning Text 2 4 3 3" xfId="20850" xr:uid="{D95689B1-935A-4010-97DD-89651F8F60E0}"/>
    <cellStyle name="Warning Text 2 4 3 3 2" xfId="20851" xr:uid="{CE18B268-08BA-40FF-9EFA-BE10A034AC91}"/>
    <cellStyle name="Warning Text 2 4 3 4" xfId="20852" xr:uid="{C219F1AC-F9A2-47E5-B4A1-A08A5AC88454}"/>
    <cellStyle name="Warning Text 2 4 4" xfId="20853" xr:uid="{1563C3A7-B5A9-43C1-93FB-CC5A483B5AB8}"/>
    <cellStyle name="Warning Text 2 4 4 2" xfId="20854" xr:uid="{AC1E5F78-66AB-483A-9E59-8B87AF739CD8}"/>
    <cellStyle name="Warning Text 2 4 4 2 2" xfId="20855" xr:uid="{A63BCCA3-2DB3-4668-AE2D-6999240019C7}"/>
    <cellStyle name="Warning Text 2 4 4 3" xfId="20856" xr:uid="{0E5FC7B5-71A9-41EA-8165-9A2A05CF1F4E}"/>
    <cellStyle name="Warning Text 2 4 4 3 2" xfId="20857" xr:uid="{123BEE54-962B-4EE7-B3B6-A6DB59FD1651}"/>
    <cellStyle name="Warning Text 2 4 4 4" xfId="20858" xr:uid="{3A5AFA3D-3C48-4E91-BE10-BC489BA85EA4}"/>
    <cellStyle name="Warning Text 2 4 4 4 2" xfId="20859" xr:uid="{1D7DFB0F-5795-4981-8548-C6CBF50C7778}"/>
    <cellStyle name="Warning Text 2 4 4 5" xfId="20860" xr:uid="{32F18165-6C18-4C2B-BF2C-4FE7645A26ED}"/>
    <cellStyle name="Warning Text 2 4 5" xfId="20861" xr:uid="{B4D66FDE-8742-4A99-B0B7-C46BC095323B}"/>
    <cellStyle name="Warning Text 2 4 5 2" xfId="20862" xr:uid="{E87F1E38-1058-4DAE-8D66-38ECAD133843}"/>
    <cellStyle name="Warning Text 2 4 5 2 2" xfId="20863" xr:uid="{0F69BA04-218F-4ED7-9118-643BE5080B4C}"/>
    <cellStyle name="Warning Text 2 4 5 3" xfId="20864" xr:uid="{45577528-07C5-4BE9-880D-A6B35F0F0B4B}"/>
    <cellStyle name="Warning Text 2 4 5 3 2" xfId="20865" xr:uid="{11853BF5-F75D-429B-A302-D90D12E0756B}"/>
    <cellStyle name="Warning Text 2 4 5 4" xfId="20866" xr:uid="{F90AAF46-CD9F-4D06-9BA6-B051AC7496F7}"/>
    <cellStyle name="Warning Text 2 4 6" xfId="20867" xr:uid="{E21DEA57-6A56-47EA-9189-187952148730}"/>
    <cellStyle name="Warning Text 2 4 6 2" xfId="20868" xr:uid="{3E0059A9-0CF3-4457-9A1B-46CB5FEF0289}"/>
    <cellStyle name="Warning Text 2 4 7" xfId="20869" xr:uid="{E0726A3B-F2F5-4C5E-9580-277456DFDFF6}"/>
    <cellStyle name="Warning Text 2 4 7 2" xfId="20870" xr:uid="{20001630-E189-4B88-AECB-92709C51D5BF}"/>
    <cellStyle name="Warning Text 2 4 8" xfId="20871" xr:uid="{AE285872-FB2D-4771-9586-1D59C290E33B}"/>
    <cellStyle name="Warning Text 2 4 8 2" xfId="20872" xr:uid="{7F282DDF-C6BE-41E0-A2B1-7DFE7A84E1D9}"/>
    <cellStyle name="Warning Text 2 4 9" xfId="20873" xr:uid="{B08CBB50-A179-4E80-BF35-D62B626D8696}"/>
    <cellStyle name="Warning Text 2 5" xfId="4832" xr:uid="{14BECE29-DFA6-4829-883D-B8F6247F3A4E}"/>
    <cellStyle name="Warning Text 2 5 10" xfId="20875" xr:uid="{FF6AAE80-B760-4BA1-B635-32969A40CFC1}"/>
    <cellStyle name="Warning Text 2 5 11" xfId="20874" xr:uid="{0B50AA1A-BE7B-478E-9D81-858B6B756D42}"/>
    <cellStyle name="Warning Text 2 5 2" xfId="20876" xr:uid="{238D0B72-265A-47E8-87C0-95119FAC4082}"/>
    <cellStyle name="Warning Text 2 5 2 2" xfId="20877" xr:uid="{6D6C1F54-1374-49BC-A89E-8C94E2B55FAB}"/>
    <cellStyle name="Warning Text 2 5 2 2 2" xfId="20878" xr:uid="{6B9AE4AF-EE8E-402C-B224-B44DD53927AD}"/>
    <cellStyle name="Warning Text 2 5 2 3" xfId="20879" xr:uid="{8FBC438B-481F-4E66-815A-F925DE8EE0E7}"/>
    <cellStyle name="Warning Text 2 5 2 3 2" xfId="20880" xr:uid="{B2CDC14A-606A-434E-9B45-E01A0970FBB3}"/>
    <cellStyle name="Warning Text 2 5 2 4" xfId="20881" xr:uid="{B454CB4A-43D7-4BAC-9D8F-530A0D5E6EA5}"/>
    <cellStyle name="Warning Text 2 5 3" xfId="20882" xr:uid="{88402F5C-0979-478F-BA4C-3ED4BA789354}"/>
    <cellStyle name="Warning Text 2 5 3 2" xfId="20883" xr:uid="{211D2983-1AC4-4E9F-9D77-2F0920FF109E}"/>
    <cellStyle name="Warning Text 2 5 3 2 2" xfId="20884" xr:uid="{FE1A56F2-489E-4E65-9FB8-5EC1026208D8}"/>
    <cellStyle name="Warning Text 2 5 3 3" xfId="20885" xr:uid="{54EA8C36-3C03-4AC3-BDA0-5DAB35DAD1E2}"/>
    <cellStyle name="Warning Text 2 5 3 3 2" xfId="20886" xr:uid="{C78AB71C-BC0A-4467-ABD4-66B28E7FD881}"/>
    <cellStyle name="Warning Text 2 5 3 4" xfId="20887" xr:uid="{3372227B-59F2-4F91-93CB-9C81042CA18A}"/>
    <cellStyle name="Warning Text 2 5 4" xfId="20888" xr:uid="{4B6D9790-5FB3-4960-B935-31706E758979}"/>
    <cellStyle name="Warning Text 2 5 4 2" xfId="20889" xr:uid="{650F7306-07CA-475B-A0F0-341893F265C0}"/>
    <cellStyle name="Warning Text 2 5 4 2 2" xfId="20890" xr:uid="{D2D9C097-00B9-4DCD-8843-08D9A2387023}"/>
    <cellStyle name="Warning Text 2 5 4 3" xfId="20891" xr:uid="{BAFD3D27-0C85-42F8-8170-4DF733098561}"/>
    <cellStyle name="Warning Text 2 5 4 3 2" xfId="20892" xr:uid="{4A833FFC-D3EE-493E-BDCF-1DDA5D6D0D91}"/>
    <cellStyle name="Warning Text 2 5 4 4" xfId="20893" xr:uid="{F68E7578-1528-4433-864E-C1C4001A9D30}"/>
    <cellStyle name="Warning Text 2 5 4 4 2" xfId="20894" xr:uid="{9DF47B38-2538-484E-9FAA-30C8C6D8927B}"/>
    <cellStyle name="Warning Text 2 5 4 5" xfId="20895" xr:uid="{73DCB735-CC75-4CD2-9C91-EC6B085530A2}"/>
    <cellStyle name="Warning Text 2 5 5" xfId="20896" xr:uid="{3D5F633B-5AC0-4963-8FA5-C73AED6D8773}"/>
    <cellStyle name="Warning Text 2 5 5 2" xfId="20897" xr:uid="{DBCE6546-BB42-4C51-B2A5-8A45834F32A9}"/>
    <cellStyle name="Warning Text 2 5 5 2 2" xfId="20898" xr:uid="{EBD59645-6808-41AE-AD49-076364D4C88A}"/>
    <cellStyle name="Warning Text 2 5 5 3" xfId="20899" xr:uid="{3F3A0FBC-2086-407C-8457-AD7D17065B0A}"/>
    <cellStyle name="Warning Text 2 5 5 3 2" xfId="20900" xr:uid="{E0032F42-32CB-4538-A0BF-2689AFFBEA0F}"/>
    <cellStyle name="Warning Text 2 5 5 4" xfId="20901" xr:uid="{DF3EDE68-1075-42F3-A282-39569280CA0F}"/>
    <cellStyle name="Warning Text 2 5 6" xfId="20902" xr:uid="{071B6D42-76AD-40B1-A67F-803ECFBA53A2}"/>
    <cellStyle name="Warning Text 2 5 6 2" xfId="20903" xr:uid="{10032E64-A06E-44C4-9195-588BBC55D282}"/>
    <cellStyle name="Warning Text 2 5 7" xfId="20904" xr:uid="{36494BB0-C8BE-44D8-97D2-27BBA94C9C68}"/>
    <cellStyle name="Warning Text 2 5 7 2" xfId="20905" xr:uid="{0CFBD64D-B614-4224-91A1-8037413AFBB2}"/>
    <cellStyle name="Warning Text 2 5 8" xfId="20906" xr:uid="{0881434A-F166-41D3-844C-D4B0D81999A1}"/>
    <cellStyle name="Warning Text 2 5 8 2" xfId="20907" xr:uid="{434492AC-4BFD-49B7-91F0-929CA2F2BAD7}"/>
    <cellStyle name="Warning Text 2 5 9" xfId="20908" xr:uid="{B8AA5551-1635-4EEC-A7BB-AA67ABB19DC4}"/>
    <cellStyle name="Warning Text 2 6" xfId="4833" xr:uid="{8F688613-F0D5-4681-AF61-61B4DEEE43F2}"/>
    <cellStyle name="Warning Text 2 6 10" xfId="20910" xr:uid="{2452EFD8-B649-492B-8437-2BCE2A5EA854}"/>
    <cellStyle name="Warning Text 2 6 11" xfId="20909" xr:uid="{57A1B278-4C85-46CA-AEE2-6CDBFF84DF2F}"/>
    <cellStyle name="Warning Text 2 6 2" xfId="20911" xr:uid="{814B635C-BB2F-4BDB-9CD6-94AB409B9EBF}"/>
    <cellStyle name="Warning Text 2 6 2 2" xfId="20912" xr:uid="{2EFECA77-D70A-4D57-BC93-FA9E095471CD}"/>
    <cellStyle name="Warning Text 2 6 2 2 2" xfId="20913" xr:uid="{7E84B5FB-96AF-45C5-A2A8-8043E3D11295}"/>
    <cellStyle name="Warning Text 2 6 2 3" xfId="20914" xr:uid="{693EB336-7D59-478A-88A1-23BFE5E2BF67}"/>
    <cellStyle name="Warning Text 2 6 2 3 2" xfId="20915" xr:uid="{3189EA02-48B6-4E01-B756-91774415D9F5}"/>
    <cellStyle name="Warning Text 2 6 2 4" xfId="20916" xr:uid="{7FD062FB-FD32-4284-A62D-60C7641FEC6B}"/>
    <cellStyle name="Warning Text 2 6 3" xfId="20917" xr:uid="{3F312580-173F-459F-82F6-215519F6D5CD}"/>
    <cellStyle name="Warning Text 2 6 3 2" xfId="20918" xr:uid="{8B15B287-6971-476C-A30F-F241A50CEED9}"/>
    <cellStyle name="Warning Text 2 6 3 2 2" xfId="20919" xr:uid="{F93F7D7D-40A9-4E5A-9D4A-B0E131B482FC}"/>
    <cellStyle name="Warning Text 2 6 3 3" xfId="20920" xr:uid="{C0040C4F-03CD-4653-A879-B7A537A54240}"/>
    <cellStyle name="Warning Text 2 6 3 3 2" xfId="20921" xr:uid="{5E815A7A-6B54-4CFC-909E-7E469519E7AB}"/>
    <cellStyle name="Warning Text 2 6 3 4" xfId="20922" xr:uid="{52F5293F-183C-4F75-8A66-61407ED48AC9}"/>
    <cellStyle name="Warning Text 2 6 4" xfId="20923" xr:uid="{F2E671B2-A0F4-4733-8B3E-FCC9A54A62DC}"/>
    <cellStyle name="Warning Text 2 6 4 2" xfId="20924" xr:uid="{C1F3BD00-E3BB-4894-9343-E9B9674C7593}"/>
    <cellStyle name="Warning Text 2 6 4 2 2" xfId="20925" xr:uid="{BCB1B830-0473-4869-9BEA-6F0A5B7A30FB}"/>
    <cellStyle name="Warning Text 2 6 4 3" xfId="20926" xr:uid="{255C839E-3E81-473E-BA61-36B7A060C403}"/>
    <cellStyle name="Warning Text 2 6 4 3 2" xfId="20927" xr:uid="{F68F63BC-6B16-4612-B1CE-BC1EAC4B356B}"/>
    <cellStyle name="Warning Text 2 6 4 4" xfId="20928" xr:uid="{ED18483E-7EC7-490B-B50B-1FFD4EBBAB88}"/>
    <cellStyle name="Warning Text 2 6 4 4 2" xfId="20929" xr:uid="{39E1AD01-09A4-49D3-9F61-FE27F4CA0003}"/>
    <cellStyle name="Warning Text 2 6 4 5" xfId="20930" xr:uid="{B2D6A41B-84A7-430B-B4A8-40DE02CC4D69}"/>
    <cellStyle name="Warning Text 2 6 5" xfId="20931" xr:uid="{19B2F5D3-A66A-4531-9B50-93A4D4492C42}"/>
    <cellStyle name="Warning Text 2 6 5 2" xfId="20932" xr:uid="{88CF2BF0-BBCA-4CFA-A648-7E167A2EBAAF}"/>
    <cellStyle name="Warning Text 2 6 5 2 2" xfId="20933" xr:uid="{322482F6-1514-47AE-B27D-71F7FB45B818}"/>
    <cellStyle name="Warning Text 2 6 5 3" xfId="20934" xr:uid="{9B8468CC-C10B-4B24-9C48-F6E187B3DD85}"/>
    <cellStyle name="Warning Text 2 6 5 3 2" xfId="20935" xr:uid="{D77D8D3E-BB97-43BF-AC87-7A236003DFE1}"/>
    <cellStyle name="Warning Text 2 6 5 4" xfId="20936" xr:uid="{79B7E0B5-8902-445F-A52C-7BA07FE21C05}"/>
    <cellStyle name="Warning Text 2 6 6" xfId="20937" xr:uid="{376308F3-6E98-4D55-864B-A50522278D73}"/>
    <cellStyle name="Warning Text 2 6 6 2" xfId="20938" xr:uid="{4364F3EC-1724-43C3-B0BE-3513A128DCFC}"/>
    <cellStyle name="Warning Text 2 6 7" xfId="20939" xr:uid="{6D1EDC57-0CEF-4F9A-B1A6-17C6F20C35E5}"/>
    <cellStyle name="Warning Text 2 6 7 2" xfId="20940" xr:uid="{0A394488-C494-417F-A728-5CB9549E0496}"/>
    <cellStyle name="Warning Text 2 6 8" xfId="20941" xr:uid="{1A74F75F-50C0-4DF9-BB2A-0795ABAEDC0F}"/>
    <cellStyle name="Warning Text 2 6 8 2" xfId="20942" xr:uid="{D4394F94-1BC5-45C3-8823-C660BFF191DB}"/>
    <cellStyle name="Warning Text 2 6 9" xfId="20943" xr:uid="{2768FB8E-7B56-4131-B81C-0C3A80E6A7B5}"/>
    <cellStyle name="Warning Text 2 7" xfId="4834" xr:uid="{EA028A7B-7A68-4572-85B3-52358BE92695}"/>
    <cellStyle name="Warning Text 2 7 10" xfId="20945" xr:uid="{8CE2F7D3-AD4E-4BD7-82FD-02A36DB49FB5}"/>
    <cellStyle name="Warning Text 2 7 11" xfId="20944" xr:uid="{36D6E098-3F0F-474D-B58A-C610F2FE05F4}"/>
    <cellStyle name="Warning Text 2 7 2" xfId="20946" xr:uid="{A22E4F35-D2ED-4F6E-90D0-9C46D3EAF982}"/>
    <cellStyle name="Warning Text 2 7 2 2" xfId="20947" xr:uid="{0286DBB2-562E-4DB4-974C-31E63139724A}"/>
    <cellStyle name="Warning Text 2 7 2 2 2" xfId="20948" xr:uid="{9ACD3439-D356-40AA-A9C0-B02B529E3468}"/>
    <cellStyle name="Warning Text 2 7 2 3" xfId="20949" xr:uid="{A09F5652-7BD4-4DA9-BFB6-210F1CAFFAD8}"/>
    <cellStyle name="Warning Text 2 7 2 3 2" xfId="20950" xr:uid="{D785EDD6-AE78-48DD-BAA0-AC0EF15F2963}"/>
    <cellStyle name="Warning Text 2 7 2 4" xfId="20951" xr:uid="{44948CEA-EDBD-487A-9741-21C512632671}"/>
    <cellStyle name="Warning Text 2 7 3" xfId="20952" xr:uid="{44FA8941-17E8-44D5-B141-E04FF413E22A}"/>
    <cellStyle name="Warning Text 2 7 3 2" xfId="20953" xr:uid="{A152D025-78E8-41A7-8C8F-72F2A95E7191}"/>
    <cellStyle name="Warning Text 2 7 3 2 2" xfId="20954" xr:uid="{42A98A0E-1C50-4C5A-9FE0-9662248B572B}"/>
    <cellStyle name="Warning Text 2 7 3 3" xfId="20955" xr:uid="{5BBDA481-07EF-426C-8EE8-58675A0098B4}"/>
    <cellStyle name="Warning Text 2 7 3 3 2" xfId="20956" xr:uid="{946310CB-F7D4-4361-B586-DDD5382C0DCE}"/>
    <cellStyle name="Warning Text 2 7 3 4" xfId="20957" xr:uid="{2CE1EBA6-8203-4BDA-B266-41A487097B64}"/>
    <cellStyle name="Warning Text 2 7 4" xfId="20958" xr:uid="{33DE88D5-88FB-4F92-B866-8CA2CE0C1242}"/>
    <cellStyle name="Warning Text 2 7 4 2" xfId="20959" xr:uid="{5154CCAB-88C4-4FA0-9A84-2184B66C8500}"/>
    <cellStyle name="Warning Text 2 7 4 2 2" xfId="20960" xr:uid="{87DA3561-4B98-483A-BFED-0860C7769EFA}"/>
    <cellStyle name="Warning Text 2 7 4 3" xfId="20961" xr:uid="{9254B0E2-31F8-4773-904A-B49D81FC8CD9}"/>
    <cellStyle name="Warning Text 2 7 4 3 2" xfId="20962" xr:uid="{68C4847A-D2E8-4840-997A-E6A815419F5C}"/>
    <cellStyle name="Warning Text 2 7 4 4" xfId="20963" xr:uid="{DBB776B0-A85C-457A-A269-B711127AA1EB}"/>
    <cellStyle name="Warning Text 2 7 4 4 2" xfId="20964" xr:uid="{D99EE5BA-AAEC-4764-92DF-4894613F4BEA}"/>
    <cellStyle name="Warning Text 2 7 4 5" xfId="20965" xr:uid="{7A1425FF-E34D-48FD-BB8A-E183D78D7AB3}"/>
    <cellStyle name="Warning Text 2 7 5" xfId="20966" xr:uid="{3D222EDA-76D1-45CC-A09A-B56E7EDADB99}"/>
    <cellStyle name="Warning Text 2 7 5 2" xfId="20967" xr:uid="{4333E86B-D982-480B-B055-3F8BA93D7DCF}"/>
    <cellStyle name="Warning Text 2 7 5 2 2" xfId="20968" xr:uid="{EF2BAE06-F5C4-4EA1-917E-1225A6C4882E}"/>
    <cellStyle name="Warning Text 2 7 5 3" xfId="20969" xr:uid="{3FBA802E-3340-49FC-908F-EC0BD4A8CB20}"/>
    <cellStyle name="Warning Text 2 7 5 3 2" xfId="20970" xr:uid="{A0BEFEAD-1E92-4074-9525-95F5F30A39DC}"/>
    <cellStyle name="Warning Text 2 7 5 4" xfId="20971" xr:uid="{B85E3933-A47A-4A43-9054-7DDC7B06DCD6}"/>
    <cellStyle name="Warning Text 2 7 6" xfId="20972" xr:uid="{5A918A89-F7DD-4B07-A475-706F454517CC}"/>
    <cellStyle name="Warning Text 2 7 6 2" xfId="20973" xr:uid="{24F109AF-F3AD-4CF5-8322-AF0A09D329DB}"/>
    <cellStyle name="Warning Text 2 7 7" xfId="20974" xr:uid="{C38E8A3F-793F-4224-A75B-32B3DBBFA46B}"/>
    <cellStyle name="Warning Text 2 7 7 2" xfId="20975" xr:uid="{7A4BF1AC-AD3A-494D-A879-EBCBFA7C1E27}"/>
    <cellStyle name="Warning Text 2 7 8" xfId="20976" xr:uid="{608E4B03-5328-4904-AA73-4D6E060BF957}"/>
    <cellStyle name="Warning Text 2 7 8 2" xfId="20977" xr:uid="{88B41AC5-5885-4CC5-8D9C-2678920EDE49}"/>
    <cellStyle name="Warning Text 2 7 9" xfId="20978" xr:uid="{2FB7223F-E32F-4F13-BCD2-CFB3E0FE25F1}"/>
    <cellStyle name="Warning Text 2 8" xfId="4835" xr:uid="{76552569-F1C7-4179-B795-D567A6C02671}"/>
    <cellStyle name="Warning Text 2 8 10" xfId="20980" xr:uid="{177CEC98-3AB1-4FD0-A054-4CE6B8AED7EC}"/>
    <cellStyle name="Warning Text 2 8 11" xfId="20979" xr:uid="{AD1CCF92-1A17-4A34-A0F1-AE6E9E3AB22F}"/>
    <cellStyle name="Warning Text 2 8 2" xfId="20981" xr:uid="{CFCFC320-42E4-4D84-82FE-9F4DB282971C}"/>
    <cellStyle name="Warning Text 2 8 2 2" xfId="20982" xr:uid="{7ADBBE44-B817-4F17-9F4B-7B9FDD5F02A8}"/>
    <cellStyle name="Warning Text 2 8 2 2 2" xfId="20983" xr:uid="{F16F1D42-62C8-418E-9A7E-7D0530579B80}"/>
    <cellStyle name="Warning Text 2 8 2 3" xfId="20984" xr:uid="{C7E16304-0B73-412B-9744-315ACE43F977}"/>
    <cellStyle name="Warning Text 2 8 2 3 2" xfId="20985" xr:uid="{78A7AEAD-0E12-41EA-9D5C-49701643068E}"/>
    <cellStyle name="Warning Text 2 8 2 4" xfId="20986" xr:uid="{5240939B-46C1-4888-9560-A83363E36A79}"/>
    <cellStyle name="Warning Text 2 8 3" xfId="20987" xr:uid="{43486725-BDB9-4FCB-9717-16CDA8342557}"/>
    <cellStyle name="Warning Text 2 8 3 2" xfId="20988" xr:uid="{6EE1EEFF-A43B-4C73-ADB5-7C40C164B609}"/>
    <cellStyle name="Warning Text 2 8 3 2 2" xfId="20989" xr:uid="{E95126D6-FFDC-45E0-B6A6-2A0FE281DCA1}"/>
    <cellStyle name="Warning Text 2 8 3 3" xfId="20990" xr:uid="{C6470725-1B51-459A-B17C-925E738F1AA6}"/>
    <cellStyle name="Warning Text 2 8 3 3 2" xfId="20991" xr:uid="{1A05532E-E883-45A6-A5D3-642CF230B888}"/>
    <cellStyle name="Warning Text 2 8 3 4" xfId="20992" xr:uid="{3208FE4A-3C7F-4F61-8734-51A601E5B8B6}"/>
    <cellStyle name="Warning Text 2 8 4" xfId="20993" xr:uid="{912934D4-6A13-440F-AA61-AA3899E324C8}"/>
    <cellStyle name="Warning Text 2 8 4 2" xfId="20994" xr:uid="{02D8CE59-E027-4D02-9553-046ED53E5F59}"/>
    <cellStyle name="Warning Text 2 8 4 2 2" xfId="20995" xr:uid="{9F006999-A000-4181-B0F6-45748C5F72ED}"/>
    <cellStyle name="Warning Text 2 8 4 3" xfId="20996" xr:uid="{0D03E556-E327-46C7-BD12-39543282CA89}"/>
    <cellStyle name="Warning Text 2 8 4 3 2" xfId="20997" xr:uid="{E40DF045-49F3-403F-81B5-00643D44B94D}"/>
    <cellStyle name="Warning Text 2 8 4 4" xfId="20998" xr:uid="{419B75CF-1D41-41F0-8078-78A54AC501C2}"/>
    <cellStyle name="Warning Text 2 8 4 4 2" xfId="20999" xr:uid="{FE9C449E-DADC-41F8-96CC-463FEF7FD401}"/>
    <cellStyle name="Warning Text 2 8 4 5" xfId="21000" xr:uid="{084C3DE2-B02A-4B1B-80AB-2B21BFDBFD1F}"/>
    <cellStyle name="Warning Text 2 8 5" xfId="21001" xr:uid="{432F03EF-1CA8-4383-989F-34DE26DE9114}"/>
    <cellStyle name="Warning Text 2 8 5 2" xfId="21002" xr:uid="{190B8E75-F706-46B2-B84F-2B482762DB24}"/>
    <cellStyle name="Warning Text 2 8 5 2 2" xfId="21003" xr:uid="{406B80AC-5288-4215-A67C-4EBE1764C03A}"/>
    <cellStyle name="Warning Text 2 8 5 3" xfId="21004" xr:uid="{508132D8-F039-4244-8F9F-70A1FF185FD2}"/>
    <cellStyle name="Warning Text 2 8 5 3 2" xfId="21005" xr:uid="{0FDCA369-8585-4646-AD98-4166C4C3045E}"/>
    <cellStyle name="Warning Text 2 8 5 4" xfId="21006" xr:uid="{B49002D2-28F8-43E6-8D74-F4B16EB071A3}"/>
    <cellStyle name="Warning Text 2 8 6" xfId="21007" xr:uid="{8BFAD77F-E384-49CB-955E-9DB88DF07DFB}"/>
    <cellStyle name="Warning Text 2 8 6 2" xfId="21008" xr:uid="{3E6ED656-7244-4ED2-B5DC-3E82B4F2A65D}"/>
    <cellStyle name="Warning Text 2 8 7" xfId="21009" xr:uid="{3C1C8058-4E62-464B-8F72-56FF50F34DA8}"/>
    <cellStyle name="Warning Text 2 8 7 2" xfId="21010" xr:uid="{37354C80-C186-401F-A611-41FE8A7CC8C2}"/>
    <cellStyle name="Warning Text 2 8 8" xfId="21011" xr:uid="{6E755848-BD96-4087-BC74-29FC97896908}"/>
    <cellStyle name="Warning Text 2 8 8 2" xfId="21012" xr:uid="{C97E5F3D-6D22-4FB8-922B-F8AE3DC19414}"/>
    <cellStyle name="Warning Text 2 8 9" xfId="21013" xr:uid="{D57B09C4-6917-42DE-BB26-C2E00DAB65F4}"/>
    <cellStyle name="Warning Text 2 9" xfId="4836" xr:uid="{6AE998CA-5143-464C-992F-5DAA291DD7D3}"/>
    <cellStyle name="Warning Text 2 9 10" xfId="21015" xr:uid="{DFA05F94-3C12-453A-8089-769186A22692}"/>
    <cellStyle name="Warning Text 2 9 11" xfId="21014" xr:uid="{2774B7A7-9A9C-4083-872A-0AF0051D074B}"/>
    <cellStyle name="Warning Text 2 9 2" xfId="21016" xr:uid="{6D90408D-1C62-4978-8693-A2D9A419BB80}"/>
    <cellStyle name="Warning Text 2 9 2 2" xfId="21017" xr:uid="{3DD5EB6F-7FB6-486F-9972-C78D13CEF72A}"/>
    <cellStyle name="Warning Text 2 9 2 2 2" xfId="21018" xr:uid="{F8E271D7-3370-4A5C-A4E6-FA0A08169FFC}"/>
    <cellStyle name="Warning Text 2 9 2 3" xfId="21019" xr:uid="{7EEB1B6D-B482-4229-A731-CED2B1F5A8D2}"/>
    <cellStyle name="Warning Text 2 9 2 3 2" xfId="21020" xr:uid="{C8AA880E-AE93-4968-B79C-C449180DB5A6}"/>
    <cellStyle name="Warning Text 2 9 2 4" xfId="21021" xr:uid="{78BEF0D2-D66A-4E30-BBFE-5E2108151D3B}"/>
    <cellStyle name="Warning Text 2 9 3" xfId="21022" xr:uid="{4A56CCA4-09A4-4163-9975-0CB8CB3D8CB5}"/>
    <cellStyle name="Warning Text 2 9 3 2" xfId="21023" xr:uid="{B1917065-B5EA-48D5-9DD6-B80DBB2640B8}"/>
    <cellStyle name="Warning Text 2 9 3 2 2" xfId="21024" xr:uid="{0D79BE1B-FC20-465C-B706-27D7066BE489}"/>
    <cellStyle name="Warning Text 2 9 3 3" xfId="21025" xr:uid="{9A053321-BD52-4401-82AA-CC92EC50ED1D}"/>
    <cellStyle name="Warning Text 2 9 3 3 2" xfId="21026" xr:uid="{25706013-FDBF-4C03-B386-9B0582475B7B}"/>
    <cellStyle name="Warning Text 2 9 3 4" xfId="21027" xr:uid="{A4CAA095-B295-449A-99A6-F5E480214BDF}"/>
    <cellStyle name="Warning Text 2 9 4" xfId="21028" xr:uid="{F7CC8978-0A50-47A8-A020-4B1A50FA1EAD}"/>
    <cellStyle name="Warning Text 2 9 4 2" xfId="21029" xr:uid="{7A95E35B-4315-4989-88B4-E56ECCF4EC17}"/>
    <cellStyle name="Warning Text 2 9 4 2 2" xfId="21030" xr:uid="{50B4F2B7-02D0-4B1A-9F8A-E49B0386DAEA}"/>
    <cellStyle name="Warning Text 2 9 4 3" xfId="21031" xr:uid="{A7231CC8-7BB1-4861-A6CA-F700A5A8E518}"/>
    <cellStyle name="Warning Text 2 9 4 3 2" xfId="21032" xr:uid="{1047EF7A-E949-4915-9A96-CB5EADC0F6AD}"/>
    <cellStyle name="Warning Text 2 9 4 4" xfId="21033" xr:uid="{DCDD8876-EB26-4A8C-977F-D2343B71AEE2}"/>
    <cellStyle name="Warning Text 2 9 4 4 2" xfId="21034" xr:uid="{928EEFA4-04EF-4149-8BE0-9035CB36CE9B}"/>
    <cellStyle name="Warning Text 2 9 4 5" xfId="21035" xr:uid="{A8C030F9-A69B-4649-BCAA-15C1B0A3791F}"/>
    <cellStyle name="Warning Text 2 9 5" xfId="21036" xr:uid="{92564E46-CD95-4A87-A54C-E119BFDDF5D6}"/>
    <cellStyle name="Warning Text 2 9 5 2" xfId="21037" xr:uid="{903DD69F-1167-47FF-84DA-87264144413E}"/>
    <cellStyle name="Warning Text 2 9 5 2 2" xfId="21038" xr:uid="{96773B27-48D8-426D-BECA-01462B2467C8}"/>
    <cellStyle name="Warning Text 2 9 5 3" xfId="21039" xr:uid="{1C59093C-5347-474B-8FDA-D10151AE6E0C}"/>
    <cellStyle name="Warning Text 2 9 5 3 2" xfId="21040" xr:uid="{2218B299-BCC9-4907-AD04-63A448E98C4C}"/>
    <cellStyle name="Warning Text 2 9 5 4" xfId="21041" xr:uid="{4CC7BD15-61D4-47E3-A6A6-5219BA6B15A5}"/>
    <cellStyle name="Warning Text 2 9 6" xfId="21042" xr:uid="{1AF5E390-9DAC-4398-8CAA-82636B35C7E0}"/>
    <cellStyle name="Warning Text 2 9 6 2" xfId="21043" xr:uid="{EDF96A82-9519-405D-9F0F-EA9B1AAFAF1B}"/>
    <cellStyle name="Warning Text 2 9 7" xfId="21044" xr:uid="{AFBF0184-2D8D-4274-A436-087261223B3B}"/>
    <cellStyle name="Warning Text 2 9 7 2" xfId="21045" xr:uid="{2853513C-7887-40D0-A634-B5FC4C57DB2E}"/>
    <cellStyle name="Warning Text 2 9 8" xfId="21046" xr:uid="{682B0ED2-1AD1-4D74-B2BF-006B94B93DE2}"/>
    <cellStyle name="Warning Text 2 9 8 2" xfId="21047" xr:uid="{A2987208-907B-45A0-9151-B90A671E4366}"/>
    <cellStyle name="Warning Text 2 9 9" xfId="21048" xr:uid="{8CA12331-B419-4552-82BC-2AD6776C3648}"/>
    <cellStyle name="Warning Text 20" xfId="3364" xr:uid="{9B2198F3-5A04-4720-888D-E19D7E04BFA6}"/>
    <cellStyle name="Warning Text 20 10" xfId="21050" xr:uid="{A0135651-3652-4EF7-A46D-3ED26CB3A271}"/>
    <cellStyle name="Warning Text 20 11" xfId="21051" xr:uid="{1149B298-083A-47F2-A038-8CE73D8FD51F}"/>
    <cellStyle name="Warning Text 20 12" xfId="21049" xr:uid="{2849202E-C806-44EC-BB66-C9B4DD21661D}"/>
    <cellStyle name="Warning Text 20 2" xfId="21052" xr:uid="{D7406224-B4EF-4AE9-99C5-B9503091A6EF}"/>
    <cellStyle name="Warning Text 20 2 2" xfId="21053" xr:uid="{1DD291C1-2DEF-46CE-AE8B-C7F859C013AA}"/>
    <cellStyle name="Warning Text 20 2 2 2" xfId="21054" xr:uid="{57CB859E-FDF2-4828-BF42-93FC95E4E7E6}"/>
    <cellStyle name="Warning Text 20 2 3" xfId="21055" xr:uid="{A73FD660-F695-45D1-AB94-4BBA9F19099D}"/>
    <cellStyle name="Warning Text 20 2 3 2" xfId="21056" xr:uid="{36A05BC7-9470-4EF4-9025-E2E4E9D3CDC2}"/>
    <cellStyle name="Warning Text 20 2 4" xfId="21057" xr:uid="{36F96E44-CB83-4689-948A-93F7F8A85E93}"/>
    <cellStyle name="Warning Text 20 2 5" xfId="21058" xr:uid="{BCD0F6BB-E1FA-4967-89E4-C05A8D7EEABD}"/>
    <cellStyle name="Warning Text 20 3" xfId="21059" xr:uid="{3C092520-C61F-44E4-BAFD-85DD4D2708AF}"/>
    <cellStyle name="Warning Text 20 3 2" xfId="21060" xr:uid="{9DC69209-A296-4E4C-9DC1-1114203A288F}"/>
    <cellStyle name="Warning Text 20 3 2 2" xfId="21061" xr:uid="{C5761157-6F4C-4A6F-BCFD-00EE31B2D423}"/>
    <cellStyle name="Warning Text 20 3 3" xfId="21062" xr:uid="{AF74467C-F055-426B-8FA5-F73C2BA9FD07}"/>
    <cellStyle name="Warning Text 20 3 3 2" xfId="21063" xr:uid="{97ED9909-154C-4912-AC98-80D9D75C99FD}"/>
    <cellStyle name="Warning Text 20 3 4" xfId="21064" xr:uid="{7746B52E-4EB8-41B7-B871-AA019CE24579}"/>
    <cellStyle name="Warning Text 20 4" xfId="21065" xr:uid="{4CFC15C7-8D0E-4183-8DC4-79050AB734E7}"/>
    <cellStyle name="Warning Text 20 4 2" xfId="21066" xr:uid="{DD22563C-A5E8-4B27-ADD6-D00256DE5253}"/>
    <cellStyle name="Warning Text 20 4 2 2" xfId="21067" xr:uid="{DD06F6CA-763A-44A1-B902-5179DAF72250}"/>
    <cellStyle name="Warning Text 20 4 3" xfId="21068" xr:uid="{B82213C6-E75D-4343-AE9E-01074DA857B2}"/>
    <cellStyle name="Warning Text 20 4 3 2" xfId="21069" xr:uid="{3C0E4901-3E7B-4BF8-8239-176892C2DC9D}"/>
    <cellStyle name="Warning Text 20 4 4" xfId="21070" xr:uid="{61F4C783-7441-4F44-B0C4-D33AF8187F9F}"/>
    <cellStyle name="Warning Text 20 5" xfId="21071" xr:uid="{8DEC425C-035A-4545-B00D-14EAAF515D5E}"/>
    <cellStyle name="Warning Text 20 5 2" xfId="21072" xr:uid="{1F4DD6D4-CBA6-4F67-8C3A-6475EB1E3F35}"/>
    <cellStyle name="Warning Text 20 5 2 2" xfId="21073" xr:uid="{11E1DC03-A4DC-481C-B03B-7D9D6E23CE76}"/>
    <cellStyle name="Warning Text 20 5 3" xfId="21074" xr:uid="{E790115C-74CA-4415-9C76-1E4D6A58C9F6}"/>
    <cellStyle name="Warning Text 20 5 3 2" xfId="21075" xr:uid="{91C8328E-7E00-4212-A704-AEFB8CA65169}"/>
    <cellStyle name="Warning Text 20 5 4" xfId="21076" xr:uid="{A459A2FB-4CFD-45D9-813A-6ED26E0BC9C1}"/>
    <cellStyle name="Warning Text 20 5 4 2" xfId="21077" xr:uid="{BFC1B138-0130-48E8-8F4B-3735E23A038C}"/>
    <cellStyle name="Warning Text 20 5 5" xfId="21078" xr:uid="{4F3F82F5-2C14-4B94-81EB-F70A0E93CE0E}"/>
    <cellStyle name="Warning Text 20 6" xfId="21079" xr:uid="{8CBBCEAF-8047-48A9-A9CD-AE8F9CAA7BAC}"/>
    <cellStyle name="Warning Text 20 6 2" xfId="21080" xr:uid="{E7C74540-807E-4CDC-ACFF-454A3BDC7018}"/>
    <cellStyle name="Warning Text 20 6 2 2" xfId="21081" xr:uid="{2C163C81-2ADE-48B5-846C-4251545D89E2}"/>
    <cellStyle name="Warning Text 20 6 3" xfId="21082" xr:uid="{29366823-5415-43F1-BDF5-538592FF693A}"/>
    <cellStyle name="Warning Text 20 6 3 2" xfId="21083" xr:uid="{510A44A6-A982-4DA4-912D-1B58A54656FF}"/>
    <cellStyle name="Warning Text 20 6 4" xfId="21084" xr:uid="{7BAB8E4C-D1BB-4FB7-9572-095BE36AD66A}"/>
    <cellStyle name="Warning Text 20 7" xfId="21085" xr:uid="{9C9635CA-5B4C-4840-8C4C-5154EC0E9A76}"/>
    <cellStyle name="Warning Text 20 7 2" xfId="21086" xr:uid="{A6F96001-7FC4-40A6-AE40-B0B037C1BA20}"/>
    <cellStyle name="Warning Text 20 8" xfId="21087" xr:uid="{CF3997B7-67E5-44AB-AFA5-C1F65952BDCC}"/>
    <cellStyle name="Warning Text 20 8 2" xfId="21088" xr:uid="{A64C526D-8B70-4FEA-81A8-813D5C12A879}"/>
    <cellStyle name="Warning Text 20 9" xfId="21089" xr:uid="{0B34A764-7FCD-435F-8E80-B7CAA0C4C7D9}"/>
    <cellStyle name="Warning Text 20 9 2" xfId="21090" xr:uid="{13C0A779-3D00-4EE6-BF89-AD512CFA55E1}"/>
    <cellStyle name="Warning Text 21" xfId="3365" xr:uid="{71215432-D88E-49C3-8D30-61785C5BD557}"/>
    <cellStyle name="Warning Text 21 10" xfId="21092" xr:uid="{B38807B1-F006-4B9F-A2D9-8EE6990F8B51}"/>
    <cellStyle name="Warning Text 21 11" xfId="21093" xr:uid="{6A40DCE4-D41E-4302-99D4-A707333972B4}"/>
    <cellStyle name="Warning Text 21 12" xfId="21091" xr:uid="{DE286C56-44B1-4ED1-AFF6-D723B90B3585}"/>
    <cellStyle name="Warning Text 21 2" xfId="21094" xr:uid="{8DD9FFA3-35BF-4697-97BB-B3460420B93A}"/>
    <cellStyle name="Warning Text 21 2 2" xfId="21095" xr:uid="{5AC31228-34C5-4DE6-8BAD-24642E20BE93}"/>
    <cellStyle name="Warning Text 21 2 2 2" xfId="21096" xr:uid="{87062094-16F9-4F59-93EB-4D2776B7E7B5}"/>
    <cellStyle name="Warning Text 21 2 3" xfId="21097" xr:uid="{489DA5CA-24E2-4303-8F96-C81600A49BC6}"/>
    <cellStyle name="Warning Text 21 2 3 2" xfId="21098" xr:uid="{02448211-0D2E-4244-999C-772376A7000B}"/>
    <cellStyle name="Warning Text 21 2 4" xfId="21099" xr:uid="{DD953CBB-2D1F-4FDA-9093-2CDE74E892A1}"/>
    <cellStyle name="Warning Text 21 2 5" xfId="21100" xr:uid="{83AC1AE8-4C97-4E91-9012-A72400FA4305}"/>
    <cellStyle name="Warning Text 21 3" xfId="21101" xr:uid="{F8679ABF-3832-4DCE-A2CE-F3E3A8B040B3}"/>
    <cellStyle name="Warning Text 21 3 2" xfId="21102" xr:uid="{CE291474-C5C0-4AF3-9570-CD11BB9E6777}"/>
    <cellStyle name="Warning Text 21 3 2 2" xfId="21103" xr:uid="{0945FF6F-2B93-4FDD-A814-9287163C66F4}"/>
    <cellStyle name="Warning Text 21 3 3" xfId="21104" xr:uid="{1290B2E9-B9BC-49D7-8E97-1ADAC973CAEA}"/>
    <cellStyle name="Warning Text 21 3 3 2" xfId="21105" xr:uid="{82061A86-E7EB-4743-A95C-2687750E4613}"/>
    <cellStyle name="Warning Text 21 3 4" xfId="21106" xr:uid="{35E16AD5-7EFF-4158-A1E5-327B0F1C29C6}"/>
    <cellStyle name="Warning Text 21 4" xfId="21107" xr:uid="{C9B0FDD7-1D22-4603-8294-AF4E8174130D}"/>
    <cellStyle name="Warning Text 21 4 2" xfId="21108" xr:uid="{5F66B32C-362E-4C2B-B6D2-1C5CFA1687DE}"/>
    <cellStyle name="Warning Text 21 4 2 2" xfId="21109" xr:uid="{DF8108BB-DF05-4F83-AE15-2E7CDCB42FE1}"/>
    <cellStyle name="Warning Text 21 4 3" xfId="21110" xr:uid="{E1423C2F-511C-44E7-ABFF-019A06127E25}"/>
    <cellStyle name="Warning Text 21 4 3 2" xfId="21111" xr:uid="{B89CA10B-FDE2-4A6B-9490-549AB5732025}"/>
    <cellStyle name="Warning Text 21 4 4" xfId="21112" xr:uid="{0A63E9A5-9F3D-4329-9C96-74D97242283A}"/>
    <cellStyle name="Warning Text 21 5" xfId="21113" xr:uid="{26B8411A-E886-4728-8A2F-193E6571C793}"/>
    <cellStyle name="Warning Text 21 5 2" xfId="21114" xr:uid="{3A2A9DC0-CF7D-48A5-98CF-6A2F2829F719}"/>
    <cellStyle name="Warning Text 21 5 2 2" xfId="21115" xr:uid="{F1A17D56-1202-4C76-8E9E-72612F7C0F28}"/>
    <cellStyle name="Warning Text 21 5 3" xfId="21116" xr:uid="{F7790E0A-8E28-4E25-93EA-98AB4A0889E4}"/>
    <cellStyle name="Warning Text 21 5 3 2" xfId="21117" xr:uid="{D2A2C9E4-BCC4-4D7C-8CBB-B75CDD82815D}"/>
    <cellStyle name="Warning Text 21 5 4" xfId="21118" xr:uid="{508DA209-686E-4696-8F42-B69F95F3FFB3}"/>
    <cellStyle name="Warning Text 21 5 4 2" xfId="21119" xr:uid="{E5D165DD-B67A-42F3-8222-72434CC55467}"/>
    <cellStyle name="Warning Text 21 5 5" xfId="21120" xr:uid="{579EA093-4391-4456-9127-2CC98D31D307}"/>
    <cellStyle name="Warning Text 21 6" xfId="21121" xr:uid="{7C307199-52B4-480F-B83D-F7206551ED45}"/>
    <cellStyle name="Warning Text 21 6 2" xfId="21122" xr:uid="{9B6B838B-449A-4B41-A304-F1239000DBFB}"/>
    <cellStyle name="Warning Text 21 6 2 2" xfId="21123" xr:uid="{9F80C40C-4C26-491C-9E59-EC5507449F6E}"/>
    <cellStyle name="Warning Text 21 6 3" xfId="21124" xr:uid="{F9E8536C-9A5C-4E9A-8FFD-B45E53FC6044}"/>
    <cellStyle name="Warning Text 21 6 3 2" xfId="21125" xr:uid="{B9410916-A6AD-459B-A2E8-D58AEB1EC6FC}"/>
    <cellStyle name="Warning Text 21 6 4" xfId="21126" xr:uid="{A38662F3-EF31-4BD8-90CB-B22ED98C2586}"/>
    <cellStyle name="Warning Text 21 7" xfId="21127" xr:uid="{D5B6E2A9-A60C-4006-A6EB-2ED1C13D4A04}"/>
    <cellStyle name="Warning Text 21 7 2" xfId="21128" xr:uid="{A6143825-E8CC-4C05-9F35-B99A39B9A2E8}"/>
    <cellStyle name="Warning Text 21 8" xfId="21129" xr:uid="{2A0A9357-AFE8-4629-884E-F1AE26D18659}"/>
    <cellStyle name="Warning Text 21 8 2" xfId="21130" xr:uid="{3049423C-5AEB-4270-83E2-A47B0AA11487}"/>
    <cellStyle name="Warning Text 21 9" xfId="21131" xr:uid="{E7F71A94-78EF-4796-934E-41A0FC83290E}"/>
    <cellStyle name="Warning Text 21 9 2" xfId="21132" xr:uid="{F3A81EBE-CF43-47E3-B284-D8479B9EA445}"/>
    <cellStyle name="Warning Text 22" xfId="3366" xr:uid="{682A8B23-436A-48A9-8797-FE83003B84AB}"/>
    <cellStyle name="Warning Text 22 10" xfId="21134" xr:uid="{4F3145A9-2EA0-4CC4-9A1D-CD55E84626C1}"/>
    <cellStyle name="Warning Text 22 11" xfId="21135" xr:uid="{401BEF89-6D78-4BD0-8109-412950042054}"/>
    <cellStyle name="Warning Text 22 12" xfId="21133" xr:uid="{CA0C7B70-4F9B-4E0F-AFA3-CA37BEF4BFA2}"/>
    <cellStyle name="Warning Text 22 2" xfId="21136" xr:uid="{EA195327-1575-495D-B7EB-DAE5F00436CB}"/>
    <cellStyle name="Warning Text 22 2 2" xfId="21137" xr:uid="{ECD96221-AA53-4B0F-B2F8-3D5F8ACC537C}"/>
    <cellStyle name="Warning Text 22 2 2 2" xfId="21138" xr:uid="{88AA88CC-9202-49FF-BAB5-BB993505F849}"/>
    <cellStyle name="Warning Text 22 2 3" xfId="21139" xr:uid="{5CCD5CA7-927D-4390-9139-7021843124C4}"/>
    <cellStyle name="Warning Text 22 2 3 2" xfId="21140" xr:uid="{F76893D4-647F-4212-ABB9-59CA1E219929}"/>
    <cellStyle name="Warning Text 22 2 4" xfId="21141" xr:uid="{5982543C-6164-4C98-B196-7D831E4C3BF8}"/>
    <cellStyle name="Warning Text 22 2 5" xfId="21142" xr:uid="{5841B0EB-FA89-45E0-AA15-36A81EC21812}"/>
    <cellStyle name="Warning Text 22 3" xfId="21143" xr:uid="{8D01F0DD-7EC9-421A-BED9-C666FCBD9A15}"/>
    <cellStyle name="Warning Text 22 3 2" xfId="21144" xr:uid="{EBFB6673-3FE3-4481-A901-95238BAF9248}"/>
    <cellStyle name="Warning Text 22 3 2 2" xfId="21145" xr:uid="{FF54B371-DE78-4D71-AD4D-BBDEE61D2813}"/>
    <cellStyle name="Warning Text 22 3 3" xfId="21146" xr:uid="{3405A74E-F403-4BB5-97BA-D4B6593865E8}"/>
    <cellStyle name="Warning Text 22 3 3 2" xfId="21147" xr:uid="{30289075-7F6F-4399-A9EC-91F28ADC1F23}"/>
    <cellStyle name="Warning Text 22 3 4" xfId="21148" xr:uid="{2C008137-C174-401B-A049-4601E94AEC82}"/>
    <cellStyle name="Warning Text 22 4" xfId="21149" xr:uid="{73C31D3A-3A2A-4C94-8FEB-E9E78F436056}"/>
    <cellStyle name="Warning Text 22 4 2" xfId="21150" xr:uid="{F5C8007F-67A6-41DE-A471-673690C9DA29}"/>
    <cellStyle name="Warning Text 22 4 2 2" xfId="21151" xr:uid="{F7E998EE-A630-440F-99C3-BED1CC8A7E75}"/>
    <cellStyle name="Warning Text 22 4 3" xfId="21152" xr:uid="{11198DC5-A6F2-4492-9EC7-F1374143E85C}"/>
    <cellStyle name="Warning Text 22 4 3 2" xfId="21153" xr:uid="{EF945CDC-C633-42B5-BF0D-4C62AEFD0B1A}"/>
    <cellStyle name="Warning Text 22 4 4" xfId="21154" xr:uid="{8E8BC1AE-DBC8-418A-B478-5D10F4662395}"/>
    <cellStyle name="Warning Text 22 5" xfId="21155" xr:uid="{4ED4E1C7-5237-45AD-9840-50B6DA8EC982}"/>
    <cellStyle name="Warning Text 22 5 2" xfId="21156" xr:uid="{6DA9F26A-DE6A-4BB9-9504-DB601C3B6DEE}"/>
    <cellStyle name="Warning Text 22 5 2 2" xfId="21157" xr:uid="{1F88E1CF-4963-4CBF-8A07-84A564AE4BF9}"/>
    <cellStyle name="Warning Text 22 5 3" xfId="21158" xr:uid="{A8AD9F32-E908-4CAB-A7CD-D8E435412BD9}"/>
    <cellStyle name="Warning Text 22 5 3 2" xfId="21159" xr:uid="{8DF80094-B05B-4BCA-9BBF-54A38DFCC8EA}"/>
    <cellStyle name="Warning Text 22 5 4" xfId="21160" xr:uid="{734F0B6D-04E7-4E85-89F2-7AD7E67D8AFF}"/>
    <cellStyle name="Warning Text 22 5 4 2" xfId="21161" xr:uid="{4BF123E7-6E10-4712-8C59-3E3B67B0E152}"/>
    <cellStyle name="Warning Text 22 5 5" xfId="21162" xr:uid="{DF826463-F399-4E04-A9A3-B63BD88A623F}"/>
    <cellStyle name="Warning Text 22 6" xfId="21163" xr:uid="{3FAD1F0D-E84D-473F-98D1-C5A0ADA46A3E}"/>
    <cellStyle name="Warning Text 22 6 2" xfId="21164" xr:uid="{D052C9BE-3F81-4D76-A995-AE718CFE71F7}"/>
    <cellStyle name="Warning Text 22 6 2 2" xfId="21165" xr:uid="{999EFD19-BF48-4A82-964C-4492E083003B}"/>
    <cellStyle name="Warning Text 22 6 3" xfId="21166" xr:uid="{639D2D02-D0B2-4EF0-AA10-11D70A97BE67}"/>
    <cellStyle name="Warning Text 22 6 3 2" xfId="21167" xr:uid="{BE776058-FCBC-449B-8417-ECBBDC4FADAA}"/>
    <cellStyle name="Warning Text 22 6 4" xfId="21168" xr:uid="{E0C2253F-ACF8-425E-802C-A9288225B045}"/>
    <cellStyle name="Warning Text 22 7" xfId="21169" xr:uid="{FB73FF9B-CB9F-4F50-ACF5-1687D35A9930}"/>
    <cellStyle name="Warning Text 22 7 2" xfId="21170" xr:uid="{38F68A8D-5DA0-40B0-9C88-343B3B12C27E}"/>
    <cellStyle name="Warning Text 22 8" xfId="21171" xr:uid="{63E2B82C-4E37-4C67-B196-D1696E8D1FB9}"/>
    <cellStyle name="Warning Text 22 8 2" xfId="21172" xr:uid="{54D6CCB5-8CB7-4444-91E1-54404B5E9977}"/>
    <cellStyle name="Warning Text 22 9" xfId="21173" xr:uid="{4CE16C81-1874-4808-947F-991D9C27DE59}"/>
    <cellStyle name="Warning Text 22 9 2" xfId="21174" xr:uid="{573305AF-11C1-469A-A6B2-15B9DDFD9235}"/>
    <cellStyle name="Warning Text 23" xfId="3367" xr:uid="{5550E686-9459-445B-938C-E4ACC8FBC7D6}"/>
    <cellStyle name="Warning Text 23 10" xfId="21176" xr:uid="{EE6A0AB5-CD84-4D5F-991A-49E25CC73630}"/>
    <cellStyle name="Warning Text 23 11" xfId="21177" xr:uid="{761FF805-7916-4DEC-943A-25A809304702}"/>
    <cellStyle name="Warning Text 23 12" xfId="21175" xr:uid="{5FBCCC1C-D146-42B0-8FA8-2967D9267F8A}"/>
    <cellStyle name="Warning Text 23 2" xfId="21178" xr:uid="{E891B6DD-FD71-4241-BD68-E3F9BDE80509}"/>
    <cellStyle name="Warning Text 23 2 2" xfId="21179" xr:uid="{6EF6D672-0CE3-4753-B665-8B0F84D6B3EF}"/>
    <cellStyle name="Warning Text 23 2 2 2" xfId="21180" xr:uid="{971D2A3E-BDBE-4104-A2B9-5915A2BBF490}"/>
    <cellStyle name="Warning Text 23 2 3" xfId="21181" xr:uid="{B191D02F-F435-453C-9F0B-BFE7DEB96E2D}"/>
    <cellStyle name="Warning Text 23 2 3 2" xfId="21182" xr:uid="{4EBEA79B-E9C5-4397-B5CC-DB75555E5F66}"/>
    <cellStyle name="Warning Text 23 2 4" xfId="21183" xr:uid="{5F0CE946-1AFF-4D0B-BDA8-C4F706D706C2}"/>
    <cellStyle name="Warning Text 23 2 5" xfId="21184" xr:uid="{9D1A0B41-E460-454B-9B4C-5E61E35E5115}"/>
    <cellStyle name="Warning Text 23 3" xfId="21185" xr:uid="{09F681D9-5425-4388-9569-7592BC559167}"/>
    <cellStyle name="Warning Text 23 3 2" xfId="21186" xr:uid="{B69C1138-95D8-426F-9546-9FF8A3E5BCC5}"/>
    <cellStyle name="Warning Text 23 3 2 2" xfId="21187" xr:uid="{A2B279FC-4394-4A14-9D48-FF1A27C42243}"/>
    <cellStyle name="Warning Text 23 3 3" xfId="21188" xr:uid="{2ADA3047-245D-4766-A10E-8D603F75EF10}"/>
    <cellStyle name="Warning Text 23 3 3 2" xfId="21189" xr:uid="{77FED6AA-2C6C-429F-B4F2-F00A8C123072}"/>
    <cellStyle name="Warning Text 23 3 4" xfId="21190" xr:uid="{0F25610D-7B12-4974-8509-BC201F2A8E36}"/>
    <cellStyle name="Warning Text 23 4" xfId="21191" xr:uid="{6EC7EBA8-354E-4949-B8C2-77EB453AB454}"/>
    <cellStyle name="Warning Text 23 4 2" xfId="21192" xr:uid="{2161AB72-C742-444D-B21F-49592108740B}"/>
    <cellStyle name="Warning Text 23 4 2 2" xfId="21193" xr:uid="{B9C485A8-ED15-4B68-B27B-ABAC3105BEAF}"/>
    <cellStyle name="Warning Text 23 4 3" xfId="21194" xr:uid="{7625768E-4B41-4512-A88F-50C5F5074D5D}"/>
    <cellStyle name="Warning Text 23 4 3 2" xfId="21195" xr:uid="{E34910EB-F743-4588-832D-FB40088F1765}"/>
    <cellStyle name="Warning Text 23 4 4" xfId="21196" xr:uid="{06CC2948-8C60-423E-ADD7-3BEFF35A260C}"/>
    <cellStyle name="Warning Text 23 5" xfId="21197" xr:uid="{724CB82C-A4F0-48F9-8F6C-5F67B022B261}"/>
    <cellStyle name="Warning Text 23 5 2" xfId="21198" xr:uid="{1B838E7E-54F0-49AD-BC88-D4020C295BB3}"/>
    <cellStyle name="Warning Text 23 5 2 2" xfId="21199" xr:uid="{00AD0BCF-7913-48C8-B9C0-9BF36C544EBD}"/>
    <cellStyle name="Warning Text 23 5 3" xfId="21200" xr:uid="{A08B45D2-56DD-4DC6-B88E-1B14472C6BD2}"/>
    <cellStyle name="Warning Text 23 5 3 2" xfId="21201" xr:uid="{E3A9A3A7-178B-49F2-ABBA-939FB393576B}"/>
    <cellStyle name="Warning Text 23 5 4" xfId="21202" xr:uid="{B330C1F3-B0F6-4D22-8C27-99A6ABC33822}"/>
    <cellStyle name="Warning Text 23 5 4 2" xfId="21203" xr:uid="{85DF1C0A-48EA-48FE-8C26-01F41A3F24A3}"/>
    <cellStyle name="Warning Text 23 5 5" xfId="21204" xr:uid="{C67F1B22-4E37-423D-87A4-6B536ACAB24C}"/>
    <cellStyle name="Warning Text 23 6" xfId="21205" xr:uid="{1CC705FC-6206-4944-9BF8-8C6B9F5019AB}"/>
    <cellStyle name="Warning Text 23 6 2" xfId="21206" xr:uid="{F667FFE0-46DA-4436-AC05-5E336B517AA0}"/>
    <cellStyle name="Warning Text 23 6 2 2" xfId="21207" xr:uid="{2612871F-B467-41B5-A4B4-F5A913B60C2D}"/>
    <cellStyle name="Warning Text 23 6 3" xfId="21208" xr:uid="{52106C17-37B9-4E19-8308-99788A87C8DB}"/>
    <cellStyle name="Warning Text 23 6 3 2" xfId="21209" xr:uid="{ADDFB54B-4471-4643-A942-8CBDEF1BE98A}"/>
    <cellStyle name="Warning Text 23 6 4" xfId="21210" xr:uid="{FFE66E13-DD3F-43B7-B4ED-BC2908799693}"/>
    <cellStyle name="Warning Text 23 7" xfId="21211" xr:uid="{7B8B225E-2CEF-486E-B2DD-3C63D7669787}"/>
    <cellStyle name="Warning Text 23 7 2" xfId="21212" xr:uid="{17BF25E7-1E17-432D-9799-0F6CEB24F6BD}"/>
    <cellStyle name="Warning Text 23 8" xfId="21213" xr:uid="{F9C12B20-F4C2-4EA9-A03B-D6BAE17B12AE}"/>
    <cellStyle name="Warning Text 23 8 2" xfId="21214" xr:uid="{B6044B12-7FA9-4E80-8CDC-5E8653A5603F}"/>
    <cellStyle name="Warning Text 23 9" xfId="21215" xr:uid="{61F5A880-97D9-4041-81F7-5704922A34F0}"/>
    <cellStyle name="Warning Text 23 9 2" xfId="21216" xr:uid="{B9B0329E-4FC0-422F-9B1D-E40B8A7FA221}"/>
    <cellStyle name="Warning Text 24" xfId="3368" xr:uid="{CE334917-6F66-445D-876C-1DAE11508E64}"/>
    <cellStyle name="Warning Text 24 10" xfId="21218" xr:uid="{DE9DEAB3-EA92-4A4F-9A7D-506C06904C66}"/>
    <cellStyle name="Warning Text 24 11" xfId="21219" xr:uid="{CBA99DCE-D0D4-4E6F-9485-FA6F9D9890EC}"/>
    <cellStyle name="Warning Text 24 12" xfId="21217" xr:uid="{C251463C-C649-4426-8336-26C136BB6FF9}"/>
    <cellStyle name="Warning Text 24 2" xfId="21220" xr:uid="{6A5C6BE7-7C49-438E-AC45-014925FB45AC}"/>
    <cellStyle name="Warning Text 24 2 2" xfId="21221" xr:uid="{EC193247-5D4D-49BD-89A7-F97694AFEF4B}"/>
    <cellStyle name="Warning Text 24 2 2 2" xfId="21222" xr:uid="{66B746C1-E723-4B75-AFBB-595AC8B288C5}"/>
    <cellStyle name="Warning Text 24 2 3" xfId="21223" xr:uid="{9CD5F254-95B0-47F1-89E9-1C1527064EA8}"/>
    <cellStyle name="Warning Text 24 2 3 2" xfId="21224" xr:uid="{37AE3279-6B6A-4416-B718-64A95689AA78}"/>
    <cellStyle name="Warning Text 24 2 4" xfId="21225" xr:uid="{1365305E-83B8-4163-8F01-36CB364EB30A}"/>
    <cellStyle name="Warning Text 24 2 5" xfId="21226" xr:uid="{C9290886-A406-46B4-9485-D86F2254F304}"/>
    <cellStyle name="Warning Text 24 3" xfId="21227" xr:uid="{9D286D4F-A787-49AD-9B8E-0ACB3B92C9FC}"/>
    <cellStyle name="Warning Text 24 3 2" xfId="21228" xr:uid="{CB34D1E5-ECE4-4457-8A3F-CBF995702315}"/>
    <cellStyle name="Warning Text 24 3 2 2" xfId="21229" xr:uid="{F4A8F617-73AC-4893-8041-82092973B3DF}"/>
    <cellStyle name="Warning Text 24 3 3" xfId="21230" xr:uid="{EBD9FE5D-48BE-44AE-A9B9-C627A699672E}"/>
    <cellStyle name="Warning Text 24 3 3 2" xfId="21231" xr:uid="{2637F994-24F4-4DE8-A2B0-4C066A4204F8}"/>
    <cellStyle name="Warning Text 24 3 4" xfId="21232" xr:uid="{4B96FAA8-3B5E-4283-801D-C9F159C53F1B}"/>
    <cellStyle name="Warning Text 24 4" xfId="21233" xr:uid="{BBFB8A46-24EB-4BAC-8DB3-5CD082A5B01F}"/>
    <cellStyle name="Warning Text 24 4 2" xfId="21234" xr:uid="{B44D944E-C31B-4374-AB84-C9B36D98AECE}"/>
    <cellStyle name="Warning Text 24 4 2 2" xfId="21235" xr:uid="{35767D8A-90BA-417F-875E-83A6CFB68D13}"/>
    <cellStyle name="Warning Text 24 4 3" xfId="21236" xr:uid="{78D80CF5-08E9-4CD6-8C34-0B682703BDBA}"/>
    <cellStyle name="Warning Text 24 4 3 2" xfId="21237" xr:uid="{87AECACB-288E-4BC2-A183-1E1E30F1EC2B}"/>
    <cellStyle name="Warning Text 24 4 4" xfId="21238" xr:uid="{E7B785A1-A96F-412B-ADF4-44F4763ABB35}"/>
    <cellStyle name="Warning Text 24 5" xfId="21239" xr:uid="{902C0782-DA48-4958-B597-32D681F7B6FD}"/>
    <cellStyle name="Warning Text 24 5 2" xfId="21240" xr:uid="{080A84D6-A7F8-43AC-AD49-08181E591BF2}"/>
    <cellStyle name="Warning Text 24 5 2 2" xfId="21241" xr:uid="{E3D443C2-DB2A-4989-BBEC-4259F3580AA1}"/>
    <cellStyle name="Warning Text 24 5 3" xfId="21242" xr:uid="{7F91152A-397D-41F6-9589-DCE9A65275A3}"/>
    <cellStyle name="Warning Text 24 5 3 2" xfId="21243" xr:uid="{289E8935-37EA-41C5-9BF5-5CBF2395F38C}"/>
    <cellStyle name="Warning Text 24 5 4" xfId="21244" xr:uid="{0305ADD2-8D5F-434A-89A5-A7FF58764FF3}"/>
    <cellStyle name="Warning Text 24 5 4 2" xfId="21245" xr:uid="{7E38BBE5-CFC4-4732-9A37-A8A465588465}"/>
    <cellStyle name="Warning Text 24 5 5" xfId="21246" xr:uid="{E215E801-0652-4EB0-BF73-EC8119F40CA3}"/>
    <cellStyle name="Warning Text 24 6" xfId="21247" xr:uid="{C9F2E79E-C853-46CA-AE77-5612F6E7E8C2}"/>
    <cellStyle name="Warning Text 24 6 2" xfId="21248" xr:uid="{5E142E8F-356A-4614-8AA7-5D9F070E21DA}"/>
    <cellStyle name="Warning Text 24 6 2 2" xfId="21249" xr:uid="{99D7C97B-122E-40E6-9F4E-AFEF2BF8C521}"/>
    <cellStyle name="Warning Text 24 6 3" xfId="21250" xr:uid="{24F0A5AC-7796-443D-9FE0-74CC38AA3291}"/>
    <cellStyle name="Warning Text 24 6 3 2" xfId="21251" xr:uid="{16DF7709-3E2D-4940-A299-6C07C90485E8}"/>
    <cellStyle name="Warning Text 24 6 4" xfId="21252" xr:uid="{4F73841A-BC2D-4B1D-A3F1-7E9D3A802EA0}"/>
    <cellStyle name="Warning Text 24 7" xfId="21253" xr:uid="{B031B64E-5978-4317-A65A-0E1F4825B397}"/>
    <cellStyle name="Warning Text 24 7 2" xfId="21254" xr:uid="{194AC2FA-1847-49B0-84EC-56AC0D62B556}"/>
    <cellStyle name="Warning Text 24 8" xfId="21255" xr:uid="{DFB1A7BD-BF78-4A13-9E67-76025C58EE43}"/>
    <cellStyle name="Warning Text 24 8 2" xfId="21256" xr:uid="{7DE7096E-2AF0-4DE0-923A-734D255B28F4}"/>
    <cellStyle name="Warning Text 24 9" xfId="21257" xr:uid="{146EA2BC-B4B2-4D33-92EC-CF3910FBED07}"/>
    <cellStyle name="Warning Text 24 9 2" xfId="21258" xr:uid="{5BA90300-AA6A-4805-8E0F-937D3E51078D}"/>
    <cellStyle name="Warning Text 25" xfId="3369" xr:uid="{75DFC3E4-7DA7-43F0-A444-39777C629391}"/>
    <cellStyle name="Warning Text 25 10" xfId="21260" xr:uid="{810C993F-67D6-4BDE-A0B5-3C0B80B1522B}"/>
    <cellStyle name="Warning Text 25 11" xfId="21261" xr:uid="{7DEE1D0D-B32B-4D2D-A873-8E2603004E8E}"/>
    <cellStyle name="Warning Text 25 12" xfId="21259" xr:uid="{ABCA6C05-57F8-4393-B7FE-1465F60D429E}"/>
    <cellStyle name="Warning Text 25 2" xfId="21262" xr:uid="{250FFA1D-72CF-4BE5-95FE-14A974925AAE}"/>
    <cellStyle name="Warning Text 25 2 2" xfId="21263" xr:uid="{9CB4D6DB-F10F-4DF8-964D-CF2FED81FC0C}"/>
    <cellStyle name="Warning Text 25 2 2 2" xfId="21264" xr:uid="{4B8AAF45-2E83-44CC-9706-C96B4AC64668}"/>
    <cellStyle name="Warning Text 25 2 3" xfId="21265" xr:uid="{6231A30C-F451-46B6-8D09-02A0E090D13B}"/>
    <cellStyle name="Warning Text 25 2 3 2" xfId="21266" xr:uid="{C7DA8A4B-6919-4E93-9976-40D79CD5183A}"/>
    <cellStyle name="Warning Text 25 2 4" xfId="21267" xr:uid="{4BC781A6-1F49-40B7-AA1F-E40AFE23119B}"/>
    <cellStyle name="Warning Text 25 2 5" xfId="21268" xr:uid="{59A3FD6A-A60C-468E-A2AD-2AD68344DEAB}"/>
    <cellStyle name="Warning Text 25 3" xfId="21269" xr:uid="{CEB47F51-3808-403B-8D96-4F2B907E8468}"/>
    <cellStyle name="Warning Text 25 3 2" xfId="21270" xr:uid="{DD9EE9B7-BE41-4DC4-A88E-57A01F6A4009}"/>
    <cellStyle name="Warning Text 25 3 2 2" xfId="21271" xr:uid="{9B086269-828B-4867-89D1-DD38D56B003D}"/>
    <cellStyle name="Warning Text 25 3 3" xfId="21272" xr:uid="{F0BADDCA-9DC1-4E3F-9FF1-04EE2DA575CE}"/>
    <cellStyle name="Warning Text 25 3 3 2" xfId="21273" xr:uid="{516EE482-09B5-4DF2-9F7E-49153BC41C6A}"/>
    <cellStyle name="Warning Text 25 3 4" xfId="21274" xr:uid="{4D641E04-FAA1-4373-AC29-AC347FA2BBC9}"/>
    <cellStyle name="Warning Text 25 4" xfId="21275" xr:uid="{877FFE72-0E17-4252-ABB9-362B0EE267B9}"/>
    <cellStyle name="Warning Text 25 4 2" xfId="21276" xr:uid="{ACBD3106-7675-494D-927A-4DAC5BF93886}"/>
    <cellStyle name="Warning Text 25 4 2 2" xfId="21277" xr:uid="{74EF90BD-9EA1-4937-A0B2-8F441C6CFACE}"/>
    <cellStyle name="Warning Text 25 4 3" xfId="21278" xr:uid="{376749D4-EF69-448E-AEFB-C3EAB8A56CFC}"/>
    <cellStyle name="Warning Text 25 4 3 2" xfId="21279" xr:uid="{7A786D14-8D31-4FB3-A3CB-00A594AFF672}"/>
    <cellStyle name="Warning Text 25 4 4" xfId="21280" xr:uid="{2DE03EA2-F14E-489D-9F7B-C4545B71557C}"/>
    <cellStyle name="Warning Text 25 5" xfId="21281" xr:uid="{48741C31-6E44-4E43-AD57-ECF40B863BF0}"/>
    <cellStyle name="Warning Text 25 5 2" xfId="21282" xr:uid="{3B6BADCC-5D26-41EA-9B3F-3DE3EA84A9A3}"/>
    <cellStyle name="Warning Text 25 5 2 2" xfId="21283" xr:uid="{C8E1BAB3-9992-44F0-8642-C1234BE73C19}"/>
    <cellStyle name="Warning Text 25 5 3" xfId="21284" xr:uid="{7575DB24-4C85-4BEE-A7BB-B6D2A4806523}"/>
    <cellStyle name="Warning Text 25 5 3 2" xfId="21285" xr:uid="{E1E7F670-D33F-49B7-BD35-2D0E5D4E96C0}"/>
    <cellStyle name="Warning Text 25 5 4" xfId="21286" xr:uid="{62F010A9-0665-40FA-88F5-38E2A11E2392}"/>
    <cellStyle name="Warning Text 25 5 4 2" xfId="21287" xr:uid="{24C2C23A-858C-48C3-BC9C-70D3DBDF92B2}"/>
    <cellStyle name="Warning Text 25 5 5" xfId="21288" xr:uid="{7F6DF193-9EB9-40AA-99B8-43AD40C5CD6B}"/>
    <cellStyle name="Warning Text 25 6" xfId="21289" xr:uid="{67734521-458B-4ED6-95CC-F423052B963B}"/>
    <cellStyle name="Warning Text 25 6 2" xfId="21290" xr:uid="{4C1933F5-ECC1-4864-A472-7B4AA808B67F}"/>
    <cellStyle name="Warning Text 25 6 2 2" xfId="21291" xr:uid="{C62D07E2-C19A-4E58-962C-E31F02C8AF57}"/>
    <cellStyle name="Warning Text 25 6 3" xfId="21292" xr:uid="{AD3DE90A-3A6C-423B-AC11-87ED9EFCA4F0}"/>
    <cellStyle name="Warning Text 25 6 3 2" xfId="21293" xr:uid="{FF5199DC-7918-4F1A-94FE-6443FDEAAE29}"/>
    <cellStyle name="Warning Text 25 6 4" xfId="21294" xr:uid="{28F35D60-98A8-4D87-AAF3-0624E567B276}"/>
    <cellStyle name="Warning Text 25 7" xfId="21295" xr:uid="{ED0E2585-A6E9-429D-9D14-F93A881F060E}"/>
    <cellStyle name="Warning Text 25 7 2" xfId="21296" xr:uid="{A644D9F1-D3E6-407E-BB39-BE58BAC71EED}"/>
    <cellStyle name="Warning Text 25 8" xfId="21297" xr:uid="{FFA92DA3-00CC-4D69-8BF7-F1AB9890219B}"/>
    <cellStyle name="Warning Text 25 8 2" xfId="21298" xr:uid="{815B5618-F3BB-4E87-99B7-7D2619B2EF96}"/>
    <cellStyle name="Warning Text 25 9" xfId="21299" xr:uid="{B82899BD-328D-4BF9-A825-988F2D1F431E}"/>
    <cellStyle name="Warning Text 25 9 2" xfId="21300" xr:uid="{B5EF7DE3-44BC-47DC-B930-8343E04674D2}"/>
    <cellStyle name="Warning Text 26" xfId="3370" xr:uid="{538DEA44-E0E2-4C30-AFC1-2A48E759B645}"/>
    <cellStyle name="Warning Text 26 10" xfId="21302" xr:uid="{6896C6D4-F472-4C5F-9D6C-E894E5A5E708}"/>
    <cellStyle name="Warning Text 26 11" xfId="21303" xr:uid="{03CC2B34-6A15-42BC-8A74-6179EA67EA43}"/>
    <cellStyle name="Warning Text 26 12" xfId="21301" xr:uid="{C3F2ACDA-078E-4537-803B-21EAD070878A}"/>
    <cellStyle name="Warning Text 26 2" xfId="21304" xr:uid="{B8EFFF0E-2955-42CB-A7E1-BA7497987374}"/>
    <cellStyle name="Warning Text 26 2 2" xfId="21305" xr:uid="{31661487-5E56-4082-B555-F7021CF833EA}"/>
    <cellStyle name="Warning Text 26 2 2 2" xfId="21306" xr:uid="{5619CE03-FD39-4A1B-8A60-72C178E39D5E}"/>
    <cellStyle name="Warning Text 26 2 3" xfId="21307" xr:uid="{08931D3F-52FA-4EAE-BF68-A4810A2E66B4}"/>
    <cellStyle name="Warning Text 26 2 3 2" xfId="21308" xr:uid="{B09B1F65-4752-4661-B0A9-3D85B6377B16}"/>
    <cellStyle name="Warning Text 26 2 4" xfId="21309" xr:uid="{2514F270-E05C-4AB3-BE85-7004FF187C28}"/>
    <cellStyle name="Warning Text 26 2 5" xfId="21310" xr:uid="{63B4A63A-4C11-4C7C-B94E-CB3BFB64D0A5}"/>
    <cellStyle name="Warning Text 26 3" xfId="21311" xr:uid="{6A3A8943-1571-4D32-8940-7B5E2A535789}"/>
    <cellStyle name="Warning Text 26 3 2" xfId="21312" xr:uid="{DDA04EDC-79DC-42CB-9744-1262997836E8}"/>
    <cellStyle name="Warning Text 26 3 2 2" xfId="21313" xr:uid="{844B510F-F2A1-4273-BDB9-22037209753B}"/>
    <cellStyle name="Warning Text 26 3 3" xfId="21314" xr:uid="{5E64877B-31E0-43EB-BA0A-3C0A48025C09}"/>
    <cellStyle name="Warning Text 26 3 3 2" xfId="21315" xr:uid="{5FE982BE-FAF1-402F-B97E-563BBFE1EE2E}"/>
    <cellStyle name="Warning Text 26 3 4" xfId="21316" xr:uid="{29E45999-631D-41B8-B7E0-090BE86DEEC2}"/>
    <cellStyle name="Warning Text 26 4" xfId="21317" xr:uid="{9C6A3AE9-8653-4089-8A11-701ABB5DF16A}"/>
    <cellStyle name="Warning Text 26 4 2" xfId="21318" xr:uid="{222A9240-2A8E-4139-B563-1B0F003870D8}"/>
    <cellStyle name="Warning Text 26 4 2 2" xfId="21319" xr:uid="{414F5C2D-227F-4719-82AF-49830D586308}"/>
    <cellStyle name="Warning Text 26 4 3" xfId="21320" xr:uid="{F1A6329A-B580-4EA9-9C4F-EE762A3C1277}"/>
    <cellStyle name="Warning Text 26 4 3 2" xfId="21321" xr:uid="{163BFC5D-D67C-4F76-B4CC-DAD1B75FF884}"/>
    <cellStyle name="Warning Text 26 4 4" xfId="21322" xr:uid="{15DA764D-8EF5-4862-8472-8F5FB154F094}"/>
    <cellStyle name="Warning Text 26 5" xfId="21323" xr:uid="{B7B72F61-9275-4DF3-968B-1D2753769077}"/>
    <cellStyle name="Warning Text 26 5 2" xfId="21324" xr:uid="{36254805-DD1D-49AC-979C-A6D3C5311EE1}"/>
    <cellStyle name="Warning Text 26 5 2 2" xfId="21325" xr:uid="{01F7F098-1489-4824-91D1-F7EDF263BFEB}"/>
    <cellStyle name="Warning Text 26 5 3" xfId="21326" xr:uid="{FF65338F-0594-4AD0-9B0C-EA732F747D1D}"/>
    <cellStyle name="Warning Text 26 5 3 2" xfId="21327" xr:uid="{6E545DA3-0841-4D50-9730-DF9474C6B659}"/>
    <cellStyle name="Warning Text 26 5 4" xfId="21328" xr:uid="{7C1719BB-3734-4F25-B06D-EE09B44B44FC}"/>
    <cellStyle name="Warning Text 26 5 4 2" xfId="21329" xr:uid="{F3A816AD-2ED9-4F58-B9A7-2C8E8A757595}"/>
    <cellStyle name="Warning Text 26 5 5" xfId="21330" xr:uid="{763D956C-5190-44C8-8E32-11087E1F39FD}"/>
    <cellStyle name="Warning Text 26 6" xfId="21331" xr:uid="{95036067-9BD0-41E2-8C80-8351190ADCDD}"/>
    <cellStyle name="Warning Text 26 6 2" xfId="21332" xr:uid="{C632B26D-E15A-458A-A58E-366B51A0B28D}"/>
    <cellStyle name="Warning Text 26 6 2 2" xfId="21333" xr:uid="{71669A7F-0455-46CE-8999-63016847825C}"/>
    <cellStyle name="Warning Text 26 6 3" xfId="21334" xr:uid="{1D2F135A-AD2A-4539-81C2-4DAD39F45771}"/>
    <cellStyle name="Warning Text 26 6 3 2" xfId="21335" xr:uid="{949F3BF1-BF62-4236-941F-7BBD298C3398}"/>
    <cellStyle name="Warning Text 26 6 4" xfId="21336" xr:uid="{BEEE97B4-9C0A-4224-A62F-1C4676DC7010}"/>
    <cellStyle name="Warning Text 26 7" xfId="21337" xr:uid="{521F5904-EE48-469B-A4DF-3C676EC7A11A}"/>
    <cellStyle name="Warning Text 26 7 2" xfId="21338" xr:uid="{22D17D47-BDC8-4199-9540-EECF2C7A0F5A}"/>
    <cellStyle name="Warning Text 26 8" xfId="21339" xr:uid="{4062FFD9-D1E4-4369-807C-11B02382D8B1}"/>
    <cellStyle name="Warning Text 26 8 2" xfId="21340" xr:uid="{AC9EB45F-D1C2-494F-B4EC-BCB1AC92D077}"/>
    <cellStyle name="Warning Text 26 9" xfId="21341" xr:uid="{3744D9CA-E80F-499A-AE93-94C50275FD1B}"/>
    <cellStyle name="Warning Text 26 9 2" xfId="21342" xr:uid="{DF963F5B-0F37-454F-9869-C34EAAC4EF41}"/>
    <cellStyle name="Warning Text 27" xfId="3371" xr:uid="{DC67E34F-940D-40CB-ACC7-1AD1FEF87DE7}"/>
    <cellStyle name="Warning Text 27 10" xfId="21344" xr:uid="{B736BB92-5EB9-4A88-8A9F-7E7B2026B3B2}"/>
    <cellStyle name="Warning Text 27 11" xfId="21345" xr:uid="{F7A3D8A6-F367-4C24-97B1-AE8668D23D3C}"/>
    <cellStyle name="Warning Text 27 12" xfId="21343" xr:uid="{C94331D3-68C0-48F0-AFF6-496A5185D401}"/>
    <cellStyle name="Warning Text 27 2" xfId="21346" xr:uid="{F569B95F-A805-408D-9B30-B8BB8BDFF8AB}"/>
    <cellStyle name="Warning Text 27 2 2" xfId="21347" xr:uid="{F01150A0-2872-4D38-ADF2-D953CD8F6EB7}"/>
    <cellStyle name="Warning Text 27 2 2 2" xfId="21348" xr:uid="{44103181-3FCA-46E3-B1D4-15EBEC6B2CD7}"/>
    <cellStyle name="Warning Text 27 2 3" xfId="21349" xr:uid="{92D03FCA-2266-4BEC-8D79-21CE525408B6}"/>
    <cellStyle name="Warning Text 27 2 3 2" xfId="21350" xr:uid="{C945D1EE-3B0C-4972-9046-817E47CF93D6}"/>
    <cellStyle name="Warning Text 27 2 4" xfId="21351" xr:uid="{EF013205-F0BD-4CB1-8D25-85291DB91335}"/>
    <cellStyle name="Warning Text 27 2 5" xfId="21352" xr:uid="{B4A0C1CF-D45C-4F6A-9563-38E7EC862BD9}"/>
    <cellStyle name="Warning Text 27 3" xfId="21353" xr:uid="{A1D84E27-11ED-41C2-B31F-1ABA37CC26BC}"/>
    <cellStyle name="Warning Text 27 3 2" xfId="21354" xr:uid="{5D5C6569-1207-4BB7-B02D-25489853B875}"/>
    <cellStyle name="Warning Text 27 3 2 2" xfId="21355" xr:uid="{494C0C2C-FA8A-44EC-B58A-F302ED78B798}"/>
    <cellStyle name="Warning Text 27 3 3" xfId="21356" xr:uid="{D274ED11-5426-424E-B4E0-7B92EFD7984E}"/>
    <cellStyle name="Warning Text 27 3 3 2" xfId="21357" xr:uid="{AD3E4FDF-4B31-4454-81FA-C28C16D485FB}"/>
    <cellStyle name="Warning Text 27 3 4" xfId="21358" xr:uid="{12F71501-EC3B-4F38-B25C-CC3DBFA0B10B}"/>
    <cellStyle name="Warning Text 27 4" xfId="21359" xr:uid="{B5D2DC28-AF1E-4E10-A1FB-25979BBE9FE4}"/>
    <cellStyle name="Warning Text 27 4 2" xfId="21360" xr:uid="{75B3CAF9-A92A-4A33-8148-282F3D86B8DC}"/>
    <cellStyle name="Warning Text 27 4 2 2" xfId="21361" xr:uid="{38A98F54-163E-4232-9E5F-66F700B171AD}"/>
    <cellStyle name="Warning Text 27 4 3" xfId="21362" xr:uid="{A19DA673-2FDB-4269-BA8A-DF7E4214E5CC}"/>
    <cellStyle name="Warning Text 27 4 3 2" xfId="21363" xr:uid="{C8B3179C-9A90-4ABB-9E26-AD31B07F9B2E}"/>
    <cellStyle name="Warning Text 27 4 4" xfId="21364" xr:uid="{A7381FCD-1305-462A-8377-50ABBE5344BA}"/>
    <cellStyle name="Warning Text 27 5" xfId="21365" xr:uid="{D3C095B1-52E7-4B9C-AE3C-7223436B0056}"/>
    <cellStyle name="Warning Text 27 5 2" xfId="21366" xr:uid="{D2EBD0FD-DCE9-4C47-85BA-A49344A55242}"/>
    <cellStyle name="Warning Text 27 5 2 2" xfId="21367" xr:uid="{4788D7BD-9F7B-461F-BD34-927643CA5A81}"/>
    <cellStyle name="Warning Text 27 5 3" xfId="21368" xr:uid="{2749919E-0BC8-4B55-83EE-7665D2EF8E0F}"/>
    <cellStyle name="Warning Text 27 5 3 2" xfId="21369" xr:uid="{A0193A84-6756-470F-B59D-C8DFC6735A86}"/>
    <cellStyle name="Warning Text 27 5 4" xfId="21370" xr:uid="{CA6157B7-ACB2-47C2-A9AC-5FD8ADC32252}"/>
    <cellStyle name="Warning Text 27 5 4 2" xfId="21371" xr:uid="{045003A5-66EF-4EA3-81C8-3A78FB38207A}"/>
    <cellStyle name="Warning Text 27 5 5" xfId="21372" xr:uid="{16AA566C-9685-4203-BBC5-19AF030E0C18}"/>
    <cellStyle name="Warning Text 27 6" xfId="21373" xr:uid="{2B9CAE08-D805-44AA-B56A-89E6FA3CA23D}"/>
    <cellStyle name="Warning Text 27 6 2" xfId="21374" xr:uid="{596BFAF7-37C1-4821-9AC7-4EDF9FE81485}"/>
    <cellStyle name="Warning Text 27 6 2 2" xfId="21375" xr:uid="{BAA31D5D-0CD4-45BF-B056-8C230B250D42}"/>
    <cellStyle name="Warning Text 27 6 3" xfId="21376" xr:uid="{718BECCE-145E-4BC6-80FD-FE733024A7E4}"/>
    <cellStyle name="Warning Text 27 6 3 2" xfId="21377" xr:uid="{FE8E4EA2-FD6B-4DF6-B84E-6F92A9B72928}"/>
    <cellStyle name="Warning Text 27 6 4" xfId="21378" xr:uid="{1B8ECC61-DCB0-4ED4-BF7A-0EDB83413F0B}"/>
    <cellStyle name="Warning Text 27 7" xfId="21379" xr:uid="{885149A3-2782-4DC1-B06D-6F21B6D87174}"/>
    <cellStyle name="Warning Text 27 7 2" xfId="21380" xr:uid="{B05A541C-1BE0-4C6C-A4CD-44570A1AAC50}"/>
    <cellStyle name="Warning Text 27 8" xfId="21381" xr:uid="{AE7F852F-812C-4CAE-B229-38E02EE7BCC8}"/>
    <cellStyle name="Warning Text 27 8 2" xfId="21382" xr:uid="{8BB24D95-7BBD-467C-AF50-8C7042D88A4B}"/>
    <cellStyle name="Warning Text 27 9" xfId="21383" xr:uid="{AB13019A-3C34-4A78-977B-E3E9ED80EB09}"/>
    <cellStyle name="Warning Text 27 9 2" xfId="21384" xr:uid="{82C28AD2-059F-48A2-B3BB-55D45E359F1B}"/>
    <cellStyle name="Warning Text 28" xfId="3372" xr:uid="{03B65272-B15C-4462-AD92-28FF22FFB7FB}"/>
    <cellStyle name="Warning Text 28 10" xfId="21386" xr:uid="{A50C87E7-0294-41A9-98B1-696194FA1581}"/>
    <cellStyle name="Warning Text 28 11" xfId="21387" xr:uid="{8ECD2111-8B9A-4724-81A7-E541F4A8BD7C}"/>
    <cellStyle name="Warning Text 28 12" xfId="21385" xr:uid="{B1B4DD66-3035-4DE0-902B-076E3E783284}"/>
    <cellStyle name="Warning Text 28 2" xfId="21388" xr:uid="{E904197E-0F8E-4705-A67D-FBAB85EDDC80}"/>
    <cellStyle name="Warning Text 28 2 2" xfId="21389" xr:uid="{D371C55B-C953-4BB2-89AB-17781BDF154B}"/>
    <cellStyle name="Warning Text 28 2 2 2" xfId="21390" xr:uid="{D802E37E-3091-4636-A346-C5E1CDC380E4}"/>
    <cellStyle name="Warning Text 28 2 3" xfId="21391" xr:uid="{4EC862BC-B35E-41F2-A76C-A8457AED0326}"/>
    <cellStyle name="Warning Text 28 2 3 2" xfId="21392" xr:uid="{F5CDA7C9-0B9D-4BAA-A1A9-064AE1B96B9A}"/>
    <cellStyle name="Warning Text 28 2 4" xfId="21393" xr:uid="{7F611258-E027-46F8-B557-1AA3BE013935}"/>
    <cellStyle name="Warning Text 28 2 5" xfId="21394" xr:uid="{7B56A7FD-7E29-455B-A93C-17A6A2286C4A}"/>
    <cellStyle name="Warning Text 28 3" xfId="21395" xr:uid="{222437A3-B39F-406A-ACC2-627637F2A1B8}"/>
    <cellStyle name="Warning Text 28 3 2" xfId="21396" xr:uid="{D25F1751-34B8-4831-A8C3-6DC98A6620EA}"/>
    <cellStyle name="Warning Text 28 3 2 2" xfId="21397" xr:uid="{615C39D2-F396-4789-B0B9-962E899AD16C}"/>
    <cellStyle name="Warning Text 28 3 3" xfId="21398" xr:uid="{DC837BA3-A5EE-49C0-9F91-B887302E2162}"/>
    <cellStyle name="Warning Text 28 3 3 2" xfId="21399" xr:uid="{F04C0C4B-9F0B-4252-90B5-0FFE8EB31139}"/>
    <cellStyle name="Warning Text 28 3 4" xfId="21400" xr:uid="{78C52A40-EB17-4C56-969D-A98F82EAC7DA}"/>
    <cellStyle name="Warning Text 28 4" xfId="21401" xr:uid="{4A626BA9-201A-4D8E-A870-C4CAF2070215}"/>
    <cellStyle name="Warning Text 28 4 2" xfId="21402" xr:uid="{8C4BD06C-5B56-402C-9072-CD9874984EA8}"/>
    <cellStyle name="Warning Text 28 4 2 2" xfId="21403" xr:uid="{E125702B-60AB-425D-83EA-4B5B51F2FC26}"/>
    <cellStyle name="Warning Text 28 4 3" xfId="21404" xr:uid="{5225735A-C779-43B0-821C-8183E7A2D662}"/>
    <cellStyle name="Warning Text 28 4 3 2" xfId="21405" xr:uid="{476DEEF8-D8E0-4FE4-8433-3A3C98318A5C}"/>
    <cellStyle name="Warning Text 28 4 4" xfId="21406" xr:uid="{31BB6FF1-91FF-472F-8823-C4A33ADFCA61}"/>
    <cellStyle name="Warning Text 28 5" xfId="21407" xr:uid="{652B097E-654D-4BCE-8E73-F4C9EBEE577C}"/>
    <cellStyle name="Warning Text 28 5 2" xfId="21408" xr:uid="{3AE53C94-162D-43B3-9DA4-A397CFF3C7D2}"/>
    <cellStyle name="Warning Text 28 5 2 2" xfId="21409" xr:uid="{4986CA77-A53C-4260-A511-F05F748210A5}"/>
    <cellStyle name="Warning Text 28 5 3" xfId="21410" xr:uid="{3545E459-9379-42EA-BED2-10067FE77AC0}"/>
    <cellStyle name="Warning Text 28 5 3 2" xfId="21411" xr:uid="{3D5F9FBC-FD8E-4648-A80A-C0B7AEA360E6}"/>
    <cellStyle name="Warning Text 28 5 4" xfId="21412" xr:uid="{9A93D3C8-5FFE-476C-940C-C537684B6B98}"/>
    <cellStyle name="Warning Text 28 5 4 2" xfId="21413" xr:uid="{24CEBC14-17BF-4DDA-9700-2894686FF1DE}"/>
    <cellStyle name="Warning Text 28 5 5" xfId="21414" xr:uid="{A85AEDC3-8FCE-482D-AE79-D2314089ABEE}"/>
    <cellStyle name="Warning Text 28 6" xfId="21415" xr:uid="{DC7A4A80-F56E-4729-A71F-3476A729CC12}"/>
    <cellStyle name="Warning Text 28 6 2" xfId="21416" xr:uid="{4102893A-FB72-41D1-AED8-61DE586E3E53}"/>
    <cellStyle name="Warning Text 28 6 2 2" xfId="21417" xr:uid="{BB98171E-78D8-490F-8179-119D8FD4CA14}"/>
    <cellStyle name="Warning Text 28 6 3" xfId="21418" xr:uid="{57EEF7AD-2725-4180-950A-7F8B3A3EF4B9}"/>
    <cellStyle name="Warning Text 28 6 3 2" xfId="21419" xr:uid="{D2123E51-790B-45CB-BCA8-3ED1E99A4539}"/>
    <cellStyle name="Warning Text 28 6 4" xfId="21420" xr:uid="{BD637B92-2BE5-47D0-B140-EF3F5381DBA7}"/>
    <cellStyle name="Warning Text 28 7" xfId="21421" xr:uid="{FE1D0A1B-A076-4A81-8FF2-923FBA67ABAE}"/>
    <cellStyle name="Warning Text 28 7 2" xfId="21422" xr:uid="{89F86868-C6DA-4C7F-92BA-E0718161130C}"/>
    <cellStyle name="Warning Text 28 8" xfId="21423" xr:uid="{A12B1CB6-FA22-4781-9E11-68E54F88278B}"/>
    <cellStyle name="Warning Text 28 8 2" xfId="21424" xr:uid="{EFDF7CEE-1BFF-4770-88EE-78528432F544}"/>
    <cellStyle name="Warning Text 28 9" xfId="21425" xr:uid="{FE37CFC2-3096-45D5-9946-8BBAF8CD882F}"/>
    <cellStyle name="Warning Text 28 9 2" xfId="21426" xr:uid="{F670FD28-98B6-47AA-ABA0-AFF49320F96F}"/>
    <cellStyle name="Warning Text 29" xfId="3373" xr:uid="{74B1E151-26B2-43CE-B7E1-6419190E4906}"/>
    <cellStyle name="Warning Text 29 10" xfId="21428" xr:uid="{47303353-558C-41E0-A730-F127E5835667}"/>
    <cellStyle name="Warning Text 29 11" xfId="21429" xr:uid="{4E1B375C-2720-43EF-BBBF-3DE74DB8A6A6}"/>
    <cellStyle name="Warning Text 29 12" xfId="21427" xr:uid="{C707E793-610A-4181-AA13-A0F50D357399}"/>
    <cellStyle name="Warning Text 29 2" xfId="21430" xr:uid="{D27AE741-DA6A-475E-B155-631329EC05B9}"/>
    <cellStyle name="Warning Text 29 2 2" xfId="21431" xr:uid="{375B8CF0-B3FE-4EE9-A310-F3519B04BE00}"/>
    <cellStyle name="Warning Text 29 2 2 2" xfId="21432" xr:uid="{C49BF009-AA71-4C08-979E-3A4B1C4D5D08}"/>
    <cellStyle name="Warning Text 29 2 3" xfId="21433" xr:uid="{F4C2C97F-8BDC-4AFD-9BC6-C4195330C555}"/>
    <cellStyle name="Warning Text 29 2 3 2" xfId="21434" xr:uid="{EAAD6094-15E6-4032-83B1-690F335EFF47}"/>
    <cellStyle name="Warning Text 29 2 4" xfId="21435" xr:uid="{AEEBBD36-2729-4BD0-AAD0-907A5270F872}"/>
    <cellStyle name="Warning Text 29 2 5" xfId="21436" xr:uid="{AFFEAF73-E3B7-4862-8413-B3D5262DF0C0}"/>
    <cellStyle name="Warning Text 29 3" xfId="21437" xr:uid="{BE700627-92E6-4E5D-B2CF-157B645739D7}"/>
    <cellStyle name="Warning Text 29 3 2" xfId="21438" xr:uid="{CAF855DD-0439-46B7-8BB6-1ABA248E30E2}"/>
    <cellStyle name="Warning Text 29 3 2 2" xfId="21439" xr:uid="{C35D9702-7E76-424C-BEC5-78212D19701B}"/>
    <cellStyle name="Warning Text 29 3 3" xfId="21440" xr:uid="{E8A2C466-BF66-4135-AEE6-388AEFAE79DF}"/>
    <cellStyle name="Warning Text 29 3 3 2" xfId="21441" xr:uid="{C92628FB-4F8B-46F7-93F0-28DE5E3E15BF}"/>
    <cellStyle name="Warning Text 29 3 4" xfId="21442" xr:uid="{CFEB13C0-582A-4181-B387-C3134D08F2C2}"/>
    <cellStyle name="Warning Text 29 4" xfId="21443" xr:uid="{B3791E4A-C1B4-47B1-A4DB-AE90A08E0394}"/>
    <cellStyle name="Warning Text 29 4 2" xfId="21444" xr:uid="{F00E59DB-0FAA-4523-B551-1DB082BB55B6}"/>
    <cellStyle name="Warning Text 29 4 2 2" xfId="21445" xr:uid="{0C142662-02F3-43EB-97C0-00FB95D3B527}"/>
    <cellStyle name="Warning Text 29 4 3" xfId="21446" xr:uid="{2BCCB055-20B6-4BFA-83B7-AAC9571AF606}"/>
    <cellStyle name="Warning Text 29 4 3 2" xfId="21447" xr:uid="{41343BC4-607F-45A2-A4B3-D668433A14AB}"/>
    <cellStyle name="Warning Text 29 4 4" xfId="21448" xr:uid="{BE3400FB-9F43-459A-9B24-12581F0E6661}"/>
    <cellStyle name="Warning Text 29 5" xfId="21449" xr:uid="{914DC5C7-D4E3-4510-AACE-EEC3FADC15D6}"/>
    <cellStyle name="Warning Text 29 5 2" xfId="21450" xr:uid="{4ECE2465-AE1F-465F-A7AE-F1F0B85D6932}"/>
    <cellStyle name="Warning Text 29 5 2 2" xfId="21451" xr:uid="{B3D626F7-30B5-481C-87F9-096C05745ED6}"/>
    <cellStyle name="Warning Text 29 5 3" xfId="21452" xr:uid="{4471D260-5A3E-488D-817A-9BF48FC16044}"/>
    <cellStyle name="Warning Text 29 5 3 2" xfId="21453" xr:uid="{936BABDE-A27D-4C8A-A9F4-35D59FB6872B}"/>
    <cellStyle name="Warning Text 29 5 4" xfId="21454" xr:uid="{285A22DC-AB62-40AD-9F32-B73B27AFAE5B}"/>
    <cellStyle name="Warning Text 29 5 4 2" xfId="21455" xr:uid="{4C9DCEEF-7B61-4D48-9DFF-E0ED2D74E2BB}"/>
    <cellStyle name="Warning Text 29 5 5" xfId="21456" xr:uid="{404D6187-CD7E-43AA-9FD6-6FCFB2876AD1}"/>
    <cellStyle name="Warning Text 29 6" xfId="21457" xr:uid="{C2DEA1D8-5A29-495E-969C-BC5E24E1FD9D}"/>
    <cellStyle name="Warning Text 29 6 2" xfId="21458" xr:uid="{29999CD4-8FC0-4465-9909-A6B4EE6E0992}"/>
    <cellStyle name="Warning Text 29 6 2 2" xfId="21459" xr:uid="{1DA2AA88-8312-4E0D-9CDF-8A44A12FA2DE}"/>
    <cellStyle name="Warning Text 29 6 3" xfId="21460" xr:uid="{8340A529-2C86-4EF4-BF74-29DE1E3ACB20}"/>
    <cellStyle name="Warning Text 29 6 3 2" xfId="21461" xr:uid="{D1C40089-362F-41F7-AF80-5B13B97D996D}"/>
    <cellStyle name="Warning Text 29 6 4" xfId="21462" xr:uid="{3F805C17-3BD2-4CFD-894A-A1F10F64AC39}"/>
    <cellStyle name="Warning Text 29 7" xfId="21463" xr:uid="{45285FED-8E10-4B1F-9CE1-AF706707BA50}"/>
    <cellStyle name="Warning Text 29 7 2" xfId="21464" xr:uid="{4DE2DE4E-8BA8-43E7-96D4-A86C4745BB41}"/>
    <cellStyle name="Warning Text 29 8" xfId="21465" xr:uid="{E1638C18-B2CB-4B05-9C86-1C10815BB73A}"/>
    <cellStyle name="Warning Text 29 8 2" xfId="21466" xr:uid="{790F3D26-E603-46CF-AA89-26E73390A800}"/>
    <cellStyle name="Warning Text 29 9" xfId="21467" xr:uid="{E2B740EA-9D59-4376-B0D3-990CDE5DE32B}"/>
    <cellStyle name="Warning Text 29 9 2" xfId="21468" xr:uid="{DFADC681-A1F7-474C-90B7-E2ADF1698802}"/>
    <cellStyle name="Warning Text 3" xfId="321" xr:uid="{3A6CC49C-324E-4F72-8032-ADD88CCF4A77}"/>
    <cellStyle name="Warning Text 3 10" xfId="21470" xr:uid="{623E48D3-6FB5-4503-93A3-E7CC7853D74B}"/>
    <cellStyle name="Warning Text 3 11" xfId="21471" xr:uid="{526F5584-8426-42F6-BDCC-F3BBF3DBF833}"/>
    <cellStyle name="Warning Text 3 12" xfId="21469" xr:uid="{6FE9395F-9105-47E1-99A2-0FE0BDC16D08}"/>
    <cellStyle name="Warning Text 3 2" xfId="3374" xr:uid="{6A7933A7-9B9D-49F6-A261-22B71520C084}"/>
    <cellStyle name="Warning Text 3 2 2" xfId="21473" xr:uid="{84F7D574-7B0C-4519-BD96-B2792839D249}"/>
    <cellStyle name="Warning Text 3 2 2 2" xfId="21474" xr:uid="{12DA411A-D6FE-4809-BC2C-32BF5E42562F}"/>
    <cellStyle name="Warning Text 3 2 3" xfId="21475" xr:uid="{FA88B422-9821-4AF6-9737-A636C8A8DE42}"/>
    <cellStyle name="Warning Text 3 2 3 2" xfId="21476" xr:uid="{3D35E1DC-B479-443F-A4D3-432DAE78C4E2}"/>
    <cellStyle name="Warning Text 3 2 4" xfId="21477" xr:uid="{9C1CE751-23F6-4F5C-AF8B-FA4F53527B42}"/>
    <cellStyle name="Warning Text 3 2 5" xfId="21478" xr:uid="{4031F0A6-A9F7-4546-B45E-DDD66942944E}"/>
    <cellStyle name="Warning Text 3 2 6" xfId="21472" xr:uid="{F452A351-C209-461B-95B4-0A71588A8D2D}"/>
    <cellStyle name="Warning Text 3 3" xfId="21479" xr:uid="{7AAF8C05-623C-478C-9D2C-1B4E7039642C}"/>
    <cellStyle name="Warning Text 3 3 2" xfId="21480" xr:uid="{FD421745-F922-4E7B-A5C5-D9CE21924CD8}"/>
    <cellStyle name="Warning Text 3 3 2 2" xfId="21481" xr:uid="{8B017961-8CDA-4B54-BC74-0A34501C1438}"/>
    <cellStyle name="Warning Text 3 3 3" xfId="21482" xr:uid="{A9F5E9EC-1897-4823-8207-6B3363FF6EC6}"/>
    <cellStyle name="Warning Text 3 3 3 2" xfId="21483" xr:uid="{FBFDDD73-DE65-4E5B-A69C-EED76A0271F5}"/>
    <cellStyle name="Warning Text 3 3 4" xfId="21484" xr:uid="{BD047B81-E7F9-4C97-82ED-A3F9C0829A30}"/>
    <cellStyle name="Warning Text 3 4" xfId="21485" xr:uid="{9CC264A8-E452-47B3-996E-937F0EAAF22A}"/>
    <cellStyle name="Warning Text 3 4 2" xfId="21486" xr:uid="{F8A3BF30-EDFC-4F06-B2FB-ABDB5BD5049D}"/>
    <cellStyle name="Warning Text 3 4 2 2" xfId="21487" xr:uid="{3C002F70-4760-464E-AA83-9818343B9CA8}"/>
    <cellStyle name="Warning Text 3 4 3" xfId="21488" xr:uid="{4644C3B7-5959-4A48-A0C9-7EFBA9E9F679}"/>
    <cellStyle name="Warning Text 3 4 3 2" xfId="21489" xr:uid="{76A3D1CC-986D-4ECC-A05E-EC44071BBC43}"/>
    <cellStyle name="Warning Text 3 4 4" xfId="21490" xr:uid="{9DB7DF89-4443-4867-A8F7-600B3F2F274D}"/>
    <cellStyle name="Warning Text 3 5" xfId="21491" xr:uid="{E1E741CB-2644-4AF9-A51B-CD59F1693970}"/>
    <cellStyle name="Warning Text 3 5 2" xfId="21492" xr:uid="{079C8919-9FDC-4680-ADDF-E31BEF1F039D}"/>
    <cellStyle name="Warning Text 3 5 2 2" xfId="21493" xr:uid="{1D266AFF-BC9F-48AB-BF12-D0F4C7FD7FAD}"/>
    <cellStyle name="Warning Text 3 5 3" xfId="21494" xr:uid="{2D6EBBEB-5E2C-493E-B6BA-BA51FC1039B0}"/>
    <cellStyle name="Warning Text 3 5 3 2" xfId="21495" xr:uid="{FA9A443B-8082-48A1-B349-3F7126AB3360}"/>
    <cellStyle name="Warning Text 3 5 4" xfId="21496" xr:uid="{E8574CE7-09CB-4764-9C26-96BCD260F540}"/>
    <cellStyle name="Warning Text 3 5 4 2" xfId="21497" xr:uid="{F03EC116-67C7-430F-8393-07DB28A5394C}"/>
    <cellStyle name="Warning Text 3 5 5" xfId="21498" xr:uid="{41BAD4B5-9E04-4ED5-99CD-040F2A582C64}"/>
    <cellStyle name="Warning Text 3 6" xfId="21499" xr:uid="{3A913122-B397-4C6A-8809-22BB4DCCFB82}"/>
    <cellStyle name="Warning Text 3 6 2" xfId="21500" xr:uid="{B4B43DE4-84D6-4B8C-A3D1-E5000538BB25}"/>
    <cellStyle name="Warning Text 3 6 2 2" xfId="21501" xr:uid="{01AA1DED-BBA3-47FF-A31A-9A4213F3AEFC}"/>
    <cellStyle name="Warning Text 3 6 3" xfId="21502" xr:uid="{6D811B1C-5879-4D81-B62B-C9C28D07AB56}"/>
    <cellStyle name="Warning Text 3 6 3 2" xfId="21503" xr:uid="{AD03E0B4-058B-4B6E-B294-8CEF6CA61012}"/>
    <cellStyle name="Warning Text 3 6 4" xfId="21504" xr:uid="{BEE2FDCC-E603-497F-8898-3353B8983BFE}"/>
    <cellStyle name="Warning Text 3 7" xfId="21505" xr:uid="{1E259633-9BC2-4E5C-B1B3-95BB275DCD8C}"/>
    <cellStyle name="Warning Text 3 7 2" xfId="21506" xr:uid="{BD60D6FD-2C62-4BCC-8C4D-058A7C522531}"/>
    <cellStyle name="Warning Text 3 8" xfId="21507" xr:uid="{F675CD85-5180-4417-AA98-0A73A731BC3C}"/>
    <cellStyle name="Warning Text 3 8 2" xfId="21508" xr:uid="{752205FB-A498-4CF2-B7EE-2E810F79F7E2}"/>
    <cellStyle name="Warning Text 3 9" xfId="21509" xr:uid="{1CE38CA1-5843-42B5-909B-36172200C9A6}"/>
    <cellStyle name="Warning Text 3 9 2" xfId="21510" xr:uid="{85AEBAD5-3B1E-4F33-8DDD-F41EF6849C6B}"/>
    <cellStyle name="Warning Text 30" xfId="3375" xr:uid="{C66D64ED-AA74-4265-B9CB-16DCAEF53FE9}"/>
    <cellStyle name="Warning Text 30 10" xfId="21512" xr:uid="{557FBE65-DF89-42B3-A878-D822FA731549}"/>
    <cellStyle name="Warning Text 30 11" xfId="21513" xr:uid="{1D35783A-A6E9-48C6-9818-C0741442AF25}"/>
    <cellStyle name="Warning Text 30 12" xfId="21511" xr:uid="{9DA433B7-918A-40C5-B8D8-554645CF5BEB}"/>
    <cellStyle name="Warning Text 30 2" xfId="21514" xr:uid="{EC200EAF-E9BA-4058-9A6A-29112B36D0E9}"/>
    <cellStyle name="Warning Text 30 2 2" xfId="21515" xr:uid="{34613797-A973-4CAC-803A-6E644A9B5CF2}"/>
    <cellStyle name="Warning Text 30 2 2 2" xfId="21516" xr:uid="{357D3D13-4C93-4E60-BCA2-DBA6DA6F1891}"/>
    <cellStyle name="Warning Text 30 2 3" xfId="21517" xr:uid="{8ACF575A-B4FE-46EB-BC04-B189738B5C37}"/>
    <cellStyle name="Warning Text 30 2 3 2" xfId="21518" xr:uid="{44809B2B-F3AE-43F6-81E5-C63938ED358E}"/>
    <cellStyle name="Warning Text 30 2 4" xfId="21519" xr:uid="{53D963E0-60AD-4E46-A8FF-A1B591ACB310}"/>
    <cellStyle name="Warning Text 30 2 5" xfId="21520" xr:uid="{EC47786B-8E4B-4688-B01B-AAB1628FF4C3}"/>
    <cellStyle name="Warning Text 30 3" xfId="21521" xr:uid="{6B5E7C54-1BAE-48C2-B716-8C001332ABEF}"/>
    <cellStyle name="Warning Text 30 3 2" xfId="21522" xr:uid="{33A040FF-D16F-47D6-812B-6A252F086807}"/>
    <cellStyle name="Warning Text 30 3 2 2" xfId="21523" xr:uid="{883E7C47-5B0C-4800-BD96-84087EFD985C}"/>
    <cellStyle name="Warning Text 30 3 3" xfId="21524" xr:uid="{CB90CAAE-F50D-451A-BF5E-CFB374A261C0}"/>
    <cellStyle name="Warning Text 30 3 3 2" xfId="21525" xr:uid="{F3AA1B09-5C41-4F27-9957-29E8DADB5F40}"/>
    <cellStyle name="Warning Text 30 3 4" xfId="21526" xr:uid="{99BA8B64-147E-48EA-999D-F2DBC85838B5}"/>
    <cellStyle name="Warning Text 30 4" xfId="21527" xr:uid="{FFD183F8-C063-4AD2-8DF6-CDBFDB20188B}"/>
    <cellStyle name="Warning Text 30 4 2" xfId="21528" xr:uid="{A88A1D24-F4F2-4526-8363-CA8CB1296711}"/>
    <cellStyle name="Warning Text 30 4 2 2" xfId="21529" xr:uid="{1C2CEF8B-5840-408D-867C-4DB61BA94C33}"/>
    <cellStyle name="Warning Text 30 4 3" xfId="21530" xr:uid="{78E8DBFD-C0DC-4E7A-9F01-EE881B519622}"/>
    <cellStyle name="Warning Text 30 4 3 2" xfId="21531" xr:uid="{88BF7928-45DD-4401-B04C-521F8782228F}"/>
    <cellStyle name="Warning Text 30 4 4" xfId="21532" xr:uid="{E72EF783-E80D-4528-905B-3FE0EAB61A29}"/>
    <cellStyle name="Warning Text 30 5" xfId="21533" xr:uid="{E5146A0E-2D78-4DCB-91B8-8D4AC3E7CC93}"/>
    <cellStyle name="Warning Text 30 5 2" xfId="21534" xr:uid="{F022260E-75B4-4975-84CF-84F7F0A830F0}"/>
    <cellStyle name="Warning Text 30 5 2 2" xfId="21535" xr:uid="{372E3003-EAE3-4BE5-810C-D96C2803B16B}"/>
    <cellStyle name="Warning Text 30 5 3" xfId="21536" xr:uid="{365A36CE-F849-476D-87EA-4863FAC180A4}"/>
    <cellStyle name="Warning Text 30 5 3 2" xfId="21537" xr:uid="{A006733F-8B14-48A6-B556-42C8F8E3A865}"/>
    <cellStyle name="Warning Text 30 5 4" xfId="21538" xr:uid="{C0C7ABD7-6621-45C5-8C21-F4F06699561F}"/>
    <cellStyle name="Warning Text 30 5 4 2" xfId="21539" xr:uid="{3B751C20-B2B2-4873-B30E-6E041CDE8EA1}"/>
    <cellStyle name="Warning Text 30 5 5" xfId="21540" xr:uid="{BFA5DB6D-3F1F-4760-99FA-685C07D20C23}"/>
    <cellStyle name="Warning Text 30 6" xfId="21541" xr:uid="{B4F776E5-BEF0-428A-B58F-665384E052FB}"/>
    <cellStyle name="Warning Text 30 6 2" xfId="21542" xr:uid="{ACB48697-013C-4A57-B1FE-2C84637AA8AD}"/>
    <cellStyle name="Warning Text 30 6 2 2" xfId="21543" xr:uid="{3835F2DE-487B-4922-84F3-6696DCB7FBF1}"/>
    <cellStyle name="Warning Text 30 6 3" xfId="21544" xr:uid="{354F7406-5847-4350-970F-3648335131FE}"/>
    <cellStyle name="Warning Text 30 6 3 2" xfId="21545" xr:uid="{6FD4B965-BACE-4D0F-83F0-7B27A904270B}"/>
    <cellStyle name="Warning Text 30 6 4" xfId="21546" xr:uid="{0FBF287C-43B8-4E58-8FAB-5D01D2E58D25}"/>
    <cellStyle name="Warning Text 30 7" xfId="21547" xr:uid="{9BF47BBA-B976-478D-BD9A-4CE5B81FB2F8}"/>
    <cellStyle name="Warning Text 30 7 2" xfId="21548" xr:uid="{6B9B8E91-5FCE-4F0F-808C-0D1503ABA797}"/>
    <cellStyle name="Warning Text 30 8" xfId="21549" xr:uid="{0996D465-16D8-498A-9269-0C8DAFAE051E}"/>
    <cellStyle name="Warning Text 30 8 2" xfId="21550" xr:uid="{6A3966F1-1670-4234-A651-CF26B66F94EB}"/>
    <cellStyle name="Warning Text 30 9" xfId="21551" xr:uid="{E289E88D-267B-4F0D-9144-6AAF39F975BB}"/>
    <cellStyle name="Warning Text 30 9 2" xfId="21552" xr:uid="{29207F7E-9690-4D8E-9F50-B4550F39BC88}"/>
    <cellStyle name="Warning Text 31" xfId="3376" xr:uid="{376161B1-E131-4D82-99B2-DD7C2D552B26}"/>
    <cellStyle name="Warning Text 31 10" xfId="21554" xr:uid="{20C388DF-EB56-43E9-BB71-89E262BA591F}"/>
    <cellStyle name="Warning Text 31 11" xfId="21555" xr:uid="{2DF3B844-7FCF-481A-8D18-86EE3734A2F7}"/>
    <cellStyle name="Warning Text 31 12" xfId="21553" xr:uid="{BF898BF3-A1AC-49E6-B352-878682F09C0D}"/>
    <cellStyle name="Warning Text 31 2" xfId="21556" xr:uid="{DEFF87AB-F2B5-4852-8A4D-517A12AAFA8D}"/>
    <cellStyle name="Warning Text 31 2 2" xfId="21557" xr:uid="{C907686A-77B3-446A-95EF-FD1CBEA395BF}"/>
    <cellStyle name="Warning Text 31 2 2 2" xfId="21558" xr:uid="{A0C624EF-1D40-4763-9140-B18D30A7B15B}"/>
    <cellStyle name="Warning Text 31 2 3" xfId="21559" xr:uid="{89D4CE9D-C7C6-4845-B7FD-E56AF5127F05}"/>
    <cellStyle name="Warning Text 31 2 3 2" xfId="21560" xr:uid="{BB2CB096-6CA3-4B79-B593-E2A2FC3DC913}"/>
    <cellStyle name="Warning Text 31 2 4" xfId="21561" xr:uid="{37A021AD-1CE0-4694-8B86-7182F06F09FF}"/>
    <cellStyle name="Warning Text 31 2 5" xfId="21562" xr:uid="{5DF4D349-914A-43CA-BA4A-6BEEEE2E5B80}"/>
    <cellStyle name="Warning Text 31 3" xfId="21563" xr:uid="{D107C876-D1B8-490C-8F2E-614BFB0FC56D}"/>
    <cellStyle name="Warning Text 31 3 2" xfId="21564" xr:uid="{A7B9C97F-4955-4190-A534-EB2D2C9118E5}"/>
    <cellStyle name="Warning Text 31 3 2 2" xfId="21565" xr:uid="{B2243966-74F0-4088-86B8-E2C966FE8FF7}"/>
    <cellStyle name="Warning Text 31 3 3" xfId="21566" xr:uid="{235A6230-0C21-4B1A-B63D-4D7C44231226}"/>
    <cellStyle name="Warning Text 31 3 3 2" xfId="21567" xr:uid="{234E6E3F-4050-457C-A1CA-158BBCCD455B}"/>
    <cellStyle name="Warning Text 31 3 4" xfId="21568" xr:uid="{F77B3181-58BA-4A43-A6CC-3998F3E27B19}"/>
    <cellStyle name="Warning Text 31 4" xfId="21569" xr:uid="{049F26BC-1980-4653-A214-FC87AA908266}"/>
    <cellStyle name="Warning Text 31 4 2" xfId="21570" xr:uid="{E2C6D236-C8D5-4139-B6FE-9BA971CE5028}"/>
    <cellStyle name="Warning Text 31 4 2 2" xfId="21571" xr:uid="{F9BD1E01-7CB3-471D-BF10-0C4188932EB1}"/>
    <cellStyle name="Warning Text 31 4 3" xfId="21572" xr:uid="{9D891440-4A86-42D1-9367-ABADF13F41DA}"/>
    <cellStyle name="Warning Text 31 4 3 2" xfId="21573" xr:uid="{F70B2D09-8B85-45E4-B081-B67A51895114}"/>
    <cellStyle name="Warning Text 31 4 4" xfId="21574" xr:uid="{54493627-A9E5-4111-A309-4FECAC51F78A}"/>
    <cellStyle name="Warning Text 31 5" xfId="21575" xr:uid="{53EFA064-5F28-43B9-800D-56E0692FD914}"/>
    <cellStyle name="Warning Text 31 5 2" xfId="21576" xr:uid="{55C005CD-DAC1-45DC-91B7-4C11C597BE4A}"/>
    <cellStyle name="Warning Text 31 5 2 2" xfId="21577" xr:uid="{332F95AB-19C2-4B95-AA87-9C31A76626B0}"/>
    <cellStyle name="Warning Text 31 5 3" xfId="21578" xr:uid="{CE6C10B3-C6F5-4036-AAA8-05CB91B94B9C}"/>
    <cellStyle name="Warning Text 31 5 3 2" xfId="21579" xr:uid="{22A9FA00-ADA3-4773-8259-F92F733AE461}"/>
    <cellStyle name="Warning Text 31 5 4" xfId="21580" xr:uid="{BAD9E3D3-E1FD-4743-974E-0289D055C7B7}"/>
    <cellStyle name="Warning Text 31 5 4 2" xfId="21581" xr:uid="{17401754-6598-4113-A8ED-CD75A93BA2D7}"/>
    <cellStyle name="Warning Text 31 5 5" xfId="21582" xr:uid="{0AE18DF5-D96B-4677-83CF-89AE100449B4}"/>
    <cellStyle name="Warning Text 31 6" xfId="21583" xr:uid="{D8952D44-98CC-4417-8B2D-2C0A55D82FBE}"/>
    <cellStyle name="Warning Text 31 6 2" xfId="21584" xr:uid="{161D5A36-5F84-4254-A3CF-50835A8756FE}"/>
    <cellStyle name="Warning Text 31 6 2 2" xfId="21585" xr:uid="{DC65AB13-54AE-4248-ADB4-F001E8B222E1}"/>
    <cellStyle name="Warning Text 31 6 3" xfId="21586" xr:uid="{CD518B26-C40B-43AD-B1A9-A06D4DDEF6E4}"/>
    <cellStyle name="Warning Text 31 6 3 2" xfId="21587" xr:uid="{11435D9B-C0A7-4324-A347-1113880BE0B3}"/>
    <cellStyle name="Warning Text 31 6 4" xfId="21588" xr:uid="{58513343-254E-4683-A7F2-BA02EA502B8E}"/>
    <cellStyle name="Warning Text 31 7" xfId="21589" xr:uid="{3CE57051-65EF-4E8D-9AD2-E5B966752EBC}"/>
    <cellStyle name="Warning Text 31 7 2" xfId="21590" xr:uid="{7058F42E-80DD-46C0-8F89-A325C2D39C54}"/>
    <cellStyle name="Warning Text 31 8" xfId="21591" xr:uid="{EF305877-C39F-4ED7-911A-D5896D446D58}"/>
    <cellStyle name="Warning Text 31 8 2" xfId="21592" xr:uid="{03AA775F-5977-465E-964F-EA547A144B30}"/>
    <cellStyle name="Warning Text 31 9" xfId="21593" xr:uid="{90865DC7-43E8-4CA8-BADF-FB828F34D693}"/>
    <cellStyle name="Warning Text 31 9 2" xfId="21594" xr:uid="{C3EAF730-FF53-43A2-B927-679FB463B57E}"/>
    <cellStyle name="Warning Text 32" xfId="3377" xr:uid="{3506A498-6C0A-46E3-96EB-1CB1725D4AE8}"/>
    <cellStyle name="Warning Text 32 10" xfId="21596" xr:uid="{8AC38472-2114-4983-BF13-FF0F0F6C4037}"/>
    <cellStyle name="Warning Text 32 11" xfId="21597" xr:uid="{9BE3B967-E433-45C7-BDEE-AC01CECAF12B}"/>
    <cellStyle name="Warning Text 32 12" xfId="21595" xr:uid="{51D8FE5B-5487-44DB-B372-45505B9A8084}"/>
    <cellStyle name="Warning Text 32 2" xfId="21598" xr:uid="{D1D498A1-2C49-47EC-893D-0FF1AFF17318}"/>
    <cellStyle name="Warning Text 32 2 2" xfId="21599" xr:uid="{0A475094-4984-4F69-A065-D8DC41063622}"/>
    <cellStyle name="Warning Text 32 2 2 2" xfId="21600" xr:uid="{1DDAA0E3-137B-414B-BE4A-D404E1AAFEB2}"/>
    <cellStyle name="Warning Text 32 2 3" xfId="21601" xr:uid="{CBC93556-6542-4727-8252-622C076855D2}"/>
    <cellStyle name="Warning Text 32 2 3 2" xfId="21602" xr:uid="{0ECC106A-DD75-40CE-A8C3-6B7569D0AF9B}"/>
    <cellStyle name="Warning Text 32 2 4" xfId="21603" xr:uid="{E9898640-4C74-4934-BD09-96236DFA5C9F}"/>
    <cellStyle name="Warning Text 32 2 5" xfId="21604" xr:uid="{FDE13B60-656C-4E4B-9725-F2BE122661DC}"/>
    <cellStyle name="Warning Text 32 3" xfId="21605" xr:uid="{5A645A6E-D4F6-45CB-B477-9B609F27CB4D}"/>
    <cellStyle name="Warning Text 32 3 2" xfId="21606" xr:uid="{4C128742-4C05-4BAC-97C8-8281AE0E7FCF}"/>
    <cellStyle name="Warning Text 32 3 2 2" xfId="21607" xr:uid="{9B912B4D-D724-4B67-9F2E-E14595919F4A}"/>
    <cellStyle name="Warning Text 32 3 3" xfId="21608" xr:uid="{6D7ECAAE-7401-4DAB-A7BB-9FCED4C7A329}"/>
    <cellStyle name="Warning Text 32 3 3 2" xfId="21609" xr:uid="{44DE598E-A0BC-4D14-B1C2-B8C7995032FD}"/>
    <cellStyle name="Warning Text 32 3 4" xfId="21610" xr:uid="{85107C08-381A-4CBA-8936-840510E4B503}"/>
    <cellStyle name="Warning Text 32 4" xfId="21611" xr:uid="{F5C3976F-481D-42BD-9F6C-4EE1CE3271F1}"/>
    <cellStyle name="Warning Text 32 4 2" xfId="21612" xr:uid="{49C2864B-C84F-4B51-88B0-D1ADBB1CCFB6}"/>
    <cellStyle name="Warning Text 32 4 2 2" xfId="21613" xr:uid="{3FE8F5A5-4B2A-4014-9CD4-F0CEAC8B9244}"/>
    <cellStyle name="Warning Text 32 4 3" xfId="21614" xr:uid="{D5035867-3F56-43E1-8A78-02A94E3DA60E}"/>
    <cellStyle name="Warning Text 32 4 3 2" xfId="21615" xr:uid="{9AA5C5C3-74E3-4071-B683-5E806D1F9979}"/>
    <cellStyle name="Warning Text 32 4 4" xfId="21616" xr:uid="{16A52E94-5CB7-4CD3-94E1-5EF2F9FDD1C6}"/>
    <cellStyle name="Warning Text 32 5" xfId="21617" xr:uid="{08E6ABCF-3E3C-440A-A211-C8FC21B37D22}"/>
    <cellStyle name="Warning Text 32 5 2" xfId="21618" xr:uid="{629F0C24-2F72-4EC0-9185-D77D98E3E479}"/>
    <cellStyle name="Warning Text 32 5 2 2" xfId="21619" xr:uid="{773F93E4-3A79-49FE-83DB-E48CB44725E0}"/>
    <cellStyle name="Warning Text 32 5 3" xfId="21620" xr:uid="{82F47C1D-B356-4405-836D-98FD0C306702}"/>
    <cellStyle name="Warning Text 32 5 3 2" xfId="21621" xr:uid="{E77150B8-38AC-4A98-9BC7-DB19BBE20E44}"/>
    <cellStyle name="Warning Text 32 5 4" xfId="21622" xr:uid="{7D729336-4217-4E43-8AAC-D2916C7B0F7D}"/>
    <cellStyle name="Warning Text 32 5 4 2" xfId="21623" xr:uid="{15DF9206-99D8-480A-A96B-BA5F6623B57F}"/>
    <cellStyle name="Warning Text 32 5 5" xfId="21624" xr:uid="{AF3FCD66-1F01-48E3-AF6B-B4D93046724D}"/>
    <cellStyle name="Warning Text 32 6" xfId="21625" xr:uid="{ABC5969D-83A3-46BC-8C7B-6803F86E3DA6}"/>
    <cellStyle name="Warning Text 32 6 2" xfId="21626" xr:uid="{4D844AED-C797-46E0-8E97-2F4BEB34D521}"/>
    <cellStyle name="Warning Text 32 6 2 2" xfId="21627" xr:uid="{06B8044D-AF46-4BF0-828D-D65F8C0198B3}"/>
    <cellStyle name="Warning Text 32 6 3" xfId="21628" xr:uid="{39BE5B91-8512-4E4A-833A-A212A3E167A9}"/>
    <cellStyle name="Warning Text 32 6 3 2" xfId="21629" xr:uid="{AEBA23DD-2590-463D-9666-6F1093021BEE}"/>
    <cellStyle name="Warning Text 32 6 4" xfId="21630" xr:uid="{E3AD324F-6781-4F49-AA89-E9F27040D096}"/>
    <cellStyle name="Warning Text 32 7" xfId="21631" xr:uid="{052A8A79-0DAB-4FEE-BB64-5ACCE9A69CD3}"/>
    <cellStyle name="Warning Text 32 7 2" xfId="21632" xr:uid="{2D3D9884-CCE9-4FDA-9398-34B7E4929827}"/>
    <cellStyle name="Warning Text 32 8" xfId="21633" xr:uid="{BF72D7B6-84E3-41BC-BA48-D145F6D08AB0}"/>
    <cellStyle name="Warning Text 32 8 2" xfId="21634" xr:uid="{82F67B9F-D731-4615-86ED-328BA0ADAD6B}"/>
    <cellStyle name="Warning Text 32 9" xfId="21635" xr:uid="{F7635F53-B444-44D1-920A-CA8D37021946}"/>
    <cellStyle name="Warning Text 32 9 2" xfId="21636" xr:uid="{322CDE2F-B760-4025-BD29-A8218E987F3B}"/>
    <cellStyle name="Warning Text 33" xfId="3378" xr:uid="{BEB5A306-710D-4B70-8B9E-96B82D6804EF}"/>
    <cellStyle name="Warning Text 33 10" xfId="21638" xr:uid="{F5BE8905-1A43-42FB-A759-18B1532AE728}"/>
    <cellStyle name="Warning Text 33 11" xfId="21639" xr:uid="{16511818-2ED8-43CC-9898-E78CBFF5C403}"/>
    <cellStyle name="Warning Text 33 12" xfId="21637" xr:uid="{D2E5B611-19D4-4DD8-A2D8-C944D13E4E1A}"/>
    <cellStyle name="Warning Text 33 2" xfId="21640" xr:uid="{CF73C1FD-D71F-4840-AB3E-06373AE49133}"/>
    <cellStyle name="Warning Text 33 2 2" xfId="21641" xr:uid="{77A1F14D-AA84-4B30-924A-B9AD636A94C5}"/>
    <cellStyle name="Warning Text 33 2 2 2" xfId="21642" xr:uid="{63AB373C-A9C6-4B9D-950A-3CFA4D16C20B}"/>
    <cellStyle name="Warning Text 33 2 3" xfId="21643" xr:uid="{CB17FB8D-5BDA-4CDE-89B2-58249E9FB52F}"/>
    <cellStyle name="Warning Text 33 2 3 2" xfId="21644" xr:uid="{A32EE9E7-9A96-4D74-BCD5-3C79BD28A400}"/>
    <cellStyle name="Warning Text 33 2 4" xfId="21645" xr:uid="{F7EF1655-622A-40E6-8925-1D8B14283F97}"/>
    <cellStyle name="Warning Text 33 2 5" xfId="21646" xr:uid="{FA62AAA7-87FF-4A6D-BE3C-CA8C1DC38AD3}"/>
    <cellStyle name="Warning Text 33 3" xfId="21647" xr:uid="{FFE4456E-2E0D-48A3-9A11-30F01FECFFAD}"/>
    <cellStyle name="Warning Text 33 3 2" xfId="21648" xr:uid="{61F2F047-47CF-40EF-A9FA-95E7ED461E8F}"/>
    <cellStyle name="Warning Text 33 3 2 2" xfId="21649" xr:uid="{5407C32D-781D-46F7-8112-CB0A96B50425}"/>
    <cellStyle name="Warning Text 33 3 3" xfId="21650" xr:uid="{87155DE2-4DC2-4209-A6B2-50E72105FC08}"/>
    <cellStyle name="Warning Text 33 3 3 2" xfId="21651" xr:uid="{F50FAFB0-EECC-496D-9B3D-6B0115B7B996}"/>
    <cellStyle name="Warning Text 33 3 4" xfId="21652" xr:uid="{72F18C3E-4630-4672-A28D-AC12B47504AD}"/>
    <cellStyle name="Warning Text 33 4" xfId="21653" xr:uid="{1685AAAC-E2CF-4241-AFCC-4428329C3954}"/>
    <cellStyle name="Warning Text 33 4 2" xfId="21654" xr:uid="{8C5BD25A-CEAA-4F38-BA79-D367A2CB1D5C}"/>
    <cellStyle name="Warning Text 33 4 2 2" xfId="21655" xr:uid="{45C380D6-F648-4351-BEBE-A6209A700435}"/>
    <cellStyle name="Warning Text 33 4 3" xfId="21656" xr:uid="{10C3A138-17B2-4209-A3F5-0783D3FD1D5A}"/>
    <cellStyle name="Warning Text 33 4 3 2" xfId="21657" xr:uid="{3FFAE6FC-D20D-4CBB-8678-FC987578144F}"/>
    <cellStyle name="Warning Text 33 4 4" xfId="21658" xr:uid="{61163104-06BF-4F29-8396-1E3BCAEB62EF}"/>
    <cellStyle name="Warning Text 33 5" xfId="21659" xr:uid="{0D87BDFB-0D4D-4C41-9655-42149297D28A}"/>
    <cellStyle name="Warning Text 33 5 2" xfId="21660" xr:uid="{0F3A53B3-1F0C-422D-9546-0ED00F12BAD6}"/>
    <cellStyle name="Warning Text 33 5 2 2" xfId="21661" xr:uid="{36E87BEA-4AD1-478A-95A7-5EB80F5E15D2}"/>
    <cellStyle name="Warning Text 33 5 3" xfId="21662" xr:uid="{6A773E21-7AEA-4345-99E1-C6DFE0E2B687}"/>
    <cellStyle name="Warning Text 33 5 3 2" xfId="21663" xr:uid="{0926ECC1-E307-49A2-B0B3-4108CEF655E5}"/>
    <cellStyle name="Warning Text 33 5 4" xfId="21664" xr:uid="{98CED4BE-75A6-4F7C-9269-71E4BCBD6FAF}"/>
    <cellStyle name="Warning Text 33 5 4 2" xfId="21665" xr:uid="{E9439EFE-40D7-4C3C-AD95-38E05C6E7DBD}"/>
    <cellStyle name="Warning Text 33 5 5" xfId="21666" xr:uid="{01A69B22-41C8-4A07-BA96-0C2AEFF445E4}"/>
    <cellStyle name="Warning Text 33 6" xfId="21667" xr:uid="{7E3B32F7-C0F1-4710-9DC1-B36C77FE86EE}"/>
    <cellStyle name="Warning Text 33 6 2" xfId="21668" xr:uid="{C62F22AD-C7FD-490D-B025-CFFAFF1BAF84}"/>
    <cellStyle name="Warning Text 33 6 2 2" xfId="21669" xr:uid="{2DE4F114-597C-4B25-8A13-45743A760AC7}"/>
    <cellStyle name="Warning Text 33 6 3" xfId="21670" xr:uid="{AEA9225D-A57E-4B97-9DE3-CC5216ABEBFE}"/>
    <cellStyle name="Warning Text 33 6 3 2" xfId="21671" xr:uid="{6CB7395B-5956-4696-8159-F23238B6A01E}"/>
    <cellStyle name="Warning Text 33 6 4" xfId="21672" xr:uid="{D24D8E4A-0815-43A8-B161-1286F50AF1C6}"/>
    <cellStyle name="Warning Text 33 7" xfId="21673" xr:uid="{7F521DC6-F521-4C8E-B537-96288B3BD5BD}"/>
    <cellStyle name="Warning Text 33 7 2" xfId="21674" xr:uid="{055882EA-62E4-4777-8428-8149886BF1C7}"/>
    <cellStyle name="Warning Text 33 8" xfId="21675" xr:uid="{66FB6DD1-9DEA-4205-89FB-0F774DD74D8E}"/>
    <cellStyle name="Warning Text 33 8 2" xfId="21676" xr:uid="{20999D74-4BDD-46E8-A714-F78B69D43E84}"/>
    <cellStyle name="Warning Text 33 9" xfId="21677" xr:uid="{7CF14492-50C9-4D50-8895-CDF65514269F}"/>
    <cellStyle name="Warning Text 33 9 2" xfId="21678" xr:uid="{60CF9D50-B1FD-4CD1-ABAA-4F1A18089C88}"/>
    <cellStyle name="Warning Text 34" xfId="3379" xr:uid="{7AB6C0C9-8052-43EA-B259-B982D4ED6F3C}"/>
    <cellStyle name="Warning Text 34 10" xfId="21680" xr:uid="{986EA579-A4F0-4773-991B-1B687E876791}"/>
    <cellStyle name="Warning Text 34 11" xfId="21681" xr:uid="{8B71D800-5290-432D-BE22-FB740BB7C7E7}"/>
    <cellStyle name="Warning Text 34 12" xfId="21679" xr:uid="{E743125F-534E-4924-B20C-230C6AAEC25E}"/>
    <cellStyle name="Warning Text 34 2" xfId="21682" xr:uid="{41276619-34CB-483F-B54E-A8E6D6730018}"/>
    <cellStyle name="Warning Text 34 2 2" xfId="21683" xr:uid="{38997F11-13CC-4D07-8FBF-58BC098BDC99}"/>
    <cellStyle name="Warning Text 34 2 2 2" xfId="21684" xr:uid="{82D0FEE5-862C-4C87-A7C4-7C75176F562F}"/>
    <cellStyle name="Warning Text 34 2 3" xfId="21685" xr:uid="{CC154471-D479-4C7E-8A24-4D1C31742ADA}"/>
    <cellStyle name="Warning Text 34 2 3 2" xfId="21686" xr:uid="{F69DE237-BD7F-49A6-AAB9-1D1F10ECA1F5}"/>
    <cellStyle name="Warning Text 34 2 4" xfId="21687" xr:uid="{B4AB22E4-D729-4E3A-AAB0-7067B39A89C1}"/>
    <cellStyle name="Warning Text 34 2 5" xfId="21688" xr:uid="{571808B9-D4A8-4E8C-8B0F-596BB7029B45}"/>
    <cellStyle name="Warning Text 34 3" xfId="21689" xr:uid="{809B6D02-EA9A-425D-A4FF-AB746491DF8A}"/>
    <cellStyle name="Warning Text 34 3 2" xfId="21690" xr:uid="{7F961250-1C7E-43A4-849B-B12DB00EB554}"/>
    <cellStyle name="Warning Text 34 3 2 2" xfId="21691" xr:uid="{1BDA9BF7-9CC4-4D9D-B34A-5508543355E0}"/>
    <cellStyle name="Warning Text 34 3 3" xfId="21692" xr:uid="{7A174AAD-AA9C-493E-A7D2-B190322AC359}"/>
    <cellStyle name="Warning Text 34 3 3 2" xfId="21693" xr:uid="{C3B78836-38D5-40FB-8AF3-33DFAC829E78}"/>
    <cellStyle name="Warning Text 34 3 4" xfId="21694" xr:uid="{9D7C555E-B4CE-4BAC-90DD-51B2FCBFABA3}"/>
    <cellStyle name="Warning Text 34 4" xfId="21695" xr:uid="{D9BC7D77-ABC7-47C6-B8CF-F7D1821E7CDF}"/>
    <cellStyle name="Warning Text 34 4 2" xfId="21696" xr:uid="{9911235E-D22D-4697-B6C7-888BF2EAF51F}"/>
    <cellStyle name="Warning Text 34 4 2 2" xfId="21697" xr:uid="{81EE4F8B-56B5-4DEB-8E78-C0E56E366DE3}"/>
    <cellStyle name="Warning Text 34 4 3" xfId="21698" xr:uid="{259FC988-43DF-445E-BBE8-AF897286D8A2}"/>
    <cellStyle name="Warning Text 34 4 3 2" xfId="21699" xr:uid="{7A9EE53D-63F8-4AF6-AEA7-3B23BF8F5A44}"/>
    <cellStyle name="Warning Text 34 4 4" xfId="21700" xr:uid="{608B4F45-5A29-45E5-8B46-0605D2D0F455}"/>
    <cellStyle name="Warning Text 34 5" xfId="21701" xr:uid="{2A849460-E355-4BDC-8788-C965BECD568D}"/>
    <cellStyle name="Warning Text 34 5 2" xfId="21702" xr:uid="{BACEB718-48C2-4672-A201-E4B713C40E96}"/>
    <cellStyle name="Warning Text 34 5 2 2" xfId="21703" xr:uid="{41A8CFA4-0F2A-4758-9E04-306BD02F63A9}"/>
    <cellStyle name="Warning Text 34 5 3" xfId="21704" xr:uid="{53CFD7A8-C619-4474-BFA2-0F038874D7CB}"/>
    <cellStyle name="Warning Text 34 5 3 2" xfId="21705" xr:uid="{04A3986B-B110-4FF6-A2DF-328BE797E04A}"/>
    <cellStyle name="Warning Text 34 5 4" xfId="21706" xr:uid="{4A95A847-D802-44A1-94BC-7C7C0E1F5C14}"/>
    <cellStyle name="Warning Text 34 5 4 2" xfId="21707" xr:uid="{926D5EDE-0EE1-466C-9553-AD6E4068E20A}"/>
    <cellStyle name="Warning Text 34 5 5" xfId="21708" xr:uid="{17CDAD31-A118-4B7B-8922-B883200CC2CA}"/>
    <cellStyle name="Warning Text 34 6" xfId="21709" xr:uid="{968D8991-B3F7-476C-A167-B42AA91C3471}"/>
    <cellStyle name="Warning Text 34 6 2" xfId="21710" xr:uid="{894CC4B9-58A8-4D37-9E0C-A8799AED0E56}"/>
    <cellStyle name="Warning Text 34 6 2 2" xfId="21711" xr:uid="{B84D2567-286A-4933-A1C2-CDFB5F3669A5}"/>
    <cellStyle name="Warning Text 34 6 3" xfId="21712" xr:uid="{B8DC2481-E2B8-426F-AF85-CBD8E7C8397C}"/>
    <cellStyle name="Warning Text 34 6 3 2" xfId="21713" xr:uid="{A7EF4ACD-07B6-4B03-BBB7-124A16C682D5}"/>
    <cellStyle name="Warning Text 34 6 4" xfId="21714" xr:uid="{04DC95AE-D3B2-4AF7-9B35-43CC7102004F}"/>
    <cellStyle name="Warning Text 34 7" xfId="21715" xr:uid="{D33CA6A3-9565-4428-8070-5D101161D1CD}"/>
    <cellStyle name="Warning Text 34 7 2" xfId="21716" xr:uid="{75539D2F-0164-4943-B994-7D17942B2424}"/>
    <cellStyle name="Warning Text 34 8" xfId="21717" xr:uid="{62A222DF-C924-4137-8B38-0D2929DBBBF6}"/>
    <cellStyle name="Warning Text 34 8 2" xfId="21718" xr:uid="{9DF132E9-EA39-4894-9AB2-86EFDD485927}"/>
    <cellStyle name="Warning Text 34 9" xfId="21719" xr:uid="{D139DF48-3735-4C0C-A7C3-300DFD9D093A}"/>
    <cellStyle name="Warning Text 34 9 2" xfId="21720" xr:uid="{95FE5A9F-53FC-48BB-8343-33B90D0C3D1A}"/>
    <cellStyle name="Warning Text 35" xfId="3380" xr:uid="{B00DD8D7-E47C-448C-859C-31C522837DD9}"/>
    <cellStyle name="Warning Text 35 10" xfId="21722" xr:uid="{7BEB4C7C-BD48-45F1-83AE-A2EEE8D11FA8}"/>
    <cellStyle name="Warning Text 35 11" xfId="21723" xr:uid="{95EA916E-FCEF-4028-BC91-09B5F820170F}"/>
    <cellStyle name="Warning Text 35 12" xfId="21721" xr:uid="{868E5C04-F2F8-4116-B3EC-0D61294A5644}"/>
    <cellStyle name="Warning Text 35 2" xfId="21724" xr:uid="{167E511D-6713-41D5-945D-8AE0B3EED4F5}"/>
    <cellStyle name="Warning Text 35 2 2" xfId="21725" xr:uid="{0A9208D2-5D84-477D-A984-0AF48AF0EBA1}"/>
    <cellStyle name="Warning Text 35 2 2 2" xfId="21726" xr:uid="{7921B498-9616-4570-8998-FA09CA5C2759}"/>
    <cellStyle name="Warning Text 35 2 3" xfId="21727" xr:uid="{F9AEBACE-40DA-47D4-8EC7-6745A7DF2E62}"/>
    <cellStyle name="Warning Text 35 2 3 2" xfId="21728" xr:uid="{17C02F49-5199-4F4E-8F8A-BF4549F8BC4F}"/>
    <cellStyle name="Warning Text 35 2 4" xfId="21729" xr:uid="{02C46C9D-FEB0-4F15-AD59-2F15F5743A50}"/>
    <cellStyle name="Warning Text 35 2 5" xfId="21730" xr:uid="{A1525B95-7777-472D-B96E-8BA6A1F62A78}"/>
    <cellStyle name="Warning Text 35 3" xfId="21731" xr:uid="{8CA61FE0-3F26-4763-A47D-F8B168A7DDE7}"/>
    <cellStyle name="Warning Text 35 3 2" xfId="21732" xr:uid="{9CA64312-8A49-4090-A98D-DCEF8464C2FA}"/>
    <cellStyle name="Warning Text 35 3 2 2" xfId="21733" xr:uid="{2A836FB5-30CC-4430-A2AA-7E7FF1EF7F0C}"/>
    <cellStyle name="Warning Text 35 3 3" xfId="21734" xr:uid="{7F883AC7-32C9-40FF-840C-E08B8DE8F11E}"/>
    <cellStyle name="Warning Text 35 3 3 2" xfId="21735" xr:uid="{A0D73BD0-7382-419B-915F-0CE21EA50DE9}"/>
    <cellStyle name="Warning Text 35 3 4" xfId="21736" xr:uid="{3B8869C5-F667-4A25-91B5-647AF6D97EC2}"/>
    <cellStyle name="Warning Text 35 4" xfId="21737" xr:uid="{587A1CDC-5BA9-4B87-8FC8-D1F399D0AA79}"/>
    <cellStyle name="Warning Text 35 4 2" xfId="21738" xr:uid="{842B8655-ECB3-4E16-884D-C3671D0D2DF3}"/>
    <cellStyle name="Warning Text 35 4 2 2" xfId="21739" xr:uid="{F0A884FC-A68B-4811-A9CE-AFE88E6C95D9}"/>
    <cellStyle name="Warning Text 35 4 3" xfId="21740" xr:uid="{D6BD56B2-7A40-454F-9845-079AC05B3DBE}"/>
    <cellStyle name="Warning Text 35 4 3 2" xfId="21741" xr:uid="{8E4736FA-AC11-4F4E-80DD-07003E1E4065}"/>
    <cellStyle name="Warning Text 35 4 4" xfId="21742" xr:uid="{5E19BDD9-5D8E-4617-BC12-3B0A67420994}"/>
    <cellStyle name="Warning Text 35 5" xfId="21743" xr:uid="{608AACB7-24FB-46F2-94D0-3245748A83D9}"/>
    <cellStyle name="Warning Text 35 5 2" xfId="21744" xr:uid="{B646142D-6704-4BD3-AE0D-68B5292DD49F}"/>
    <cellStyle name="Warning Text 35 5 2 2" xfId="21745" xr:uid="{A0D3A45F-BAB8-47F7-A58A-891C0FF756D8}"/>
    <cellStyle name="Warning Text 35 5 3" xfId="21746" xr:uid="{39344C08-6F6B-46EC-93D8-63C50CA8701C}"/>
    <cellStyle name="Warning Text 35 5 3 2" xfId="21747" xr:uid="{510967A7-73A4-4A62-9DEC-76CC813BFB59}"/>
    <cellStyle name="Warning Text 35 5 4" xfId="21748" xr:uid="{DA6E0887-F7F3-408A-990C-85F5D75F7B77}"/>
    <cellStyle name="Warning Text 35 5 4 2" xfId="21749" xr:uid="{6BFAA1E7-9D09-40B6-B2D5-E91B0F5C412C}"/>
    <cellStyle name="Warning Text 35 5 5" xfId="21750" xr:uid="{232292DD-1DF3-4972-B4BA-14277708AFA3}"/>
    <cellStyle name="Warning Text 35 6" xfId="21751" xr:uid="{44B223E6-83F1-420F-8960-B80BE87CF4DA}"/>
    <cellStyle name="Warning Text 35 6 2" xfId="21752" xr:uid="{0D806FD0-E5B5-42C2-B06C-E65C10CEF7FB}"/>
    <cellStyle name="Warning Text 35 6 2 2" xfId="21753" xr:uid="{E8748E30-2F6D-4DB8-B705-B6231B82B96C}"/>
    <cellStyle name="Warning Text 35 6 3" xfId="21754" xr:uid="{FBA7BF5C-DC67-4330-ACA6-79FEE8FDCADB}"/>
    <cellStyle name="Warning Text 35 6 3 2" xfId="21755" xr:uid="{86C50ADF-CE8A-416E-ABD6-0E8D1F697DC9}"/>
    <cellStyle name="Warning Text 35 6 4" xfId="21756" xr:uid="{3D2C1F27-D6CA-4144-B7D6-13AEEDF09E31}"/>
    <cellStyle name="Warning Text 35 7" xfId="21757" xr:uid="{662C44BE-76C0-4E39-A849-4E7C29E4ABA4}"/>
    <cellStyle name="Warning Text 35 7 2" xfId="21758" xr:uid="{45F300B4-1442-4287-BBC7-A660A0547A09}"/>
    <cellStyle name="Warning Text 35 8" xfId="21759" xr:uid="{2CD83138-5202-478B-9765-543CF4243B72}"/>
    <cellStyle name="Warning Text 35 8 2" xfId="21760" xr:uid="{0D6C7F9D-A8D6-4BF1-9D7A-386997852EF1}"/>
    <cellStyle name="Warning Text 35 9" xfId="21761" xr:uid="{2B665817-B0F3-47F7-AB29-951CDFB98DC4}"/>
    <cellStyle name="Warning Text 35 9 2" xfId="21762" xr:uid="{84ED01D9-9F4C-4F80-8E0A-D355F6FD0571}"/>
    <cellStyle name="Warning Text 36" xfId="3381" xr:uid="{86F8B58E-CD15-4123-B16D-F5C8A6394ADA}"/>
    <cellStyle name="Warning Text 36 10" xfId="21764" xr:uid="{1C31314B-B3C6-40D9-812C-3FEDDA6FD9C7}"/>
    <cellStyle name="Warning Text 36 11" xfId="21765" xr:uid="{69B22C27-668D-4826-BEE4-5BBC5E27F574}"/>
    <cellStyle name="Warning Text 36 12" xfId="21763" xr:uid="{824D5CDB-80BD-4C70-8EF2-C9B1FF6147A5}"/>
    <cellStyle name="Warning Text 36 2" xfId="21766" xr:uid="{3935732F-B5B7-418B-9913-5B3B7ABA3CF8}"/>
    <cellStyle name="Warning Text 36 2 2" xfId="21767" xr:uid="{62374D2A-D1EA-4F29-AA26-1A9432490AB5}"/>
    <cellStyle name="Warning Text 36 2 2 2" xfId="21768" xr:uid="{1C0E30C5-C718-489E-9952-2D02DCFA6F1E}"/>
    <cellStyle name="Warning Text 36 2 3" xfId="21769" xr:uid="{0DEFC221-870C-4978-9F71-A37FC547F39A}"/>
    <cellStyle name="Warning Text 36 2 3 2" xfId="21770" xr:uid="{4AA53D16-1568-4E07-92E9-6D0BC1859DA1}"/>
    <cellStyle name="Warning Text 36 2 4" xfId="21771" xr:uid="{D739051E-19E1-4AB8-86FC-035AE77B741E}"/>
    <cellStyle name="Warning Text 36 2 5" xfId="21772" xr:uid="{44B8CCB2-C1AF-4A49-8FD2-B783F8471705}"/>
    <cellStyle name="Warning Text 36 3" xfId="21773" xr:uid="{080A60AD-F281-4CE7-A568-83DCE28D7573}"/>
    <cellStyle name="Warning Text 36 3 2" xfId="21774" xr:uid="{BD7E2D1D-9645-48CD-8E13-7FA64723F631}"/>
    <cellStyle name="Warning Text 36 3 2 2" xfId="21775" xr:uid="{5A7FD87A-1301-4BE8-90AE-887CFACB9C32}"/>
    <cellStyle name="Warning Text 36 3 3" xfId="21776" xr:uid="{49B3F291-1B18-4AE7-8C7F-3F25B23146DE}"/>
    <cellStyle name="Warning Text 36 3 3 2" xfId="21777" xr:uid="{FC15B0A0-7B60-4FFF-AEA2-EF2D819568F2}"/>
    <cellStyle name="Warning Text 36 3 4" xfId="21778" xr:uid="{BB3573D1-0623-4AD5-A968-AA146C62F14F}"/>
    <cellStyle name="Warning Text 36 4" xfId="21779" xr:uid="{FC481CB8-B2AA-4609-8AD4-23A53F397A9A}"/>
    <cellStyle name="Warning Text 36 4 2" xfId="21780" xr:uid="{EA4D6BA8-7FF4-42DF-BACA-5052FB85822E}"/>
    <cellStyle name="Warning Text 36 4 2 2" xfId="21781" xr:uid="{14FE3BC5-3B26-45FD-87A1-3448EB384662}"/>
    <cellStyle name="Warning Text 36 4 3" xfId="21782" xr:uid="{058BADA9-3D33-48A6-9201-7DBC9DA1DB7C}"/>
    <cellStyle name="Warning Text 36 4 3 2" xfId="21783" xr:uid="{93347F9B-7D49-4D69-B1EE-19C5759A765D}"/>
    <cellStyle name="Warning Text 36 4 4" xfId="21784" xr:uid="{133C7BB6-7AC3-4F6B-9964-765A3CC24F4C}"/>
    <cellStyle name="Warning Text 36 5" xfId="21785" xr:uid="{6A0292ED-4EE5-414F-8248-B63906A5D576}"/>
    <cellStyle name="Warning Text 36 5 2" xfId="21786" xr:uid="{43139F4A-6048-48B6-8B99-8AA81D77BA17}"/>
    <cellStyle name="Warning Text 36 5 2 2" xfId="21787" xr:uid="{B6E5447F-5979-46F8-82BD-52B6E5D1C0F2}"/>
    <cellStyle name="Warning Text 36 5 3" xfId="21788" xr:uid="{BD532E25-CF38-43E7-82FF-9CB1C39D62F6}"/>
    <cellStyle name="Warning Text 36 5 3 2" xfId="21789" xr:uid="{B23E1E67-C0DE-474E-B924-25A980A50F4E}"/>
    <cellStyle name="Warning Text 36 5 4" xfId="21790" xr:uid="{5CB01B86-85FD-46E3-9038-34EA6A888084}"/>
    <cellStyle name="Warning Text 36 5 4 2" xfId="21791" xr:uid="{3C15DCC9-EAC5-4A78-812F-60990CFB2AFC}"/>
    <cellStyle name="Warning Text 36 5 5" xfId="21792" xr:uid="{DA096118-409C-4604-BDE3-6B80E797A113}"/>
    <cellStyle name="Warning Text 36 6" xfId="21793" xr:uid="{6F325E66-F36E-4530-9DD1-E22FE487A3AE}"/>
    <cellStyle name="Warning Text 36 6 2" xfId="21794" xr:uid="{ACE9CF48-CFA9-4B7B-8A8C-AB656886A034}"/>
    <cellStyle name="Warning Text 36 6 2 2" xfId="21795" xr:uid="{DA6E03F6-E9A4-41FE-B451-19617D2185D2}"/>
    <cellStyle name="Warning Text 36 6 3" xfId="21796" xr:uid="{2B68C29B-E8CE-43A0-86DD-D6FF31B6E74C}"/>
    <cellStyle name="Warning Text 36 6 3 2" xfId="21797" xr:uid="{73A1EAE2-2130-46A9-BB13-AE4CFB16B56F}"/>
    <cellStyle name="Warning Text 36 6 4" xfId="21798" xr:uid="{6B6D8172-78CA-4E9A-9284-2A69F19EE0F0}"/>
    <cellStyle name="Warning Text 36 7" xfId="21799" xr:uid="{36FC72BE-2F2A-4494-9AE0-397C32CFC7ED}"/>
    <cellStyle name="Warning Text 36 7 2" xfId="21800" xr:uid="{745BA9C0-D08E-4646-A664-E2B0F8C60E38}"/>
    <cellStyle name="Warning Text 36 8" xfId="21801" xr:uid="{5B16DB2D-62A8-4BCB-B9BB-591ABAAF36DB}"/>
    <cellStyle name="Warning Text 36 8 2" xfId="21802" xr:uid="{CD8A7776-E323-4BE4-A900-5D83478F1B2A}"/>
    <cellStyle name="Warning Text 36 9" xfId="21803" xr:uid="{9CAF6AD0-0088-4E1F-A5F6-CC28B5688360}"/>
    <cellStyle name="Warning Text 36 9 2" xfId="21804" xr:uid="{9C5040AD-72D8-44EC-A2B5-51A107059FB3}"/>
    <cellStyle name="Warning Text 37" xfId="3382" xr:uid="{16FCF89C-27EE-43C0-B984-33F485871800}"/>
    <cellStyle name="Warning Text 37 10" xfId="21806" xr:uid="{DD8AAFC1-6247-4743-8138-B06A6FD082DB}"/>
    <cellStyle name="Warning Text 37 11" xfId="21807" xr:uid="{F416B8BC-6B92-45E8-9BF8-B369DCD76FB8}"/>
    <cellStyle name="Warning Text 37 12" xfId="21805" xr:uid="{99783FFD-6FB3-4722-A8DF-41B95AB33C09}"/>
    <cellStyle name="Warning Text 37 2" xfId="21808" xr:uid="{2FE1DE36-ABBF-453D-AA0B-309D8D6F5D6E}"/>
    <cellStyle name="Warning Text 37 2 2" xfId="21809" xr:uid="{B73C740B-8CEC-4929-A0E8-0515EC7F1AFA}"/>
    <cellStyle name="Warning Text 37 2 2 2" xfId="21810" xr:uid="{0A47CEB2-B7A7-4DF3-B5C8-64BA8250FBC2}"/>
    <cellStyle name="Warning Text 37 2 3" xfId="21811" xr:uid="{1C931662-9BA4-4843-B0BA-5964B8FC7AA2}"/>
    <cellStyle name="Warning Text 37 2 3 2" xfId="21812" xr:uid="{C28D551B-0944-4E59-AB9A-AACC890C39E5}"/>
    <cellStyle name="Warning Text 37 2 4" xfId="21813" xr:uid="{9FF24711-1DD6-40FD-BE27-78862F814629}"/>
    <cellStyle name="Warning Text 37 2 5" xfId="21814" xr:uid="{507D3915-27F2-4E63-83BE-8FCAC49F8D08}"/>
    <cellStyle name="Warning Text 37 3" xfId="21815" xr:uid="{F120CBD3-1F8F-462D-8489-FDD12CD910DD}"/>
    <cellStyle name="Warning Text 37 3 2" xfId="21816" xr:uid="{5B31D462-72FD-4306-A3DB-EA3AF52B3130}"/>
    <cellStyle name="Warning Text 37 3 2 2" xfId="21817" xr:uid="{A3578631-2EBF-4A1A-88C8-E0258EBFA9E0}"/>
    <cellStyle name="Warning Text 37 3 3" xfId="21818" xr:uid="{66874069-DB85-4C09-A8A5-B52458304719}"/>
    <cellStyle name="Warning Text 37 3 3 2" xfId="21819" xr:uid="{82A9BE90-F75B-43C4-9455-C5FB74FB66D0}"/>
    <cellStyle name="Warning Text 37 3 4" xfId="21820" xr:uid="{AADD47CE-18FD-4B67-8F02-CF450302DFA1}"/>
    <cellStyle name="Warning Text 37 4" xfId="21821" xr:uid="{227BD542-17D0-408E-9F8A-8CCE766F06AD}"/>
    <cellStyle name="Warning Text 37 4 2" xfId="21822" xr:uid="{674757CB-2644-4484-BB53-B57510F8B1CD}"/>
    <cellStyle name="Warning Text 37 4 2 2" xfId="21823" xr:uid="{4F1FA0F9-9D0D-41E7-8018-64931E2A684D}"/>
    <cellStyle name="Warning Text 37 4 3" xfId="21824" xr:uid="{B60D5E3B-CA1F-433D-AE5A-823A31A4ACFA}"/>
    <cellStyle name="Warning Text 37 4 3 2" xfId="21825" xr:uid="{3E489CCA-7EC0-4EAB-94A0-D0AF85FF2E17}"/>
    <cellStyle name="Warning Text 37 4 4" xfId="21826" xr:uid="{13E4B84F-91D3-4BD9-A0D1-E6C3A77DB23D}"/>
    <cellStyle name="Warning Text 37 5" xfId="21827" xr:uid="{2734A7E5-12D3-49D8-BC81-2190AC1E7EE4}"/>
    <cellStyle name="Warning Text 37 5 2" xfId="21828" xr:uid="{6B43330F-790B-4086-818E-F8EFBF0C00E6}"/>
    <cellStyle name="Warning Text 37 5 2 2" xfId="21829" xr:uid="{7DA12C2C-30C6-4182-8076-67548A930E0A}"/>
    <cellStyle name="Warning Text 37 5 3" xfId="21830" xr:uid="{E25C452D-C2A8-432D-B7EC-BEDDADBE67CB}"/>
    <cellStyle name="Warning Text 37 5 3 2" xfId="21831" xr:uid="{1524D755-8585-4001-8B6F-EDA6D84FCDF3}"/>
    <cellStyle name="Warning Text 37 5 4" xfId="21832" xr:uid="{8E527A53-3A33-44EE-A397-AC4B45E6075E}"/>
    <cellStyle name="Warning Text 37 5 4 2" xfId="21833" xr:uid="{C66D2895-B94D-4F58-A743-2886645BE410}"/>
    <cellStyle name="Warning Text 37 5 5" xfId="21834" xr:uid="{DE063A18-5C32-439C-ADD9-24F42C1BB657}"/>
    <cellStyle name="Warning Text 37 6" xfId="21835" xr:uid="{F6D987C8-EAB4-4984-95AA-9479539A8B58}"/>
    <cellStyle name="Warning Text 37 6 2" xfId="21836" xr:uid="{B982B5FF-045F-422B-8396-CFE54DC8BC26}"/>
    <cellStyle name="Warning Text 37 6 2 2" xfId="21837" xr:uid="{13D9D214-934F-4DD3-A06E-818227BE8593}"/>
    <cellStyle name="Warning Text 37 6 3" xfId="21838" xr:uid="{78D31114-7B67-4B87-B990-31C8372D8D33}"/>
    <cellStyle name="Warning Text 37 6 3 2" xfId="21839" xr:uid="{CF9964EB-0469-40DD-AE10-7C5B83BBDD71}"/>
    <cellStyle name="Warning Text 37 6 4" xfId="21840" xr:uid="{5E63E676-5EA4-4B73-A962-1740D3E5FCEF}"/>
    <cellStyle name="Warning Text 37 7" xfId="21841" xr:uid="{359ECA57-63F5-4B18-B1A7-B03E73EBC614}"/>
    <cellStyle name="Warning Text 37 7 2" xfId="21842" xr:uid="{ED137CB8-283E-40B3-83DC-F686344BF219}"/>
    <cellStyle name="Warning Text 37 8" xfId="21843" xr:uid="{8FC61B70-48B4-4DF1-A83A-5D3BAC643807}"/>
    <cellStyle name="Warning Text 37 8 2" xfId="21844" xr:uid="{8C8CA017-F9D5-49E1-BECC-5573DEC6DCCE}"/>
    <cellStyle name="Warning Text 37 9" xfId="21845" xr:uid="{A048AC6D-D402-4E3C-B5F1-D78E2788EB52}"/>
    <cellStyle name="Warning Text 37 9 2" xfId="21846" xr:uid="{96398396-2B5D-486C-9ED5-2C0D0320678E}"/>
    <cellStyle name="Warning Text 38" xfId="3383" xr:uid="{0AC8FBA3-9062-4090-BCEB-70999DF76741}"/>
    <cellStyle name="Warning Text 38 10" xfId="21848" xr:uid="{4978C6CE-37E5-4CFA-86EE-5B03E28972F4}"/>
    <cellStyle name="Warning Text 38 11" xfId="21849" xr:uid="{A42F2A7B-60D7-476C-887E-580146819814}"/>
    <cellStyle name="Warning Text 38 12" xfId="21847" xr:uid="{BDB2548F-2F3A-4B94-8851-99AB82149A2C}"/>
    <cellStyle name="Warning Text 38 2" xfId="21850" xr:uid="{ECDC3754-6F97-4FB4-AD03-57999D70C72C}"/>
    <cellStyle name="Warning Text 38 2 2" xfId="21851" xr:uid="{94675F1A-406F-400E-A819-A3E2FE8B8E6A}"/>
    <cellStyle name="Warning Text 38 2 2 2" xfId="21852" xr:uid="{275E41FF-9548-4800-9F82-13CC711D2581}"/>
    <cellStyle name="Warning Text 38 2 3" xfId="21853" xr:uid="{9E6AB2D4-4597-4EE4-B44C-76D4ECB0CFB2}"/>
    <cellStyle name="Warning Text 38 2 3 2" xfId="21854" xr:uid="{542FA17B-5ACC-4C5A-8960-341E4BD7A48E}"/>
    <cellStyle name="Warning Text 38 2 4" xfId="21855" xr:uid="{AAABEF60-54B3-47B4-A79D-E656B53C4324}"/>
    <cellStyle name="Warning Text 38 2 5" xfId="21856" xr:uid="{DAA517BF-DE25-4205-B755-F6419BC53D0D}"/>
    <cellStyle name="Warning Text 38 3" xfId="21857" xr:uid="{6D457F73-1A35-4274-AE34-4884633858B3}"/>
    <cellStyle name="Warning Text 38 3 2" xfId="21858" xr:uid="{EA9FBAA2-F145-4D5F-A32A-F4FEDD66F211}"/>
    <cellStyle name="Warning Text 38 3 2 2" xfId="21859" xr:uid="{C3AF07EB-D4D8-4F2C-89C9-F148921E5A6E}"/>
    <cellStyle name="Warning Text 38 3 3" xfId="21860" xr:uid="{3F8F97AB-C1EA-4EA7-99F1-2E6E495A78C7}"/>
    <cellStyle name="Warning Text 38 3 3 2" xfId="21861" xr:uid="{1B2977F7-7C7D-4D79-AB69-BC62009F835C}"/>
    <cellStyle name="Warning Text 38 3 4" xfId="21862" xr:uid="{A8FDF65F-AF98-4200-92F9-EED0F288D312}"/>
    <cellStyle name="Warning Text 38 4" xfId="21863" xr:uid="{EE84F275-A8E9-4D23-8A64-9479D3393DDD}"/>
    <cellStyle name="Warning Text 38 4 2" xfId="21864" xr:uid="{4818BBF3-70D3-4193-BF1A-F71A1523B333}"/>
    <cellStyle name="Warning Text 38 4 2 2" xfId="21865" xr:uid="{5548A24C-ECAE-4AE2-9816-D5A4F653FBD8}"/>
    <cellStyle name="Warning Text 38 4 3" xfId="21866" xr:uid="{1FDAE0AD-4AED-4520-87F2-21628BC8E38F}"/>
    <cellStyle name="Warning Text 38 4 3 2" xfId="21867" xr:uid="{7120DBD1-5B48-4728-9F10-7F5CAE3DA100}"/>
    <cellStyle name="Warning Text 38 4 4" xfId="21868" xr:uid="{704F2F6B-025C-4E92-936A-0922669DE32D}"/>
    <cellStyle name="Warning Text 38 5" xfId="21869" xr:uid="{A772E0C8-C636-4BA9-A601-931306F3AA8A}"/>
    <cellStyle name="Warning Text 38 5 2" xfId="21870" xr:uid="{8541D85F-EB9E-4F17-80B9-D856ACDC2411}"/>
    <cellStyle name="Warning Text 38 5 2 2" xfId="21871" xr:uid="{9D2D07D9-1F7E-4072-9CB0-4253AEFE6CA3}"/>
    <cellStyle name="Warning Text 38 5 3" xfId="21872" xr:uid="{8E01D3C2-888D-4482-A3B3-8892668163E0}"/>
    <cellStyle name="Warning Text 38 5 3 2" xfId="21873" xr:uid="{5399930A-DFAD-4B46-ACD6-DCF7D53F0811}"/>
    <cellStyle name="Warning Text 38 5 4" xfId="21874" xr:uid="{FB4A674C-7229-4A93-A566-CCE52AAF2898}"/>
    <cellStyle name="Warning Text 38 5 4 2" xfId="21875" xr:uid="{8DB12CCC-2DBD-4E57-B3E3-CF0C4E8E1FF0}"/>
    <cellStyle name="Warning Text 38 5 5" xfId="21876" xr:uid="{2FCB1FDD-8CCF-4DEA-B69C-92DAF1FB5E2C}"/>
    <cellStyle name="Warning Text 38 6" xfId="21877" xr:uid="{A2E740E2-A358-4351-8A5C-7AB824035399}"/>
    <cellStyle name="Warning Text 38 6 2" xfId="21878" xr:uid="{3AA6E864-5502-4D8B-B85A-719BF6833E23}"/>
    <cellStyle name="Warning Text 38 6 2 2" xfId="21879" xr:uid="{F439E1E6-5816-4D22-BA3C-99C8612F9E6C}"/>
    <cellStyle name="Warning Text 38 6 3" xfId="21880" xr:uid="{3831AEB1-61AF-4DD9-9923-0220657DF85E}"/>
    <cellStyle name="Warning Text 38 6 3 2" xfId="21881" xr:uid="{6C4D4903-4FAF-4C63-904F-CEC3E8365BC3}"/>
    <cellStyle name="Warning Text 38 6 4" xfId="21882" xr:uid="{86F1017A-18BA-412A-8820-6A6F418D087A}"/>
    <cellStyle name="Warning Text 38 7" xfId="21883" xr:uid="{EE258794-DFF8-44E7-8820-13FAC4492BFA}"/>
    <cellStyle name="Warning Text 38 7 2" xfId="21884" xr:uid="{36C0A618-C1E6-49BC-88FC-2A784D3C6AAC}"/>
    <cellStyle name="Warning Text 38 8" xfId="21885" xr:uid="{9B3CEF67-3F9D-4644-8F8F-70DEB14875E0}"/>
    <cellStyle name="Warning Text 38 8 2" xfId="21886" xr:uid="{C2027078-D098-40BA-B64D-0E4E1BB98368}"/>
    <cellStyle name="Warning Text 38 9" xfId="21887" xr:uid="{A3FD7DA6-D90A-4DCE-939D-FA14EC5726F1}"/>
    <cellStyle name="Warning Text 38 9 2" xfId="21888" xr:uid="{D3EB6351-3797-435D-BE55-9F1580C3D42E}"/>
    <cellStyle name="Warning Text 39" xfId="3384" xr:uid="{428ED991-28CE-4170-92FC-87421CDA444F}"/>
    <cellStyle name="Warning Text 39 10" xfId="21890" xr:uid="{C668FBF2-931A-47B2-B05A-967EAE0FFA6C}"/>
    <cellStyle name="Warning Text 39 11" xfId="21891" xr:uid="{E306D267-6232-4BCE-9F98-EA1B91D9D52C}"/>
    <cellStyle name="Warning Text 39 12" xfId="21889" xr:uid="{B884EABA-E436-477A-9CCF-4087B10DE993}"/>
    <cellStyle name="Warning Text 39 2" xfId="21892" xr:uid="{A6EAA4C0-2070-4837-9C3B-40AD4CD402AA}"/>
    <cellStyle name="Warning Text 39 2 2" xfId="21893" xr:uid="{91E69A5F-793A-4B77-8D3F-231AEC133A26}"/>
    <cellStyle name="Warning Text 39 2 2 2" xfId="21894" xr:uid="{ACB9C354-ED08-4FD6-9FD2-81841BC67477}"/>
    <cellStyle name="Warning Text 39 2 3" xfId="21895" xr:uid="{DFEEF927-38B8-4242-83B3-AB73C5BD8E33}"/>
    <cellStyle name="Warning Text 39 2 3 2" xfId="21896" xr:uid="{7C0DE548-7F5E-47EA-AA37-093E9FF2AE20}"/>
    <cellStyle name="Warning Text 39 2 4" xfId="21897" xr:uid="{0762EE01-E393-4937-BC6A-32604863648D}"/>
    <cellStyle name="Warning Text 39 2 5" xfId="21898" xr:uid="{E03E8676-8074-4F4C-960E-8A07D22FE5F9}"/>
    <cellStyle name="Warning Text 39 3" xfId="21899" xr:uid="{62EED355-6235-4F1A-A1FE-6437FB755B10}"/>
    <cellStyle name="Warning Text 39 3 2" xfId="21900" xr:uid="{858369BA-3A42-4D95-9A66-DC92A6442BE6}"/>
    <cellStyle name="Warning Text 39 3 2 2" xfId="21901" xr:uid="{57EE6182-2C13-4E6C-9622-0CA5408C7DEE}"/>
    <cellStyle name="Warning Text 39 3 3" xfId="21902" xr:uid="{A5ACA059-1588-4CB0-8271-13BC2A169200}"/>
    <cellStyle name="Warning Text 39 3 3 2" xfId="21903" xr:uid="{F4AC1E43-C1FE-4AE4-97FE-57A8918187EA}"/>
    <cellStyle name="Warning Text 39 3 4" xfId="21904" xr:uid="{790E9460-EE05-4BD6-9755-FA3D6AEFFE2A}"/>
    <cellStyle name="Warning Text 39 4" xfId="21905" xr:uid="{757D4E23-0389-4239-8601-C5E03619C9D1}"/>
    <cellStyle name="Warning Text 39 4 2" xfId="21906" xr:uid="{7A6F684E-D88F-4DE1-BE09-0BD4F29D4C7E}"/>
    <cellStyle name="Warning Text 39 4 2 2" xfId="21907" xr:uid="{0F4706FB-7534-498E-A430-9235C60B8850}"/>
    <cellStyle name="Warning Text 39 4 3" xfId="21908" xr:uid="{DC0205C5-7D6B-4A33-9625-C6983CFF4EDE}"/>
    <cellStyle name="Warning Text 39 4 3 2" xfId="21909" xr:uid="{A60AABAB-8B14-4750-9CBF-D71262A47F8F}"/>
    <cellStyle name="Warning Text 39 4 4" xfId="21910" xr:uid="{4B9A184F-E90D-4338-909F-78E55088ED42}"/>
    <cellStyle name="Warning Text 39 5" xfId="21911" xr:uid="{D2F086A2-0941-4CD6-A238-520B529D63AE}"/>
    <cellStyle name="Warning Text 39 5 2" xfId="21912" xr:uid="{953E263D-A36C-4C67-A96C-F1C1A9A5606F}"/>
    <cellStyle name="Warning Text 39 5 2 2" xfId="21913" xr:uid="{1A9AA1ED-FA20-4A67-9AA0-0FA3A619EE78}"/>
    <cellStyle name="Warning Text 39 5 3" xfId="21914" xr:uid="{F602F0FC-6DDA-4BC0-8F8F-8EC825707C42}"/>
    <cellStyle name="Warning Text 39 5 3 2" xfId="21915" xr:uid="{FD912D92-4AFF-4AFA-8F56-AC5CD1C9CDC5}"/>
    <cellStyle name="Warning Text 39 5 4" xfId="21916" xr:uid="{92C96CA6-C0CA-4242-9CFD-AF7911792735}"/>
    <cellStyle name="Warning Text 39 5 4 2" xfId="21917" xr:uid="{184326DB-65DA-4737-91AC-35BBC88998D8}"/>
    <cellStyle name="Warning Text 39 5 5" xfId="21918" xr:uid="{01E96511-B9F9-477C-95CA-4F07CC3D13AA}"/>
    <cellStyle name="Warning Text 39 6" xfId="21919" xr:uid="{905C93BE-DD6D-423A-81D7-27E9328A40D4}"/>
    <cellStyle name="Warning Text 39 6 2" xfId="21920" xr:uid="{D5C485AE-DDB9-49F2-9418-B3FD367A5890}"/>
    <cellStyle name="Warning Text 39 6 2 2" xfId="21921" xr:uid="{284C2329-70E2-4DFD-BD7E-57E744D53C00}"/>
    <cellStyle name="Warning Text 39 6 3" xfId="21922" xr:uid="{BD9CB641-B463-4430-B258-AD01637C3F95}"/>
    <cellStyle name="Warning Text 39 6 3 2" xfId="21923" xr:uid="{B1A7E3DE-7EA2-41C9-9A05-A79DE4BEAE43}"/>
    <cellStyle name="Warning Text 39 6 4" xfId="21924" xr:uid="{090778F3-7372-4F2D-9592-DD5C7E2ED01E}"/>
    <cellStyle name="Warning Text 39 7" xfId="21925" xr:uid="{FB64A1C6-CCCD-4974-9219-9C9148B025C5}"/>
    <cellStyle name="Warning Text 39 7 2" xfId="21926" xr:uid="{64F0EDEA-319F-4586-8860-524E65321435}"/>
    <cellStyle name="Warning Text 39 8" xfId="21927" xr:uid="{EE359392-9977-43FB-B69E-4554114E5E23}"/>
    <cellStyle name="Warning Text 39 8 2" xfId="21928" xr:uid="{31038E3A-D0A9-44B3-9AD5-84B6FB3FEA5A}"/>
    <cellStyle name="Warning Text 39 9" xfId="21929" xr:uid="{E7B5DB04-FC67-4E5A-8BD3-0CC1C4599E6B}"/>
    <cellStyle name="Warning Text 39 9 2" xfId="21930" xr:uid="{8DCEF7A0-D911-472E-A4D5-6877B1EA26F4}"/>
    <cellStyle name="Warning Text 4" xfId="3385" xr:uid="{FE7B0681-0BFF-452C-944A-2F956F105201}"/>
    <cellStyle name="Warning Text 4 10" xfId="21932" xr:uid="{F7A8DE5C-7E33-4804-990B-86674B6CF7FF}"/>
    <cellStyle name="Warning Text 4 10 2" xfId="21933" xr:uid="{BE555815-E7E2-4AC3-9C4E-97B3AA23A792}"/>
    <cellStyle name="Warning Text 4 11" xfId="21934" xr:uid="{32C9438D-0D8E-4513-8823-54314C7EC04E}"/>
    <cellStyle name="Warning Text 4 12" xfId="21935" xr:uid="{27AA7EBD-204F-4CFB-A4B6-F0429FD661A3}"/>
    <cellStyle name="Warning Text 4 13" xfId="21931" xr:uid="{8ABD2C13-F423-4561-BE44-77AD6FB34900}"/>
    <cellStyle name="Warning Text 4 2" xfId="21936" xr:uid="{E1F6AB50-8017-40D7-B02C-D8A69C7F6424}"/>
    <cellStyle name="Warning Text 4 2 10" xfId="21937" xr:uid="{C2B9E90D-035E-4270-A69A-A5B6C1D57ADC}"/>
    <cellStyle name="Warning Text 4 2 2" xfId="21938" xr:uid="{29B4523B-8D1D-49D0-975E-CCF6E4A7ED5A}"/>
    <cellStyle name="Warning Text 4 2 2 2" xfId="21939" xr:uid="{9DFEE099-E2EC-427A-AECC-A2F1DCB8A1B8}"/>
    <cellStyle name="Warning Text 4 2 2 2 2" xfId="21940" xr:uid="{C35B7A07-7A30-4143-85C0-88A741489829}"/>
    <cellStyle name="Warning Text 4 2 2 3" xfId="21941" xr:uid="{0C29DD22-0BE3-4789-9C35-D27FCF326144}"/>
    <cellStyle name="Warning Text 4 2 2 3 2" xfId="21942" xr:uid="{76092332-F511-4445-AB12-8FB6744C9CBA}"/>
    <cellStyle name="Warning Text 4 2 2 4" xfId="21943" xr:uid="{BF91ACCF-38D4-45C2-99E3-C3DBABBA2163}"/>
    <cellStyle name="Warning Text 4 2 3" xfId="21944" xr:uid="{6AC0197F-359F-46B9-8BEB-8B3C56474AFC}"/>
    <cellStyle name="Warning Text 4 2 3 2" xfId="21945" xr:uid="{54A1361F-5FDC-41B1-8C2D-056C8977A419}"/>
    <cellStyle name="Warning Text 4 2 3 2 2" xfId="21946" xr:uid="{AFD792C2-968D-4158-B08B-095889C11DF4}"/>
    <cellStyle name="Warning Text 4 2 3 3" xfId="21947" xr:uid="{7F1FAFD3-F458-4861-BF22-DD36B1C8E917}"/>
    <cellStyle name="Warning Text 4 2 3 3 2" xfId="21948" xr:uid="{F401D708-1D2A-49A4-9293-30E64318ABC0}"/>
    <cellStyle name="Warning Text 4 2 3 4" xfId="21949" xr:uid="{766DF46E-D18E-402D-BAAF-513C7A234841}"/>
    <cellStyle name="Warning Text 4 2 4" xfId="21950" xr:uid="{143B24A3-D90F-4743-81AC-1F7E0CE2BA44}"/>
    <cellStyle name="Warning Text 4 2 4 2" xfId="21951" xr:uid="{B1C684E4-BD5D-4EBD-A649-EA162C43BCA0}"/>
    <cellStyle name="Warning Text 4 2 4 2 2" xfId="21952" xr:uid="{BB1E5195-17CF-4A3A-8C8A-67E80042E7C3}"/>
    <cellStyle name="Warning Text 4 2 4 3" xfId="21953" xr:uid="{6D1B03FC-582B-460C-AA10-C9CFD92576AA}"/>
    <cellStyle name="Warning Text 4 2 4 3 2" xfId="21954" xr:uid="{D2F27884-EEC0-4289-A3CC-970B3E3DA24F}"/>
    <cellStyle name="Warning Text 4 2 4 4" xfId="21955" xr:uid="{6399FB5A-9F5B-4217-9A73-88BC08095A2F}"/>
    <cellStyle name="Warning Text 4 2 4 4 2" xfId="21956" xr:uid="{545F9D7A-07F3-4E47-97D8-4E967548B842}"/>
    <cellStyle name="Warning Text 4 2 4 5" xfId="21957" xr:uid="{5F1A1041-7C5C-48EE-884D-208CE525F4A5}"/>
    <cellStyle name="Warning Text 4 2 5" xfId="21958" xr:uid="{2EEE73A5-6894-4FAF-A6AE-305F1A6662AB}"/>
    <cellStyle name="Warning Text 4 2 5 2" xfId="21959" xr:uid="{BBBBFF7C-FDE6-42BE-90B3-CAB83D66F15D}"/>
    <cellStyle name="Warning Text 4 2 5 2 2" xfId="21960" xr:uid="{CBA20FB2-DD24-4CEB-B72F-5B3F5E47E998}"/>
    <cellStyle name="Warning Text 4 2 5 3" xfId="21961" xr:uid="{581E63C0-50E2-47E1-8595-5F8DB40B806E}"/>
    <cellStyle name="Warning Text 4 2 5 3 2" xfId="21962" xr:uid="{EFF8380D-8500-405E-B965-193EBF168DBD}"/>
    <cellStyle name="Warning Text 4 2 5 4" xfId="21963" xr:uid="{3C21E064-FD77-4D10-B30C-71A21B487898}"/>
    <cellStyle name="Warning Text 4 2 6" xfId="21964" xr:uid="{032FE919-7B65-4D0C-9D28-2C1029453ED8}"/>
    <cellStyle name="Warning Text 4 2 6 2" xfId="21965" xr:uid="{3E8F849C-7BEB-4A7A-96C2-F1B88F603D98}"/>
    <cellStyle name="Warning Text 4 2 7" xfId="21966" xr:uid="{1E52C9C6-6097-4338-8A07-F4303EE22FC9}"/>
    <cellStyle name="Warning Text 4 2 7 2" xfId="21967" xr:uid="{38994C13-A2B4-4025-9D28-8D8F14D1A874}"/>
    <cellStyle name="Warning Text 4 2 8" xfId="21968" xr:uid="{2C003A4B-D62F-4E13-9AEF-91595E16E9BA}"/>
    <cellStyle name="Warning Text 4 2 8 2" xfId="21969" xr:uid="{8E627328-7806-4ADD-AFB1-94FC46AAE7D4}"/>
    <cellStyle name="Warning Text 4 2 9" xfId="21970" xr:uid="{E65A899F-07AC-401B-8D29-719112AAA22E}"/>
    <cellStyle name="Warning Text 4 3" xfId="21971" xr:uid="{3F2A720C-64FE-410D-A097-05716A40C872}"/>
    <cellStyle name="Warning Text 4 3 2" xfId="21972" xr:uid="{C77865E9-7388-4D2D-8ABB-8399C3571482}"/>
    <cellStyle name="Warning Text 4 3 2 2" xfId="21973" xr:uid="{A33AC585-ABD9-4FFE-B0AB-5091183FBD19}"/>
    <cellStyle name="Warning Text 4 3 3" xfId="21974" xr:uid="{D2B2C2CA-31A6-4105-A2FD-0FE1891BE89F}"/>
    <cellStyle name="Warning Text 4 3 3 2" xfId="21975" xr:uid="{F1E20DB0-EB10-4212-AC37-1A407EF4B6AC}"/>
    <cellStyle name="Warning Text 4 3 4" xfId="21976" xr:uid="{48B36AFC-1EF1-42F9-B275-1AA58BE7A6AD}"/>
    <cellStyle name="Warning Text 4 3 5" xfId="21977" xr:uid="{F04DE977-EA35-4FF2-BAFB-2A855F4C39EF}"/>
    <cellStyle name="Warning Text 4 4" xfId="21978" xr:uid="{A327BF34-1F2B-4206-9561-48D3596F29BB}"/>
    <cellStyle name="Warning Text 4 4 2" xfId="21979" xr:uid="{6275A7C6-BBDB-4D5D-8970-16ECE3EE0B09}"/>
    <cellStyle name="Warning Text 4 4 2 2" xfId="21980" xr:uid="{621A2C9E-E1E5-4C54-8F66-0B26250F2FD7}"/>
    <cellStyle name="Warning Text 4 4 3" xfId="21981" xr:uid="{FA9E0954-9E34-4A2C-A8B9-FC23FD38774F}"/>
    <cellStyle name="Warning Text 4 4 3 2" xfId="21982" xr:uid="{6EB6659A-56B4-4812-BB15-CE9D3E00679D}"/>
    <cellStyle name="Warning Text 4 4 4" xfId="21983" xr:uid="{C284A6DB-5F21-4C73-BBBB-4C6B3329CF18}"/>
    <cellStyle name="Warning Text 4 5" xfId="21984" xr:uid="{D00EEB9A-F70B-46B5-9A46-60FAC96B9A68}"/>
    <cellStyle name="Warning Text 4 5 2" xfId="21985" xr:uid="{15C5BB0E-8BC3-4531-A29F-317C3BB07EFF}"/>
    <cellStyle name="Warning Text 4 5 2 2" xfId="21986" xr:uid="{D07AD560-0751-4C15-AC4A-131AE32FCDAC}"/>
    <cellStyle name="Warning Text 4 5 3" xfId="21987" xr:uid="{07AF9868-4E03-458A-9FF3-4FD44BA5847B}"/>
    <cellStyle name="Warning Text 4 5 3 2" xfId="21988" xr:uid="{2F9014FB-9863-4AC2-B477-27C856B09906}"/>
    <cellStyle name="Warning Text 4 5 4" xfId="21989" xr:uid="{7566D0B2-227F-47C3-87A6-DC8D5D5A5CA7}"/>
    <cellStyle name="Warning Text 4 6" xfId="21990" xr:uid="{217F1D91-4F7D-45E3-BCF8-0826A6F2BEA2}"/>
    <cellStyle name="Warning Text 4 6 2" xfId="21991" xr:uid="{7531108D-A2BA-45F7-BA38-4211A50D08E0}"/>
    <cellStyle name="Warning Text 4 6 2 2" xfId="21992" xr:uid="{CF53AC91-D264-492C-85C2-8FE7CAFA5DF9}"/>
    <cellStyle name="Warning Text 4 6 3" xfId="21993" xr:uid="{33B2F2D4-9C56-4CBE-88EF-4E001F158B34}"/>
    <cellStyle name="Warning Text 4 6 3 2" xfId="21994" xr:uid="{B75264FA-3D77-411A-9490-FB6F9211F628}"/>
    <cellStyle name="Warning Text 4 6 4" xfId="21995" xr:uid="{DBB9B8E4-F12E-42B7-963D-91E255AB7D5A}"/>
    <cellStyle name="Warning Text 4 6 4 2" xfId="21996" xr:uid="{820D2AC3-32A1-4EE8-8D02-A5E1A80658C4}"/>
    <cellStyle name="Warning Text 4 6 5" xfId="21997" xr:uid="{931E4877-F158-4B47-8DA4-B351CEB59A42}"/>
    <cellStyle name="Warning Text 4 7" xfId="21998" xr:uid="{B0CEF779-7C1D-4D68-A50F-8210C3AF7BC8}"/>
    <cellStyle name="Warning Text 4 7 2" xfId="21999" xr:uid="{C1D478D9-47AC-4297-9511-66E3D791FAED}"/>
    <cellStyle name="Warning Text 4 7 2 2" xfId="22000" xr:uid="{B7ECE1D8-3B06-47C6-B0B9-DE61F6B23C16}"/>
    <cellStyle name="Warning Text 4 7 3" xfId="22001" xr:uid="{93CA0755-A050-423A-B186-3BB0FC38A21C}"/>
    <cellStyle name="Warning Text 4 7 3 2" xfId="22002" xr:uid="{9ACBA959-7FFC-4DB7-8FE7-4F9C96F0CCF7}"/>
    <cellStyle name="Warning Text 4 7 4" xfId="22003" xr:uid="{9031FCFF-5A95-4871-BFD1-D4908A7D3B7D}"/>
    <cellStyle name="Warning Text 4 8" xfId="22004" xr:uid="{02C57DAE-4724-413E-85B6-06756905598C}"/>
    <cellStyle name="Warning Text 4 8 2" xfId="22005" xr:uid="{E4C26FAA-2A2A-4465-899C-B69019125DDB}"/>
    <cellStyle name="Warning Text 4 9" xfId="22006" xr:uid="{EDBF9F30-E1C0-4F2F-BE8D-D0BF131D880E}"/>
    <cellStyle name="Warning Text 4 9 2" xfId="22007" xr:uid="{854122F9-047A-48CF-BC75-FCB5E597D3BE}"/>
    <cellStyle name="Warning Text 40" xfId="3386" xr:uid="{4EB9F8E0-BE00-4E04-A498-0BAEF9BCA88B}"/>
    <cellStyle name="Warning Text 40 10" xfId="22009" xr:uid="{0ABF04A0-AEB5-4286-A0B5-F73D8F137B85}"/>
    <cellStyle name="Warning Text 40 11" xfId="22010" xr:uid="{F64D1E35-DCEF-462E-BA0B-8F12FD259F75}"/>
    <cellStyle name="Warning Text 40 12" xfId="22008" xr:uid="{644AC016-8150-4D5E-8220-0884502E2852}"/>
    <cellStyle name="Warning Text 40 2" xfId="22011" xr:uid="{81E018FC-8453-4516-B548-8FA56269EF83}"/>
    <cellStyle name="Warning Text 40 2 2" xfId="22012" xr:uid="{E9CC51AE-9B24-46B1-8EA9-1A3F0CDFAD9A}"/>
    <cellStyle name="Warning Text 40 2 2 2" xfId="22013" xr:uid="{913C4BCF-4E02-4B7D-808A-D940C28A9568}"/>
    <cellStyle name="Warning Text 40 2 3" xfId="22014" xr:uid="{D7FC26F8-8913-4BC1-B6CB-A9920266F925}"/>
    <cellStyle name="Warning Text 40 2 3 2" xfId="22015" xr:uid="{773B32F9-C654-42A9-9E10-6CB2101A504B}"/>
    <cellStyle name="Warning Text 40 2 4" xfId="22016" xr:uid="{5876F001-DF89-4E02-9827-B40CF59E5FC9}"/>
    <cellStyle name="Warning Text 40 2 5" xfId="22017" xr:uid="{4F146921-4E61-4170-85A6-930A1B6F9659}"/>
    <cellStyle name="Warning Text 40 3" xfId="22018" xr:uid="{4F88830D-9FDC-40FD-A040-321E8E5A3868}"/>
    <cellStyle name="Warning Text 40 3 2" xfId="22019" xr:uid="{4CDFFB19-8900-422F-BFBF-A0942FD269D0}"/>
    <cellStyle name="Warning Text 40 3 2 2" xfId="22020" xr:uid="{4E2C6B4C-B77B-432A-AC61-814AB4E30391}"/>
    <cellStyle name="Warning Text 40 3 3" xfId="22021" xr:uid="{68FA6A3F-F210-4396-93F8-231F9C028B90}"/>
    <cellStyle name="Warning Text 40 3 3 2" xfId="22022" xr:uid="{1DC12FBB-904F-450B-92B3-34E97B390989}"/>
    <cellStyle name="Warning Text 40 3 4" xfId="22023" xr:uid="{D3C3D986-330D-4BF5-8B5D-64604D11CCDD}"/>
    <cellStyle name="Warning Text 40 4" xfId="22024" xr:uid="{A60F3419-CCA1-49D1-BBB2-A94901C3705A}"/>
    <cellStyle name="Warning Text 40 4 2" xfId="22025" xr:uid="{2ECF0DE5-CE79-4181-B55D-D1E2FABC71F9}"/>
    <cellStyle name="Warning Text 40 4 2 2" xfId="22026" xr:uid="{C9E6606E-EF56-44B3-B1BC-B77B43F117DA}"/>
    <cellStyle name="Warning Text 40 4 3" xfId="22027" xr:uid="{D7922C36-5C07-4D61-B8ED-643E8EBDD47A}"/>
    <cellStyle name="Warning Text 40 4 3 2" xfId="22028" xr:uid="{00BC5C1A-B41E-4FB0-9F1F-D2B7ABF86ECD}"/>
    <cellStyle name="Warning Text 40 4 4" xfId="22029" xr:uid="{5DA23E19-A6AC-430A-9DCC-23B848AD8201}"/>
    <cellStyle name="Warning Text 40 5" xfId="22030" xr:uid="{674CAFAB-6146-452C-8B84-30DBD8BAA151}"/>
    <cellStyle name="Warning Text 40 5 2" xfId="22031" xr:uid="{B09D4ACA-9AA2-4BCC-A135-B884B73B9022}"/>
    <cellStyle name="Warning Text 40 5 2 2" xfId="22032" xr:uid="{D982BD5B-3B52-461A-802F-EF44C7EEE9FD}"/>
    <cellStyle name="Warning Text 40 5 3" xfId="22033" xr:uid="{2E483CD0-6C37-4096-B464-5D3223F8FC4B}"/>
    <cellStyle name="Warning Text 40 5 3 2" xfId="22034" xr:uid="{2403433E-76E8-414A-91AA-D8E01A5AF4E3}"/>
    <cellStyle name="Warning Text 40 5 4" xfId="22035" xr:uid="{D50888C0-575B-492F-9EDA-E9EBC5E770B6}"/>
    <cellStyle name="Warning Text 40 5 4 2" xfId="22036" xr:uid="{CD5F0D24-8E80-43C3-95FA-DD59FEC49358}"/>
    <cellStyle name="Warning Text 40 5 5" xfId="22037" xr:uid="{BA69BE66-F03E-445F-891D-136019E98ED2}"/>
    <cellStyle name="Warning Text 40 6" xfId="22038" xr:uid="{0E1B8A27-F72D-4494-B2C4-8D3A914D0A18}"/>
    <cellStyle name="Warning Text 40 6 2" xfId="22039" xr:uid="{E5EB76BE-614F-4F7A-8A61-7F8E47CA274A}"/>
    <cellStyle name="Warning Text 40 6 2 2" xfId="22040" xr:uid="{5470A6E1-6E31-4D34-87EB-EF0D6F8884EA}"/>
    <cellStyle name="Warning Text 40 6 3" xfId="22041" xr:uid="{9DFFA0CC-94B3-4A63-9DB0-CA8D15C15A63}"/>
    <cellStyle name="Warning Text 40 6 3 2" xfId="22042" xr:uid="{BF0369BA-BEEF-4A7D-A8B5-2DF2A3580AA5}"/>
    <cellStyle name="Warning Text 40 6 4" xfId="22043" xr:uid="{DF22FF9F-E6FB-47F7-8801-508E47820B9F}"/>
    <cellStyle name="Warning Text 40 7" xfId="22044" xr:uid="{ECB9A715-4BBD-4AA8-AB59-E4B2426288E1}"/>
    <cellStyle name="Warning Text 40 7 2" xfId="22045" xr:uid="{4644D0BF-8232-49D9-823B-EB9EA14DF19F}"/>
    <cellStyle name="Warning Text 40 8" xfId="22046" xr:uid="{77228D0A-1F25-40D1-BD1E-CC046CAF6143}"/>
    <cellStyle name="Warning Text 40 8 2" xfId="22047" xr:uid="{E13C5031-5687-47BD-8520-6C84E5111D60}"/>
    <cellStyle name="Warning Text 40 9" xfId="22048" xr:uid="{4382995B-9683-4383-8474-B2BF62B5E096}"/>
    <cellStyle name="Warning Text 40 9 2" xfId="22049" xr:uid="{3B7CF02F-4E8E-400F-AD20-AEC92110AFDE}"/>
    <cellStyle name="Warning Text 41" xfId="3387" xr:uid="{DC2A1694-F8D1-47DD-A1A4-8C60BB6ABEE3}"/>
    <cellStyle name="Warning Text 41 10" xfId="22051" xr:uid="{CB621F98-91C4-45D6-9AD5-FAB8B2F0C50F}"/>
    <cellStyle name="Warning Text 41 11" xfId="22052" xr:uid="{741D56FD-86DD-4AB6-BEFF-2E7BEC47F604}"/>
    <cellStyle name="Warning Text 41 12" xfId="22050" xr:uid="{FE9FEA2F-AD51-4AD9-B525-C916D6E597A4}"/>
    <cellStyle name="Warning Text 41 2" xfId="22053" xr:uid="{3DEBA110-9551-42AF-92A1-5BE5AF877C92}"/>
    <cellStyle name="Warning Text 41 2 2" xfId="22054" xr:uid="{4D020BA2-DC83-4158-88E8-A329AC578286}"/>
    <cellStyle name="Warning Text 41 2 2 2" xfId="22055" xr:uid="{22316CEF-B4E3-4B83-9D4D-027391786486}"/>
    <cellStyle name="Warning Text 41 2 3" xfId="22056" xr:uid="{918F57DA-D5B8-491C-80FD-A16B927B40F5}"/>
    <cellStyle name="Warning Text 41 2 3 2" xfId="22057" xr:uid="{82F00BF9-8C9F-44F5-AFD7-D6236F784BB7}"/>
    <cellStyle name="Warning Text 41 2 4" xfId="22058" xr:uid="{6F2A080B-774D-4AC9-9027-9963971F9436}"/>
    <cellStyle name="Warning Text 41 2 5" xfId="22059" xr:uid="{9A4EE2BF-D15B-4907-ADE9-128E57B38EBB}"/>
    <cellStyle name="Warning Text 41 3" xfId="22060" xr:uid="{95749807-649D-47F9-85F9-5C97DC24AB42}"/>
    <cellStyle name="Warning Text 41 3 2" xfId="22061" xr:uid="{A7E43529-C2D1-4CF7-A84C-5C63E55C0376}"/>
    <cellStyle name="Warning Text 41 3 2 2" xfId="22062" xr:uid="{643E6660-67F3-438E-B29A-2C7CFF852C04}"/>
    <cellStyle name="Warning Text 41 3 3" xfId="22063" xr:uid="{832FEE21-3D37-4F13-8F26-600D45C55206}"/>
    <cellStyle name="Warning Text 41 3 3 2" xfId="22064" xr:uid="{6FD24FE4-4E9C-496F-8CA8-126238D219CB}"/>
    <cellStyle name="Warning Text 41 3 4" xfId="22065" xr:uid="{E5F5114F-D9FA-4ACD-9956-0BDE2E7E2DAD}"/>
    <cellStyle name="Warning Text 41 4" xfId="22066" xr:uid="{9BB1C17D-844A-4967-9409-16558D3DAFF7}"/>
    <cellStyle name="Warning Text 41 4 2" xfId="22067" xr:uid="{98CBAD6A-7339-438E-8375-884F3F0E2C04}"/>
    <cellStyle name="Warning Text 41 4 2 2" xfId="22068" xr:uid="{6C4B3207-98CC-41B6-A717-ED5CADF43377}"/>
    <cellStyle name="Warning Text 41 4 3" xfId="22069" xr:uid="{26EE6AC1-AAD4-4431-BF9F-EF677EAC8083}"/>
    <cellStyle name="Warning Text 41 4 3 2" xfId="22070" xr:uid="{0E68F7A2-898D-4CC9-8E75-85131202D1A6}"/>
    <cellStyle name="Warning Text 41 4 4" xfId="22071" xr:uid="{5CF43A32-ACBA-477C-9E8B-4D5D6BB536A2}"/>
    <cellStyle name="Warning Text 41 5" xfId="22072" xr:uid="{0450C22B-DDFC-43D2-B349-7BB77E220604}"/>
    <cellStyle name="Warning Text 41 5 2" xfId="22073" xr:uid="{2EF6C8F2-5D8E-421F-9F7F-6CADFAD1201F}"/>
    <cellStyle name="Warning Text 41 5 2 2" xfId="22074" xr:uid="{81C61E75-F2C5-47ED-A429-9B4A139A9788}"/>
    <cellStyle name="Warning Text 41 5 3" xfId="22075" xr:uid="{4DE4E418-304E-4797-9C8B-644B15580B9C}"/>
    <cellStyle name="Warning Text 41 5 3 2" xfId="22076" xr:uid="{03BCA774-9F68-49F1-86E0-A522975DA881}"/>
    <cellStyle name="Warning Text 41 5 4" xfId="22077" xr:uid="{44CEE047-26F1-474C-8740-BDDF4E0EAB09}"/>
    <cellStyle name="Warning Text 41 5 4 2" xfId="22078" xr:uid="{403A19DF-AC17-4D59-BE09-B860D07D2495}"/>
    <cellStyle name="Warning Text 41 5 5" xfId="22079" xr:uid="{A0D1E060-875B-495D-9BB1-819EF1D462E9}"/>
    <cellStyle name="Warning Text 41 6" xfId="22080" xr:uid="{26E363AF-DEB5-4276-A3A8-C05A19F18829}"/>
    <cellStyle name="Warning Text 41 6 2" xfId="22081" xr:uid="{CA52A59D-FD29-4726-85C4-880A404D7979}"/>
    <cellStyle name="Warning Text 41 6 2 2" xfId="22082" xr:uid="{BD7806F6-B7CF-49A9-8DA8-AC33BA914DB0}"/>
    <cellStyle name="Warning Text 41 6 3" xfId="22083" xr:uid="{49D9C9C7-7230-401D-96FB-9FACCEC93CC0}"/>
    <cellStyle name="Warning Text 41 6 3 2" xfId="22084" xr:uid="{BFD40CAC-C4A4-43FE-926C-3FFF3019E3C2}"/>
    <cellStyle name="Warning Text 41 6 4" xfId="22085" xr:uid="{10B94BCD-4C85-4B87-A6E9-B7F7314A2F96}"/>
    <cellStyle name="Warning Text 41 7" xfId="22086" xr:uid="{5247B41A-2122-455A-9EED-80FE245981BF}"/>
    <cellStyle name="Warning Text 41 7 2" xfId="22087" xr:uid="{9ABE6B93-B769-4F8C-8D0E-60ED85D6A5CA}"/>
    <cellStyle name="Warning Text 41 8" xfId="22088" xr:uid="{FE862A48-9601-4D87-AD73-1236139D7909}"/>
    <cellStyle name="Warning Text 41 8 2" xfId="22089" xr:uid="{1518AE2E-0C91-4D8D-82FA-3DC970E9A0A7}"/>
    <cellStyle name="Warning Text 41 9" xfId="22090" xr:uid="{8B52C10E-4830-4642-9054-A345EDC81CD9}"/>
    <cellStyle name="Warning Text 41 9 2" xfId="22091" xr:uid="{C218257C-1022-48CF-B490-958D5A7FD091}"/>
    <cellStyle name="Warning Text 5" xfId="3388" xr:uid="{7E7911DF-A185-47AE-A79C-04D818418735}"/>
    <cellStyle name="Warning Text 5 10" xfId="22093" xr:uid="{7364A641-44B9-44EE-8B4D-6EE0A3FFF145}"/>
    <cellStyle name="Warning Text 5 10 2" xfId="22094" xr:uid="{DBF2B51B-DD90-4FA1-AEEE-28F7E73052D6}"/>
    <cellStyle name="Warning Text 5 11" xfId="22095" xr:uid="{F20AC2D2-DBC5-40DA-AEC1-D1C79A3CF72D}"/>
    <cellStyle name="Warning Text 5 12" xfId="22096" xr:uid="{8EAB89BE-80BD-4623-B35F-3EBFC3998CD8}"/>
    <cellStyle name="Warning Text 5 13" xfId="22092" xr:uid="{4EFA7B01-A49B-486B-AD34-892EE16C92E4}"/>
    <cellStyle name="Warning Text 5 2" xfId="22097" xr:uid="{E99E0325-6925-48D0-85BD-CDAAD106E0BC}"/>
    <cellStyle name="Warning Text 5 2 10" xfId="22098" xr:uid="{483E6394-07DC-48EF-9EA8-CB49414119DC}"/>
    <cellStyle name="Warning Text 5 2 2" xfId="22099" xr:uid="{9BD4158A-0933-4BF2-9926-1815255375A6}"/>
    <cellStyle name="Warning Text 5 2 2 2" xfId="22100" xr:uid="{F5F901A0-0BBE-49AB-9F88-9F060FC076FE}"/>
    <cellStyle name="Warning Text 5 2 2 2 2" xfId="22101" xr:uid="{301D55AA-DFC7-4578-BDE3-1830CA427897}"/>
    <cellStyle name="Warning Text 5 2 2 3" xfId="22102" xr:uid="{C9ACE268-7B0E-4DCB-9657-BE824EB888C8}"/>
    <cellStyle name="Warning Text 5 2 2 3 2" xfId="22103" xr:uid="{FE1AE065-BE11-4696-AD87-8556AAA613CD}"/>
    <cellStyle name="Warning Text 5 2 2 4" xfId="22104" xr:uid="{9315A50D-80AB-49C4-B0D8-D322FD2EE131}"/>
    <cellStyle name="Warning Text 5 2 3" xfId="22105" xr:uid="{67E3609E-CCA9-4E55-BBB9-97A73370D708}"/>
    <cellStyle name="Warning Text 5 2 3 2" xfId="22106" xr:uid="{FAEB7F2E-4958-4BDD-8687-4B6F263E7DFC}"/>
    <cellStyle name="Warning Text 5 2 3 2 2" xfId="22107" xr:uid="{E447C47D-96D2-46CE-B57D-4DD67B92690F}"/>
    <cellStyle name="Warning Text 5 2 3 3" xfId="22108" xr:uid="{0065D82D-91C1-4970-B5A7-B28A816971A6}"/>
    <cellStyle name="Warning Text 5 2 3 3 2" xfId="22109" xr:uid="{87BB6C76-A8DF-46BA-A194-B3AA286BEB0D}"/>
    <cellStyle name="Warning Text 5 2 3 4" xfId="22110" xr:uid="{58068B60-F2B4-492A-8559-C1FC51503252}"/>
    <cellStyle name="Warning Text 5 2 4" xfId="22111" xr:uid="{6D0653EB-2230-4AA9-81E2-570253807646}"/>
    <cellStyle name="Warning Text 5 2 4 2" xfId="22112" xr:uid="{D5113FBB-9A41-4688-810A-F63419E74044}"/>
    <cellStyle name="Warning Text 5 2 4 2 2" xfId="22113" xr:uid="{80AAD52E-6351-45DE-9591-83469CCD44E0}"/>
    <cellStyle name="Warning Text 5 2 4 3" xfId="22114" xr:uid="{18CCB9A0-6E9C-422A-A935-3E92C901572F}"/>
    <cellStyle name="Warning Text 5 2 4 3 2" xfId="22115" xr:uid="{E5C6A24A-EB16-4E87-87F4-BB4545D1E7B0}"/>
    <cellStyle name="Warning Text 5 2 4 4" xfId="22116" xr:uid="{D4EE8858-EF67-403E-BC21-EA05B057BBA4}"/>
    <cellStyle name="Warning Text 5 2 4 4 2" xfId="22117" xr:uid="{6957261E-7E0E-4D67-82F3-3742978A1484}"/>
    <cellStyle name="Warning Text 5 2 4 5" xfId="22118" xr:uid="{3005CFA3-ECC4-4888-AE1E-42DBCC582C7E}"/>
    <cellStyle name="Warning Text 5 2 5" xfId="22119" xr:uid="{FF99ED18-C31C-4EDF-874B-E73F9C064EC2}"/>
    <cellStyle name="Warning Text 5 2 5 2" xfId="22120" xr:uid="{381C6116-4702-42E9-9CF9-A43D01033851}"/>
    <cellStyle name="Warning Text 5 2 5 2 2" xfId="22121" xr:uid="{EA70815B-1557-493F-A7FC-F54B11523EAA}"/>
    <cellStyle name="Warning Text 5 2 5 3" xfId="22122" xr:uid="{D516C663-9C75-4A68-8D48-D20A40CE812A}"/>
    <cellStyle name="Warning Text 5 2 5 3 2" xfId="22123" xr:uid="{E7162FEE-0BDE-422A-9FE4-971A77A8086B}"/>
    <cellStyle name="Warning Text 5 2 5 4" xfId="22124" xr:uid="{99E6D65D-78CE-4B08-836F-8186FC966133}"/>
    <cellStyle name="Warning Text 5 2 6" xfId="22125" xr:uid="{8A268C41-8CC8-469B-BE8E-0B0C0FBC15FD}"/>
    <cellStyle name="Warning Text 5 2 6 2" xfId="22126" xr:uid="{90F8AB5E-A0A4-40E3-84D7-38BC60FFD6C3}"/>
    <cellStyle name="Warning Text 5 2 7" xfId="22127" xr:uid="{E6E7ECDD-8CE4-4275-93A2-64AAC68C7542}"/>
    <cellStyle name="Warning Text 5 2 7 2" xfId="22128" xr:uid="{6D80F09B-37F3-499E-A160-A5217979EAC8}"/>
    <cellStyle name="Warning Text 5 2 8" xfId="22129" xr:uid="{2E4B7224-45C2-4A24-9C2A-6406D6FAAE66}"/>
    <cellStyle name="Warning Text 5 2 8 2" xfId="22130" xr:uid="{E2FEA3F6-E95A-40A3-9130-7FA8892B7E72}"/>
    <cellStyle name="Warning Text 5 2 9" xfId="22131" xr:uid="{9FED4A7D-43E5-4B14-9481-5870B295B0AD}"/>
    <cellStyle name="Warning Text 5 3" xfId="22132" xr:uid="{6F14D606-E9E7-4320-88DE-D0C867330092}"/>
    <cellStyle name="Warning Text 5 3 2" xfId="22133" xr:uid="{669DE435-F930-4C10-B9D1-872584A3D75E}"/>
    <cellStyle name="Warning Text 5 3 2 2" xfId="22134" xr:uid="{A0CB5917-A209-48ED-A53D-E9883EBBD73E}"/>
    <cellStyle name="Warning Text 5 3 3" xfId="22135" xr:uid="{E655FEF2-935C-4A92-97BB-41D83CCFA05A}"/>
    <cellStyle name="Warning Text 5 3 3 2" xfId="22136" xr:uid="{A3478D6E-622B-406C-B4C3-50FD0AB1C65E}"/>
    <cellStyle name="Warning Text 5 3 4" xfId="22137" xr:uid="{B01F6D91-AD40-4D9A-A735-60A7420C1502}"/>
    <cellStyle name="Warning Text 5 3 5" xfId="22138" xr:uid="{F5612030-0898-45C6-9564-0E59AAD3FAD9}"/>
    <cellStyle name="Warning Text 5 4" xfId="22139" xr:uid="{332270FA-4D0A-43FC-B5E3-453964FFB809}"/>
    <cellStyle name="Warning Text 5 4 2" xfId="22140" xr:uid="{DB39ED4A-14EF-4F9E-91E1-596C7DAC0EC6}"/>
    <cellStyle name="Warning Text 5 4 2 2" xfId="22141" xr:uid="{BDCC43E7-A65C-4F16-B44B-48442897C023}"/>
    <cellStyle name="Warning Text 5 4 3" xfId="22142" xr:uid="{6F9DFFD2-4191-4AA4-807F-490B677BAE52}"/>
    <cellStyle name="Warning Text 5 4 3 2" xfId="22143" xr:uid="{87AF5412-73E8-4B1B-80D5-FD2F121CC13F}"/>
    <cellStyle name="Warning Text 5 4 4" xfId="22144" xr:uid="{B7533048-77DF-45B5-A701-53C5856D8160}"/>
    <cellStyle name="Warning Text 5 5" xfId="22145" xr:uid="{7489F7D4-944C-4201-AA9A-7EB9B86BEF9A}"/>
    <cellStyle name="Warning Text 5 5 2" xfId="22146" xr:uid="{ABF511B8-D3E7-4DAC-A7F0-3AD5BB9EB5FB}"/>
    <cellStyle name="Warning Text 5 5 2 2" xfId="22147" xr:uid="{80B128FC-A0E2-4306-95B3-BD7A543E91C9}"/>
    <cellStyle name="Warning Text 5 5 3" xfId="22148" xr:uid="{A4AE540E-05A5-4583-81C9-1217742FC31F}"/>
    <cellStyle name="Warning Text 5 5 3 2" xfId="22149" xr:uid="{77AD0CC6-F083-4A14-B45C-195FD916A3D1}"/>
    <cellStyle name="Warning Text 5 5 4" xfId="22150" xr:uid="{BC2F4AFB-8CA8-489E-A19E-5EC6A6B65DE2}"/>
    <cellStyle name="Warning Text 5 6" xfId="22151" xr:uid="{C98DB47E-2191-4071-9C48-8C3EB03DC80F}"/>
    <cellStyle name="Warning Text 5 6 2" xfId="22152" xr:uid="{F09D7025-AA69-4ABA-8EED-5A0D49C31D09}"/>
    <cellStyle name="Warning Text 5 6 2 2" xfId="22153" xr:uid="{48C9D491-1726-4AE5-AE7C-CF6A678F0234}"/>
    <cellStyle name="Warning Text 5 6 3" xfId="22154" xr:uid="{E128086D-6FA2-4A8B-B200-E1C6AAF22E33}"/>
    <cellStyle name="Warning Text 5 6 3 2" xfId="22155" xr:uid="{D6D1632E-378D-4CA9-BE6A-E084FBC448D2}"/>
    <cellStyle name="Warning Text 5 6 4" xfId="22156" xr:uid="{2B6FD98F-9EC3-4BC5-BC71-B97D0C455F70}"/>
    <cellStyle name="Warning Text 5 6 4 2" xfId="22157" xr:uid="{91FAE75D-EA9E-4409-AC01-E5BA1ADA4F4B}"/>
    <cellStyle name="Warning Text 5 6 5" xfId="22158" xr:uid="{5D2F3593-6F42-4550-920C-A2DAB26577F2}"/>
    <cellStyle name="Warning Text 5 7" xfId="22159" xr:uid="{7B1F520F-9D33-4053-97C1-613DA05DA66F}"/>
    <cellStyle name="Warning Text 5 7 2" xfId="22160" xr:uid="{153721A0-6356-4506-AA40-7FC7D9E091B5}"/>
    <cellStyle name="Warning Text 5 7 2 2" xfId="22161" xr:uid="{136E91A9-0146-4B58-B2C1-48BCFF29C2B1}"/>
    <cellStyle name="Warning Text 5 7 3" xfId="22162" xr:uid="{8BC9D9C0-E577-4BB3-8992-668570016447}"/>
    <cellStyle name="Warning Text 5 7 3 2" xfId="22163" xr:uid="{84F03349-A5AD-44D4-B2FB-72E408A8A75E}"/>
    <cellStyle name="Warning Text 5 7 4" xfId="22164" xr:uid="{19326A7D-E8B1-4681-9FB5-9FE996D4FDB1}"/>
    <cellStyle name="Warning Text 5 8" xfId="22165" xr:uid="{A64317AF-B750-47DF-B834-71F6CF5CA2C2}"/>
    <cellStyle name="Warning Text 5 8 2" xfId="22166" xr:uid="{539AC730-65F7-4DDB-AB69-3EB6CD39B431}"/>
    <cellStyle name="Warning Text 5 9" xfId="22167" xr:uid="{8BCFD9E8-5408-4627-8B8B-CBA12D450C1B}"/>
    <cellStyle name="Warning Text 5 9 2" xfId="22168" xr:uid="{30D9634F-4AC9-4549-B96F-4CE203AA9EAE}"/>
    <cellStyle name="Warning Text 6" xfId="3389" xr:uid="{0F00CD6C-427A-4E67-B916-E2EB89D961FB}"/>
    <cellStyle name="Warning Text 6 10" xfId="22170" xr:uid="{3EB72210-61B8-4BC0-AB2A-0CCD1AA305AB}"/>
    <cellStyle name="Warning Text 6 10 2" xfId="22171" xr:uid="{E6FDDCFF-B3B3-4F33-A04C-92FC2F7B2E47}"/>
    <cellStyle name="Warning Text 6 11" xfId="22172" xr:uid="{45758090-4D5B-4E46-B83E-8D2C4C00CED6}"/>
    <cellStyle name="Warning Text 6 12" xfId="22173" xr:uid="{35C32196-D06D-438D-B716-65E01696B0B3}"/>
    <cellStyle name="Warning Text 6 13" xfId="22169" xr:uid="{DCFB797A-2544-4806-870B-02101E324FD4}"/>
    <cellStyle name="Warning Text 6 2" xfId="22174" xr:uid="{2CC9988B-884F-4B8B-96F8-B3F368FFB1A7}"/>
    <cellStyle name="Warning Text 6 2 10" xfId="22175" xr:uid="{195CA046-6A6A-4BC5-BCC2-3EA8C82CE5B8}"/>
    <cellStyle name="Warning Text 6 2 2" xfId="22176" xr:uid="{04F50DCD-DB31-465A-8C06-45B52679AD1D}"/>
    <cellStyle name="Warning Text 6 2 2 2" xfId="22177" xr:uid="{4F3AB736-09A8-4A4D-B696-1F6096A6A11D}"/>
    <cellStyle name="Warning Text 6 2 2 2 2" xfId="22178" xr:uid="{566067D8-8570-4AE6-BC56-F3235EBDF025}"/>
    <cellStyle name="Warning Text 6 2 2 3" xfId="22179" xr:uid="{7AE1ADA3-5AF8-4E0D-A095-154B3724C47E}"/>
    <cellStyle name="Warning Text 6 2 2 3 2" xfId="22180" xr:uid="{9FE7F513-87C3-48DD-9EB9-A2D68ADFDDB0}"/>
    <cellStyle name="Warning Text 6 2 2 4" xfId="22181" xr:uid="{3D1DE70D-CFAF-49FB-AF5D-A8BDC5572A35}"/>
    <cellStyle name="Warning Text 6 2 3" xfId="22182" xr:uid="{D6EB3A62-25AC-4295-BE8A-CCDEB2DC7AB8}"/>
    <cellStyle name="Warning Text 6 2 3 2" xfId="22183" xr:uid="{67271A5C-117E-4387-848D-98A43ABECD31}"/>
    <cellStyle name="Warning Text 6 2 3 2 2" xfId="22184" xr:uid="{9825CBB7-1D70-4271-81A8-CBF8CDAC9AE7}"/>
    <cellStyle name="Warning Text 6 2 3 3" xfId="22185" xr:uid="{45E2312E-CA2D-43C4-AD53-0A3478916A0B}"/>
    <cellStyle name="Warning Text 6 2 3 3 2" xfId="22186" xr:uid="{7D11DFCE-C743-49A8-AEFA-2940B9306383}"/>
    <cellStyle name="Warning Text 6 2 3 4" xfId="22187" xr:uid="{5BAB9C87-D40B-4827-A6E9-A9D4A80AC97B}"/>
    <cellStyle name="Warning Text 6 2 4" xfId="22188" xr:uid="{8005F7F7-F19C-4776-A96E-D36F473FE4A7}"/>
    <cellStyle name="Warning Text 6 2 4 2" xfId="22189" xr:uid="{19EC36C3-C5DE-4C8F-B1EA-9C7970E306DC}"/>
    <cellStyle name="Warning Text 6 2 4 2 2" xfId="22190" xr:uid="{6FF3AF08-290A-4F0C-A043-27906D216E2D}"/>
    <cellStyle name="Warning Text 6 2 4 3" xfId="22191" xr:uid="{A0D4C7D7-2DEC-49DB-A146-BAA1A3BE8921}"/>
    <cellStyle name="Warning Text 6 2 4 3 2" xfId="22192" xr:uid="{53D15EE9-9FCD-4597-9DDF-C38C369218BB}"/>
    <cellStyle name="Warning Text 6 2 4 4" xfId="22193" xr:uid="{944BA0BD-AF08-4FE2-94F6-60335CAC2C11}"/>
    <cellStyle name="Warning Text 6 2 4 4 2" xfId="22194" xr:uid="{A7B81FDF-E05E-403A-88A3-FE2E3C3B642E}"/>
    <cellStyle name="Warning Text 6 2 4 5" xfId="22195" xr:uid="{3B4AFC61-8C87-4350-B360-EDA593F18345}"/>
    <cellStyle name="Warning Text 6 2 5" xfId="22196" xr:uid="{BB1243AE-C64C-47F2-B139-3C484EF04917}"/>
    <cellStyle name="Warning Text 6 2 5 2" xfId="22197" xr:uid="{C58E9F0B-AEAB-4E41-BEBD-4B170FCB7E76}"/>
    <cellStyle name="Warning Text 6 2 5 2 2" xfId="22198" xr:uid="{F800CB0B-BE4A-46C8-A80D-1EA5C6C6EA6A}"/>
    <cellStyle name="Warning Text 6 2 5 3" xfId="22199" xr:uid="{2F4EE003-84A2-4A6A-A8C0-BFCD225CA67E}"/>
    <cellStyle name="Warning Text 6 2 5 3 2" xfId="22200" xr:uid="{91DEF2CB-8AF5-4F48-B8EC-515894DF807C}"/>
    <cellStyle name="Warning Text 6 2 5 4" xfId="22201" xr:uid="{86AEF4BE-B57F-42E1-B7D9-358D4C7397CF}"/>
    <cellStyle name="Warning Text 6 2 6" xfId="22202" xr:uid="{A5819D23-FC4A-4F7D-8E17-311C5A3E6ECF}"/>
    <cellStyle name="Warning Text 6 2 6 2" xfId="22203" xr:uid="{D9195895-E091-498C-B1E1-E6E45E3C6BAA}"/>
    <cellStyle name="Warning Text 6 2 7" xfId="22204" xr:uid="{2161D974-B653-407E-93F2-8237377E7287}"/>
    <cellStyle name="Warning Text 6 2 7 2" xfId="22205" xr:uid="{CDA16C7C-B631-465B-9D05-D3889ECF2A20}"/>
    <cellStyle name="Warning Text 6 2 8" xfId="22206" xr:uid="{C12067B5-4F7D-40DD-AE7B-D90FB07E8B7F}"/>
    <cellStyle name="Warning Text 6 2 8 2" xfId="22207" xr:uid="{EABA86D7-44DD-427E-ACC2-857BC9C41639}"/>
    <cellStyle name="Warning Text 6 2 9" xfId="22208" xr:uid="{FE36F096-7B4C-4253-B57A-F94C415D4CE9}"/>
    <cellStyle name="Warning Text 6 3" xfId="22209" xr:uid="{BEB4BEAE-D04C-4428-B894-7430255829FE}"/>
    <cellStyle name="Warning Text 6 3 2" xfId="22210" xr:uid="{B939449C-D216-4467-A28D-20B9FD889620}"/>
    <cellStyle name="Warning Text 6 3 2 2" xfId="22211" xr:uid="{0C405EB9-4975-499C-903E-D1CF8702727F}"/>
    <cellStyle name="Warning Text 6 3 3" xfId="22212" xr:uid="{96A41C2A-848C-4D23-8345-0453386DD433}"/>
    <cellStyle name="Warning Text 6 3 3 2" xfId="22213" xr:uid="{A5E2CD96-B8C4-48E7-A0F6-130E583EC5C5}"/>
    <cellStyle name="Warning Text 6 3 4" xfId="22214" xr:uid="{9BA1A7FD-1BEA-4D13-AD4A-9E62C6952D85}"/>
    <cellStyle name="Warning Text 6 3 5" xfId="22215" xr:uid="{77494370-3559-4485-8B93-FC1ED31CDC35}"/>
    <cellStyle name="Warning Text 6 4" xfId="22216" xr:uid="{4128A502-7B92-49B6-9534-EDAEC0FF9720}"/>
    <cellStyle name="Warning Text 6 4 2" xfId="22217" xr:uid="{6EAEA7E1-9567-4704-B1C0-01DCAEDBB7A3}"/>
    <cellStyle name="Warning Text 6 4 2 2" xfId="22218" xr:uid="{9B0B0A9C-EABF-4877-8DCC-51BB15F49C42}"/>
    <cellStyle name="Warning Text 6 4 3" xfId="22219" xr:uid="{64587714-679A-4AB0-9402-C879A1E6B294}"/>
    <cellStyle name="Warning Text 6 4 3 2" xfId="22220" xr:uid="{08331632-73C4-43C6-9015-54001BC92C10}"/>
    <cellStyle name="Warning Text 6 4 4" xfId="22221" xr:uid="{CE7F681F-CF35-4CD1-B0ED-A9B8A55B55DF}"/>
    <cellStyle name="Warning Text 6 5" xfId="22222" xr:uid="{2B33ED40-D9CE-4DFC-8013-172D93FBA636}"/>
    <cellStyle name="Warning Text 6 5 2" xfId="22223" xr:uid="{4F46A969-5515-4D5E-86D8-2211D494C833}"/>
    <cellStyle name="Warning Text 6 5 2 2" xfId="22224" xr:uid="{160736D6-830D-4420-B75D-0368C547C2DA}"/>
    <cellStyle name="Warning Text 6 5 3" xfId="22225" xr:uid="{9DADB3B5-EEC3-4E72-BCDF-0B7AAEB394F0}"/>
    <cellStyle name="Warning Text 6 5 3 2" xfId="22226" xr:uid="{30D7F3EC-8AB8-49C2-A913-6AD2C810DE21}"/>
    <cellStyle name="Warning Text 6 5 4" xfId="22227" xr:uid="{D08E9819-5694-476A-A088-D11D5E321F64}"/>
    <cellStyle name="Warning Text 6 6" xfId="22228" xr:uid="{C256D0B8-299E-4F9B-BC78-560041BBFE61}"/>
    <cellStyle name="Warning Text 6 6 2" xfId="22229" xr:uid="{FF381054-CDB9-45D6-A371-24244AEB97C6}"/>
    <cellStyle name="Warning Text 6 6 2 2" xfId="22230" xr:uid="{8E5476DC-A5C3-4595-88E7-C1D2A7AE7FB3}"/>
    <cellStyle name="Warning Text 6 6 3" xfId="22231" xr:uid="{51F99EE8-8BB3-4774-9236-C363A834619D}"/>
    <cellStyle name="Warning Text 6 6 3 2" xfId="22232" xr:uid="{3D0A6B16-A9C2-447A-86F1-E014D2E5D252}"/>
    <cellStyle name="Warning Text 6 6 4" xfId="22233" xr:uid="{42931740-BDFA-42DC-A363-2C9504A924AF}"/>
    <cellStyle name="Warning Text 6 6 4 2" xfId="22234" xr:uid="{A7B2D5B5-5BE7-4F3E-BA5B-2BA39FDDFF0F}"/>
    <cellStyle name="Warning Text 6 6 5" xfId="22235" xr:uid="{5756ADDC-95A5-482E-84A1-62B21EDBE3E0}"/>
    <cellStyle name="Warning Text 6 7" xfId="22236" xr:uid="{FC391AB1-6756-4803-8275-AF13346A8CE7}"/>
    <cellStyle name="Warning Text 6 7 2" xfId="22237" xr:uid="{7F0CAE22-DCC1-41BB-9C00-BE7B7FD858D5}"/>
    <cellStyle name="Warning Text 6 7 2 2" xfId="22238" xr:uid="{A3B3D01B-F730-4171-B996-CFE4B0D0A463}"/>
    <cellStyle name="Warning Text 6 7 3" xfId="22239" xr:uid="{9475B065-2710-4F0E-8D28-630E93C22D2E}"/>
    <cellStyle name="Warning Text 6 7 3 2" xfId="22240" xr:uid="{E7727FB4-7BE6-40FD-9570-A25945A4739E}"/>
    <cellStyle name="Warning Text 6 7 4" xfId="22241" xr:uid="{9736405D-C7A1-4132-A4E3-2FB856DCF173}"/>
    <cellStyle name="Warning Text 6 8" xfId="22242" xr:uid="{C67D3D4B-D21A-4869-9E3D-E5E505561640}"/>
    <cellStyle name="Warning Text 6 8 2" xfId="22243" xr:uid="{6F84E638-718A-48B0-B79F-754B16FA3DEB}"/>
    <cellStyle name="Warning Text 6 9" xfId="22244" xr:uid="{A964D15B-1911-48B7-94A2-F95796098CAF}"/>
    <cellStyle name="Warning Text 6 9 2" xfId="22245" xr:uid="{99F1B8BD-5EF0-4AF4-9423-FB5DD9CE776E}"/>
    <cellStyle name="Warning Text 7" xfId="3390" xr:uid="{39E14BA5-08A9-4D5F-B43D-51AE4CFCE753}"/>
    <cellStyle name="Warning Text 7 10" xfId="22247" xr:uid="{18CEA6FC-F155-4D52-9B93-ACB782C5F0CB}"/>
    <cellStyle name="Warning Text 7 11" xfId="22248" xr:uid="{B2F97898-2DCF-4873-9F72-6A0DFBAB6227}"/>
    <cellStyle name="Warning Text 7 12" xfId="22246" xr:uid="{48037F8B-484B-4806-BF2B-D5312EFCA29F}"/>
    <cellStyle name="Warning Text 7 2" xfId="22249" xr:uid="{028E3032-48E7-481A-BC6C-EE6A9AD78F71}"/>
    <cellStyle name="Warning Text 7 2 2" xfId="22250" xr:uid="{CE792565-4150-4E56-ABFF-4ACAB51D88AA}"/>
    <cellStyle name="Warning Text 7 2 2 2" xfId="22251" xr:uid="{A81BD66E-B96E-4C2C-8321-17F1C67716FB}"/>
    <cellStyle name="Warning Text 7 2 3" xfId="22252" xr:uid="{33235B86-29BA-445F-AAA5-016C5E4DBF1A}"/>
    <cellStyle name="Warning Text 7 2 3 2" xfId="22253" xr:uid="{EF4C15EF-4D9E-47D4-9BE5-1EF3817568D2}"/>
    <cellStyle name="Warning Text 7 2 4" xfId="22254" xr:uid="{3E62030E-1003-48B6-B795-9D8128192A87}"/>
    <cellStyle name="Warning Text 7 2 5" xfId="22255" xr:uid="{6DADD84E-0EE2-489A-94BF-D751B3686042}"/>
    <cellStyle name="Warning Text 7 3" xfId="22256" xr:uid="{A5A46FA1-D405-411D-AA66-ED49ADCC3EAB}"/>
    <cellStyle name="Warning Text 7 3 2" xfId="22257" xr:uid="{2144532E-5DAA-4F28-8DFE-76524A5E7603}"/>
    <cellStyle name="Warning Text 7 3 2 2" xfId="22258" xr:uid="{08011775-7DB2-47ED-8229-1714220E12A1}"/>
    <cellStyle name="Warning Text 7 3 3" xfId="22259" xr:uid="{6EDC4E03-DB71-473F-8754-E3FFD56CAA6D}"/>
    <cellStyle name="Warning Text 7 3 3 2" xfId="22260" xr:uid="{D3F85C9A-2079-40B5-93F3-FD646BBA7C74}"/>
    <cellStyle name="Warning Text 7 3 4" xfId="22261" xr:uid="{7BF91EF7-E740-41FC-9B65-3FB88A0FB406}"/>
    <cellStyle name="Warning Text 7 4" xfId="22262" xr:uid="{2D5E7F4F-3FF4-4204-B1C9-25066D3A5F39}"/>
    <cellStyle name="Warning Text 7 4 2" xfId="22263" xr:uid="{8461B25E-D331-4708-918C-F3E53E5905B4}"/>
    <cellStyle name="Warning Text 7 4 2 2" xfId="22264" xr:uid="{26D188AB-3BE5-4CF8-BE40-558108B5B741}"/>
    <cellStyle name="Warning Text 7 4 3" xfId="22265" xr:uid="{62DFE0E2-C673-45D2-ADFC-C19665E97A14}"/>
    <cellStyle name="Warning Text 7 4 3 2" xfId="22266" xr:uid="{D72AF12C-05BC-4E4E-8A74-BF2CF0F874B7}"/>
    <cellStyle name="Warning Text 7 4 4" xfId="22267" xr:uid="{C127EDFA-5F55-4E0A-918B-9E7ABB6E648D}"/>
    <cellStyle name="Warning Text 7 5" xfId="22268" xr:uid="{16C3A978-7B6C-4821-8890-3AB41913DB06}"/>
    <cellStyle name="Warning Text 7 5 2" xfId="22269" xr:uid="{77655C76-02C4-4948-A321-92D7402EEB33}"/>
    <cellStyle name="Warning Text 7 5 2 2" xfId="22270" xr:uid="{046AAF8A-F34E-476F-9072-AED396C3EDBE}"/>
    <cellStyle name="Warning Text 7 5 3" xfId="22271" xr:uid="{CBDC54EF-6EF7-419E-AFA5-B683C40D7E97}"/>
    <cellStyle name="Warning Text 7 5 3 2" xfId="22272" xr:uid="{57F0EFEF-A57C-424A-9FC1-01DF455F58EB}"/>
    <cellStyle name="Warning Text 7 5 4" xfId="22273" xr:uid="{A7FACDAC-AC33-4BE0-9C75-B96EA0C54DFE}"/>
    <cellStyle name="Warning Text 7 5 4 2" xfId="22274" xr:uid="{85B7EAAE-CC5C-4555-8C21-3C6698EA49B5}"/>
    <cellStyle name="Warning Text 7 5 5" xfId="22275" xr:uid="{3AE19FAA-47A6-4E0A-841F-2139BD864E52}"/>
    <cellStyle name="Warning Text 7 6" xfId="22276" xr:uid="{B1815467-1BAF-4638-ADA9-8352A48535BF}"/>
    <cellStyle name="Warning Text 7 6 2" xfId="22277" xr:uid="{77410C4F-C356-40A5-BF67-DB159C3C0B80}"/>
    <cellStyle name="Warning Text 7 6 2 2" xfId="22278" xr:uid="{69DA9ED3-1956-4812-9DE5-CCB6D58108E2}"/>
    <cellStyle name="Warning Text 7 6 3" xfId="22279" xr:uid="{1DA2B645-4C42-4C26-8C5E-A8722AFF4AA7}"/>
    <cellStyle name="Warning Text 7 6 3 2" xfId="22280" xr:uid="{EAA0D5D0-2DE0-4050-AE51-DA59402A7CE0}"/>
    <cellStyle name="Warning Text 7 6 4" xfId="22281" xr:uid="{4C499080-D30C-4390-B595-E6AEB27D03A2}"/>
    <cellStyle name="Warning Text 7 7" xfId="22282" xr:uid="{D90095B2-A65B-484A-9914-B4A7B5AD3C9A}"/>
    <cellStyle name="Warning Text 7 7 2" xfId="22283" xr:uid="{9987838A-FB7E-416B-A6A8-1AADC9D251AB}"/>
    <cellStyle name="Warning Text 7 8" xfId="22284" xr:uid="{35944058-00DE-413C-BEF4-E75D2CED0E15}"/>
    <cellStyle name="Warning Text 7 8 2" xfId="22285" xr:uid="{608ECDC7-EEAF-4873-A1BB-7D900A5C6703}"/>
    <cellStyle name="Warning Text 7 9" xfId="22286" xr:uid="{6DE699D8-3A56-4B8E-B94F-64D83D909DEA}"/>
    <cellStyle name="Warning Text 7 9 2" xfId="22287" xr:uid="{A8954F54-7EE4-4AB4-A116-1CC3E8D68207}"/>
    <cellStyle name="Warning Text 8" xfId="3391" xr:uid="{556CDF81-8093-4B03-AC49-B40B4C8F757F}"/>
    <cellStyle name="Warning Text 8 10" xfId="22289" xr:uid="{A78C3859-D7E2-4817-8851-C0209CC0D4C1}"/>
    <cellStyle name="Warning Text 8 11" xfId="22290" xr:uid="{1A45F0B1-2134-4F37-BE64-4E01B99F0748}"/>
    <cellStyle name="Warning Text 8 12" xfId="22288" xr:uid="{C73E651F-D2AF-4988-9E8D-4BFBBD913E83}"/>
    <cellStyle name="Warning Text 8 2" xfId="22291" xr:uid="{84F67E4E-7738-4266-8EA8-8EC82D1DB232}"/>
    <cellStyle name="Warning Text 8 2 2" xfId="22292" xr:uid="{E6797B4C-5C7A-4BB2-8481-A7BECF33C21A}"/>
    <cellStyle name="Warning Text 8 2 2 2" xfId="22293" xr:uid="{1DC6DE48-08A6-451D-A32C-F6EEDA12DB6E}"/>
    <cellStyle name="Warning Text 8 2 3" xfId="22294" xr:uid="{C5B5C613-92B0-4C2C-9F3F-AF982D1F46D9}"/>
    <cellStyle name="Warning Text 8 2 3 2" xfId="22295" xr:uid="{A8931353-EA9E-4D78-8F86-7C72E25E6BCE}"/>
    <cellStyle name="Warning Text 8 2 4" xfId="22296" xr:uid="{3B20453A-7EFE-4BB6-9FFA-C71619D41A50}"/>
    <cellStyle name="Warning Text 8 2 5" xfId="22297" xr:uid="{D97D3FA1-975E-48A5-AB93-3E64A1F41941}"/>
    <cellStyle name="Warning Text 8 3" xfId="22298" xr:uid="{6656D1F7-F301-4A84-97DF-B4D8AF9BBB59}"/>
    <cellStyle name="Warning Text 8 3 2" xfId="22299" xr:uid="{B5F66809-5B3F-4F1A-AD27-EE8D60A1B24A}"/>
    <cellStyle name="Warning Text 8 3 2 2" xfId="22300" xr:uid="{CBAC8AB2-ABDD-4508-8EAA-071B9FF8EDBB}"/>
    <cellStyle name="Warning Text 8 3 3" xfId="22301" xr:uid="{C6F12D8E-7AE2-48E7-9788-DE72D3155B59}"/>
    <cellStyle name="Warning Text 8 3 3 2" xfId="22302" xr:uid="{8D22691D-4334-4968-8E33-3C340CCCC667}"/>
    <cellStyle name="Warning Text 8 3 4" xfId="22303" xr:uid="{9683F350-2774-4AE4-9E04-5D6E5FFF5F4E}"/>
    <cellStyle name="Warning Text 8 4" xfId="22304" xr:uid="{FD0315DF-1E96-4769-8C45-329AB2FC2921}"/>
    <cellStyle name="Warning Text 8 4 2" xfId="22305" xr:uid="{F3A086C4-B416-49AC-8F28-1079C2154BD5}"/>
    <cellStyle name="Warning Text 8 4 2 2" xfId="22306" xr:uid="{E8CE7ADC-B7D0-4439-9DE4-D9660FFD0D2C}"/>
    <cellStyle name="Warning Text 8 4 3" xfId="22307" xr:uid="{1D98E08D-04E3-499A-92F1-00F1966004AE}"/>
    <cellStyle name="Warning Text 8 4 3 2" xfId="22308" xr:uid="{653D5A04-054D-4CFB-8AB1-1B2074B45782}"/>
    <cellStyle name="Warning Text 8 4 4" xfId="22309" xr:uid="{1F34026C-05B3-4225-852D-F458498DDC03}"/>
    <cellStyle name="Warning Text 8 5" xfId="22310" xr:uid="{7A9792F6-0828-4602-B35B-1894DC4BEA2E}"/>
    <cellStyle name="Warning Text 8 5 2" xfId="22311" xr:uid="{E3562CE4-C955-4BDE-B7C5-D7557BCC8E9A}"/>
    <cellStyle name="Warning Text 8 5 2 2" xfId="22312" xr:uid="{93BCA127-CB09-4B52-B867-CF650F5AB16B}"/>
    <cellStyle name="Warning Text 8 5 3" xfId="22313" xr:uid="{DBAA504D-A3B5-4E20-A1AE-43A5ADC40326}"/>
    <cellStyle name="Warning Text 8 5 3 2" xfId="22314" xr:uid="{2648BEB4-CF88-4CD5-B3A7-DF739A0548FF}"/>
    <cellStyle name="Warning Text 8 5 4" xfId="22315" xr:uid="{EB99C9B2-6A25-457C-AC77-174F46DBCBE6}"/>
    <cellStyle name="Warning Text 8 5 4 2" xfId="22316" xr:uid="{1D093167-CD1B-49FF-8097-AC579100F9A2}"/>
    <cellStyle name="Warning Text 8 5 5" xfId="22317" xr:uid="{047ABC44-7C0C-4488-93A1-3BF90C202576}"/>
    <cellStyle name="Warning Text 8 6" xfId="22318" xr:uid="{308E5E86-CE4C-4BC5-BDAF-221DA9BE819B}"/>
    <cellStyle name="Warning Text 8 6 2" xfId="22319" xr:uid="{77650AC1-155D-4B1D-8823-D00A0DBC1361}"/>
    <cellStyle name="Warning Text 8 6 2 2" xfId="22320" xr:uid="{A22C663A-8C85-4E5B-A628-69B3E72EE2E1}"/>
    <cellStyle name="Warning Text 8 6 3" xfId="22321" xr:uid="{5070F63A-55FA-4554-9649-9834CC98AD60}"/>
    <cellStyle name="Warning Text 8 6 3 2" xfId="22322" xr:uid="{6BCD1D15-4E63-4404-8AB0-D6F2B2263C94}"/>
    <cellStyle name="Warning Text 8 6 4" xfId="22323" xr:uid="{52A5F2CD-8300-40BF-A394-24F543B46F96}"/>
    <cellStyle name="Warning Text 8 7" xfId="22324" xr:uid="{CCD2CE0A-D903-4241-AD97-373379AE4129}"/>
    <cellStyle name="Warning Text 8 7 2" xfId="22325" xr:uid="{D7ED86FF-907D-46C2-AC3B-6E8AC7FCA5AB}"/>
    <cellStyle name="Warning Text 8 8" xfId="22326" xr:uid="{63398FA6-7DB7-49B9-AE8A-0713697E76D2}"/>
    <cellStyle name="Warning Text 8 8 2" xfId="22327" xr:uid="{4A6B6E42-E5C1-4515-92D4-2A86145628EA}"/>
    <cellStyle name="Warning Text 8 9" xfId="22328" xr:uid="{E23FBCF2-D208-4619-B6BC-BAB674DBE48C}"/>
    <cellStyle name="Warning Text 8 9 2" xfId="22329" xr:uid="{EE67C3E5-6C9A-4048-8FFB-F4499E5E4A0D}"/>
    <cellStyle name="Warning Text 9" xfId="3392" xr:uid="{A1156116-E4A6-43C0-AAAC-409F184FC067}"/>
    <cellStyle name="Warning Text 9 10" xfId="22331" xr:uid="{A4BF25A2-B730-471B-825E-ACB442C8E457}"/>
    <cellStyle name="Warning Text 9 11" xfId="22332" xr:uid="{BFE915BA-1401-41CC-A52E-170D71F19EF8}"/>
    <cellStyle name="Warning Text 9 12" xfId="22330" xr:uid="{E7C24BBC-2A70-481B-85EC-EFF5FA51EF8B}"/>
    <cellStyle name="Warning Text 9 2" xfId="22333" xr:uid="{AD41FC68-5727-4226-A15A-74C1E1E2EF0B}"/>
    <cellStyle name="Warning Text 9 2 2" xfId="22334" xr:uid="{7135E0D6-FBE9-4ECD-9224-643454450481}"/>
    <cellStyle name="Warning Text 9 2 2 2" xfId="22335" xr:uid="{6F3DBA7B-8CCE-4FF3-A121-6264B2E52EFC}"/>
    <cellStyle name="Warning Text 9 2 3" xfId="22336" xr:uid="{264EECEB-8B4D-432D-B85D-60869C8E826F}"/>
    <cellStyle name="Warning Text 9 2 3 2" xfId="22337" xr:uid="{9E9986B7-2BF2-43D9-B79F-1DF89F0D3A32}"/>
    <cellStyle name="Warning Text 9 2 4" xfId="22338" xr:uid="{D1D42E22-F56C-471E-AE4E-FE9609FF9691}"/>
    <cellStyle name="Warning Text 9 2 5" xfId="22339" xr:uid="{F8CEBCF3-7239-49FE-90AE-1C527B793BE1}"/>
    <cellStyle name="Warning Text 9 3" xfId="22340" xr:uid="{B0A81948-8E54-49A1-965B-B98A4B80EA77}"/>
    <cellStyle name="Warning Text 9 3 2" xfId="22341" xr:uid="{3F23EB3C-6C65-4870-A0D3-938685EA4569}"/>
    <cellStyle name="Warning Text 9 3 2 2" xfId="22342" xr:uid="{060AD4EA-157F-4CBA-B9C4-9BBB52897A4C}"/>
    <cellStyle name="Warning Text 9 3 3" xfId="22343" xr:uid="{700E9CA5-AD44-4765-A914-0A9C4F2EB635}"/>
    <cellStyle name="Warning Text 9 3 3 2" xfId="22344" xr:uid="{00D40785-EA3D-4E2B-8C12-B9B766B1D61A}"/>
    <cellStyle name="Warning Text 9 3 4" xfId="22345" xr:uid="{888C4D37-E4B2-4A33-9654-F92D9584A7CD}"/>
    <cellStyle name="Warning Text 9 4" xfId="22346" xr:uid="{C100803E-F76D-46EF-B896-0CF1F49F9CC5}"/>
    <cellStyle name="Warning Text 9 4 2" xfId="22347" xr:uid="{A3E07A1C-2548-4D6E-A6B2-3FEE58B83CE4}"/>
    <cellStyle name="Warning Text 9 4 2 2" xfId="22348" xr:uid="{08F48292-7FB0-4642-B96B-0E01DC15C6DC}"/>
    <cellStyle name="Warning Text 9 4 3" xfId="22349" xr:uid="{6DF7E23A-05D9-4DC8-8C12-6E6B865BA371}"/>
    <cellStyle name="Warning Text 9 4 3 2" xfId="22350" xr:uid="{A39F401F-0391-4741-86AA-1B01BCF6542E}"/>
    <cellStyle name="Warning Text 9 4 4" xfId="22351" xr:uid="{165A7089-86ED-44E4-92D9-FC9A8B081872}"/>
    <cellStyle name="Warning Text 9 5" xfId="22352" xr:uid="{F622FCEB-4F03-47A9-A903-751278741BCF}"/>
    <cellStyle name="Warning Text 9 5 2" xfId="22353" xr:uid="{6837F79A-B555-4914-BB9E-B8DF865EA3A9}"/>
    <cellStyle name="Warning Text 9 5 2 2" xfId="22354" xr:uid="{92A2BBB8-884C-42E3-8364-187C84D34C5C}"/>
    <cellStyle name="Warning Text 9 5 3" xfId="22355" xr:uid="{0AFDCFC4-B9BA-458D-88DA-2613A6B53A95}"/>
    <cellStyle name="Warning Text 9 5 3 2" xfId="22356" xr:uid="{3B63180E-3AD1-427E-9185-0AEF2049997D}"/>
    <cellStyle name="Warning Text 9 5 4" xfId="22357" xr:uid="{38D87CF8-751F-4333-986E-CC27862B1782}"/>
    <cellStyle name="Warning Text 9 5 4 2" xfId="22358" xr:uid="{A67D5DEF-F9D9-4E42-A2E2-10E2AA8B9A21}"/>
    <cellStyle name="Warning Text 9 5 5" xfId="22359" xr:uid="{679D01D2-D51E-45A8-87E8-E1198067F0CD}"/>
    <cellStyle name="Warning Text 9 6" xfId="22360" xr:uid="{15E250BE-F9D3-47CF-BC31-82EE7C9A69FA}"/>
    <cellStyle name="Warning Text 9 6 2" xfId="22361" xr:uid="{574E2C55-BBA1-4790-B06C-04F5E611CBB7}"/>
    <cellStyle name="Warning Text 9 6 2 2" xfId="22362" xr:uid="{FEEA75B5-48A5-4583-B916-EDC45983310D}"/>
    <cellStyle name="Warning Text 9 6 3" xfId="22363" xr:uid="{BE625CD0-1378-4B86-B268-3585324C9B7E}"/>
    <cellStyle name="Warning Text 9 6 3 2" xfId="22364" xr:uid="{3EFCAA8D-0B3C-46FC-B23D-80D6453B6449}"/>
    <cellStyle name="Warning Text 9 6 4" xfId="22365" xr:uid="{9FD8019C-BBB5-4421-BB9D-E6E23242F4D9}"/>
    <cellStyle name="Warning Text 9 7" xfId="22366" xr:uid="{2EDFA613-06F6-4873-B8E8-29D631D5BBA9}"/>
    <cellStyle name="Warning Text 9 7 2" xfId="22367" xr:uid="{52715660-004D-4EA5-A3FE-8B857F8C1A07}"/>
    <cellStyle name="Warning Text 9 8" xfId="22368" xr:uid="{90F0FE53-9365-445A-A6C8-6777C797C436}"/>
    <cellStyle name="Warning Text 9 8 2" xfId="22369" xr:uid="{EC4735D6-AEB7-4A8A-BEEA-692A65ECEDE7}"/>
    <cellStyle name="Warning Text 9 9" xfId="22370" xr:uid="{DC4D2534-7C1F-47D4-9545-91EDF42452F0}"/>
    <cellStyle name="Warning Text 9 9 2" xfId="22371" xr:uid="{EC0B87F1-00D8-411A-A2C2-2B7A4BC095D8}"/>
    <cellStyle name="Zelle überprüfen" xfId="3393" xr:uid="{D0EA4D45-D4EB-43BE-BC4F-D1505177FDFC}"/>
    <cellStyle name="Zelle überprüfen 10" xfId="22373" xr:uid="{E642DBA4-4A4E-4444-AFB1-26314D841D02}"/>
    <cellStyle name="Zelle überprüfen 11" xfId="22374" xr:uid="{D98C7F85-446B-4232-BEEA-465E303FD4BC}"/>
    <cellStyle name="Zelle überprüfen 12" xfId="22372" xr:uid="{B23CB761-1AD1-49B6-B349-1EEA2F42536F}"/>
    <cellStyle name="Zelle überprüfen 2" xfId="22375" xr:uid="{A3C00F65-94BC-4B99-9661-CF6FAA3D86D8}"/>
    <cellStyle name="Zelle überprüfen 2 2" xfId="22376" xr:uid="{08102C00-08A4-41B6-99FE-810D936923C2}"/>
    <cellStyle name="Zelle überprüfen 2 2 2" xfId="22377" xr:uid="{52FE4801-3381-441C-8639-E8A9DBAA3996}"/>
    <cellStyle name="Zelle überprüfen 2 3" xfId="22378" xr:uid="{751A1B96-4139-4D2D-AA9C-7AB5CAA73160}"/>
    <cellStyle name="Zelle überprüfen 2 3 2" xfId="22379" xr:uid="{1ABEF553-53D9-43E1-8338-D64D400C63AB}"/>
    <cellStyle name="Zelle überprüfen 2 4" xfId="22380" xr:uid="{BA8FB942-5485-442B-8989-53C59381D182}"/>
    <cellStyle name="Zelle überprüfen 2 5" xfId="22381" xr:uid="{68D83B3E-82A7-4487-947D-7138BD796536}"/>
    <cellStyle name="Zelle überprüfen 3" xfId="22382" xr:uid="{4E3695DD-17A7-46D8-9AA8-51A09EB9B92F}"/>
    <cellStyle name="Zelle überprüfen 3 2" xfId="22383" xr:uid="{87993C9D-13E5-46F2-ADDD-7C3DB85E4030}"/>
    <cellStyle name="Zelle überprüfen 3 2 2" xfId="22384" xr:uid="{8D1AE43F-BCD4-4F51-94C6-20B7C83F6C5B}"/>
    <cellStyle name="Zelle überprüfen 3 3" xfId="22385" xr:uid="{47B0578C-0180-4455-B0DA-A2DC2B3B7775}"/>
    <cellStyle name="Zelle überprüfen 3 3 2" xfId="22386" xr:uid="{9AD0AB50-87B1-4EA9-ABCC-225C9C114465}"/>
    <cellStyle name="Zelle überprüfen 3 4" xfId="22387" xr:uid="{65409882-BC9F-4B43-9936-199775C4AB33}"/>
    <cellStyle name="Zelle überprüfen 4" xfId="22388" xr:uid="{4898BE0A-4FF1-452B-B957-801186248951}"/>
    <cellStyle name="Zelle überprüfen 4 2" xfId="22389" xr:uid="{44A45D30-43B4-4AE3-98E9-4FDFCE28640B}"/>
    <cellStyle name="Zelle überprüfen 4 2 2" xfId="22390" xr:uid="{AA2FE05E-61FE-4832-8F14-5BF88CD25C72}"/>
    <cellStyle name="Zelle überprüfen 4 3" xfId="22391" xr:uid="{8AE53AEF-E08B-4996-BA45-9A9E87F8C6DE}"/>
    <cellStyle name="Zelle überprüfen 4 3 2" xfId="22392" xr:uid="{4F37DAE6-FD2C-4E46-B061-BF56BC6FDD0D}"/>
    <cellStyle name="Zelle überprüfen 4 4" xfId="22393" xr:uid="{CDDBB7FE-FEFA-486F-8408-1D641A6C8C82}"/>
    <cellStyle name="Zelle überprüfen 5" xfId="22394" xr:uid="{62EC5734-BFE3-41C3-8E9C-178C112A98D8}"/>
    <cellStyle name="Zelle überprüfen 5 2" xfId="22395" xr:uid="{48BB91F4-46F2-4C7F-A89A-53F51BD0BFC8}"/>
    <cellStyle name="Zelle überprüfen 5 2 2" xfId="22396" xr:uid="{247D7CAC-B8A4-4649-910A-CE1443E9A75E}"/>
    <cellStyle name="Zelle überprüfen 5 3" xfId="22397" xr:uid="{5A8B2EFC-36ED-479D-8060-D5C34B25302F}"/>
    <cellStyle name="Zelle überprüfen 5 3 2" xfId="22398" xr:uid="{AAD6FFB9-186E-4B3A-B45E-1BF7512E31F9}"/>
    <cellStyle name="Zelle überprüfen 5 4" xfId="22399" xr:uid="{5C71EB86-0A8D-44B7-8C44-1B99B388F914}"/>
    <cellStyle name="Zelle überprüfen 5 4 2" xfId="22400" xr:uid="{9C2BD350-4A1E-42A5-A52B-A3218783E38C}"/>
    <cellStyle name="Zelle überprüfen 5 5" xfId="22401" xr:uid="{DA303D5C-F634-465E-A9F8-478A0ACA9416}"/>
    <cellStyle name="Zelle überprüfen 6" xfId="22402" xr:uid="{E8AF7467-7B2C-421A-86FC-D38328C9C136}"/>
    <cellStyle name="Zelle überprüfen 6 2" xfId="22403" xr:uid="{8DA2AF86-68D7-43A5-B476-B4D6DF7367F3}"/>
    <cellStyle name="Zelle überprüfen 6 2 2" xfId="22404" xr:uid="{5AE3BB5D-C752-4CAF-869F-B02C51E0745E}"/>
    <cellStyle name="Zelle überprüfen 6 3" xfId="22405" xr:uid="{1D3D5BB5-36B1-40DD-9B72-900027CD212C}"/>
    <cellStyle name="Zelle überprüfen 6 3 2" xfId="22406" xr:uid="{B09728BC-0DC4-4E76-A3D5-4C476549AE9D}"/>
    <cellStyle name="Zelle überprüfen 6 4" xfId="22407" xr:uid="{19260FB3-33C5-4746-9B18-9D8A7A058E96}"/>
    <cellStyle name="Zelle überprüfen 7" xfId="22408" xr:uid="{31043594-8438-4612-8530-F54F90F75AEA}"/>
    <cellStyle name="Zelle überprüfen 7 2" xfId="22409" xr:uid="{A458C25E-3A64-4C20-B8D5-69513F240529}"/>
    <cellStyle name="Zelle überprüfen 8" xfId="22410" xr:uid="{8C3B932A-1D4E-444C-A73B-AEBE60A0395D}"/>
    <cellStyle name="Zelle überprüfen 8 2" xfId="22411" xr:uid="{27EF7886-0763-492A-A7F8-8F41BB4C8B84}"/>
    <cellStyle name="Zelle überprüfen 9" xfId="22412" xr:uid="{0DBAEA44-FBF1-4312-9205-7987F96ECF8C}"/>
    <cellStyle name="Zelle überprüfen 9 2" xfId="22413" xr:uid="{5D122421-629C-46AD-B802-53FC86E58A22}"/>
    <cellStyle name="Гиперссылка" xfId="3394" xr:uid="{6C69865D-9779-43E7-8561-96ACA4895E72}"/>
    <cellStyle name="Гиперссылка 10" xfId="22415" xr:uid="{BD070C5C-0F4F-461E-B869-490E980223EE}"/>
    <cellStyle name="Гиперссылка 11" xfId="22416" xr:uid="{BBE7E59B-8B68-4067-B29C-50E6D1D9ED9F}"/>
    <cellStyle name="Гиперссылка 12" xfId="22414" xr:uid="{20302EE8-BE54-4A67-9D2E-027702B3C07D}"/>
    <cellStyle name="Гиперссылка 2" xfId="22417" xr:uid="{11661DB1-2DE7-4761-B2EF-718628F6E2A3}"/>
    <cellStyle name="Гиперссылка 2 2" xfId="22418" xr:uid="{AEFEB1D2-7F20-4DE6-8653-A60B5A43D194}"/>
    <cellStyle name="Гиперссылка 2 2 2" xfId="22419" xr:uid="{F018D205-98AA-4DA0-BE3C-F548D0BB168C}"/>
    <cellStyle name="Гиперссылка 2 3" xfId="22420" xr:uid="{5DDFCEF7-003B-44B0-BDB2-178083A5E9D4}"/>
    <cellStyle name="Гиперссылка 2 3 2" xfId="22421" xr:uid="{C5A03C1B-4936-48BF-943C-F75387A11D70}"/>
    <cellStyle name="Гиперссылка 2 4" xfId="22422" xr:uid="{0E39F3BB-4D26-401F-ABCE-F2313E37B110}"/>
    <cellStyle name="Гиперссылка 2 5" xfId="22423" xr:uid="{9C30973B-2148-41EB-BF1A-2A8B114424E8}"/>
    <cellStyle name="Гиперссылка 3" xfId="22424" xr:uid="{4F5FEDC6-DC6B-4B90-8864-DDF960C49798}"/>
    <cellStyle name="Гиперссылка 3 2" xfId="22425" xr:uid="{D8062608-9677-4C80-989C-1A771CFEED23}"/>
    <cellStyle name="Гиперссылка 3 2 2" xfId="22426" xr:uid="{F5777BCB-04FD-4DC1-9407-A9CD40FA4143}"/>
    <cellStyle name="Гиперссылка 3 3" xfId="22427" xr:uid="{A3ED9BC4-7C7A-4473-8BE0-CCAA782E3668}"/>
    <cellStyle name="Гиперссылка 3 3 2" xfId="22428" xr:uid="{2668A14D-7D12-422C-B74D-23EB55BD076A}"/>
    <cellStyle name="Гиперссылка 3 4" xfId="22429" xr:uid="{11041075-030E-4A55-80AD-23499FD8F532}"/>
    <cellStyle name="Гиперссылка 4" xfId="22430" xr:uid="{4E7B20DC-6081-4B3D-A65F-610A3A4FBD63}"/>
    <cellStyle name="Гиперссылка 4 2" xfId="22431" xr:uid="{48B20F71-C447-481D-B496-017AC7705345}"/>
    <cellStyle name="Гиперссылка 4 2 2" xfId="22432" xr:uid="{0107D597-4CCD-4C93-8529-8A36D6638053}"/>
    <cellStyle name="Гиперссылка 4 3" xfId="22433" xr:uid="{E7B63C0A-4319-4684-9DEE-95B39D5123C9}"/>
    <cellStyle name="Гиперссылка 4 3 2" xfId="22434" xr:uid="{888DCE91-B3A7-4E0A-9E3E-DFE27D44FB35}"/>
    <cellStyle name="Гиперссылка 4 4" xfId="22435" xr:uid="{D09A8B99-7C49-446B-82F2-64F46FF265FC}"/>
    <cellStyle name="Гиперссылка 5" xfId="22436" xr:uid="{D893EBAD-253F-457C-98F2-4D9E98F6FBC1}"/>
    <cellStyle name="Гиперссылка 5 2" xfId="22437" xr:uid="{B9F9BC1B-751F-483C-BE35-303B878A52A8}"/>
    <cellStyle name="Гиперссылка 5 2 2" xfId="22438" xr:uid="{16B9B8A7-F6B9-4392-9F48-B9845A8D3618}"/>
    <cellStyle name="Гиперссылка 5 3" xfId="22439" xr:uid="{FA0F612C-CF12-47E3-9D7D-79E268C4A6AB}"/>
    <cellStyle name="Гиперссылка 5 3 2" xfId="22440" xr:uid="{2C901436-9F2C-43E3-A351-B0E90291C01C}"/>
    <cellStyle name="Гиперссылка 5 4" xfId="22441" xr:uid="{E2F7C50E-73B9-4C57-A56D-1C608869C62D}"/>
    <cellStyle name="Гиперссылка 5 4 2" xfId="22442" xr:uid="{CFB0523E-E887-4FFE-9E8E-D03E8885442C}"/>
    <cellStyle name="Гиперссылка 5 5" xfId="22443" xr:uid="{CF12815F-EA94-4D1F-9608-1189A11E818A}"/>
    <cellStyle name="Гиперссылка 6" xfId="22444" xr:uid="{17E389E9-EED1-4F5A-B2BB-A2C160A5E527}"/>
    <cellStyle name="Гиперссылка 6 2" xfId="22445" xr:uid="{10041578-E564-43A1-99EF-03D21B0A72F5}"/>
    <cellStyle name="Гиперссылка 6 2 2" xfId="22446" xr:uid="{18B0C454-6A48-435F-80EB-66E505E2346E}"/>
    <cellStyle name="Гиперссылка 6 3" xfId="22447" xr:uid="{AECDE47C-7C12-4D15-8052-82C46426A6CE}"/>
    <cellStyle name="Гиперссылка 6 3 2" xfId="22448" xr:uid="{AF8FA854-B02A-4D31-A015-B53906EE6DFA}"/>
    <cellStyle name="Гиперссылка 6 4" xfId="22449" xr:uid="{7B1ED455-12B3-44DB-8208-A40BCD078BCB}"/>
    <cellStyle name="Гиперссылка 7" xfId="22450" xr:uid="{79B6289E-519F-41B8-8DE8-BEAEE40379CD}"/>
    <cellStyle name="Гиперссылка 7 2" xfId="22451" xr:uid="{990134DD-D28D-4626-8F54-96A88350E932}"/>
    <cellStyle name="Гиперссылка 8" xfId="22452" xr:uid="{5D00F6F7-69EB-43D0-89E2-51C6B14BF99A}"/>
    <cellStyle name="Гиперссылка 8 2" xfId="22453" xr:uid="{D35365F0-9CE5-4281-80A8-E443DF6DCD12}"/>
    <cellStyle name="Гиперссылка 9" xfId="22454" xr:uid="{6CAB5AB2-97E4-40CF-A658-215F01CDC24A}"/>
    <cellStyle name="Гиперссылка 9 2" xfId="22455" xr:uid="{BD1C9326-D66C-4182-906B-4567AD1407D8}"/>
    <cellStyle name="Обычный_2++" xfId="3395" xr:uid="{C0CBDCA2-B77E-4CBF-8A29-066FA9581733}"/>
    <cellStyle name="已访问的超链接" xfId="342" xr:uid="{9EB71508-977B-44F8-AD4F-08392F8873D3}"/>
    <cellStyle name="已访问的超链接 10" xfId="22457" xr:uid="{8AE28BCB-DBC1-49BC-A122-629027C17FF0}"/>
    <cellStyle name="已访问的超链接 11" xfId="22458" xr:uid="{AAFBA2B1-BEFE-47B3-AE09-431E9762EF54}"/>
    <cellStyle name="已访问的超链接 12" xfId="22456" xr:uid="{4BB8200B-13D7-4A16-90CF-0DE4C12F23D2}"/>
    <cellStyle name="已访问的超链接 2" xfId="22459" xr:uid="{41F5E9AE-33AD-4EFF-8711-8825EDA96FF2}"/>
    <cellStyle name="已访问的超链接 2 2" xfId="22460" xr:uid="{ED40FE4D-E510-40AC-A10F-1DBFADE030AE}"/>
    <cellStyle name="已访问的超链接 2 2 2" xfId="22461" xr:uid="{EE0BD8F5-0F44-4BE9-9385-5CF1EFD5E7EA}"/>
    <cellStyle name="已访问的超链接 2 3" xfId="22462" xr:uid="{E8EAB88B-9099-4585-87D0-977E948E9216}"/>
    <cellStyle name="已访问的超链接 2 3 2" xfId="22463" xr:uid="{279F2C62-BA7E-4C1C-9F2D-F6003EBDBBA2}"/>
    <cellStyle name="已访问的超链接 2 4" xfId="22464" xr:uid="{1675B433-2D9F-4557-9B74-9844203F5C40}"/>
    <cellStyle name="已访问的超链接 2 5" xfId="22465" xr:uid="{CA99BA0E-C616-4F79-BE7A-EAD2867B3E49}"/>
    <cellStyle name="已访问的超链接 3" xfId="22466" xr:uid="{40248745-E10A-45B1-816E-4ACBE62C3303}"/>
    <cellStyle name="已访问的超链接 3 2" xfId="22467" xr:uid="{C356FB1C-16A6-446B-BE0F-EBEB0517AB37}"/>
    <cellStyle name="已访问的超链接 3 2 2" xfId="22468" xr:uid="{FA0EF4C4-C22F-4420-B814-F78D5F0191ED}"/>
    <cellStyle name="已访问的超链接 3 3" xfId="22469" xr:uid="{8170F64D-C928-4782-A2E6-55A8085D776B}"/>
    <cellStyle name="已访问的超链接 3 3 2" xfId="22470" xr:uid="{D2A4AE6D-07BF-46FD-91D2-15D8E320B486}"/>
    <cellStyle name="已访问的超链接 3 4" xfId="22471" xr:uid="{F18B88F6-3360-41B6-86DF-4B8701A900B7}"/>
    <cellStyle name="已访问的超链接 4" xfId="22472" xr:uid="{19C648F5-F114-4EFA-8C5C-2557C20F9B41}"/>
    <cellStyle name="已访问的超链接 4 2" xfId="22473" xr:uid="{478909FC-8FE9-46F8-94D0-D48DE872D3F3}"/>
    <cellStyle name="已访问的超链接 4 2 2" xfId="22474" xr:uid="{BCF4175F-80D4-427F-9C1C-D75B0D0F3BBD}"/>
    <cellStyle name="已访问的超链接 4 3" xfId="22475" xr:uid="{C2251E1D-1902-4DA3-B1A9-41BA6478D4E3}"/>
    <cellStyle name="已访问的超链接 4 3 2" xfId="22476" xr:uid="{30E320B5-C5B4-41B3-A603-AE9C4A78B038}"/>
    <cellStyle name="已访问的超链接 4 4" xfId="22477" xr:uid="{386A5EB7-89E4-4847-B3A0-CC693E7CE693}"/>
    <cellStyle name="已访问的超链接 5" xfId="22478" xr:uid="{A6723F95-AF1F-47C3-8F00-9C2A6401AA6C}"/>
    <cellStyle name="已访问的超链接 5 2" xfId="22479" xr:uid="{C1E9BD82-F8F0-49AB-9A26-1E0D5C9009CF}"/>
    <cellStyle name="已访问的超链接 5 2 2" xfId="22480" xr:uid="{0E9B872E-4396-4F01-B7B7-9F1969AB0AB3}"/>
    <cellStyle name="已访问的超链接 5 3" xfId="22481" xr:uid="{8CD65449-F7CE-480A-AB76-C0E7D174992B}"/>
    <cellStyle name="已访问的超链接 5 3 2" xfId="22482" xr:uid="{3AEF60E6-5582-480D-8C13-501640CFEFAF}"/>
    <cellStyle name="已访问的超链接 5 4" xfId="22483" xr:uid="{1FA9045A-D01F-4892-9696-E7B14DC16F3A}"/>
    <cellStyle name="已访问的超链接 5 4 2" xfId="22484" xr:uid="{5E980A08-20AC-4C38-95A0-202FC0CE1D46}"/>
    <cellStyle name="已访问的超链接 5 5" xfId="22485" xr:uid="{8471B5CC-C088-4C05-B60E-D9773DECD252}"/>
    <cellStyle name="已访问的超链接 6" xfId="22486" xr:uid="{63DBF66C-7C54-42C8-9AF0-EC00CF027B77}"/>
    <cellStyle name="已访问的超链接 6 2" xfId="22487" xr:uid="{1FCEB4A8-2E48-4FFE-B0CF-592615D229A0}"/>
    <cellStyle name="已访问的超链接 6 2 2" xfId="22488" xr:uid="{F3978896-9D46-4F5F-BC9A-1F042A93574F}"/>
    <cellStyle name="已访问的超链接 6 3" xfId="22489" xr:uid="{004DDB09-E30A-4365-A1C1-16951736B587}"/>
    <cellStyle name="已访问的超链接 6 3 2" xfId="22490" xr:uid="{0421AAE2-F52D-453E-863C-7732B33F2F26}"/>
    <cellStyle name="已访问的超链接 6 4" xfId="22491" xr:uid="{F48684A0-E01E-4FEA-B580-CC9284A8D9E6}"/>
    <cellStyle name="已访问的超链接 7" xfId="22492" xr:uid="{39F5694A-91B6-483C-ADFC-376B7D7E1DE4}"/>
    <cellStyle name="已访问的超链接 7 2" xfId="22493" xr:uid="{62DBA3B1-8CF5-4436-A0CC-353AF469D1F9}"/>
    <cellStyle name="已访问的超链接 8" xfId="22494" xr:uid="{B5136F1A-1A55-4ADA-80EF-4F412D040D03}"/>
    <cellStyle name="已访问的超链接 8 2" xfId="22495" xr:uid="{49D4A4F5-901C-40C1-9F5C-75DDCB77F2A3}"/>
    <cellStyle name="已访问的超链接 9" xfId="22496" xr:uid="{760B2E7A-7AE2-4E01-BB9B-03832AF7F0ED}"/>
    <cellStyle name="已访问的超链接 9 2" xfId="22497" xr:uid="{BE2B5C56-1FA0-4A77-ABEC-B5C290C8E03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scen2!$A$2</c:f>
              <c:strCache>
                <c:ptCount val="1"/>
                <c:pt idx="0">
                  <c:v>Scenario 2, Saved Building Stock [%]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scen2!$B$1:$AI$1</c:f>
              <c:strCache>
                <c:ptCount val="34"/>
                <c:pt idx="0">
                  <c:v>AL</c:v>
                </c:pt>
                <c:pt idx="1">
                  <c:v>AT</c:v>
                </c:pt>
                <c:pt idx="2">
                  <c:v>BA</c:v>
                </c:pt>
                <c:pt idx="3">
                  <c:v>BE</c:v>
                </c:pt>
                <c:pt idx="4">
                  <c:v>BG</c:v>
                </c:pt>
                <c:pt idx="5">
                  <c:v>CH</c:v>
                </c:pt>
                <c:pt idx="6">
                  <c:v>CZ</c:v>
                </c:pt>
                <c:pt idx="7">
                  <c:v>DE</c:v>
                </c:pt>
                <c:pt idx="8">
                  <c:v>DK</c:v>
                </c:pt>
                <c:pt idx="9">
                  <c:v>EE</c:v>
                </c:pt>
                <c:pt idx="10">
                  <c:v>EL</c:v>
                </c:pt>
                <c:pt idx="11">
                  <c:v>ES</c:v>
                </c:pt>
                <c:pt idx="12">
                  <c:v>FR</c:v>
                </c:pt>
                <c:pt idx="13">
                  <c:v>HR</c:v>
                </c:pt>
                <c:pt idx="14">
                  <c:v>HU</c:v>
                </c:pt>
                <c:pt idx="15">
                  <c:v>IE</c:v>
                </c:pt>
                <c:pt idx="16">
                  <c:v>IT</c:v>
                </c:pt>
                <c:pt idx="17">
                  <c:v>KS</c:v>
                </c:pt>
                <c:pt idx="18">
                  <c:v>LT</c:v>
                </c:pt>
                <c:pt idx="19">
                  <c:v>LU</c:v>
                </c:pt>
                <c:pt idx="20">
                  <c:v>LV</c:v>
                </c:pt>
                <c:pt idx="21">
                  <c:v>ME</c:v>
                </c:pt>
                <c:pt idx="22">
                  <c:v>MK</c:v>
                </c:pt>
                <c:pt idx="23">
                  <c:v>MT</c:v>
                </c:pt>
                <c:pt idx="24">
                  <c:v>NL</c:v>
                </c:pt>
                <c:pt idx="25">
                  <c:v>NO</c:v>
                </c:pt>
                <c:pt idx="26">
                  <c:v>PL</c:v>
                </c:pt>
                <c:pt idx="27">
                  <c:v>PT</c:v>
                </c:pt>
                <c:pt idx="28">
                  <c:v>RO</c:v>
                </c:pt>
                <c:pt idx="29">
                  <c:v>RS</c:v>
                </c:pt>
                <c:pt idx="30">
                  <c:v>SE</c:v>
                </c:pt>
                <c:pt idx="31">
                  <c:v>SI</c:v>
                </c:pt>
                <c:pt idx="32">
                  <c:v>SK</c:v>
                </c:pt>
                <c:pt idx="33">
                  <c:v>UK</c:v>
                </c:pt>
              </c:strCache>
            </c:strRef>
          </c:cat>
          <c:val>
            <c:numRef>
              <c:f>scen2!$B$2:$AI$2</c:f>
              <c:numCache>
                <c:formatCode>General</c:formatCode>
                <c:ptCount val="34"/>
                <c:pt idx="0">
                  <c:v>3.75</c:v>
                </c:pt>
                <c:pt idx="1">
                  <c:v>5</c:v>
                </c:pt>
                <c:pt idx="2">
                  <c:v>6.25</c:v>
                </c:pt>
                <c:pt idx="3">
                  <c:v>7.5</c:v>
                </c:pt>
                <c:pt idx="4">
                  <c:v>8.75</c:v>
                </c:pt>
                <c:pt idx="5">
                  <c:v>15</c:v>
                </c:pt>
                <c:pt idx="6">
                  <c:v>11.25</c:v>
                </c:pt>
                <c:pt idx="7">
                  <c:v>12.5</c:v>
                </c:pt>
                <c:pt idx="8">
                  <c:v>13.75</c:v>
                </c:pt>
                <c:pt idx="9">
                  <c:v>18.75</c:v>
                </c:pt>
                <c:pt idx="10">
                  <c:v>3.75</c:v>
                </c:pt>
                <c:pt idx="11">
                  <c:v>5</c:v>
                </c:pt>
                <c:pt idx="12">
                  <c:v>17.5</c:v>
                </c:pt>
                <c:pt idx="13">
                  <c:v>7.5</c:v>
                </c:pt>
                <c:pt idx="14">
                  <c:v>8.75</c:v>
                </c:pt>
                <c:pt idx="15">
                  <c:v>6.25</c:v>
                </c:pt>
                <c:pt idx="16">
                  <c:v>11.25</c:v>
                </c:pt>
                <c:pt idx="17">
                  <c:v>16.25</c:v>
                </c:pt>
                <c:pt idx="18">
                  <c:v>13.75</c:v>
                </c:pt>
                <c:pt idx="19">
                  <c:v>15</c:v>
                </c:pt>
                <c:pt idx="20">
                  <c:v>16.25</c:v>
                </c:pt>
                <c:pt idx="21">
                  <c:v>17.5</c:v>
                </c:pt>
                <c:pt idx="22">
                  <c:v>18.75</c:v>
                </c:pt>
                <c:pt idx="23">
                  <c:v>3.75</c:v>
                </c:pt>
                <c:pt idx="24">
                  <c:v>12.5</c:v>
                </c:pt>
                <c:pt idx="25">
                  <c:v>10</c:v>
                </c:pt>
                <c:pt idx="26">
                  <c:v>5</c:v>
                </c:pt>
                <c:pt idx="27">
                  <c:v>6.25</c:v>
                </c:pt>
                <c:pt idx="28">
                  <c:v>7.5</c:v>
                </c:pt>
                <c:pt idx="29">
                  <c:v>8.75</c:v>
                </c:pt>
                <c:pt idx="30">
                  <c:v>11.25</c:v>
                </c:pt>
                <c:pt idx="31">
                  <c:v>12.5</c:v>
                </c:pt>
                <c:pt idx="32">
                  <c:v>13.75</c:v>
                </c:pt>
                <c:pt idx="3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0-4886-8530-85A9E9F0A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7927103"/>
        <c:axId val="2027931903"/>
        <c:axId val="0"/>
      </c:bar3DChart>
      <c:catAx>
        <c:axId val="202792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931903"/>
        <c:crosses val="autoZero"/>
        <c:auto val="1"/>
        <c:lblAlgn val="ctr"/>
        <c:lblOffset val="100"/>
        <c:noMultiLvlLbl val="0"/>
      </c:catAx>
      <c:valAx>
        <c:axId val="202793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92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Scenario 2, Saved Building Stock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scen2!$B$5</c:f>
              <c:strCache>
                <c:ptCount val="1"/>
                <c:pt idx="0">
                  <c:v>Scenario 2, Saved Building Stock [%]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scen2!$A$6:$A$33</c:f>
              <c:strCache>
                <c:ptCount val="28"/>
                <c:pt idx="0">
                  <c:v>EL</c:v>
                </c:pt>
                <c:pt idx="1">
                  <c:v>MT</c:v>
                </c:pt>
                <c:pt idx="2">
                  <c:v>AT</c:v>
                </c:pt>
                <c:pt idx="3">
                  <c:v>ES</c:v>
                </c:pt>
                <c:pt idx="4">
                  <c:v>PL</c:v>
                </c:pt>
                <c:pt idx="5">
                  <c:v>IE</c:v>
                </c:pt>
                <c:pt idx="6">
                  <c:v>PT</c:v>
                </c:pt>
                <c:pt idx="7">
                  <c:v>BE</c:v>
                </c:pt>
                <c:pt idx="8">
                  <c:v>HR</c:v>
                </c:pt>
                <c:pt idx="9">
                  <c:v>RO</c:v>
                </c:pt>
                <c:pt idx="10">
                  <c:v>BG</c:v>
                </c:pt>
                <c:pt idx="11">
                  <c:v>HU</c:v>
                </c:pt>
                <c:pt idx="12">
                  <c:v>NO</c:v>
                </c:pt>
                <c:pt idx="13">
                  <c:v>CZ</c:v>
                </c:pt>
                <c:pt idx="14">
                  <c:v>IT</c:v>
                </c:pt>
                <c:pt idx="15">
                  <c:v>SE</c:v>
                </c:pt>
                <c:pt idx="16">
                  <c:v>DE</c:v>
                </c:pt>
                <c:pt idx="17">
                  <c:v>NL</c:v>
                </c:pt>
                <c:pt idx="18">
                  <c:v>SI</c:v>
                </c:pt>
                <c:pt idx="19">
                  <c:v>DK</c:v>
                </c:pt>
                <c:pt idx="20">
                  <c:v>LT</c:v>
                </c:pt>
                <c:pt idx="21">
                  <c:v>SK</c:v>
                </c:pt>
                <c:pt idx="22">
                  <c:v>CH</c:v>
                </c:pt>
                <c:pt idx="23">
                  <c:v>LU</c:v>
                </c:pt>
                <c:pt idx="24">
                  <c:v>UK</c:v>
                </c:pt>
                <c:pt idx="25">
                  <c:v>LV</c:v>
                </c:pt>
                <c:pt idx="26">
                  <c:v>FR</c:v>
                </c:pt>
                <c:pt idx="27">
                  <c:v>EE</c:v>
                </c:pt>
              </c:strCache>
            </c:strRef>
          </c:cat>
          <c:val>
            <c:numRef>
              <c:f>scen2!$B$6:$B$33</c:f>
              <c:numCache>
                <c:formatCode>0</c:formatCode>
                <c:ptCount val="28"/>
                <c:pt idx="0">
                  <c:v>3.75</c:v>
                </c:pt>
                <c:pt idx="1">
                  <c:v>3.75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6.25</c:v>
                </c:pt>
                <c:pt idx="6">
                  <c:v>6.25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8.75</c:v>
                </c:pt>
                <c:pt idx="11">
                  <c:v>8.75</c:v>
                </c:pt>
                <c:pt idx="12">
                  <c:v>10</c:v>
                </c:pt>
                <c:pt idx="13">
                  <c:v>11.25</c:v>
                </c:pt>
                <c:pt idx="14">
                  <c:v>11.25</c:v>
                </c:pt>
                <c:pt idx="15">
                  <c:v>11.25</c:v>
                </c:pt>
                <c:pt idx="16">
                  <c:v>12.5</c:v>
                </c:pt>
                <c:pt idx="17">
                  <c:v>12.5</c:v>
                </c:pt>
                <c:pt idx="18">
                  <c:v>12.5</c:v>
                </c:pt>
                <c:pt idx="19">
                  <c:v>13.75</c:v>
                </c:pt>
                <c:pt idx="20">
                  <c:v>13.75</c:v>
                </c:pt>
                <c:pt idx="21">
                  <c:v>13.75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16.25</c:v>
                </c:pt>
                <c:pt idx="26">
                  <c:v>17.5</c:v>
                </c:pt>
                <c:pt idx="27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A-4487-9A02-16A4A7FC1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370988063"/>
        <c:axId val="370986143"/>
      </c:barChart>
      <c:catAx>
        <c:axId val="370988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0986143"/>
        <c:crosses val="autoZero"/>
        <c:auto val="1"/>
        <c:lblAlgn val="ctr"/>
        <c:lblOffset val="100"/>
        <c:noMultiLvlLbl val="0"/>
      </c:catAx>
      <c:valAx>
        <c:axId val="37098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8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310515</xdr:colOff>
      <xdr:row>6</xdr:row>
      <xdr:rowOff>100965</xdr:rowOff>
    </xdr:from>
    <xdr:to>
      <xdr:col>8</xdr:col>
      <xdr:colOff>655320</xdr:colOff>
      <xdr:row>13</xdr:row>
      <xdr:rowOff>108585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147C6A-A85B-2C8C-1A1C-6FE6AEE95112}"/>
            </a:ext>
          </a:extLst>
        </xdr:cNvPr>
        <xdr:cNvSpPr txBox="1"/>
      </xdr:nvSpPr>
      <xdr:spPr>
        <a:xfrm>
          <a:off x="2872740" y="1243965"/>
          <a:ext cx="3449955" cy="13411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/>
            <a:t>ORIGINAL VALUES STOCK</a:t>
          </a:r>
        </a:p>
      </xdr:txBody>
    </xdr:sp>
    <xdr:clientData/>
  </xdr:twoCellAnchor>
  <xdr:twoCellAnchor>
    <xdr:from>
      <xdr:col>6</xdr:col>
      <xdr:colOff>441960</xdr:colOff>
      <xdr:row>31</xdr:row>
      <xdr:rowOff>15240</xdr:rowOff>
    </xdr:from>
    <xdr:to>
      <xdr:col>12</xdr:col>
      <xdr:colOff>45720</xdr:colOff>
      <xdr:row>37</xdr:row>
      <xdr:rowOff>175260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F51C80-EFAC-4EF6-848D-2AE01D390EC6}"/>
            </a:ext>
          </a:extLst>
        </xdr:cNvPr>
        <xdr:cNvSpPr txBox="1"/>
      </xdr:nvSpPr>
      <xdr:spPr>
        <a:xfrm>
          <a:off x="4991100" y="5684520"/>
          <a:ext cx="3550920" cy="12877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/>
            <a:t>ORIGINAL VALUES flow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533400</xdr:colOff>
      <xdr:row>2</xdr:row>
      <xdr:rowOff>41910</xdr:rowOff>
    </xdr:from>
    <xdr:to>
      <xdr:col>28</xdr:col>
      <xdr:colOff>228600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E5646-4E37-98A8-16B0-DF971B50F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311426</xdr:colOff>
      <xdr:row>1</xdr:row>
      <xdr:rowOff>92765</xdr:rowOff>
    </xdr:from>
    <xdr:to>
      <xdr:col>15</xdr:col>
      <xdr:colOff>228600</xdr:colOff>
      <xdr:row>15</xdr:row>
      <xdr:rowOff>92765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D630C6-0982-EBDA-5A12-82AE88C1E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workbookViewId="0">
      <selection activeCell="A4" sqref="A4:XFD13"/>
    </sheetView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39">
      <c r="A1" t="s">
        <v>31</v>
      </c>
    </row>
    <row r="2" spans="1:39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39" ht="1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19</v>
      </c>
      <c r="G3" s="12" t="s">
        <v>6</v>
      </c>
      <c r="H3" s="13" t="s">
        <v>20</v>
      </c>
      <c r="I3" s="14" t="s">
        <v>36</v>
      </c>
      <c r="J3" s="14" t="s">
        <v>37</v>
      </c>
      <c r="K3" s="14" t="s">
        <v>38</v>
      </c>
      <c r="L3" s="14" t="s">
        <v>39</v>
      </c>
      <c r="M3" s="14" t="s">
        <v>40</v>
      </c>
      <c r="N3" s="14" t="s">
        <v>41</v>
      </c>
      <c r="O3" s="14" t="s">
        <v>42</v>
      </c>
      <c r="P3" s="14" t="s">
        <v>43</v>
      </c>
      <c r="Q3" s="14" t="s">
        <v>44</v>
      </c>
      <c r="R3" s="14" t="s">
        <v>45</v>
      </c>
      <c r="S3" s="14" t="s">
        <v>46</v>
      </c>
      <c r="T3" s="14" t="s">
        <v>47</v>
      </c>
      <c r="U3" s="14" t="s">
        <v>48</v>
      </c>
      <c r="V3" s="14" t="s">
        <v>49</v>
      </c>
      <c r="W3" s="14" t="s">
        <v>50</v>
      </c>
      <c r="X3" s="14" t="s">
        <v>51</v>
      </c>
      <c r="Y3" s="14" t="s">
        <v>52</v>
      </c>
      <c r="Z3" s="14" t="s">
        <v>53</v>
      </c>
      <c r="AA3" s="14" t="s">
        <v>54</v>
      </c>
      <c r="AB3" s="14" t="s">
        <v>55</v>
      </c>
      <c r="AC3" s="14" t="s">
        <v>56</v>
      </c>
      <c r="AD3" s="14" t="s">
        <v>57</v>
      </c>
      <c r="AE3" s="14" t="s">
        <v>58</v>
      </c>
      <c r="AF3" s="14" t="s">
        <v>59</v>
      </c>
      <c r="AG3" s="14" t="s">
        <v>60</v>
      </c>
      <c r="AH3" s="14" t="s">
        <v>61</v>
      </c>
      <c r="AI3" s="14" t="s">
        <v>62</v>
      </c>
      <c r="AJ3" s="14" t="s">
        <v>63</v>
      </c>
      <c r="AK3" s="14" t="s">
        <v>64</v>
      </c>
      <c r="AL3" s="14" t="s">
        <v>65</v>
      </c>
      <c r="AM3" s="14" t="s">
        <v>66</v>
      </c>
    </row>
    <row r="4" spans="1:39"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5"/>
  <sheetViews>
    <sheetView tabSelected="1" topLeftCell="Q1" workbookViewId="0">
      <selection activeCell="AM18" sqref="AM18:AM21"/>
    </sheetView>
  </sheetViews>
  <sheetFormatPr defaultRowHeight="14.4"/>
  <cols>
    <col min="2" max="2" width="13.6640625" customWidth="1"/>
    <col min="3" max="3" width="8.88671875" bestFit="1" customWidth="1"/>
    <col min="4" max="4" width="11.88671875" customWidth="1"/>
    <col min="5" max="5" width="7.6640625" customWidth="1"/>
    <col min="6" max="6" width="15.109375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38">
      <c r="A1" t="s">
        <v>32</v>
      </c>
    </row>
    <row r="2" spans="1:38">
      <c r="B2" s="9" t="s">
        <v>21</v>
      </c>
      <c r="H2" s="10"/>
      <c r="I2" s="11"/>
      <c r="J2" s="11"/>
      <c r="K2" s="11"/>
      <c r="L2" s="11"/>
      <c r="M2" s="11"/>
      <c r="N2" s="11"/>
      <c r="O2" s="11"/>
    </row>
    <row r="3" spans="1:38" ht="1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19</v>
      </c>
      <c r="G3" s="12" t="s">
        <v>6</v>
      </c>
      <c r="H3" s="14" t="s">
        <v>36</v>
      </c>
      <c r="I3" s="14" t="s">
        <v>37</v>
      </c>
      <c r="J3" s="14" t="s">
        <v>38</v>
      </c>
      <c r="K3" s="14" t="s">
        <v>39</v>
      </c>
      <c r="L3" s="14" t="s">
        <v>40</v>
      </c>
      <c r="M3" s="14" t="s">
        <v>41</v>
      </c>
      <c r="N3" s="14" t="s">
        <v>42</v>
      </c>
      <c r="O3" s="14" t="s">
        <v>43</v>
      </c>
      <c r="P3" s="14" t="s">
        <v>44</v>
      </c>
      <c r="Q3" s="14" t="s">
        <v>45</v>
      </c>
      <c r="R3" s="14" t="s">
        <v>46</v>
      </c>
      <c r="S3" s="14" t="s">
        <v>47</v>
      </c>
      <c r="T3" s="14" t="s">
        <v>48</v>
      </c>
      <c r="U3" s="14" t="s">
        <v>49</v>
      </c>
      <c r="V3" s="14" t="s">
        <v>50</v>
      </c>
      <c r="W3" s="14" t="s">
        <v>51</v>
      </c>
      <c r="X3" s="14" t="s">
        <v>52</v>
      </c>
      <c r="Y3" s="14" t="s">
        <v>53</v>
      </c>
      <c r="Z3" s="14" t="s">
        <v>54</v>
      </c>
      <c r="AA3" s="14" t="s">
        <v>55</v>
      </c>
      <c r="AB3" s="14" t="s">
        <v>56</v>
      </c>
      <c r="AC3" s="14" t="s">
        <v>57</v>
      </c>
      <c r="AD3" s="14" t="s">
        <v>58</v>
      </c>
      <c r="AE3" s="14" t="s">
        <v>59</v>
      </c>
      <c r="AF3" s="14" t="s">
        <v>60</v>
      </c>
      <c r="AG3" s="14" t="s">
        <v>61</v>
      </c>
      <c r="AH3" s="14" t="s">
        <v>62</v>
      </c>
      <c r="AI3" s="14" t="s">
        <v>63</v>
      </c>
      <c r="AJ3" s="14" t="s">
        <v>64</v>
      </c>
      <c r="AK3" s="14" t="s">
        <v>65</v>
      </c>
      <c r="AL3" s="14" t="s">
        <v>66</v>
      </c>
    </row>
    <row r="4" spans="1:38">
      <c r="D4" t="s">
        <v>34</v>
      </c>
      <c r="E4">
        <v>2040</v>
      </c>
      <c r="F4" t="s">
        <v>35</v>
      </c>
      <c r="G4" t="s">
        <v>33</v>
      </c>
      <c r="H4" s="15">
        <v>1802.45</v>
      </c>
      <c r="I4" s="15">
        <v>1239.95</v>
      </c>
      <c r="J4" s="15">
        <v>975.2</v>
      </c>
      <c r="K4" s="15">
        <v>2249.3000000000002</v>
      </c>
      <c r="L4" s="15">
        <v>113.40765</v>
      </c>
      <c r="M4" s="15">
        <v>2715.05</v>
      </c>
      <c r="N4" s="15">
        <v>22561.0625</v>
      </c>
      <c r="O4" s="15">
        <v>1468.375</v>
      </c>
      <c r="P4" s="15">
        <v>775.0625</v>
      </c>
      <c r="Q4" s="15">
        <v>2211.84375</v>
      </c>
      <c r="R4" s="15">
        <v>9054.2000000000007</v>
      </c>
      <c r="S4" s="15">
        <v>1332.34575</v>
      </c>
      <c r="T4" s="15">
        <v>11137.575000000001</v>
      </c>
      <c r="U4" s="15">
        <v>730.41250000000002</v>
      </c>
      <c r="V4" s="15">
        <v>2171.15625</v>
      </c>
      <c r="W4" s="15">
        <v>260.96875</v>
      </c>
      <c r="X4" s="15">
        <v>102.51535</v>
      </c>
      <c r="Y4" s="15">
        <v>22392.825000000001</v>
      </c>
      <c r="Z4" s="15">
        <v>1171.3625</v>
      </c>
      <c r="AA4" s="15">
        <v>100.175</v>
      </c>
      <c r="AB4" s="15">
        <v>863.36874999999998</v>
      </c>
      <c r="AC4" s="15">
        <v>31.90625</v>
      </c>
      <c r="AD4" s="15">
        <v>2371.4375</v>
      </c>
      <c r="AE4" s="15">
        <v>1609.95</v>
      </c>
      <c r="AF4" s="15">
        <v>10683.775</v>
      </c>
      <c r="AG4" s="15">
        <v>617.84375</v>
      </c>
      <c r="AH4" s="15">
        <v>3085.9124999999999</v>
      </c>
      <c r="AI4" s="15">
        <v>3402.625</v>
      </c>
      <c r="AJ4" s="15">
        <v>668.8125</v>
      </c>
      <c r="AK4" s="15">
        <v>764.77499999999998</v>
      </c>
      <c r="AL4" s="15">
        <v>4736.45</v>
      </c>
    </row>
    <row r="5" spans="1:38">
      <c r="D5" t="s">
        <v>34</v>
      </c>
      <c r="E5">
        <v>2050</v>
      </c>
      <c r="F5" t="s">
        <v>35</v>
      </c>
      <c r="G5" t="s">
        <v>33</v>
      </c>
      <c r="H5" s="15">
        <v>1951.35</v>
      </c>
      <c r="I5" s="15">
        <v>1353.15</v>
      </c>
      <c r="J5" s="15">
        <v>1040.05</v>
      </c>
      <c r="K5" s="15">
        <v>2446.75</v>
      </c>
      <c r="L5" s="15">
        <v>124.7076</v>
      </c>
      <c r="M5" s="15">
        <v>2971.2874999999999</v>
      </c>
      <c r="N5" s="15">
        <v>24253.25</v>
      </c>
      <c r="O5" s="15">
        <v>1611.6875</v>
      </c>
      <c r="P5" s="15">
        <v>848.625</v>
      </c>
      <c r="Q5" s="15">
        <v>2331.4250000000002</v>
      </c>
      <c r="R5" s="15">
        <v>9760.7000000000007</v>
      </c>
      <c r="S5" s="15">
        <v>1439.7221999999999</v>
      </c>
      <c r="T5" s="15">
        <v>11899</v>
      </c>
      <c r="U5" s="15">
        <v>805.15</v>
      </c>
      <c r="V5" s="15">
        <v>2409.125</v>
      </c>
      <c r="W5" s="15">
        <v>297.625</v>
      </c>
      <c r="X5" s="15">
        <v>111.923</v>
      </c>
      <c r="Y5" s="15">
        <v>23765.75</v>
      </c>
      <c r="Z5" s="15">
        <v>1252.9000000000001</v>
      </c>
      <c r="AA5" s="15">
        <v>112.05</v>
      </c>
      <c r="AB5" s="15">
        <v>919.08749999999998</v>
      </c>
      <c r="AC5" s="15">
        <v>36.8125</v>
      </c>
      <c r="AD5" s="15">
        <v>2594.125</v>
      </c>
      <c r="AE5" s="15">
        <v>1778.2</v>
      </c>
      <c r="AF5" s="15">
        <v>11673.15</v>
      </c>
      <c r="AG5" s="15">
        <v>657.4375</v>
      </c>
      <c r="AH5" s="15">
        <v>3367.95</v>
      </c>
      <c r="AI5" s="15">
        <v>3803.85</v>
      </c>
      <c r="AJ5" s="15">
        <v>737.75</v>
      </c>
      <c r="AK5" s="15">
        <v>843.3125</v>
      </c>
      <c r="AL5" s="15">
        <v>5130.6499999999996</v>
      </c>
    </row>
    <row r="6" spans="1:38">
      <c r="D6" t="s">
        <v>34</v>
      </c>
      <c r="E6">
        <v>2060</v>
      </c>
      <c r="F6" t="s">
        <v>35</v>
      </c>
      <c r="G6" t="s">
        <v>33</v>
      </c>
      <c r="H6" s="15">
        <v>2116.9569655724581</v>
      </c>
      <c r="I6" s="15">
        <v>1481.7251724137934</v>
      </c>
      <c r="J6" s="15">
        <v>1113.7648840206184</v>
      </c>
      <c r="K6" s="15">
        <v>2679.5722318339099</v>
      </c>
      <c r="L6" s="15">
        <v>137.69797500000001</v>
      </c>
      <c r="M6" s="15">
        <v>3268.6503940110324</v>
      </c>
      <c r="N6" s="15">
        <v>26191.564004434123</v>
      </c>
      <c r="O6" s="15">
        <v>1780.7864055716352</v>
      </c>
      <c r="P6" s="15">
        <v>938.70251396648052</v>
      </c>
      <c r="Q6" s="15">
        <v>2459.6533749999999</v>
      </c>
      <c r="R6" s="15">
        <v>10543.136680161946</v>
      </c>
      <c r="S6" s="15">
        <v>1561.5795648902822</v>
      </c>
      <c r="T6" s="15">
        <v>12791.890046899427</v>
      </c>
      <c r="U6" s="15">
        <v>889.67332251082246</v>
      </c>
      <c r="V6" s="15">
        <v>2686.0467830521775</v>
      </c>
      <c r="W6" s="15">
        <v>340.55515151515152</v>
      </c>
      <c r="X6" s="15">
        <v>121.9459552238806</v>
      </c>
      <c r="Y6" s="15">
        <v>25311.420409629896</v>
      </c>
      <c r="Z6" s="15">
        <v>1347.6820330969269</v>
      </c>
      <c r="AA6" s="15">
        <v>126.41538461538461</v>
      </c>
      <c r="AB6" s="15">
        <v>981.90283273381294</v>
      </c>
      <c r="AC6" s="15">
        <v>42.071428571428569</v>
      </c>
      <c r="AD6" s="15">
        <v>2854.4248859749146</v>
      </c>
      <c r="AE6" s="15">
        <v>1974.8672811059907</v>
      </c>
      <c r="AF6" s="15">
        <v>12783.932150964814</v>
      </c>
      <c r="AG6" s="15">
        <v>699.72880116959072</v>
      </c>
      <c r="AH6" s="15">
        <v>3688.3030393700783</v>
      </c>
      <c r="AI6" s="15">
        <v>4279.6171677690918</v>
      </c>
      <c r="AJ6" s="15">
        <v>817.99649122807011</v>
      </c>
      <c r="AK6" s="15">
        <v>936.03272251308908</v>
      </c>
      <c r="AL6" s="15">
        <v>5592.330813324681</v>
      </c>
    </row>
    <row r="7" spans="1:38">
      <c r="D7" t="s">
        <v>34</v>
      </c>
      <c r="E7">
        <v>2070</v>
      </c>
      <c r="F7" t="s">
        <v>35</v>
      </c>
      <c r="G7" t="s">
        <v>33</v>
      </c>
      <c r="H7" s="15">
        <v>2296.6186455970224</v>
      </c>
      <c r="I7" s="15">
        <v>1622.5174493328054</v>
      </c>
      <c r="J7" s="15">
        <v>1192.7044054396056</v>
      </c>
      <c r="K7" s="15">
        <v>2934.5488282886936</v>
      </c>
      <c r="L7" s="15">
        <v>152.04151406250003</v>
      </c>
      <c r="M7" s="15">
        <v>3595.7730102753362</v>
      </c>
      <c r="N7" s="15">
        <v>28284.787605717553</v>
      </c>
      <c r="O7" s="15">
        <v>1967.6272368363868</v>
      </c>
      <c r="P7" s="15">
        <v>1038.3413282981182</v>
      </c>
      <c r="Q7" s="15">
        <v>2594.9343106249999</v>
      </c>
      <c r="R7" s="15">
        <v>11388.295005130394</v>
      </c>
      <c r="S7" s="15">
        <v>1693.7508760251965</v>
      </c>
      <c r="T7" s="15">
        <v>13751.781744009129</v>
      </c>
      <c r="U7" s="15">
        <v>983.06976437613605</v>
      </c>
      <c r="V7" s="15">
        <v>2994.7999048388733</v>
      </c>
      <c r="W7" s="15">
        <v>389.6776521579431</v>
      </c>
      <c r="X7" s="15">
        <v>132.86648852751171</v>
      </c>
      <c r="Y7" s="15">
        <v>26957.617712591811</v>
      </c>
      <c r="Z7" s="15">
        <v>1449.6343382011864</v>
      </c>
      <c r="AA7" s="15">
        <v>142.6224852071006</v>
      </c>
      <c r="AB7" s="15">
        <v>1049.0112997192175</v>
      </c>
      <c r="AC7" s="15">
        <v>48.08163265306122</v>
      </c>
      <c r="AD7" s="15">
        <v>3140.8438026975969</v>
      </c>
      <c r="AE7" s="15">
        <v>2193.285782242137</v>
      </c>
      <c r="AF7" s="15">
        <v>14000.413019662376</v>
      </c>
      <c r="AG7" s="15">
        <v>744.74059539687437</v>
      </c>
      <c r="AH7" s="15">
        <v>4039.1274544534681</v>
      </c>
      <c r="AI7" s="15">
        <v>4814.8909927215691</v>
      </c>
      <c r="AJ7" s="15">
        <v>906.97154816866714</v>
      </c>
      <c r="AK7" s="15">
        <v>1038.9473150407064</v>
      </c>
      <c r="AL7" s="15">
        <v>6095.5559092241119</v>
      </c>
    </row>
    <row r="8" spans="1:38"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 spans="1:38">
      <c r="D9" t="s">
        <v>34</v>
      </c>
      <c r="E9">
        <v>2040</v>
      </c>
      <c r="F9" t="s">
        <v>35</v>
      </c>
      <c r="G9" t="s">
        <v>72</v>
      </c>
      <c r="H9" s="16">
        <v>1030.88771</v>
      </c>
      <c r="I9" s="16">
        <v>1106.6086069999999</v>
      </c>
      <c r="J9" s="16">
        <v>575.8600381</v>
      </c>
      <c r="K9" s="16">
        <v>901.11793039999998</v>
      </c>
      <c r="L9" s="16">
        <v>112.8093617</v>
      </c>
      <c r="M9" s="16">
        <v>1072.8373939999999</v>
      </c>
      <c r="N9" s="16">
        <v>6297.510499</v>
      </c>
      <c r="O9" s="16">
        <v>955.27342280000005</v>
      </c>
      <c r="P9" s="16">
        <v>89.612756509999997</v>
      </c>
      <c r="Q9" s="16">
        <v>639.52491139999995</v>
      </c>
      <c r="R9" s="16">
        <v>991.60808999999995</v>
      </c>
      <c r="S9" s="16">
        <v>734.86325390000002</v>
      </c>
      <c r="T9" s="16">
        <v>6110.041311</v>
      </c>
      <c r="U9" s="16">
        <v>605.05024349999997</v>
      </c>
      <c r="V9" s="16">
        <v>1234.4091390000001</v>
      </c>
      <c r="W9" s="16">
        <v>488.6230721</v>
      </c>
      <c r="X9" s="16">
        <v>45.097682280000001</v>
      </c>
      <c r="Y9" s="16">
        <v>1910.0939840000001</v>
      </c>
      <c r="Z9" s="16">
        <v>208.30268040000001</v>
      </c>
      <c r="AA9" s="16">
        <v>91.753193809999999</v>
      </c>
      <c r="AB9" s="16">
        <v>147.9384048</v>
      </c>
      <c r="AC9" s="16">
        <v>5.4655054810000001</v>
      </c>
      <c r="AD9" s="16">
        <v>638.68275630000005</v>
      </c>
      <c r="AE9" s="16">
        <v>499.38081149999999</v>
      </c>
      <c r="AF9" s="16">
        <v>3122.7045629999998</v>
      </c>
      <c r="AG9" s="16">
        <v>666.68510909999998</v>
      </c>
      <c r="AH9" s="16">
        <v>2058.2698759999998</v>
      </c>
      <c r="AI9" s="16">
        <v>1311.1139430000001</v>
      </c>
      <c r="AJ9" s="16">
        <v>188.95270410000001</v>
      </c>
      <c r="AK9" s="16">
        <v>446.59805899999998</v>
      </c>
      <c r="AL9" s="16">
        <v>4177.2667460000002</v>
      </c>
    </row>
    <row r="10" spans="1:38">
      <c r="D10" t="s">
        <v>34</v>
      </c>
      <c r="E10">
        <v>2050</v>
      </c>
      <c r="F10" t="s">
        <v>35</v>
      </c>
      <c r="G10" t="s">
        <v>72</v>
      </c>
      <c r="H10" s="16">
        <v>1086.890187</v>
      </c>
      <c r="I10" s="16">
        <v>1206.204019</v>
      </c>
      <c r="J10" s="16">
        <v>592.99480979999998</v>
      </c>
      <c r="K10" s="16">
        <v>963.05336620000003</v>
      </c>
      <c r="L10" s="16">
        <v>120.42157880000001</v>
      </c>
      <c r="M10" s="16">
        <v>1139.452409</v>
      </c>
      <c r="N10" s="16">
        <v>6205.4975960000002</v>
      </c>
      <c r="O10" s="16">
        <v>991.10890800000004</v>
      </c>
      <c r="P10" s="16">
        <v>87.928848560000006</v>
      </c>
      <c r="Q10" s="16">
        <v>646.20478920000005</v>
      </c>
      <c r="R10" s="16">
        <v>1046.467461</v>
      </c>
      <c r="S10" s="16">
        <v>755.3852028</v>
      </c>
      <c r="T10" s="16">
        <v>6362.0577050000002</v>
      </c>
      <c r="U10" s="16">
        <v>626.51152660000002</v>
      </c>
      <c r="V10" s="16">
        <v>1211.620388</v>
      </c>
      <c r="W10" s="16">
        <v>519.60875499999997</v>
      </c>
      <c r="X10" s="16">
        <v>47.782265469999999</v>
      </c>
      <c r="Y10" s="16">
        <v>1948.451114</v>
      </c>
      <c r="Z10" s="16">
        <v>204.1122044</v>
      </c>
      <c r="AA10" s="16">
        <v>107.5164175</v>
      </c>
      <c r="AB10" s="16">
        <v>145.16364669999999</v>
      </c>
      <c r="AC10" s="16">
        <v>6.2766693289999997</v>
      </c>
      <c r="AD10" s="16">
        <v>671.43837570000005</v>
      </c>
      <c r="AE10" s="16">
        <v>534.48544460000005</v>
      </c>
      <c r="AF10" s="16">
        <v>3221.5674239999998</v>
      </c>
      <c r="AG10" s="16">
        <v>772.80027250000001</v>
      </c>
      <c r="AH10" s="16">
        <v>2148.3785349999998</v>
      </c>
      <c r="AI10" s="16">
        <v>1414.1809940000001</v>
      </c>
      <c r="AJ10" s="16">
        <v>196.669308</v>
      </c>
      <c r="AK10" s="16">
        <v>473.20609409999997</v>
      </c>
      <c r="AL10" s="16">
        <v>4489.9201679999996</v>
      </c>
    </row>
    <row r="11" spans="1:38">
      <c r="D11" t="s">
        <v>34</v>
      </c>
      <c r="E11">
        <v>2070</v>
      </c>
      <c r="F11" t="s">
        <v>35</v>
      </c>
      <c r="G11" t="s">
        <v>72</v>
      </c>
      <c r="H11" s="16">
        <v>1086.8898770000001</v>
      </c>
      <c r="I11" s="16">
        <v>1206.2037230000001</v>
      </c>
      <c r="J11" s="16">
        <v>592.99449079999999</v>
      </c>
      <c r="K11" s="16">
        <v>963.05307359999995</v>
      </c>
      <c r="L11" s="16">
        <v>120.4212732</v>
      </c>
      <c r="M11" s="16">
        <v>1139.452096</v>
      </c>
      <c r="N11" s="16">
        <v>6205.4972820000003</v>
      </c>
      <c r="O11" s="16">
        <v>991.10858680000001</v>
      </c>
      <c r="P11" s="16">
        <v>84.680544999999995</v>
      </c>
      <c r="Q11" s="16">
        <v>646.20448420000002</v>
      </c>
      <c r="R11" s="16">
        <v>1046.4671510000001</v>
      </c>
      <c r="S11" s="16">
        <v>755.38488789999997</v>
      </c>
      <c r="T11" s="16">
        <v>6362.057393</v>
      </c>
      <c r="U11" s="16">
        <v>626.51121120000005</v>
      </c>
      <c r="V11" s="16">
        <v>1184.1659569999999</v>
      </c>
      <c r="W11" s="16">
        <v>519.60847320000005</v>
      </c>
      <c r="X11" s="16">
        <v>47.781956960000002</v>
      </c>
      <c r="Y11" s="16">
        <v>1948.4507980000001</v>
      </c>
      <c r="Z11" s="16">
        <v>196.0414763</v>
      </c>
      <c r="AA11" s="16">
        <v>107.51614480000001</v>
      </c>
      <c r="AB11" s="16">
        <v>139.81081839999999</v>
      </c>
      <c r="AC11" s="16">
        <v>6.2763872919999999</v>
      </c>
      <c r="AD11" s="16">
        <v>671.43807990000005</v>
      </c>
      <c r="AE11" s="16">
        <v>534.4851625</v>
      </c>
      <c r="AF11" s="16">
        <v>3221.5671120000002</v>
      </c>
      <c r="AG11" s="16">
        <v>772.79997319999995</v>
      </c>
      <c r="AH11" s="16">
        <v>2148.3782150000002</v>
      </c>
      <c r="AI11" s="16">
        <v>1414.180672</v>
      </c>
      <c r="AJ11" s="16">
        <v>196.6689944</v>
      </c>
      <c r="AK11" s="16">
        <v>473.20578380000001</v>
      </c>
      <c r="AL11" s="16">
        <v>4489.919868</v>
      </c>
    </row>
    <row r="12" spans="1:38">
      <c r="D12" t="s">
        <v>34</v>
      </c>
      <c r="E12">
        <v>2040</v>
      </c>
      <c r="F12" t="s">
        <v>35</v>
      </c>
      <c r="G12" t="s">
        <v>73</v>
      </c>
      <c r="H12" s="17">
        <v>477.72853440154876</v>
      </c>
      <c r="I12" s="17">
        <v>1846.3361235963578</v>
      </c>
      <c r="J12" s="17">
        <v>312.96748726933799</v>
      </c>
      <c r="K12" s="17">
        <v>1010.9180140538259</v>
      </c>
      <c r="L12" s="17">
        <v>115.2095739511423</v>
      </c>
      <c r="M12" s="17">
        <v>635.91578055594084</v>
      </c>
      <c r="N12" s="17">
        <v>6583.7609862299332</v>
      </c>
      <c r="O12" s="17">
        <v>508.58697643080006</v>
      </c>
      <c r="P12" s="17">
        <v>41.467684083019677</v>
      </c>
      <c r="Q12" s="17">
        <v>361.60060640319256</v>
      </c>
      <c r="R12" s="17">
        <v>2198.3075012020281</v>
      </c>
      <c r="S12" s="17">
        <v>555.42899954825032</v>
      </c>
      <c r="T12" s="17">
        <v>5432.6838178820681</v>
      </c>
      <c r="U12" s="17">
        <v>216.53349112181454</v>
      </c>
      <c r="V12" s="17">
        <v>454.27784988350265</v>
      </c>
      <c r="W12" s="17">
        <v>734.96983821983395</v>
      </c>
      <c r="X12" s="17">
        <v>42.125656922094159</v>
      </c>
      <c r="Y12" s="17">
        <v>3396.9284206021925</v>
      </c>
      <c r="Z12" s="17">
        <v>105.4938910927078</v>
      </c>
      <c r="AA12" s="17">
        <v>118.72457922214865</v>
      </c>
      <c r="AB12" s="17">
        <v>58.925358443027058</v>
      </c>
      <c r="AC12" s="17">
        <v>69.835451445708756</v>
      </c>
      <c r="AD12" s="17">
        <v>3372.7963741214248</v>
      </c>
      <c r="AE12" s="17">
        <v>392.22376884837774</v>
      </c>
      <c r="AF12" s="17">
        <v>1171.8125426514184</v>
      </c>
      <c r="AG12" s="17">
        <v>538.19226471256377</v>
      </c>
      <c r="AH12" s="17">
        <v>591.1148023717999</v>
      </c>
      <c r="AI12" s="17">
        <v>628.99792537000894</v>
      </c>
      <c r="AJ12" s="17">
        <v>62.842484399535394</v>
      </c>
      <c r="AK12" s="17">
        <v>132.90554217171734</v>
      </c>
      <c r="AL12" s="17">
        <v>14502.456118838269</v>
      </c>
    </row>
    <row r="13" spans="1:38">
      <c r="D13" t="s">
        <v>34</v>
      </c>
      <c r="E13">
        <v>2050</v>
      </c>
      <c r="F13" t="s">
        <v>35</v>
      </c>
      <c r="G13" t="s">
        <v>73</v>
      </c>
      <c r="H13" s="17">
        <v>503.68119689840364</v>
      </c>
      <c r="I13" s="17">
        <v>2012.5073225133945</v>
      </c>
      <c r="J13" s="17">
        <v>322.28014395290717</v>
      </c>
      <c r="K13" s="17">
        <v>1080.400287766827</v>
      </c>
      <c r="L13" s="17">
        <v>122.98384802151774</v>
      </c>
      <c r="M13" s="17">
        <v>675.401551198226</v>
      </c>
      <c r="N13" s="17">
        <v>6487.5657766025033</v>
      </c>
      <c r="O13" s="17">
        <v>527.66603697780272</v>
      </c>
      <c r="P13" s="17">
        <v>40.645753619867541</v>
      </c>
      <c r="Q13" s="17">
        <v>365.37780764280933</v>
      </c>
      <c r="R13" s="17">
        <v>2319.9255657660137</v>
      </c>
      <c r="S13" s="17">
        <v>570.94020984936014</v>
      </c>
      <c r="T13" s="17">
        <v>5656.7618941144892</v>
      </c>
      <c r="U13" s="17">
        <v>224.2143217794644</v>
      </c>
      <c r="V13" s="17">
        <v>445.27456626970985</v>
      </c>
      <c r="W13" s="17">
        <v>781.5773802378784</v>
      </c>
      <c r="X13" s="17">
        <v>44.633460412594268</v>
      </c>
      <c r="Y13" s="17">
        <v>3465.1429232787691</v>
      </c>
      <c r="Z13" s="17">
        <v>103.40290036030795</v>
      </c>
      <c r="AA13" s="17">
        <v>139.12153044988619</v>
      </c>
      <c r="AB13" s="17">
        <v>57.757400605274732</v>
      </c>
      <c r="AC13" s="17">
        <v>80.196513655510969</v>
      </c>
      <c r="AD13" s="17">
        <v>3545.7730091323033</v>
      </c>
      <c r="AE13" s="17">
        <v>419.79583406477013</v>
      </c>
      <c r="AF13" s="17">
        <v>1208.9117261723504</v>
      </c>
      <c r="AG13" s="17">
        <v>623.85559256313968</v>
      </c>
      <c r="AH13" s="17">
        <v>616.9934859806857</v>
      </c>
      <c r="AI13" s="17">
        <v>678.44391141733342</v>
      </c>
      <c r="AJ13" s="17">
        <v>65.409244784598883</v>
      </c>
      <c r="AK13" s="17">
        <v>140.82433019845359</v>
      </c>
      <c r="AL13" s="17">
        <v>15587.912194664195</v>
      </c>
    </row>
    <row r="14" spans="1:38">
      <c r="D14" t="s">
        <v>34</v>
      </c>
      <c r="E14">
        <v>2070</v>
      </c>
      <c r="F14" t="s">
        <v>35</v>
      </c>
      <c r="G14" t="s">
        <v>73</v>
      </c>
      <c r="H14" s="17">
        <v>503.6808021925915</v>
      </c>
      <c r="I14" s="17">
        <v>2012.5069402861425</v>
      </c>
      <c r="J14" s="17">
        <v>322.27973111247849</v>
      </c>
      <c r="K14" s="17">
        <v>1080.3998912289833</v>
      </c>
      <c r="L14" s="17">
        <v>122.9834599703029</v>
      </c>
      <c r="M14" s="17">
        <v>675.40114694052431</v>
      </c>
      <c r="N14" s="17">
        <v>6487.5653683680648</v>
      </c>
      <c r="O14" s="17">
        <v>527.66563345054522</v>
      </c>
      <c r="P14" s="17">
        <v>39.050449524658291</v>
      </c>
      <c r="Q14" s="17">
        <v>365.37741371820152</v>
      </c>
      <c r="R14" s="17">
        <v>2319.9251638745391</v>
      </c>
      <c r="S14" s="17">
        <v>570.93982116549284</v>
      </c>
      <c r="T14" s="17">
        <v>5656.7614906782928</v>
      </c>
      <c r="U14" s="17">
        <v>224.21392139383408</v>
      </c>
      <c r="V14" s="17">
        <v>437.34368751357817</v>
      </c>
      <c r="W14" s="17">
        <v>781.5770045636657</v>
      </c>
      <c r="X14" s="17">
        <v>44.633056887913718</v>
      </c>
      <c r="Y14" s="17">
        <v>3465.1425132751997</v>
      </c>
      <c r="Z14" s="17">
        <v>99.3444380691503</v>
      </c>
      <c r="AA14" s="17">
        <v>139.1211532226844</v>
      </c>
      <c r="AB14" s="17">
        <v>55.490480471914545</v>
      </c>
      <c r="AC14" s="17">
        <v>80.196122414091604</v>
      </c>
      <c r="AD14" s="17">
        <v>3545.7726225354136</v>
      </c>
      <c r="AE14" s="17">
        <v>419.79546178358055</v>
      </c>
      <c r="AF14" s="17">
        <v>1208.911319109943</v>
      </c>
      <c r="AG14" s="17">
        <v>623.85521574190295</v>
      </c>
      <c r="AH14" s="17">
        <v>616.99307600969553</v>
      </c>
      <c r="AI14" s="17">
        <v>678.44352002731341</v>
      </c>
      <c r="AJ14" s="17">
        <v>65.408839332455187</v>
      </c>
      <c r="AK14" s="17">
        <v>140.82392627656151</v>
      </c>
      <c r="AL14" s="17">
        <v>15587.911798413576</v>
      </c>
    </row>
    <row r="16" spans="1:38">
      <c r="B16" s="9" t="s">
        <v>21</v>
      </c>
    </row>
    <row r="17" spans="2:38" ht="15" thickBot="1">
      <c r="B17" s="12" t="s">
        <v>17</v>
      </c>
      <c r="C17" s="12" t="s">
        <v>12</v>
      </c>
      <c r="D17" s="12" t="s">
        <v>11</v>
      </c>
      <c r="E17" s="12" t="s">
        <v>3</v>
      </c>
      <c r="F17" s="12" t="s">
        <v>19</v>
      </c>
      <c r="G17" s="12" t="s">
        <v>6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52</v>
      </c>
      <c r="Y17" t="s">
        <v>53</v>
      </c>
      <c r="Z17" t="s">
        <v>54</v>
      </c>
      <c r="AA17" t="s">
        <v>55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61</v>
      </c>
      <c r="AH17" t="s">
        <v>62</v>
      </c>
      <c r="AI17" t="s">
        <v>63</v>
      </c>
      <c r="AJ17" t="s">
        <v>64</v>
      </c>
      <c r="AK17" t="s">
        <v>65</v>
      </c>
      <c r="AL17" t="s">
        <v>66</v>
      </c>
    </row>
    <row r="18" spans="2:38" ht="15" thickBot="1">
      <c r="D18" t="s">
        <v>34</v>
      </c>
      <c r="E18">
        <v>2040</v>
      </c>
      <c r="F18" t="s">
        <v>35</v>
      </c>
      <c r="G18" t="s">
        <v>67</v>
      </c>
      <c r="H18" s="36">
        <v>13.845000000000004</v>
      </c>
      <c r="I18" s="36">
        <v>10.395000000000005</v>
      </c>
      <c r="J18" s="36">
        <v>6.1200000000000045</v>
      </c>
      <c r="K18" s="36">
        <v>18.130000000000017</v>
      </c>
      <c r="L18" s="36">
        <v>1.0407650000000004</v>
      </c>
      <c r="M18" s="36">
        <v>23.405000000000019</v>
      </c>
      <c r="N18" s="36">
        <v>157.40625</v>
      </c>
      <c r="O18" s="36">
        <v>13.0375</v>
      </c>
      <c r="P18" s="36">
        <v>6.7062499999999998</v>
      </c>
      <c r="Q18" s="36">
        <v>11.284375000000001</v>
      </c>
      <c r="R18" s="36">
        <v>65.520000000000067</v>
      </c>
      <c r="S18" s="36">
        <v>9.9345749999999953</v>
      </c>
      <c r="T18" s="36">
        <v>71.357500000000073</v>
      </c>
      <c r="U18" s="36">
        <v>6.6412500000000021</v>
      </c>
      <c r="V18" s="36">
        <v>21.515625</v>
      </c>
      <c r="W18" s="36">
        <v>3.1968749999999999</v>
      </c>
      <c r="X18" s="36">
        <v>0.85153499999999982</v>
      </c>
      <c r="Y18" s="36">
        <v>129.48250000000007</v>
      </c>
      <c r="Z18" s="36">
        <v>7.6362499999999951</v>
      </c>
      <c r="AA18" s="36">
        <v>1.0174999999999996</v>
      </c>
      <c r="AB18" s="36">
        <v>5.2368749999999977</v>
      </c>
      <c r="AC18" s="36">
        <v>0.49062499999999998</v>
      </c>
      <c r="AD18" s="36">
        <v>20.34375</v>
      </c>
      <c r="AE18" s="36">
        <v>15.295000000000005</v>
      </c>
      <c r="AF18" s="36">
        <v>90.577499999999958</v>
      </c>
      <c r="AG18" s="36">
        <v>3.5843750000000001</v>
      </c>
      <c r="AH18" s="36">
        <v>25.891249999999992</v>
      </c>
      <c r="AI18" s="36">
        <v>35.862499999999997</v>
      </c>
      <c r="AJ18" s="36">
        <v>6.28125</v>
      </c>
      <c r="AK18" s="36">
        <v>7.0774999999999979</v>
      </c>
      <c r="AL18" s="36">
        <v>36.444999999999979</v>
      </c>
    </row>
    <row r="19" spans="2:38" ht="15" thickBot="1">
      <c r="D19" t="s">
        <v>34</v>
      </c>
      <c r="E19">
        <v>2050</v>
      </c>
      <c r="F19" t="s">
        <v>35</v>
      </c>
      <c r="G19" t="s">
        <v>67</v>
      </c>
      <c r="H19" s="39">
        <v>14.889999999999986</v>
      </c>
      <c r="I19" s="39">
        <v>11.320000000000004</v>
      </c>
      <c r="J19" s="39">
        <v>6.4849999999999905</v>
      </c>
      <c r="K19" s="39">
        <v>19.744999999999983</v>
      </c>
      <c r="L19" s="39">
        <v>1.1299949999999996</v>
      </c>
      <c r="M19" s="39">
        <v>25.623749999999973</v>
      </c>
      <c r="N19" s="39">
        <v>169.21875</v>
      </c>
      <c r="O19" s="39">
        <v>14.331250000000001</v>
      </c>
      <c r="P19" s="39">
        <v>7.3562500000000002</v>
      </c>
      <c r="Q19" s="39">
        <v>11.958125000000019</v>
      </c>
      <c r="R19" s="39">
        <v>70.650000000000006</v>
      </c>
      <c r="S19" s="39">
        <v>10.737644999999997</v>
      </c>
      <c r="T19" s="39">
        <v>76.142499999999927</v>
      </c>
      <c r="U19" s="39">
        <v>7.4737499999999955</v>
      </c>
      <c r="V19" s="39">
        <v>23.796875</v>
      </c>
      <c r="W19" s="39">
        <v>3.6656249999999999</v>
      </c>
      <c r="X19" s="39">
        <v>0.94076500000000041</v>
      </c>
      <c r="Y19" s="39">
        <v>137.29249999999993</v>
      </c>
      <c r="Z19" s="39">
        <v>8.1537500000000129</v>
      </c>
      <c r="AA19" s="39">
        <v>1.1875</v>
      </c>
      <c r="AB19" s="39">
        <v>5.5718750000000004</v>
      </c>
      <c r="AC19" s="39">
        <v>0.49062499999999998</v>
      </c>
      <c r="AD19" s="39">
        <v>22.268750000000001</v>
      </c>
      <c r="AE19" s="39">
        <v>16.824999999999999</v>
      </c>
      <c r="AF19" s="39">
        <v>98.9375</v>
      </c>
      <c r="AG19" s="39">
        <v>3.9593750000000001</v>
      </c>
      <c r="AH19" s="39">
        <v>28.203749999999992</v>
      </c>
      <c r="AI19" s="39">
        <v>40.122499999999988</v>
      </c>
      <c r="AJ19" s="39">
        <v>6.8937499999999998</v>
      </c>
      <c r="AK19" s="39">
        <v>7.8537500000000025</v>
      </c>
      <c r="AL19" s="39">
        <v>39.41999999999998</v>
      </c>
    </row>
    <row r="20" spans="2:38" ht="15" thickBot="1">
      <c r="D20" t="s">
        <v>34</v>
      </c>
      <c r="E20">
        <v>2060</v>
      </c>
      <c r="F20" t="s">
        <v>35</v>
      </c>
      <c r="G20" t="s">
        <v>67</v>
      </c>
      <c r="H20" s="39">
        <v>16.560696557245819</v>
      </c>
      <c r="I20" s="39">
        <v>12.857517241379332</v>
      </c>
      <c r="J20" s="39">
        <v>7.3714884020618454</v>
      </c>
      <c r="K20" s="39">
        <v>23.28222318339099</v>
      </c>
      <c r="L20" s="39">
        <v>1.2990375000000014</v>
      </c>
      <c r="M20" s="39">
        <v>29.736289401103249</v>
      </c>
      <c r="N20" s="39">
        <v>193.83140044341235</v>
      </c>
      <c r="O20" s="39">
        <v>16.909890557163521</v>
      </c>
      <c r="P20" s="39">
        <v>9.007751396648052</v>
      </c>
      <c r="Q20" s="39">
        <v>12.822837499999968</v>
      </c>
      <c r="R20" s="39">
        <v>78.243668016194533</v>
      </c>
      <c r="S20" s="39">
        <v>12.185736489028226</v>
      </c>
      <c r="T20" s="39">
        <v>89.289004689942701</v>
      </c>
      <c r="U20" s="39">
        <v>8.4523322510822485</v>
      </c>
      <c r="V20" s="39">
        <v>27.692178305217748</v>
      </c>
      <c r="W20" s="39">
        <v>4.293015151515152</v>
      </c>
      <c r="X20" s="39">
        <v>1.0022955223880601</v>
      </c>
      <c r="Y20" s="39">
        <v>154.56704096298964</v>
      </c>
      <c r="Z20" s="39">
        <v>9.4782033096926845</v>
      </c>
      <c r="AA20" s="39">
        <v>1.4365384615384613</v>
      </c>
      <c r="AB20" s="39">
        <v>6.2815332733812967</v>
      </c>
      <c r="AC20" s="39">
        <v>0.52589285714285694</v>
      </c>
      <c r="AD20" s="39">
        <v>26.029988597491457</v>
      </c>
      <c r="AE20" s="39">
        <v>19.66672811059907</v>
      </c>
      <c r="AF20" s="39">
        <v>111.07821509648147</v>
      </c>
      <c r="AG20" s="39">
        <v>4.2291301169590723</v>
      </c>
      <c r="AH20" s="39">
        <v>32.035303937007846</v>
      </c>
      <c r="AI20" s="39">
        <v>47.576716776909187</v>
      </c>
      <c r="AJ20" s="39">
        <v>8.0246491228070109</v>
      </c>
      <c r="AK20" s="39">
        <v>9.2720222513089077</v>
      </c>
      <c r="AL20" s="39">
        <v>46.168081332468134</v>
      </c>
    </row>
    <row r="21" spans="2:38" ht="15" thickBot="1">
      <c r="D21" t="s">
        <v>34</v>
      </c>
      <c r="E21">
        <v>2070</v>
      </c>
      <c r="F21" t="s">
        <v>35</v>
      </c>
      <c r="G21" t="s">
        <v>67</v>
      </c>
      <c r="H21" s="39">
        <v>17.966168002456424</v>
      </c>
      <c r="I21" s="39">
        <v>14.079227691901201</v>
      </c>
      <c r="J21" s="39">
        <v>7.8939521418987173</v>
      </c>
      <c r="K21" s="39">
        <v>25.497659645478372</v>
      </c>
      <c r="L21" s="39">
        <v>1.4343539062500015</v>
      </c>
      <c r="M21" s="39">
        <v>32.712261626430383</v>
      </c>
      <c r="N21" s="39">
        <v>209.32236012834292</v>
      </c>
      <c r="O21" s="39">
        <v>18.684083126475162</v>
      </c>
      <c r="P21" s="39">
        <v>9.9638814331637722</v>
      </c>
      <c r="Q21" s="39">
        <v>13.528093562499999</v>
      </c>
      <c r="R21" s="39">
        <v>84.515832496844808</v>
      </c>
      <c r="S21" s="39">
        <v>13.217131113491428</v>
      </c>
      <c r="T21" s="39">
        <v>95.989169710970231</v>
      </c>
      <c r="U21" s="39">
        <v>9.3396441865313591</v>
      </c>
      <c r="V21" s="39">
        <v>30.875312178669581</v>
      </c>
      <c r="W21" s="39">
        <v>4.9122500642791582</v>
      </c>
      <c r="X21" s="39">
        <v>1.0920533303631104</v>
      </c>
      <c r="Y21" s="39">
        <v>164.61973029619148</v>
      </c>
      <c r="Z21" s="39">
        <v>10.195230510425949</v>
      </c>
      <c r="AA21" s="39">
        <v>1.6207100591715986</v>
      </c>
      <c r="AB21" s="39">
        <v>6.7108466985404558</v>
      </c>
      <c r="AC21" s="39">
        <v>0.60102040816326507</v>
      </c>
      <c r="AD21" s="39">
        <v>28.64189167226823</v>
      </c>
      <c r="AE21" s="39">
        <v>21.841850113614623</v>
      </c>
      <c r="AF21" s="39">
        <v>121.64808686975611</v>
      </c>
      <c r="AG21" s="39">
        <v>4.5011794227283648</v>
      </c>
      <c r="AH21" s="39">
        <v>35.082441508338981</v>
      </c>
      <c r="AI21" s="39">
        <v>53.527382495247728</v>
      </c>
      <c r="AJ21" s="39">
        <v>8.8975056940597028</v>
      </c>
      <c r="AK21" s="39">
        <v>10.291459252761729</v>
      </c>
      <c r="AL21" s="39">
        <v>50.322509589943095</v>
      </c>
    </row>
    <row r="27" spans="2:38">
      <c r="D27" t="s">
        <v>34</v>
      </c>
      <c r="E27">
        <v>2040</v>
      </c>
      <c r="F27" t="s">
        <v>35</v>
      </c>
      <c r="G27" t="s">
        <v>74</v>
      </c>
      <c r="H27">
        <v>5.6014999999999997</v>
      </c>
      <c r="I27">
        <v>9.9619999999999997</v>
      </c>
      <c r="J27">
        <v>1.7170000000000001</v>
      </c>
      <c r="K27">
        <v>6.1965000000000003</v>
      </c>
      <c r="L27">
        <v>0.76500000000000001</v>
      </c>
      <c r="M27">
        <v>6.6639999999999997</v>
      </c>
      <c r="N27">
        <v>3.5870000000000002</v>
      </c>
      <c r="O27">
        <v>0.67149999999999999</v>
      </c>
      <c r="P27">
        <v>5.4824999999999999</v>
      </c>
      <c r="Q27">
        <v>2.0485000000000002</v>
      </c>
      <c r="R27">
        <v>25.202500000000001</v>
      </c>
      <c r="S27">
        <v>2.1419999999999999</v>
      </c>
      <c r="T27">
        <v>3.1025</v>
      </c>
      <c r="U27">
        <v>0.27200000000000002</v>
      </c>
      <c r="V27">
        <v>3.8334999999999999</v>
      </c>
      <c r="W27">
        <v>1.5725</v>
      </c>
      <c r="X27">
        <v>8.5000000000000006E-2</v>
      </c>
      <c r="Y27">
        <v>3.2725</v>
      </c>
      <c r="Z27">
        <v>3.5105</v>
      </c>
      <c r="AA27">
        <v>9.8855000000000004</v>
      </c>
      <c r="AB27">
        <v>10.608000000000001</v>
      </c>
      <c r="AC27">
        <v>9.0112329229999997</v>
      </c>
      <c r="AD27">
        <v>10.310499999999999</v>
      </c>
      <c r="AE27">
        <v>0.77349999999999997</v>
      </c>
      <c r="AF27">
        <v>2.6604999999999999</v>
      </c>
      <c r="AG27">
        <v>31.263000000000002</v>
      </c>
    </row>
    <row r="28" spans="2:38">
      <c r="D28" t="s">
        <v>34</v>
      </c>
      <c r="E28">
        <v>2050</v>
      </c>
      <c r="F28" t="s">
        <v>35</v>
      </c>
      <c r="G28" t="s">
        <v>74</v>
      </c>
      <c r="H28">
        <v>5.6014999999999997</v>
      </c>
      <c r="I28">
        <v>9.9619999999999997</v>
      </c>
      <c r="J28">
        <v>1.7170000000000001</v>
      </c>
      <c r="K28">
        <v>6.1965000000000003</v>
      </c>
      <c r="L28">
        <v>0.76500000000000001</v>
      </c>
      <c r="M28">
        <v>6.6639999999999997</v>
      </c>
      <c r="N28">
        <v>3.5870000000000002</v>
      </c>
      <c r="O28">
        <v>0.67149999999999999</v>
      </c>
      <c r="P28">
        <v>5.4824999999999999</v>
      </c>
      <c r="Q28">
        <v>2.0485000000000002</v>
      </c>
      <c r="R28">
        <v>25.202500000000001</v>
      </c>
      <c r="S28">
        <v>2.1419999999999999</v>
      </c>
      <c r="T28">
        <v>3.1025</v>
      </c>
      <c r="U28">
        <v>0.27200000000000002</v>
      </c>
      <c r="V28">
        <v>3.8334999999999999</v>
      </c>
      <c r="W28">
        <v>1.5725</v>
      </c>
      <c r="X28">
        <v>8.5000000000000006E-2</v>
      </c>
      <c r="Y28">
        <v>3.2725</v>
      </c>
      <c r="Z28">
        <v>3.5105</v>
      </c>
      <c r="AA28">
        <v>9.8855000000000004</v>
      </c>
      <c r="AB28">
        <v>10.608000000000001</v>
      </c>
      <c r="AC28">
        <v>9.0143711989999993</v>
      </c>
      <c r="AD28">
        <v>10.310499999999999</v>
      </c>
      <c r="AE28">
        <v>0.77349999999999997</v>
      </c>
      <c r="AF28">
        <v>2.6604999999999999</v>
      </c>
      <c r="AG28">
        <v>31.263000000000002</v>
      </c>
    </row>
    <row r="29" spans="2:38">
      <c r="D29" t="s">
        <v>34</v>
      </c>
      <c r="E29">
        <v>2070</v>
      </c>
      <c r="F29" t="s">
        <v>35</v>
      </c>
      <c r="G29" t="s">
        <v>74</v>
      </c>
      <c r="H29">
        <v>5.6014999999999997</v>
      </c>
      <c r="I29">
        <v>9.9619999999999997</v>
      </c>
      <c r="J29">
        <v>1.7170000000000001</v>
      </c>
      <c r="K29">
        <v>6.1965000000000003</v>
      </c>
      <c r="L29">
        <v>0.76500000000000001</v>
      </c>
      <c r="M29">
        <v>6.6639999999999997</v>
      </c>
      <c r="N29">
        <v>3.5870000000000002</v>
      </c>
      <c r="O29">
        <v>0.67149999999999999</v>
      </c>
      <c r="P29">
        <v>5.4824999999999999</v>
      </c>
      <c r="Q29">
        <v>2.0485000000000002</v>
      </c>
      <c r="R29">
        <v>25.202500000000001</v>
      </c>
      <c r="S29">
        <v>2.1419999999999999</v>
      </c>
      <c r="T29">
        <v>3.1025</v>
      </c>
      <c r="U29">
        <v>0.27200000000000002</v>
      </c>
      <c r="V29">
        <v>3.8334999999999999</v>
      </c>
      <c r="W29">
        <v>1.5725</v>
      </c>
      <c r="X29">
        <v>8.5000000000000006E-2</v>
      </c>
      <c r="Y29">
        <v>3.2725</v>
      </c>
      <c r="Z29">
        <v>3.5105</v>
      </c>
      <c r="AA29">
        <v>9.8855000000000004</v>
      </c>
      <c r="AB29">
        <v>10.608000000000001</v>
      </c>
      <c r="AC29">
        <v>9.01</v>
      </c>
      <c r="AD29">
        <v>10.310499999999999</v>
      </c>
      <c r="AE29">
        <v>0.77349999999999997</v>
      </c>
      <c r="AF29">
        <v>2.6604999999999999</v>
      </c>
      <c r="AG29">
        <v>31.263000000000002</v>
      </c>
    </row>
    <row r="30" spans="2:38">
      <c r="D30" t="s">
        <v>34</v>
      </c>
      <c r="E30">
        <v>2040</v>
      </c>
      <c r="F30" t="s">
        <v>35</v>
      </c>
      <c r="G30" t="s">
        <v>75</v>
      </c>
      <c r="H30">
        <v>2.5952055500000002</v>
      </c>
      <c r="I30">
        <v>16.617041</v>
      </c>
      <c r="J30">
        <v>0.93120559999999997</v>
      </c>
      <c r="K30">
        <v>6.9481516000000001</v>
      </c>
      <c r="L30">
        <v>0.77738450000000003</v>
      </c>
      <c r="M30">
        <v>3.9485109500000002</v>
      </c>
      <c r="N30">
        <v>1.9078368999999999</v>
      </c>
      <c r="O30">
        <v>0.37765415000000002</v>
      </c>
      <c r="P30">
        <v>12.1616725</v>
      </c>
      <c r="Q30">
        <v>1.5510477</v>
      </c>
      <c r="R30">
        <v>22.407478999999999</v>
      </c>
      <c r="S30">
        <v>0.76803025000000003</v>
      </c>
      <c r="T30">
        <v>4.6606877000000004</v>
      </c>
      <c r="U30">
        <v>0.25073810000000002</v>
      </c>
      <c r="V30">
        <v>6.8211820000000003</v>
      </c>
      <c r="W30">
        <v>2.0396608500000002</v>
      </c>
      <c r="X30">
        <v>1.0360675500000001</v>
      </c>
      <c r="Y30">
        <v>17.297466</v>
      </c>
      <c r="Z30">
        <v>2.7571552000000001</v>
      </c>
      <c r="AA30">
        <v>3.7098080000000002</v>
      </c>
      <c r="AB30">
        <v>8.5663084999999999</v>
      </c>
      <c r="AC30">
        <v>2.591118775</v>
      </c>
      <c r="AD30">
        <v>4.9445409500000004</v>
      </c>
      <c r="AE30">
        <v>0.25663200000000003</v>
      </c>
      <c r="AF30">
        <v>0.7918328</v>
      </c>
      <c r="AG30">
        <v>108.545085</v>
      </c>
    </row>
    <row r="31" spans="2:38">
      <c r="D31" t="s">
        <v>34</v>
      </c>
      <c r="E31">
        <v>2050</v>
      </c>
      <c r="F31" t="s">
        <v>35</v>
      </c>
      <c r="G31" t="s">
        <v>75</v>
      </c>
      <c r="H31">
        <v>2.5952055500000002</v>
      </c>
      <c r="I31">
        <v>16.617041</v>
      </c>
      <c r="J31">
        <v>0.93120559999999997</v>
      </c>
      <c r="K31">
        <v>6.9481516000000001</v>
      </c>
      <c r="L31">
        <v>0.77738450000000003</v>
      </c>
      <c r="M31">
        <v>3.9485109500000002</v>
      </c>
      <c r="N31">
        <v>1.9078368999999999</v>
      </c>
      <c r="O31">
        <v>0.37765415000000002</v>
      </c>
      <c r="P31">
        <v>12.1616725</v>
      </c>
      <c r="Q31">
        <v>1.5510477</v>
      </c>
      <c r="R31">
        <v>22.407478999999999</v>
      </c>
      <c r="S31">
        <v>0.76803025000000003</v>
      </c>
      <c r="T31">
        <v>4.6606877000000004</v>
      </c>
      <c r="U31">
        <v>0.25073810000000002</v>
      </c>
      <c r="V31">
        <v>6.8211820000000003</v>
      </c>
      <c r="W31">
        <v>2.0396608500000002</v>
      </c>
      <c r="X31">
        <v>1.0360675500000001</v>
      </c>
      <c r="Y31">
        <v>17.297466</v>
      </c>
      <c r="Z31">
        <v>2.7571552000000001</v>
      </c>
      <c r="AA31">
        <v>3.7098080000000002</v>
      </c>
      <c r="AB31">
        <v>8.5663084999999999</v>
      </c>
      <c r="AC31">
        <v>2.5960197049999998</v>
      </c>
      <c r="AD31">
        <v>4.9445409500000004</v>
      </c>
      <c r="AE31">
        <v>0.25663200000000003</v>
      </c>
      <c r="AF31">
        <v>0.7918328</v>
      </c>
      <c r="AG31">
        <v>108.545085</v>
      </c>
    </row>
    <row r="32" spans="2:38">
      <c r="D32" t="s">
        <v>34</v>
      </c>
      <c r="E32">
        <v>2070</v>
      </c>
      <c r="F32" t="s">
        <v>35</v>
      </c>
      <c r="G32" t="s">
        <v>75</v>
      </c>
      <c r="H32">
        <v>2.5952055500000002</v>
      </c>
      <c r="I32">
        <v>16.617041</v>
      </c>
      <c r="J32">
        <v>0.93120559999999997</v>
      </c>
      <c r="K32">
        <v>6.9481516000000001</v>
      </c>
      <c r="L32">
        <v>0.77738450000000003</v>
      </c>
      <c r="M32">
        <v>3.9485109500000002</v>
      </c>
      <c r="N32">
        <v>1.9078368999999999</v>
      </c>
      <c r="O32">
        <v>0.37765415000000002</v>
      </c>
      <c r="P32">
        <v>12.1616725</v>
      </c>
      <c r="Q32">
        <v>1.5510477</v>
      </c>
      <c r="R32">
        <v>22.407478999999999</v>
      </c>
      <c r="S32">
        <v>0.76803025000000003</v>
      </c>
      <c r="T32">
        <v>4.6606877000000004</v>
      </c>
      <c r="U32">
        <v>0.25073810000000002</v>
      </c>
      <c r="V32">
        <v>6.8211820000000003</v>
      </c>
      <c r="W32">
        <v>2.0396608500000002</v>
      </c>
      <c r="X32">
        <v>1.0360675500000001</v>
      </c>
      <c r="Y32">
        <v>17.297466</v>
      </c>
      <c r="Z32">
        <v>2.7571552000000001</v>
      </c>
      <c r="AA32">
        <v>3.7098080000000002</v>
      </c>
      <c r="AB32">
        <v>8.5663084999999999</v>
      </c>
      <c r="AC32">
        <v>2.58779695</v>
      </c>
      <c r="AD32">
        <v>4.9445409500000004</v>
      </c>
      <c r="AE32">
        <v>0.25663200000000003</v>
      </c>
      <c r="AF32">
        <v>0.7918328</v>
      </c>
      <c r="AG32">
        <v>108.545085</v>
      </c>
    </row>
    <row r="39" spans="2:31">
      <c r="B39" s="9"/>
    </row>
    <row r="40" spans="2:31" ht="15" thickBot="1">
      <c r="B40" s="12" t="s">
        <v>4</v>
      </c>
      <c r="C40" s="12" t="s">
        <v>11</v>
      </c>
      <c r="D40" s="12" t="s">
        <v>12</v>
      </c>
      <c r="E40" s="12" t="s">
        <v>3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 t="s">
        <v>41</v>
      </c>
      <c r="L40" t="s">
        <v>43</v>
      </c>
      <c r="M40" t="s">
        <v>45</v>
      </c>
      <c r="N40" t="s">
        <v>46</v>
      </c>
      <c r="O40" t="s">
        <v>47</v>
      </c>
      <c r="P40" t="s">
        <v>48</v>
      </c>
      <c r="Q40" t="s">
        <v>49</v>
      </c>
      <c r="R40" t="s">
        <v>51</v>
      </c>
      <c r="S40" t="s">
        <v>52</v>
      </c>
      <c r="T40" t="s">
        <v>53</v>
      </c>
      <c r="U40" t="s">
        <v>55</v>
      </c>
      <c r="V40" t="s">
        <v>68</v>
      </c>
      <c r="W40" t="s">
        <v>58</v>
      </c>
      <c r="X40" t="s">
        <v>59</v>
      </c>
      <c r="Y40" t="s">
        <v>60</v>
      </c>
      <c r="Z40" t="s">
        <v>61</v>
      </c>
      <c r="AA40" t="s">
        <v>62</v>
      </c>
      <c r="AB40" t="s">
        <v>63</v>
      </c>
      <c r="AC40" t="s">
        <v>64</v>
      </c>
      <c r="AD40" t="s">
        <v>65</v>
      </c>
      <c r="AE40" t="s">
        <v>66</v>
      </c>
    </row>
    <row r="41" spans="2:31">
      <c r="B41" t="s">
        <v>69</v>
      </c>
      <c r="C41" t="s">
        <v>70</v>
      </c>
      <c r="D41" t="s">
        <v>71</v>
      </c>
      <c r="E41">
        <v>2020</v>
      </c>
      <c r="F41">
        <v>9.5286270000000002</v>
      </c>
      <c r="G41">
        <v>11.163930000000001</v>
      </c>
      <c r="H41">
        <v>2.5391699999999999</v>
      </c>
      <c r="I41">
        <v>14.2715</v>
      </c>
      <c r="J41">
        <v>0.70679999999999998</v>
      </c>
      <c r="K41">
        <v>16.848400000000002</v>
      </c>
      <c r="L41">
        <v>4.5087460000000004</v>
      </c>
      <c r="M41">
        <v>1.8103100000000001</v>
      </c>
      <c r="N41">
        <v>49.304900000000004</v>
      </c>
      <c r="O41">
        <v>3.3775300000000001</v>
      </c>
      <c r="P41">
        <v>43.28228</v>
      </c>
      <c r="Q41">
        <v>2.0045799999999998</v>
      </c>
      <c r="R41">
        <v>1.1599330000000001</v>
      </c>
      <c r="S41">
        <v>0.48665199999999997</v>
      </c>
      <c r="T41">
        <v>36.427100000000003</v>
      </c>
      <c r="U41">
        <v>2.4106399999999999</v>
      </c>
      <c r="V41">
        <v>0.43672899999999998</v>
      </c>
      <c r="W41">
        <v>10.477690000000001</v>
      </c>
      <c r="X41">
        <v>10.259119999999999</v>
      </c>
      <c r="Y41">
        <v>23.5566</v>
      </c>
      <c r="Z41">
        <v>15.679</v>
      </c>
      <c r="AA41">
        <v>10.336</v>
      </c>
      <c r="AB41">
        <v>24.963999999999999</v>
      </c>
      <c r="AC41">
        <v>2.1473</v>
      </c>
      <c r="AD41">
        <v>4.2102000000000004</v>
      </c>
      <c r="AE41">
        <v>37.914200000000001</v>
      </c>
    </row>
    <row r="42" spans="2:31">
      <c r="B42" t="s">
        <v>69</v>
      </c>
      <c r="C42" t="s">
        <v>70</v>
      </c>
      <c r="D42" t="s">
        <v>71</v>
      </c>
      <c r="E42">
        <v>2030</v>
      </c>
      <c r="F42">
        <v>9.5286270000000002</v>
      </c>
      <c r="G42">
        <v>11.163930000000001</v>
      </c>
      <c r="H42">
        <v>2.5391699999999999</v>
      </c>
      <c r="I42">
        <v>14.2715</v>
      </c>
      <c r="J42">
        <v>0.70679999999999998</v>
      </c>
      <c r="K42">
        <v>16.848400000000002</v>
      </c>
      <c r="L42">
        <v>4.5087460000000004</v>
      </c>
      <c r="M42">
        <v>1.8103100000000001</v>
      </c>
      <c r="N42">
        <v>49.304900000000004</v>
      </c>
      <c r="O42">
        <v>3.3775300000000001</v>
      </c>
      <c r="P42">
        <v>43.28228</v>
      </c>
      <c r="Q42">
        <v>2.0045799999999998</v>
      </c>
      <c r="R42">
        <v>1.1599330000000001</v>
      </c>
      <c r="S42">
        <v>0.48665199999999997</v>
      </c>
      <c r="T42">
        <v>36.427100000000003</v>
      </c>
      <c r="U42">
        <v>2.4106399999999999</v>
      </c>
      <c r="V42">
        <v>0.43672899999999998</v>
      </c>
      <c r="W42">
        <v>10.477690000000001</v>
      </c>
      <c r="X42">
        <v>10.259119999999999</v>
      </c>
      <c r="Y42">
        <v>23.5566</v>
      </c>
      <c r="Z42">
        <v>15.679</v>
      </c>
      <c r="AA42">
        <v>10.336</v>
      </c>
      <c r="AB42">
        <v>24.963999999999999</v>
      </c>
      <c r="AC42">
        <v>2.1473</v>
      </c>
      <c r="AD42">
        <v>4.2102000000000004</v>
      </c>
      <c r="AE42">
        <v>37.914200000000001</v>
      </c>
    </row>
    <row r="43" spans="2:31">
      <c r="B43" t="s">
        <v>69</v>
      </c>
      <c r="C43" t="s">
        <v>70</v>
      </c>
      <c r="D43" t="s">
        <v>71</v>
      </c>
      <c r="E43">
        <v>2040</v>
      </c>
      <c r="F43">
        <v>8.0993329499999991</v>
      </c>
      <c r="G43">
        <v>9.4893405000000008</v>
      </c>
      <c r="H43">
        <v>2.1582936499999996</v>
      </c>
      <c r="I43">
        <v>12.130740999999999</v>
      </c>
      <c r="J43">
        <v>0.60077914999999993</v>
      </c>
      <c r="K43">
        <v>14.321131499999998</v>
      </c>
      <c r="L43">
        <v>3.8324341000000004</v>
      </c>
      <c r="M43">
        <v>1.5387635</v>
      </c>
      <c r="N43">
        <v>41.909182000000001</v>
      </c>
      <c r="O43">
        <v>2.8708996500000001</v>
      </c>
      <c r="P43">
        <v>36.789937999999999</v>
      </c>
      <c r="Q43">
        <v>1.7038904499999998</v>
      </c>
      <c r="R43">
        <v>0.98594305000000004</v>
      </c>
      <c r="S43">
        <v>0.41365419999999997</v>
      </c>
      <c r="T43">
        <v>30.963052000000001</v>
      </c>
      <c r="U43">
        <v>2.04904485</v>
      </c>
      <c r="V43">
        <v>0.37121964999999996</v>
      </c>
      <c r="W43">
        <v>8.9060365000000008</v>
      </c>
      <c r="X43">
        <v>8.7202519999999986</v>
      </c>
      <c r="Y43">
        <v>20.023101499999999</v>
      </c>
      <c r="Z43">
        <v>13.326954499999999</v>
      </c>
      <c r="AA43">
        <v>8.7855235</v>
      </c>
      <c r="AB43">
        <v>21.219391499999997</v>
      </c>
      <c r="AC43">
        <v>1.8252347499999999</v>
      </c>
      <c r="AD43">
        <v>3.5786495999999994</v>
      </c>
      <c r="AE43">
        <v>32.227095500000004</v>
      </c>
    </row>
    <row r="44" spans="2:31">
      <c r="B44" t="s">
        <v>69</v>
      </c>
      <c r="C44" t="s">
        <v>70</v>
      </c>
      <c r="D44" t="s">
        <v>71</v>
      </c>
      <c r="E44">
        <v>2050</v>
      </c>
      <c r="F44">
        <v>8.0993329499999991</v>
      </c>
      <c r="G44">
        <v>9.4893405000000008</v>
      </c>
      <c r="H44">
        <v>2.1582936499999996</v>
      </c>
      <c r="I44">
        <v>12.130740999999999</v>
      </c>
      <c r="J44">
        <v>0.60077914999999993</v>
      </c>
      <c r="K44">
        <v>14.321131499999998</v>
      </c>
      <c r="L44">
        <v>3.8324341000000004</v>
      </c>
      <c r="M44">
        <v>1.5387635</v>
      </c>
      <c r="N44">
        <v>41.909182000000001</v>
      </c>
      <c r="O44">
        <v>2.8708996500000001</v>
      </c>
      <c r="P44">
        <v>36.789937999999999</v>
      </c>
      <c r="Q44">
        <v>1.7038904499999998</v>
      </c>
      <c r="R44">
        <v>0.98594305000000004</v>
      </c>
      <c r="S44">
        <v>0.41365419999999997</v>
      </c>
      <c r="T44">
        <v>30.963052000000001</v>
      </c>
      <c r="U44">
        <v>2.04904485</v>
      </c>
      <c r="V44">
        <v>0.37121964999999996</v>
      </c>
      <c r="W44">
        <v>8.9060365000000008</v>
      </c>
      <c r="X44">
        <v>8.7202519999999986</v>
      </c>
      <c r="Y44">
        <v>20.023101499999999</v>
      </c>
      <c r="Z44">
        <v>13.326954499999999</v>
      </c>
      <c r="AA44">
        <v>8.7855235</v>
      </c>
      <c r="AB44">
        <v>21.219391499999997</v>
      </c>
      <c r="AC44">
        <v>1.8252347499999999</v>
      </c>
      <c r="AD44">
        <v>3.5786495999999994</v>
      </c>
      <c r="AE44">
        <v>32.227095500000004</v>
      </c>
    </row>
    <row r="45" spans="2:31">
      <c r="B45" t="s">
        <v>69</v>
      </c>
      <c r="C45" t="s">
        <v>70</v>
      </c>
      <c r="D45" t="s">
        <v>71</v>
      </c>
      <c r="E45">
        <v>2070</v>
      </c>
      <c r="F45">
        <v>8.0993329499999991</v>
      </c>
      <c r="G45">
        <v>9.4893405000000008</v>
      </c>
      <c r="H45">
        <v>2.1582936499999996</v>
      </c>
      <c r="I45">
        <v>12.130740999999999</v>
      </c>
      <c r="J45">
        <v>0.60077914999999993</v>
      </c>
      <c r="K45">
        <v>14.321131499999998</v>
      </c>
      <c r="L45">
        <v>3.8324341000000004</v>
      </c>
      <c r="M45">
        <v>1.5387635</v>
      </c>
      <c r="N45">
        <v>41.909182000000001</v>
      </c>
      <c r="O45">
        <v>2.8708996500000001</v>
      </c>
      <c r="P45">
        <v>36.789937999999999</v>
      </c>
      <c r="Q45">
        <v>1.7038904499999998</v>
      </c>
      <c r="R45">
        <v>0.98594305000000004</v>
      </c>
      <c r="S45">
        <v>0.41365419999999997</v>
      </c>
      <c r="T45">
        <v>30.963052000000001</v>
      </c>
      <c r="U45">
        <v>2.04904485</v>
      </c>
      <c r="V45">
        <v>0.37121964999999996</v>
      </c>
      <c r="W45">
        <v>8.9060365000000008</v>
      </c>
      <c r="X45">
        <v>8.7202519999999986</v>
      </c>
      <c r="Y45">
        <v>20.023101499999999</v>
      </c>
      <c r="Z45">
        <v>13.326954499999999</v>
      </c>
      <c r="AA45">
        <v>8.7855235</v>
      </c>
      <c r="AB45">
        <v>21.219391499999997</v>
      </c>
      <c r="AC45">
        <v>1.8252347499999999</v>
      </c>
      <c r="AD45">
        <v>3.5786495999999994</v>
      </c>
      <c r="AE45">
        <v>32.227095500000004</v>
      </c>
    </row>
  </sheetData>
  <phoneticPr fontId="9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22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27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24</v>
      </c>
    </row>
    <row r="2" spans="1:15">
      <c r="B2" s="1" t="s">
        <v>0</v>
      </c>
    </row>
    <row r="3" spans="1:15">
      <c r="B3" s="7" t="s">
        <v>23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28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6640625" bestFit="1" customWidth="1"/>
  </cols>
  <sheetData>
    <row r="1" spans="1:15">
      <c r="A1" t="s">
        <v>25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/>
  <cols>
    <col min="13" max="13" width="10.5546875" bestFit="1" customWidth="1"/>
  </cols>
  <sheetData>
    <row r="1" spans="1:15">
      <c r="A1" t="s">
        <v>26</v>
      </c>
    </row>
    <row r="2" spans="1:15">
      <c r="B2" s="7" t="s">
        <v>15</v>
      </c>
    </row>
    <row r="3" spans="1:15">
      <c r="B3" s="7" t="s">
        <v>23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89"/>
  <sheetViews>
    <sheetView topLeftCell="O41" workbookViewId="0">
      <selection activeCell="C56" sqref="C56:AG56"/>
    </sheetView>
  </sheetViews>
  <sheetFormatPr defaultRowHeight="14.4"/>
  <cols>
    <col min="1" max="1" width="19.109375" customWidth="1"/>
    <col min="2" max="2" width="9.6640625" bestFit="1" customWidth="1"/>
    <col min="3" max="3" width="9.5546875" bestFit="1" customWidth="1"/>
    <col min="4" max="6" width="9.33203125" bestFit="1" customWidth="1"/>
    <col min="7" max="7" width="9.44140625" bestFit="1" customWidth="1"/>
    <col min="8" max="8" width="9.33203125" bestFit="1" customWidth="1"/>
    <col min="9" max="9" width="10.33203125" bestFit="1" customWidth="1"/>
    <col min="10" max="10" width="9.33203125" bestFit="1" customWidth="1"/>
    <col min="11" max="12" width="9.5546875" bestFit="1" customWidth="1"/>
    <col min="13" max="13" width="10.5546875" bestFit="1" customWidth="1"/>
    <col min="14" max="14" width="9.33203125" bestFit="1" customWidth="1"/>
    <col min="15" max="15" width="10.33203125" bestFit="1" customWidth="1"/>
    <col min="16" max="18" width="9.33203125" bestFit="1" customWidth="1"/>
    <col min="19" max="19" width="7.88671875" bestFit="1" customWidth="1"/>
    <col min="20" max="20" width="10.33203125" bestFit="1" customWidth="1"/>
    <col min="21" max="21" width="9.33203125" bestFit="1" customWidth="1"/>
    <col min="22" max="22" width="7.88671875" bestFit="1" customWidth="1"/>
    <col min="23" max="23" width="9.5546875" bestFit="1" customWidth="1"/>
    <col min="24" max="24" width="7.88671875" bestFit="1" customWidth="1"/>
    <col min="25" max="26" width="9.33203125" bestFit="1" customWidth="1"/>
    <col min="27" max="27" width="10.33203125" bestFit="1" customWidth="1"/>
    <col min="28" max="28" width="7.88671875" bestFit="1" customWidth="1"/>
    <col min="29" max="30" width="9.33203125" bestFit="1" customWidth="1"/>
    <col min="31" max="31" width="7.88671875" bestFit="1" customWidth="1"/>
    <col min="32" max="32" width="9.5546875" bestFit="1" customWidth="1"/>
    <col min="33" max="33" width="10.33203125" bestFit="1" customWidth="1"/>
    <col min="34" max="34" width="9.5546875" bestFit="1" customWidth="1"/>
    <col min="35" max="35" width="9.33203125" bestFit="1" customWidth="1"/>
  </cols>
  <sheetData>
    <row r="1" spans="1:35">
      <c r="A1" s="21" t="s">
        <v>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spans="1:35">
      <c r="A2" s="20"/>
      <c r="B2" s="20"/>
      <c r="C2" s="21" t="s">
        <v>36</v>
      </c>
      <c r="D2" s="21" t="s">
        <v>37</v>
      </c>
      <c r="E2" s="21" t="s">
        <v>38</v>
      </c>
      <c r="F2" s="21" t="s">
        <v>39</v>
      </c>
      <c r="G2" s="21" t="s">
        <v>40</v>
      </c>
      <c r="H2" s="21" t="s">
        <v>41</v>
      </c>
      <c r="I2" s="21" t="s">
        <v>42</v>
      </c>
      <c r="J2" s="21" t="s">
        <v>43</v>
      </c>
      <c r="K2" s="21" t="s">
        <v>44</v>
      </c>
      <c r="L2" s="21" t="s">
        <v>45</v>
      </c>
      <c r="M2" s="21" t="s">
        <v>46</v>
      </c>
      <c r="N2" s="21" t="s">
        <v>47</v>
      </c>
      <c r="O2" s="21" t="s">
        <v>48</v>
      </c>
      <c r="P2" s="21" t="s">
        <v>49</v>
      </c>
      <c r="Q2" s="21" t="s">
        <v>50</v>
      </c>
      <c r="R2" s="21" t="s">
        <v>51</v>
      </c>
      <c r="S2" s="21" t="s">
        <v>52</v>
      </c>
      <c r="T2" s="21" t="s">
        <v>53</v>
      </c>
      <c r="U2" s="21" t="s">
        <v>54</v>
      </c>
      <c r="V2" s="21" t="s">
        <v>55</v>
      </c>
      <c r="W2" s="21" t="s">
        <v>56</v>
      </c>
      <c r="X2" s="21" t="s">
        <v>57</v>
      </c>
      <c r="Y2" s="21" t="s">
        <v>58</v>
      </c>
      <c r="Z2" s="21" t="s">
        <v>59</v>
      </c>
      <c r="AA2" s="21" t="s">
        <v>60</v>
      </c>
      <c r="AB2" s="21" t="s">
        <v>61</v>
      </c>
      <c r="AC2" s="21" t="s">
        <v>62</v>
      </c>
      <c r="AD2" s="21" t="s">
        <v>63</v>
      </c>
      <c r="AE2" s="21" t="s">
        <v>64</v>
      </c>
      <c r="AF2" s="21" t="s">
        <v>65</v>
      </c>
      <c r="AG2" s="21" t="s">
        <v>66</v>
      </c>
      <c r="AH2" s="27" t="s">
        <v>77</v>
      </c>
      <c r="AI2" s="21" t="s">
        <v>78</v>
      </c>
    </row>
    <row r="3" spans="1:35">
      <c r="A3" s="20" t="s">
        <v>72</v>
      </c>
      <c r="B3" s="21">
        <v>2010</v>
      </c>
      <c r="C3" s="23">
        <v>1015</v>
      </c>
      <c r="D3" s="23">
        <v>950</v>
      </c>
      <c r="E3" s="23">
        <v>617</v>
      </c>
      <c r="F3" s="23">
        <v>842</v>
      </c>
      <c r="G3" s="23">
        <v>106</v>
      </c>
      <c r="H3" s="23">
        <v>1027</v>
      </c>
      <c r="I3" s="23">
        <v>7734</v>
      </c>
      <c r="J3" s="23">
        <v>997</v>
      </c>
      <c r="K3" s="23">
        <v>112</v>
      </c>
      <c r="L3" s="23">
        <v>729</v>
      </c>
      <c r="M3" s="23">
        <v>973</v>
      </c>
      <c r="N3" s="23">
        <v>792</v>
      </c>
      <c r="O3" s="23">
        <v>6299</v>
      </c>
      <c r="P3" s="23">
        <v>636</v>
      </c>
      <c r="Q3" s="23">
        <v>1537</v>
      </c>
      <c r="R3" s="23">
        <v>465</v>
      </c>
      <c r="S3" s="23">
        <v>44</v>
      </c>
      <c r="T3" s="23">
        <v>2112</v>
      </c>
      <c r="U3" s="23">
        <v>261</v>
      </c>
      <c r="V3" s="23">
        <v>52</v>
      </c>
      <c r="W3" s="23">
        <v>184</v>
      </c>
      <c r="X3" s="23">
        <v>4</v>
      </c>
      <c r="Y3" s="23">
        <v>636</v>
      </c>
      <c r="Z3" s="23">
        <v>464</v>
      </c>
      <c r="AA3" s="23">
        <v>3325</v>
      </c>
      <c r="AB3" s="23">
        <v>410</v>
      </c>
      <c r="AC3" s="23">
        <v>2103</v>
      </c>
      <c r="AD3" s="23">
        <v>1179</v>
      </c>
      <c r="AE3" s="23">
        <v>195</v>
      </c>
      <c r="AF3" s="23">
        <v>432</v>
      </c>
      <c r="AG3" s="23">
        <v>3811</v>
      </c>
      <c r="AH3" s="23">
        <v>0</v>
      </c>
      <c r="AI3" s="23">
        <v>0</v>
      </c>
    </row>
    <row r="4" spans="1:35">
      <c r="A4" s="20" t="s">
        <v>72</v>
      </c>
      <c r="B4" s="21">
        <v>2020</v>
      </c>
      <c r="C4" s="23">
        <v>1056</v>
      </c>
      <c r="D4" s="23">
        <v>1064</v>
      </c>
      <c r="E4" s="23">
        <v>648</v>
      </c>
      <c r="F4" s="23">
        <v>943</v>
      </c>
      <c r="G4" s="23">
        <v>113</v>
      </c>
      <c r="H4" s="23">
        <v>1089</v>
      </c>
      <c r="I4" s="23">
        <v>8352</v>
      </c>
      <c r="J4" s="23">
        <v>1137</v>
      </c>
      <c r="K4" s="23">
        <v>149</v>
      </c>
      <c r="L4" s="25">
        <v>758</v>
      </c>
      <c r="M4" s="25">
        <v>1012</v>
      </c>
      <c r="N4" s="23">
        <v>832</v>
      </c>
      <c r="O4" s="23">
        <v>6551</v>
      </c>
      <c r="P4" s="23">
        <v>674</v>
      </c>
      <c r="Q4" s="23">
        <v>1921</v>
      </c>
      <c r="R4" s="23">
        <v>554</v>
      </c>
      <c r="S4" s="23">
        <v>53</v>
      </c>
      <c r="T4" s="23">
        <v>2196</v>
      </c>
      <c r="U4" s="23">
        <v>336</v>
      </c>
      <c r="V4" s="23">
        <v>61</v>
      </c>
      <c r="W4" s="23">
        <v>236</v>
      </c>
      <c r="X4" s="23">
        <v>5</v>
      </c>
      <c r="Y4" s="23">
        <v>706</v>
      </c>
      <c r="Z4" s="23">
        <v>515</v>
      </c>
      <c r="AA4" s="23">
        <v>3990</v>
      </c>
      <c r="AB4" s="23">
        <v>426</v>
      </c>
      <c r="AC4" s="23">
        <v>2377</v>
      </c>
      <c r="AD4" s="23">
        <v>1332</v>
      </c>
      <c r="AE4" s="23">
        <v>207</v>
      </c>
      <c r="AF4" s="23">
        <v>449</v>
      </c>
      <c r="AG4" s="23">
        <v>4002</v>
      </c>
      <c r="AH4" s="23" t="e">
        <v>#N/A</v>
      </c>
      <c r="AI4" s="23" t="e">
        <v>#N/A</v>
      </c>
    </row>
    <row r="5" spans="1:35">
      <c r="A5" s="20" t="s">
        <v>72</v>
      </c>
      <c r="B5" s="21">
        <v>2030</v>
      </c>
      <c r="C5" s="23">
        <v>1151</v>
      </c>
      <c r="D5" s="23">
        <v>1192</v>
      </c>
      <c r="E5" s="23">
        <v>726</v>
      </c>
      <c r="F5" s="23">
        <v>1056</v>
      </c>
      <c r="G5" s="23">
        <v>130</v>
      </c>
      <c r="H5" s="23">
        <v>1154</v>
      </c>
      <c r="I5" s="23">
        <v>8770</v>
      </c>
      <c r="J5" s="23">
        <v>1251</v>
      </c>
      <c r="K5" s="23">
        <v>162</v>
      </c>
      <c r="L5" s="23">
        <v>947</v>
      </c>
      <c r="M5" s="23">
        <v>1143</v>
      </c>
      <c r="N5" s="23">
        <v>882</v>
      </c>
      <c r="O5" s="23">
        <v>7140</v>
      </c>
      <c r="P5" s="23">
        <v>836</v>
      </c>
      <c r="Q5" s="23">
        <v>2286</v>
      </c>
      <c r="R5" s="23">
        <v>720</v>
      </c>
      <c r="S5" s="23">
        <v>61</v>
      </c>
      <c r="T5" s="23">
        <v>2614</v>
      </c>
      <c r="U5" s="23">
        <v>393</v>
      </c>
      <c r="V5" s="23">
        <v>69</v>
      </c>
      <c r="W5" s="23">
        <v>260</v>
      </c>
      <c r="X5" s="23">
        <v>6</v>
      </c>
      <c r="Y5" s="23">
        <v>797</v>
      </c>
      <c r="Z5" s="23">
        <v>587</v>
      </c>
      <c r="AA5" s="23">
        <v>4828</v>
      </c>
      <c r="AB5" s="23">
        <v>482</v>
      </c>
      <c r="AC5" s="23">
        <v>2900</v>
      </c>
      <c r="AD5" s="23">
        <v>1478</v>
      </c>
      <c r="AE5" s="23">
        <v>256</v>
      </c>
      <c r="AF5" s="23">
        <v>516</v>
      </c>
      <c r="AG5" s="23">
        <v>4242</v>
      </c>
      <c r="AH5" s="23" t="e">
        <v>#N/A</v>
      </c>
      <c r="AI5" s="23" t="e">
        <v>#N/A</v>
      </c>
    </row>
    <row r="6" spans="1:35">
      <c r="A6" s="20" t="s">
        <v>72</v>
      </c>
      <c r="B6" s="21">
        <v>2040</v>
      </c>
      <c r="C6" s="23">
        <v>1249</v>
      </c>
      <c r="D6" s="23">
        <v>1305</v>
      </c>
      <c r="E6" s="23">
        <v>776</v>
      </c>
      <c r="F6" s="23">
        <v>1156</v>
      </c>
      <c r="G6" s="23">
        <v>144</v>
      </c>
      <c r="H6" s="23">
        <v>1269</v>
      </c>
      <c r="I6" s="23">
        <v>9472</v>
      </c>
      <c r="J6" s="23">
        <v>1382</v>
      </c>
      <c r="K6" s="23">
        <v>179</v>
      </c>
      <c r="L6" s="23">
        <v>1000</v>
      </c>
      <c r="M6" s="23">
        <v>1235</v>
      </c>
      <c r="N6" s="23">
        <v>957</v>
      </c>
      <c r="O6" s="23">
        <v>7676</v>
      </c>
      <c r="P6" s="23">
        <v>924</v>
      </c>
      <c r="Q6" s="23">
        <v>2549</v>
      </c>
      <c r="R6" s="23">
        <v>825</v>
      </c>
      <c r="S6" s="23">
        <v>67</v>
      </c>
      <c r="T6" s="23">
        <v>2783</v>
      </c>
      <c r="U6" s="23">
        <v>423</v>
      </c>
      <c r="V6" s="23">
        <v>78</v>
      </c>
      <c r="W6" s="23">
        <v>278</v>
      </c>
      <c r="X6" s="23">
        <v>7</v>
      </c>
      <c r="Y6" s="23">
        <v>877</v>
      </c>
      <c r="Z6" s="23">
        <v>651</v>
      </c>
      <c r="AA6" s="23">
        <v>5286</v>
      </c>
      <c r="AB6" s="23">
        <v>513</v>
      </c>
      <c r="AC6" s="23">
        <v>3175</v>
      </c>
      <c r="AD6" s="23">
        <v>1663</v>
      </c>
      <c r="AE6" s="23">
        <v>285</v>
      </c>
      <c r="AF6" s="23">
        <v>573</v>
      </c>
      <c r="AG6" s="23">
        <v>4623</v>
      </c>
      <c r="AH6" s="23" t="e">
        <v>#N/A</v>
      </c>
      <c r="AI6" s="23" t="e">
        <v>#N/A</v>
      </c>
    </row>
    <row r="7" spans="1:35">
      <c r="A7" s="20" t="s">
        <v>72</v>
      </c>
      <c r="B7" s="21">
        <v>2050</v>
      </c>
      <c r="C7" s="23">
        <v>1355</v>
      </c>
      <c r="D7" s="23">
        <v>1429</v>
      </c>
      <c r="E7" s="23">
        <v>831</v>
      </c>
      <c r="F7" s="23">
        <v>1266</v>
      </c>
      <c r="G7" s="23">
        <v>159</v>
      </c>
      <c r="H7" s="23">
        <v>1396</v>
      </c>
      <c r="I7" s="23">
        <v>10229</v>
      </c>
      <c r="J7" s="23">
        <v>1527</v>
      </c>
      <c r="K7" s="23">
        <v>198</v>
      </c>
      <c r="L7" s="23">
        <v>1055</v>
      </c>
      <c r="M7" s="23">
        <v>1334</v>
      </c>
      <c r="N7" s="23">
        <v>1038</v>
      </c>
      <c r="O7" s="23">
        <v>8252</v>
      </c>
      <c r="P7" s="23">
        <v>1021</v>
      </c>
      <c r="Q7" s="23">
        <v>2842</v>
      </c>
      <c r="R7" s="23">
        <v>944</v>
      </c>
      <c r="S7" s="23">
        <v>73</v>
      </c>
      <c r="T7" s="23">
        <v>2964</v>
      </c>
      <c r="U7" s="23">
        <v>455</v>
      </c>
      <c r="V7" s="23">
        <v>88</v>
      </c>
      <c r="W7" s="23">
        <v>297</v>
      </c>
      <c r="X7" s="23">
        <v>8</v>
      </c>
      <c r="Y7" s="23">
        <v>965</v>
      </c>
      <c r="Z7" s="23">
        <v>723</v>
      </c>
      <c r="AA7" s="23">
        <v>5789</v>
      </c>
      <c r="AB7" s="23">
        <v>546</v>
      </c>
      <c r="AC7" s="23">
        <v>3477</v>
      </c>
      <c r="AD7" s="23">
        <v>1871</v>
      </c>
      <c r="AE7" s="23">
        <v>316</v>
      </c>
      <c r="AF7" s="23">
        <v>636</v>
      </c>
      <c r="AG7" s="23">
        <v>5039</v>
      </c>
      <c r="AH7" s="23" t="e">
        <v>#N/A</v>
      </c>
      <c r="AI7" s="23" t="e">
        <v>#N/A</v>
      </c>
    </row>
    <row r="8" spans="1:35">
      <c r="A8" s="20" t="s">
        <v>72</v>
      </c>
      <c r="B8" s="21">
        <v>2060</v>
      </c>
      <c r="C8" s="40">
        <v>1480</v>
      </c>
      <c r="D8" s="40">
        <v>1578</v>
      </c>
      <c r="E8" s="40">
        <v>893</v>
      </c>
      <c r="F8" s="40">
        <v>1397</v>
      </c>
      <c r="G8" s="40">
        <v>178</v>
      </c>
      <c r="H8" s="40">
        <v>1550</v>
      </c>
      <c r="I8" s="40">
        <v>11113</v>
      </c>
      <c r="J8" s="40">
        <v>1705</v>
      </c>
      <c r="K8" s="40">
        <v>221</v>
      </c>
      <c r="L8" s="40">
        <v>1116</v>
      </c>
      <c r="M8" s="40">
        <v>1449</v>
      </c>
      <c r="N8" s="40">
        <v>1134</v>
      </c>
      <c r="O8" s="40">
        <v>8917</v>
      </c>
      <c r="P8" s="40">
        <v>1139</v>
      </c>
      <c r="Q8" s="40">
        <v>3207</v>
      </c>
      <c r="R8" s="40">
        <v>1102</v>
      </c>
      <c r="S8" s="40">
        <v>81</v>
      </c>
      <c r="T8" s="40">
        <v>3169</v>
      </c>
      <c r="U8" s="40">
        <v>491</v>
      </c>
      <c r="V8" s="40">
        <v>100</v>
      </c>
      <c r="W8" s="40">
        <v>319</v>
      </c>
      <c r="X8" s="40">
        <v>10</v>
      </c>
      <c r="Y8" s="40">
        <v>1071</v>
      </c>
      <c r="Z8" s="40">
        <v>811</v>
      </c>
      <c r="AA8" s="40">
        <v>6391</v>
      </c>
      <c r="AB8" s="40">
        <v>584</v>
      </c>
      <c r="AC8" s="40">
        <v>3839</v>
      </c>
      <c r="AD8" s="40">
        <v>2135</v>
      </c>
      <c r="AE8" s="40">
        <v>355</v>
      </c>
      <c r="AF8" s="40">
        <v>714</v>
      </c>
      <c r="AG8" s="40">
        <v>5534</v>
      </c>
      <c r="AH8" s="41"/>
      <c r="AI8" s="41"/>
    </row>
    <row r="9" spans="1:35">
      <c r="A9" s="20" t="s">
        <v>72</v>
      </c>
      <c r="B9" s="21">
        <v>2070</v>
      </c>
      <c r="C9" s="40">
        <v>1616</v>
      </c>
      <c r="D9" s="40">
        <v>1742</v>
      </c>
      <c r="E9" s="40">
        <v>960</v>
      </c>
      <c r="F9" s="40">
        <v>1543</v>
      </c>
      <c r="G9" s="40">
        <v>198</v>
      </c>
      <c r="H9" s="40">
        <v>1721</v>
      </c>
      <c r="I9" s="40">
        <v>12073</v>
      </c>
      <c r="J9" s="40">
        <v>1903</v>
      </c>
      <c r="K9" s="40">
        <v>246</v>
      </c>
      <c r="L9" s="40">
        <v>1180</v>
      </c>
      <c r="M9" s="40">
        <v>1574</v>
      </c>
      <c r="N9" s="40">
        <v>1238</v>
      </c>
      <c r="O9" s="40">
        <v>9635</v>
      </c>
      <c r="P9" s="40">
        <v>1272</v>
      </c>
      <c r="Q9" s="40">
        <v>3619</v>
      </c>
      <c r="R9" s="40">
        <v>1285</v>
      </c>
      <c r="S9" s="40">
        <v>89</v>
      </c>
      <c r="T9" s="40">
        <v>3389</v>
      </c>
      <c r="U9" s="40">
        <v>531</v>
      </c>
      <c r="V9" s="40">
        <v>114</v>
      </c>
      <c r="W9" s="40">
        <v>343</v>
      </c>
      <c r="X9" s="40">
        <v>12</v>
      </c>
      <c r="Y9" s="40">
        <v>1189</v>
      </c>
      <c r="Z9" s="40">
        <v>910</v>
      </c>
      <c r="AA9" s="40">
        <v>7056</v>
      </c>
      <c r="AB9" s="40">
        <v>624</v>
      </c>
      <c r="AC9" s="40">
        <v>4238</v>
      </c>
      <c r="AD9" s="40">
        <v>2436</v>
      </c>
      <c r="AE9" s="40">
        <v>398</v>
      </c>
      <c r="AF9" s="40">
        <v>801</v>
      </c>
      <c r="AG9" s="40">
        <v>6077</v>
      </c>
      <c r="AH9" s="41"/>
      <c r="AI9" s="41"/>
    </row>
    <row r="10" spans="1:35">
      <c r="A10" s="20" t="s">
        <v>33</v>
      </c>
      <c r="B10" s="21">
        <v>2010</v>
      </c>
      <c r="C10" s="41">
        <v>1468</v>
      </c>
      <c r="D10" s="41">
        <v>906</v>
      </c>
      <c r="E10" s="41">
        <v>777</v>
      </c>
      <c r="F10" s="41">
        <v>1648</v>
      </c>
      <c r="G10" s="41">
        <v>84</v>
      </c>
      <c r="H10" s="41">
        <v>2208</v>
      </c>
      <c r="I10" s="41">
        <v>18507</v>
      </c>
      <c r="J10" s="41">
        <v>1067</v>
      </c>
      <c r="K10" s="41">
        <v>488</v>
      </c>
      <c r="L10" s="44">
        <v>1679</v>
      </c>
      <c r="M10" s="44">
        <v>7433</v>
      </c>
      <c r="N10" s="41">
        <v>1108</v>
      </c>
      <c r="O10" s="41">
        <v>9195</v>
      </c>
      <c r="P10" s="41">
        <v>505</v>
      </c>
      <c r="Q10" s="41">
        <v>1315</v>
      </c>
      <c r="R10" s="41">
        <v>148</v>
      </c>
      <c r="S10" s="41">
        <v>67</v>
      </c>
      <c r="T10" s="41">
        <v>17048</v>
      </c>
      <c r="U10" s="41">
        <v>726</v>
      </c>
      <c r="V10" s="41">
        <v>68</v>
      </c>
      <c r="W10" s="41">
        <v>576</v>
      </c>
      <c r="X10" s="41">
        <v>16</v>
      </c>
      <c r="Y10" s="41">
        <v>1729</v>
      </c>
      <c r="Z10" s="41">
        <v>1152</v>
      </c>
      <c r="AA10" s="41">
        <v>6734</v>
      </c>
      <c r="AB10" s="41">
        <v>515</v>
      </c>
      <c r="AC10" s="41">
        <v>2051</v>
      </c>
      <c r="AD10" s="41">
        <v>2427</v>
      </c>
      <c r="AE10" s="41">
        <v>461</v>
      </c>
      <c r="AF10" s="41">
        <v>580</v>
      </c>
      <c r="AG10" s="41">
        <v>3928</v>
      </c>
      <c r="AH10" s="41">
        <v>0</v>
      </c>
      <c r="AI10" s="41">
        <v>0</v>
      </c>
    </row>
    <row r="11" spans="1:35">
      <c r="A11" s="20" t="s">
        <v>33</v>
      </c>
      <c r="B11" s="21">
        <v>2020</v>
      </c>
      <c r="C11" s="41">
        <v>1527</v>
      </c>
      <c r="D11" s="41">
        <v>1014</v>
      </c>
      <c r="E11" s="41">
        <v>816</v>
      </c>
      <c r="F11" s="41">
        <v>1846</v>
      </c>
      <c r="G11" s="41">
        <v>89</v>
      </c>
      <c r="H11" s="41">
        <v>2341</v>
      </c>
      <c r="I11" s="41">
        <v>19988</v>
      </c>
      <c r="J11" s="41">
        <v>1216</v>
      </c>
      <c r="K11" s="41">
        <v>649</v>
      </c>
      <c r="L11" s="45">
        <v>1746</v>
      </c>
      <c r="M11" s="45">
        <v>7730</v>
      </c>
      <c r="N11" s="41">
        <v>1164</v>
      </c>
      <c r="O11" s="41">
        <v>9563</v>
      </c>
      <c r="P11" s="41">
        <v>535</v>
      </c>
      <c r="Q11" s="41">
        <v>1643</v>
      </c>
      <c r="R11" s="41">
        <v>176</v>
      </c>
      <c r="S11" s="41">
        <v>81</v>
      </c>
      <c r="T11" s="41">
        <v>17730</v>
      </c>
      <c r="U11" s="41">
        <v>936</v>
      </c>
      <c r="V11" s="41">
        <v>79</v>
      </c>
      <c r="W11" s="41">
        <v>737</v>
      </c>
      <c r="X11" s="41">
        <v>22</v>
      </c>
      <c r="Y11" s="41">
        <v>1919</v>
      </c>
      <c r="Z11" s="41">
        <v>1278</v>
      </c>
      <c r="AA11" s="41">
        <v>8081</v>
      </c>
      <c r="AB11" s="41">
        <v>535</v>
      </c>
      <c r="AC11" s="41">
        <v>2318</v>
      </c>
      <c r="AD11" s="41">
        <v>2742</v>
      </c>
      <c r="AE11" s="41">
        <v>489</v>
      </c>
      <c r="AF11" s="41">
        <v>604</v>
      </c>
      <c r="AG11" s="41">
        <v>4125</v>
      </c>
      <c r="AH11" s="41" t="e">
        <v>#N/A</v>
      </c>
      <c r="AI11" s="41" t="e">
        <v>#N/A</v>
      </c>
    </row>
    <row r="12" spans="1:35">
      <c r="A12" s="20" t="s">
        <v>33</v>
      </c>
      <c r="B12" s="21">
        <v>2030</v>
      </c>
      <c r="C12" s="41">
        <v>1664</v>
      </c>
      <c r="D12" s="41">
        <v>1136</v>
      </c>
      <c r="E12" s="41">
        <v>914</v>
      </c>
      <c r="F12" s="41">
        <v>2068</v>
      </c>
      <c r="G12" s="41">
        <v>103</v>
      </c>
      <c r="H12" s="41">
        <v>2481</v>
      </c>
      <c r="I12" s="41">
        <v>20987</v>
      </c>
      <c r="J12" s="41">
        <v>1338</v>
      </c>
      <c r="K12" s="41">
        <v>708</v>
      </c>
      <c r="L12" s="44">
        <v>2099</v>
      </c>
      <c r="M12" s="44">
        <v>8399</v>
      </c>
      <c r="N12" s="41">
        <v>1233</v>
      </c>
      <c r="O12" s="41">
        <v>10424</v>
      </c>
      <c r="P12" s="41">
        <v>664</v>
      </c>
      <c r="Q12" s="41">
        <v>1956</v>
      </c>
      <c r="R12" s="41">
        <v>229</v>
      </c>
      <c r="S12" s="41">
        <v>94</v>
      </c>
      <c r="T12" s="41">
        <v>21098</v>
      </c>
      <c r="U12" s="41">
        <v>1095</v>
      </c>
      <c r="V12" s="41">
        <v>90</v>
      </c>
      <c r="W12" s="41">
        <v>811</v>
      </c>
      <c r="X12" s="41">
        <v>27</v>
      </c>
      <c r="Y12" s="41">
        <v>2168</v>
      </c>
      <c r="Z12" s="41">
        <v>1457</v>
      </c>
      <c r="AA12" s="41">
        <v>9778</v>
      </c>
      <c r="AB12" s="41">
        <v>582</v>
      </c>
      <c r="AC12" s="41">
        <v>2827</v>
      </c>
      <c r="AD12" s="41">
        <v>3044</v>
      </c>
      <c r="AE12" s="41">
        <v>606</v>
      </c>
      <c r="AF12" s="41">
        <v>694</v>
      </c>
      <c r="AG12" s="41">
        <v>4372</v>
      </c>
      <c r="AH12" s="41" t="e">
        <v>#N/A</v>
      </c>
      <c r="AI12" s="41" t="e">
        <v>#N/A</v>
      </c>
    </row>
    <row r="13" spans="1:35">
      <c r="A13" s="20" t="s">
        <v>33</v>
      </c>
      <c r="B13" s="21">
        <v>2040</v>
      </c>
      <c r="C13" s="41">
        <v>1806</v>
      </c>
      <c r="D13" s="41">
        <v>1244</v>
      </c>
      <c r="E13" s="41">
        <v>978</v>
      </c>
      <c r="F13" s="41">
        <v>2264</v>
      </c>
      <c r="G13" s="41">
        <v>114</v>
      </c>
      <c r="H13" s="41">
        <v>2729</v>
      </c>
      <c r="I13" s="41">
        <v>22666</v>
      </c>
      <c r="J13" s="41">
        <v>1478</v>
      </c>
      <c r="K13" s="41">
        <v>782</v>
      </c>
      <c r="L13" s="41">
        <v>2214</v>
      </c>
      <c r="M13" s="41">
        <v>9071</v>
      </c>
      <c r="N13" s="41">
        <v>1338</v>
      </c>
      <c r="O13" s="41">
        <v>11206</v>
      </c>
      <c r="P13" s="41">
        <v>733</v>
      </c>
      <c r="Q13" s="41">
        <v>2181</v>
      </c>
      <c r="R13" s="41">
        <v>262</v>
      </c>
      <c r="S13" s="41">
        <v>103</v>
      </c>
      <c r="T13" s="41">
        <v>22470</v>
      </c>
      <c r="U13" s="41">
        <v>1177</v>
      </c>
      <c r="V13" s="41">
        <v>101</v>
      </c>
      <c r="W13" s="41">
        <v>868</v>
      </c>
      <c r="X13" s="41">
        <v>32</v>
      </c>
      <c r="Y13" s="41">
        <v>2385</v>
      </c>
      <c r="Z13" s="41">
        <v>1618</v>
      </c>
      <c r="AA13" s="41">
        <v>10707</v>
      </c>
      <c r="AB13" s="41">
        <v>619</v>
      </c>
      <c r="AC13" s="41">
        <v>3096</v>
      </c>
      <c r="AD13" s="41">
        <v>3424</v>
      </c>
      <c r="AE13" s="41">
        <v>673</v>
      </c>
      <c r="AF13" s="41">
        <v>770</v>
      </c>
      <c r="AG13" s="41">
        <v>4766</v>
      </c>
      <c r="AH13" s="41" t="e">
        <v>#N/A</v>
      </c>
      <c r="AI13" s="41" t="e">
        <v>#N/A</v>
      </c>
    </row>
    <row r="14" spans="1:35">
      <c r="A14" s="20" t="s">
        <v>33</v>
      </c>
      <c r="B14" s="21">
        <v>2050</v>
      </c>
      <c r="C14" s="41">
        <v>1959</v>
      </c>
      <c r="D14" s="41">
        <v>1362</v>
      </c>
      <c r="E14" s="41">
        <v>1046</v>
      </c>
      <c r="F14" s="41">
        <v>2479</v>
      </c>
      <c r="G14" s="41">
        <v>126</v>
      </c>
      <c r="H14" s="41">
        <v>3002</v>
      </c>
      <c r="I14" s="41">
        <v>24480</v>
      </c>
      <c r="J14" s="41">
        <v>1633</v>
      </c>
      <c r="K14" s="41">
        <v>864</v>
      </c>
      <c r="L14" s="41">
        <v>2336</v>
      </c>
      <c r="M14" s="41">
        <v>9797</v>
      </c>
      <c r="N14" s="41">
        <v>1452</v>
      </c>
      <c r="O14" s="41">
        <v>12046</v>
      </c>
      <c r="P14" s="41">
        <v>811</v>
      </c>
      <c r="Q14" s="41">
        <v>2431</v>
      </c>
      <c r="R14" s="41">
        <v>300</v>
      </c>
      <c r="S14" s="41">
        <v>113</v>
      </c>
      <c r="T14" s="41">
        <v>23930</v>
      </c>
      <c r="U14" s="41">
        <v>1265</v>
      </c>
      <c r="V14" s="41">
        <v>114</v>
      </c>
      <c r="W14" s="41">
        <v>929</v>
      </c>
      <c r="X14" s="41">
        <v>37</v>
      </c>
      <c r="Y14" s="41">
        <v>2624</v>
      </c>
      <c r="Z14" s="41">
        <v>1796</v>
      </c>
      <c r="AA14" s="41">
        <v>11724</v>
      </c>
      <c r="AB14" s="41">
        <v>660</v>
      </c>
      <c r="AC14" s="41">
        <v>3390</v>
      </c>
      <c r="AD14" s="41">
        <v>3852</v>
      </c>
      <c r="AE14" s="41">
        <v>747</v>
      </c>
      <c r="AF14" s="41">
        <v>855</v>
      </c>
      <c r="AG14" s="41">
        <v>5195</v>
      </c>
      <c r="AH14" s="41" t="e">
        <v>#N/A</v>
      </c>
      <c r="AI14" s="41" t="e">
        <v>#N/A</v>
      </c>
    </row>
    <row r="15" spans="1:35">
      <c r="A15" s="20" t="s">
        <v>33</v>
      </c>
      <c r="B15" s="21">
        <v>2060</v>
      </c>
      <c r="C15" s="41">
        <v>2140</v>
      </c>
      <c r="D15" s="41">
        <v>1504</v>
      </c>
      <c r="E15" s="41">
        <v>1125</v>
      </c>
      <c r="F15" s="41">
        <v>2737</v>
      </c>
      <c r="G15" s="41">
        <v>140</v>
      </c>
      <c r="H15" s="41">
        <v>3332</v>
      </c>
      <c r="I15" s="41">
        <v>26594</v>
      </c>
      <c r="J15" s="41">
        <v>1823</v>
      </c>
      <c r="K15" s="41">
        <v>964</v>
      </c>
      <c r="L15" s="41">
        <v>2471</v>
      </c>
      <c r="M15" s="41">
        <v>10643</v>
      </c>
      <c r="N15" s="41">
        <v>1586</v>
      </c>
      <c r="O15" s="41">
        <v>13017</v>
      </c>
      <c r="P15" s="41">
        <v>905</v>
      </c>
      <c r="Q15" s="41">
        <v>2744</v>
      </c>
      <c r="R15" s="41">
        <v>351</v>
      </c>
      <c r="S15" s="41">
        <v>125</v>
      </c>
      <c r="T15" s="41">
        <v>25586</v>
      </c>
      <c r="U15" s="41">
        <v>1367</v>
      </c>
      <c r="V15" s="41">
        <v>130</v>
      </c>
      <c r="W15" s="41">
        <v>998</v>
      </c>
      <c r="X15" s="41">
        <v>45</v>
      </c>
      <c r="Y15" s="41">
        <v>2913</v>
      </c>
      <c r="Z15" s="41">
        <v>2015</v>
      </c>
      <c r="AA15" s="41">
        <v>12944</v>
      </c>
      <c r="AB15" s="41">
        <v>705</v>
      </c>
      <c r="AC15" s="41">
        <v>3743</v>
      </c>
      <c r="AD15" s="41">
        <v>4396</v>
      </c>
      <c r="AE15" s="41">
        <v>839</v>
      </c>
      <c r="AF15" s="41">
        <v>960</v>
      </c>
      <c r="AG15" s="41">
        <v>5704</v>
      </c>
      <c r="AH15" s="41" t="e">
        <f>(AH14*(1+AH49))</f>
        <v>#N/A</v>
      </c>
      <c r="AI15" s="41" t="e">
        <f>(AI14*(1+AI49))</f>
        <v>#N/A</v>
      </c>
    </row>
    <row r="16" spans="1:35">
      <c r="A16" s="20" t="s">
        <v>33</v>
      </c>
      <c r="B16" s="21">
        <v>2070</v>
      </c>
      <c r="C16" s="41">
        <v>2337</v>
      </c>
      <c r="D16" s="41">
        <v>1660</v>
      </c>
      <c r="E16" s="41">
        <v>1209</v>
      </c>
      <c r="F16" s="41">
        <v>3022</v>
      </c>
      <c r="G16" s="41">
        <v>156</v>
      </c>
      <c r="H16" s="41">
        <v>3699</v>
      </c>
      <c r="I16" s="41">
        <v>28892</v>
      </c>
      <c r="J16" s="41">
        <v>2035</v>
      </c>
      <c r="K16" s="41">
        <v>1076</v>
      </c>
      <c r="L16" s="41">
        <v>2615</v>
      </c>
      <c r="M16" s="41">
        <v>11563</v>
      </c>
      <c r="N16" s="41">
        <v>1732</v>
      </c>
      <c r="O16" s="41">
        <v>14066</v>
      </c>
      <c r="P16" s="41">
        <v>1010</v>
      </c>
      <c r="Q16" s="41">
        <v>3096</v>
      </c>
      <c r="R16" s="41">
        <v>409</v>
      </c>
      <c r="S16" s="41">
        <v>138</v>
      </c>
      <c r="T16" s="41">
        <v>27356</v>
      </c>
      <c r="U16" s="41">
        <v>1478</v>
      </c>
      <c r="V16" s="41">
        <v>148</v>
      </c>
      <c r="W16" s="41">
        <v>1073</v>
      </c>
      <c r="X16" s="41">
        <v>54</v>
      </c>
      <c r="Y16" s="41">
        <v>3233</v>
      </c>
      <c r="Z16" s="41">
        <v>2262</v>
      </c>
      <c r="AA16" s="41">
        <v>14292</v>
      </c>
      <c r="AB16" s="41">
        <v>754</v>
      </c>
      <c r="AC16" s="41">
        <v>4133</v>
      </c>
      <c r="AD16" s="41">
        <v>5016</v>
      </c>
      <c r="AE16" s="41">
        <v>941</v>
      </c>
      <c r="AF16" s="41">
        <v>1077</v>
      </c>
      <c r="AG16" s="41">
        <v>6264</v>
      </c>
      <c r="AH16" s="41" t="e">
        <f>(AH15*(1+AH49))</f>
        <v>#N/A</v>
      </c>
      <c r="AI16" s="41" t="e">
        <f>(AI15*(1+AI49))</f>
        <v>#N/A</v>
      </c>
    </row>
    <row r="17" spans="1:35">
      <c r="A17" s="20" t="s">
        <v>73</v>
      </c>
      <c r="B17" s="21">
        <v>2010</v>
      </c>
      <c r="C17" s="41">
        <v>470</v>
      </c>
      <c r="D17" s="41">
        <v>1586</v>
      </c>
      <c r="E17" s="41">
        <v>335</v>
      </c>
      <c r="F17" s="41">
        <v>944</v>
      </c>
      <c r="G17" s="41">
        <v>108</v>
      </c>
      <c r="H17" s="41">
        <v>609</v>
      </c>
      <c r="I17" s="41">
        <v>8085</v>
      </c>
      <c r="J17" s="41">
        <v>531</v>
      </c>
      <c r="K17" s="41">
        <v>52</v>
      </c>
      <c r="L17" s="41">
        <v>412</v>
      </c>
      <c r="M17" s="41">
        <v>2157</v>
      </c>
      <c r="N17" s="41">
        <v>599</v>
      </c>
      <c r="O17" s="41">
        <v>5601</v>
      </c>
      <c r="P17" s="41">
        <v>228</v>
      </c>
      <c r="Q17" s="41">
        <v>568</v>
      </c>
      <c r="R17" s="41">
        <v>700</v>
      </c>
      <c r="S17" s="41">
        <v>41</v>
      </c>
      <c r="T17" s="41">
        <v>3756</v>
      </c>
      <c r="U17" s="41">
        <v>132</v>
      </c>
      <c r="V17" s="41">
        <v>68</v>
      </c>
      <c r="W17" s="41">
        <v>74</v>
      </c>
      <c r="X17" s="41">
        <v>46</v>
      </c>
      <c r="Y17" s="41">
        <v>3358</v>
      </c>
      <c r="Z17" s="41">
        <v>364</v>
      </c>
      <c r="AA17" s="41">
        <v>1248</v>
      </c>
      <c r="AB17" s="41">
        <v>331</v>
      </c>
      <c r="AC17" s="41">
        <v>604</v>
      </c>
      <c r="AD17" s="41">
        <v>565</v>
      </c>
      <c r="AE17" s="41">
        <v>65</v>
      </c>
      <c r="AF17" s="41">
        <v>128</v>
      </c>
      <c r="AG17" s="41">
        <v>13231</v>
      </c>
      <c r="AH17" s="41">
        <v>0</v>
      </c>
      <c r="AI17" s="41">
        <v>0</v>
      </c>
    </row>
    <row r="18" spans="1:35">
      <c r="A18" s="20" t="s">
        <v>73</v>
      </c>
      <c r="B18" s="21">
        <v>2020</v>
      </c>
      <c r="C18" s="41">
        <v>489</v>
      </c>
      <c r="D18" s="41">
        <v>1776</v>
      </c>
      <c r="E18" s="41">
        <v>352</v>
      </c>
      <c r="F18" s="41">
        <v>1057</v>
      </c>
      <c r="G18" s="41">
        <v>116</v>
      </c>
      <c r="H18" s="41">
        <v>645</v>
      </c>
      <c r="I18" s="41">
        <v>8732</v>
      </c>
      <c r="J18" s="41">
        <v>605</v>
      </c>
      <c r="K18" s="41">
        <v>69</v>
      </c>
      <c r="L18" s="42">
        <v>429</v>
      </c>
      <c r="M18" s="42">
        <v>2243</v>
      </c>
      <c r="N18" s="41">
        <v>629</v>
      </c>
      <c r="O18" s="41">
        <v>5825</v>
      </c>
      <c r="P18" s="41">
        <v>241</v>
      </c>
      <c r="Q18" s="41">
        <v>709</v>
      </c>
      <c r="R18" s="41">
        <v>833</v>
      </c>
      <c r="S18" s="41">
        <v>49</v>
      </c>
      <c r="T18" s="41">
        <v>3906</v>
      </c>
      <c r="U18" s="41">
        <v>170</v>
      </c>
      <c r="V18" s="41">
        <v>79</v>
      </c>
      <c r="W18" s="41">
        <v>94</v>
      </c>
      <c r="X18" s="41">
        <v>61</v>
      </c>
      <c r="Y18" s="41">
        <v>3727</v>
      </c>
      <c r="Z18" s="41">
        <v>404</v>
      </c>
      <c r="AA18" s="41">
        <v>1497</v>
      </c>
      <c r="AB18" s="41">
        <v>344</v>
      </c>
      <c r="AC18" s="41">
        <v>683</v>
      </c>
      <c r="AD18" s="41">
        <v>639</v>
      </c>
      <c r="AE18" s="41">
        <v>69</v>
      </c>
      <c r="AF18" s="41">
        <v>134</v>
      </c>
      <c r="AG18" s="41">
        <v>13892</v>
      </c>
      <c r="AH18" s="41" t="e">
        <v>#N/A</v>
      </c>
      <c r="AI18" s="41" t="e">
        <v>#N/A</v>
      </c>
    </row>
    <row r="19" spans="1:35">
      <c r="A19" s="20" t="s">
        <v>73</v>
      </c>
      <c r="B19" s="21">
        <v>2030</v>
      </c>
      <c r="C19" s="41">
        <v>533</v>
      </c>
      <c r="D19" s="41">
        <v>1989</v>
      </c>
      <c r="E19" s="41">
        <v>394</v>
      </c>
      <c r="F19" s="41">
        <v>1184</v>
      </c>
      <c r="G19" s="41">
        <v>133</v>
      </c>
      <c r="H19" s="41">
        <v>684</v>
      </c>
      <c r="I19" s="41">
        <v>9169</v>
      </c>
      <c r="J19" s="41">
        <v>666</v>
      </c>
      <c r="K19" s="41">
        <v>75</v>
      </c>
      <c r="L19" s="41">
        <v>536</v>
      </c>
      <c r="M19" s="41">
        <v>2535</v>
      </c>
      <c r="N19" s="41">
        <v>666</v>
      </c>
      <c r="O19" s="41">
        <v>6349</v>
      </c>
      <c r="P19" s="41">
        <v>299</v>
      </c>
      <c r="Q19" s="41">
        <v>844</v>
      </c>
      <c r="R19" s="41">
        <v>1083</v>
      </c>
      <c r="S19" s="41">
        <v>57</v>
      </c>
      <c r="T19" s="41">
        <v>4648</v>
      </c>
      <c r="U19" s="41">
        <v>199</v>
      </c>
      <c r="V19" s="41">
        <v>90</v>
      </c>
      <c r="W19" s="41">
        <v>104</v>
      </c>
      <c r="X19" s="41">
        <v>75</v>
      </c>
      <c r="Y19" s="41">
        <v>4211</v>
      </c>
      <c r="Z19" s="41">
        <v>461</v>
      </c>
      <c r="AA19" s="41">
        <v>1812</v>
      </c>
      <c r="AB19" s="41">
        <v>389</v>
      </c>
      <c r="AC19" s="41">
        <v>833</v>
      </c>
      <c r="AD19" s="41">
        <v>709</v>
      </c>
      <c r="AE19" s="41">
        <v>85</v>
      </c>
      <c r="AF19" s="41">
        <v>154</v>
      </c>
      <c r="AG19" s="41">
        <v>14726</v>
      </c>
      <c r="AH19" s="41" t="e">
        <v>#N/A</v>
      </c>
      <c r="AI19" s="41" t="e">
        <v>#N/A</v>
      </c>
    </row>
    <row r="20" spans="1:35">
      <c r="A20" s="20" t="s">
        <v>73</v>
      </c>
      <c r="B20" s="21">
        <v>2040</v>
      </c>
      <c r="C20" s="41">
        <v>579</v>
      </c>
      <c r="D20" s="41">
        <v>2178</v>
      </c>
      <c r="E20" s="41">
        <v>422</v>
      </c>
      <c r="F20" s="41">
        <v>1297</v>
      </c>
      <c r="G20" s="41">
        <v>147</v>
      </c>
      <c r="H20" s="41">
        <v>752</v>
      </c>
      <c r="I20" s="41">
        <v>9902</v>
      </c>
      <c r="J20" s="41">
        <v>736</v>
      </c>
      <c r="K20" s="41">
        <v>83</v>
      </c>
      <c r="L20" s="41">
        <v>565</v>
      </c>
      <c r="M20" s="41">
        <v>2738</v>
      </c>
      <c r="N20" s="41">
        <v>723</v>
      </c>
      <c r="O20" s="41">
        <v>6825</v>
      </c>
      <c r="P20" s="41">
        <v>331</v>
      </c>
      <c r="Q20" s="41">
        <v>941</v>
      </c>
      <c r="R20" s="41">
        <v>1240</v>
      </c>
      <c r="S20" s="41">
        <v>63</v>
      </c>
      <c r="T20" s="41">
        <v>4950</v>
      </c>
      <c r="U20" s="41">
        <v>214</v>
      </c>
      <c r="V20" s="41">
        <v>101</v>
      </c>
      <c r="W20" s="41">
        <v>111</v>
      </c>
      <c r="X20" s="41">
        <v>88</v>
      </c>
      <c r="Y20" s="41">
        <v>4632</v>
      </c>
      <c r="Z20" s="41">
        <v>511</v>
      </c>
      <c r="AA20" s="41">
        <v>1984</v>
      </c>
      <c r="AB20" s="41">
        <v>414</v>
      </c>
      <c r="AC20" s="41">
        <v>912</v>
      </c>
      <c r="AD20" s="41">
        <v>798</v>
      </c>
      <c r="AE20" s="41">
        <v>95</v>
      </c>
      <c r="AF20" s="41">
        <v>170</v>
      </c>
      <c r="AG20" s="41">
        <v>16051</v>
      </c>
      <c r="AH20" s="41" t="e">
        <v>#N/A</v>
      </c>
      <c r="AI20" s="41" t="e">
        <v>#N/A</v>
      </c>
    </row>
    <row r="21" spans="1:35">
      <c r="A21" s="20" t="s">
        <v>73</v>
      </c>
      <c r="B21" s="21">
        <v>2050</v>
      </c>
      <c r="C21" s="41">
        <v>628</v>
      </c>
      <c r="D21" s="41">
        <v>2385</v>
      </c>
      <c r="E21" s="41">
        <v>451</v>
      </c>
      <c r="F21" s="41">
        <v>1420</v>
      </c>
      <c r="G21" s="41">
        <v>162</v>
      </c>
      <c r="H21" s="41">
        <v>828</v>
      </c>
      <c r="I21" s="41">
        <v>10694</v>
      </c>
      <c r="J21" s="41">
        <v>813</v>
      </c>
      <c r="K21" s="41">
        <v>92</v>
      </c>
      <c r="L21" s="41">
        <v>596</v>
      </c>
      <c r="M21" s="41">
        <v>2957</v>
      </c>
      <c r="N21" s="41">
        <v>784</v>
      </c>
      <c r="O21" s="41">
        <v>7337</v>
      </c>
      <c r="P21" s="41">
        <v>365</v>
      </c>
      <c r="Q21" s="41">
        <v>1050</v>
      </c>
      <c r="R21" s="41">
        <v>1420</v>
      </c>
      <c r="S21" s="41">
        <v>69</v>
      </c>
      <c r="T21" s="41">
        <v>5272</v>
      </c>
      <c r="U21" s="41">
        <v>230</v>
      </c>
      <c r="V21" s="41">
        <v>113</v>
      </c>
      <c r="W21" s="41">
        <v>119</v>
      </c>
      <c r="X21" s="41">
        <v>104</v>
      </c>
      <c r="Y21" s="41">
        <v>5096</v>
      </c>
      <c r="Z21" s="41">
        <v>568</v>
      </c>
      <c r="AA21" s="41">
        <v>2172</v>
      </c>
      <c r="AB21" s="41">
        <v>441</v>
      </c>
      <c r="AC21" s="41">
        <v>999</v>
      </c>
      <c r="AD21" s="41">
        <v>898</v>
      </c>
      <c r="AE21" s="41">
        <v>105</v>
      </c>
      <c r="AF21" s="41">
        <v>189</v>
      </c>
      <c r="AG21" s="41">
        <v>17496</v>
      </c>
      <c r="AH21" s="41" t="e">
        <v>#N/A</v>
      </c>
      <c r="AI21" s="41" t="e">
        <v>#N/A</v>
      </c>
    </row>
    <row r="22" spans="1:35">
      <c r="A22" s="20" t="s">
        <v>73</v>
      </c>
      <c r="B22" s="21">
        <v>2060</v>
      </c>
      <c r="C22" s="41">
        <v>686</v>
      </c>
      <c r="D22" s="41">
        <v>2633</v>
      </c>
      <c r="E22" s="41">
        <v>485</v>
      </c>
      <c r="F22" s="41">
        <v>1568</v>
      </c>
      <c r="G22" s="41">
        <v>181</v>
      </c>
      <c r="H22" s="41">
        <v>919</v>
      </c>
      <c r="I22" s="41">
        <v>11618</v>
      </c>
      <c r="J22" s="41">
        <v>908</v>
      </c>
      <c r="K22" s="41">
        <v>102</v>
      </c>
      <c r="L22" s="41">
        <v>631</v>
      </c>
      <c r="M22" s="41">
        <v>3212</v>
      </c>
      <c r="N22" s="41">
        <v>857</v>
      </c>
      <c r="O22" s="41">
        <v>7928</v>
      </c>
      <c r="P22" s="41">
        <v>408</v>
      </c>
      <c r="Q22" s="41">
        <v>1184</v>
      </c>
      <c r="R22" s="41">
        <v>1657</v>
      </c>
      <c r="S22" s="41">
        <v>76</v>
      </c>
      <c r="T22" s="41">
        <v>5637</v>
      </c>
      <c r="U22" s="41">
        <v>248</v>
      </c>
      <c r="V22" s="41">
        <v>129</v>
      </c>
      <c r="W22" s="41">
        <v>128</v>
      </c>
      <c r="X22" s="41">
        <v>125</v>
      </c>
      <c r="Y22" s="41">
        <v>5657</v>
      </c>
      <c r="Z22" s="41">
        <v>637</v>
      </c>
      <c r="AA22" s="41">
        <v>2398</v>
      </c>
      <c r="AB22" s="41">
        <v>471</v>
      </c>
      <c r="AC22" s="41">
        <v>1102</v>
      </c>
      <c r="AD22" s="41">
        <v>1024</v>
      </c>
      <c r="AE22" s="41">
        <v>118</v>
      </c>
      <c r="AF22" s="41">
        <v>212</v>
      </c>
      <c r="AG22" s="41">
        <v>19213</v>
      </c>
      <c r="AH22" s="41"/>
      <c r="AI22" s="41"/>
    </row>
    <row r="23" spans="1:35">
      <c r="A23" s="20" t="s">
        <v>73</v>
      </c>
      <c r="B23" s="21">
        <v>2070</v>
      </c>
      <c r="C23" s="41">
        <v>749</v>
      </c>
      <c r="D23" s="41">
        <v>2907</v>
      </c>
      <c r="E23" s="41">
        <v>522</v>
      </c>
      <c r="F23" s="41">
        <v>1731</v>
      </c>
      <c r="G23" s="41">
        <v>202</v>
      </c>
      <c r="H23" s="41">
        <v>1020</v>
      </c>
      <c r="I23" s="41">
        <v>12622</v>
      </c>
      <c r="J23" s="41">
        <v>1013</v>
      </c>
      <c r="K23" s="41">
        <v>114</v>
      </c>
      <c r="L23" s="41">
        <v>667</v>
      </c>
      <c r="M23" s="41">
        <v>3490</v>
      </c>
      <c r="N23" s="41">
        <v>936</v>
      </c>
      <c r="O23" s="41">
        <v>8567</v>
      </c>
      <c r="P23" s="41">
        <v>455</v>
      </c>
      <c r="Q23" s="41">
        <v>1337</v>
      </c>
      <c r="R23" s="41">
        <v>1933</v>
      </c>
      <c r="S23" s="41">
        <v>84</v>
      </c>
      <c r="T23" s="41">
        <v>6026</v>
      </c>
      <c r="U23" s="41">
        <v>268</v>
      </c>
      <c r="V23" s="41">
        <v>147</v>
      </c>
      <c r="W23" s="41">
        <v>137</v>
      </c>
      <c r="X23" s="41">
        <v>151</v>
      </c>
      <c r="Y23" s="41">
        <v>6280</v>
      </c>
      <c r="Z23" s="41">
        <v>715</v>
      </c>
      <c r="AA23" s="41">
        <v>2648</v>
      </c>
      <c r="AB23" s="41">
        <v>504</v>
      </c>
      <c r="AC23" s="41">
        <v>1217</v>
      </c>
      <c r="AD23" s="41">
        <v>1169</v>
      </c>
      <c r="AE23" s="41">
        <v>132</v>
      </c>
      <c r="AF23" s="41">
        <v>238</v>
      </c>
      <c r="AG23" s="41">
        <v>21098</v>
      </c>
      <c r="AH23" s="41"/>
      <c r="AI23" s="41"/>
    </row>
    <row r="24" spans="1:35">
      <c r="A24" s="20"/>
      <c r="B24" s="20"/>
      <c r="C24" s="34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6"/>
      <c r="AI24" s="20"/>
    </row>
    <row r="25" spans="1:35">
      <c r="A25" s="21" t="s">
        <v>79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6"/>
      <c r="AI25" s="20"/>
    </row>
    <row r="26" spans="1:35">
      <c r="A26" s="20"/>
      <c r="B26" s="20"/>
      <c r="C26" s="21" t="s">
        <v>36</v>
      </c>
      <c r="D26" s="21" t="s">
        <v>37</v>
      </c>
      <c r="E26" s="21" t="s">
        <v>38</v>
      </c>
      <c r="F26" s="21" t="s">
        <v>39</v>
      </c>
      <c r="G26" s="21" t="s">
        <v>40</v>
      </c>
      <c r="H26" s="21" t="s">
        <v>41</v>
      </c>
      <c r="I26" s="21" t="s">
        <v>42</v>
      </c>
      <c r="J26" s="21" t="s">
        <v>43</v>
      </c>
      <c r="K26" s="21" t="s">
        <v>44</v>
      </c>
      <c r="L26" s="21" t="s">
        <v>45</v>
      </c>
      <c r="M26" s="21" t="s">
        <v>46</v>
      </c>
      <c r="N26" s="21" t="s">
        <v>47</v>
      </c>
      <c r="O26" s="21" t="s">
        <v>48</v>
      </c>
      <c r="P26" s="21" t="s">
        <v>49</v>
      </c>
      <c r="Q26" s="21" t="s">
        <v>50</v>
      </c>
      <c r="R26" s="21" t="s">
        <v>51</v>
      </c>
      <c r="S26" s="21" t="s">
        <v>52</v>
      </c>
      <c r="T26" s="21" t="s">
        <v>53</v>
      </c>
      <c r="U26" s="21" t="s">
        <v>54</v>
      </c>
      <c r="V26" s="21" t="s">
        <v>55</v>
      </c>
      <c r="W26" s="21" t="s">
        <v>56</v>
      </c>
      <c r="X26" s="21" t="s">
        <v>57</v>
      </c>
      <c r="Y26" s="21" t="s">
        <v>58</v>
      </c>
      <c r="Z26" s="21" t="s">
        <v>59</v>
      </c>
      <c r="AA26" s="21" t="s">
        <v>60</v>
      </c>
      <c r="AB26" s="21" t="s">
        <v>61</v>
      </c>
      <c r="AC26" s="21" t="s">
        <v>62</v>
      </c>
      <c r="AD26" s="21" t="s">
        <v>63</v>
      </c>
      <c r="AE26" s="21" t="s">
        <v>64</v>
      </c>
      <c r="AF26" s="21" t="s">
        <v>65</v>
      </c>
      <c r="AG26" s="21" t="s">
        <v>66</v>
      </c>
      <c r="AH26" s="27" t="s">
        <v>77</v>
      </c>
      <c r="AI26" s="21" t="s">
        <v>78</v>
      </c>
    </row>
    <row r="27" spans="1:35">
      <c r="A27" s="22" t="s">
        <v>80</v>
      </c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>
        <v>0</v>
      </c>
      <c r="AI27" s="21">
        <v>0</v>
      </c>
    </row>
    <row r="28" spans="1:35">
      <c r="A28" s="20" t="s">
        <v>74</v>
      </c>
      <c r="B28" s="21">
        <v>2010</v>
      </c>
      <c r="C28" s="24">
        <v>3.9</v>
      </c>
      <c r="D28" s="24">
        <v>10.18</v>
      </c>
      <c r="E28" s="24">
        <v>2.94</v>
      </c>
      <c r="F28" s="24">
        <v>9.02</v>
      </c>
      <c r="G28" s="24">
        <v>0.69</v>
      </c>
      <c r="H28" s="24">
        <v>5.81</v>
      </c>
      <c r="I28" s="24">
        <v>57.29</v>
      </c>
      <c r="J28" s="24">
        <v>12.25</v>
      </c>
      <c r="K28" s="24">
        <v>2.77</v>
      </c>
      <c r="L28" s="24">
        <v>0</v>
      </c>
      <c r="M28" s="24">
        <v>0</v>
      </c>
      <c r="N28" s="24">
        <v>3.77</v>
      </c>
      <c r="O28" s="24">
        <v>24.23</v>
      </c>
      <c r="P28" s="24">
        <v>3.6</v>
      </c>
      <c r="Q28" s="24">
        <v>30.73</v>
      </c>
      <c r="R28" s="24">
        <v>7.43</v>
      </c>
      <c r="S28" s="24">
        <v>0.76</v>
      </c>
      <c r="T28" s="24">
        <v>0</v>
      </c>
      <c r="U28" s="24">
        <v>5.86</v>
      </c>
      <c r="V28" s="24">
        <v>0.72</v>
      </c>
      <c r="W28" s="24">
        <v>4.03</v>
      </c>
      <c r="X28" s="24">
        <v>0.09</v>
      </c>
      <c r="Y28" s="24">
        <v>6.3</v>
      </c>
      <c r="Z28" s="24">
        <v>4.59</v>
      </c>
      <c r="AA28" s="24">
        <v>55.41</v>
      </c>
      <c r="AB28" s="24">
        <v>0</v>
      </c>
      <c r="AC28" s="24">
        <v>24.2</v>
      </c>
      <c r="AD28" s="24">
        <v>13.56</v>
      </c>
      <c r="AE28" s="24">
        <v>1.1000000000000001</v>
      </c>
      <c r="AF28" s="24">
        <v>1.66</v>
      </c>
      <c r="AG28" s="24">
        <v>18.149999999999999</v>
      </c>
      <c r="AH28" s="27">
        <f>SUM(C28:AG28)</f>
        <v>311.04000000000002</v>
      </c>
      <c r="AI28" s="20"/>
    </row>
    <row r="29" spans="1:35">
      <c r="A29" s="20" t="s">
        <v>74</v>
      </c>
      <c r="B29" s="21">
        <v>2020</v>
      </c>
      <c r="C29" s="24">
        <v>4.0599999999999996</v>
      </c>
      <c r="D29" s="24">
        <v>11.4</v>
      </c>
      <c r="E29" s="24">
        <v>3.08</v>
      </c>
      <c r="F29" s="24">
        <v>10.1</v>
      </c>
      <c r="G29" s="24">
        <v>0.74</v>
      </c>
      <c r="H29" s="24">
        <v>6.16</v>
      </c>
      <c r="I29" s="24">
        <v>61.87</v>
      </c>
      <c r="J29" s="24">
        <v>13.96</v>
      </c>
      <c r="K29" s="24">
        <v>3.68</v>
      </c>
      <c r="L29" s="24">
        <v>3</v>
      </c>
      <c r="M29" s="24">
        <v>4</v>
      </c>
      <c r="N29" s="24">
        <v>3.96</v>
      </c>
      <c r="O29" s="24">
        <v>25.2</v>
      </c>
      <c r="P29" s="24">
        <v>3.82</v>
      </c>
      <c r="Q29" s="24">
        <v>38.42</v>
      </c>
      <c r="R29" s="24">
        <v>8.84</v>
      </c>
      <c r="S29" s="24">
        <v>0.91</v>
      </c>
      <c r="T29" s="24">
        <v>8</v>
      </c>
      <c r="U29" s="24">
        <v>7.56</v>
      </c>
      <c r="V29" s="24">
        <v>0.84</v>
      </c>
      <c r="W29" s="24">
        <v>5.16</v>
      </c>
      <c r="X29" s="24">
        <v>0.12</v>
      </c>
      <c r="Y29" s="24">
        <v>6.99</v>
      </c>
      <c r="Z29" s="24">
        <v>5.0999999999999996</v>
      </c>
      <c r="AA29" s="24">
        <v>66.5</v>
      </c>
      <c r="AB29" s="24">
        <v>2</v>
      </c>
      <c r="AC29" s="24">
        <v>27.345015440000001</v>
      </c>
      <c r="AD29" s="24">
        <v>15.323935260000001</v>
      </c>
      <c r="AE29" s="24">
        <v>1.17052395</v>
      </c>
      <c r="AF29" s="24">
        <v>1.725699034</v>
      </c>
      <c r="AG29" s="24">
        <v>19.05499683</v>
      </c>
      <c r="AH29" s="27">
        <f>SUM(C29:AG29)</f>
        <v>370.09017051400002</v>
      </c>
      <c r="AI29" s="20"/>
    </row>
    <row r="30" spans="1:35">
      <c r="A30" s="20" t="s">
        <v>74</v>
      </c>
      <c r="B30" s="21">
        <v>2030</v>
      </c>
      <c r="C30" s="24">
        <v>9.5</v>
      </c>
      <c r="D30" s="24">
        <v>12.77</v>
      </c>
      <c r="E30" s="24">
        <v>7.78</v>
      </c>
      <c r="F30" s="24">
        <v>11.31</v>
      </c>
      <c r="G30" s="24">
        <v>1.7</v>
      </c>
      <c r="H30" s="24">
        <v>6.53</v>
      </c>
      <c r="I30" s="24">
        <v>41.76</v>
      </c>
      <c r="J30" s="24">
        <v>11.37</v>
      </c>
      <c r="K30" s="24">
        <v>1.34</v>
      </c>
      <c r="L30" s="24">
        <v>18.95</v>
      </c>
      <c r="M30" s="24">
        <v>13.16</v>
      </c>
      <c r="N30" s="24">
        <v>4.99</v>
      </c>
      <c r="O30" s="24">
        <v>58.96</v>
      </c>
      <c r="P30" s="24">
        <v>16.18</v>
      </c>
      <c r="Q30" s="24">
        <v>36.49</v>
      </c>
      <c r="R30" s="24">
        <v>16.62</v>
      </c>
      <c r="S30" s="24">
        <v>0.84</v>
      </c>
      <c r="T30" s="24">
        <v>41.73</v>
      </c>
      <c r="U30" s="24">
        <v>5.72</v>
      </c>
      <c r="V30" s="24">
        <v>0.85</v>
      </c>
      <c r="W30" s="24">
        <v>2.36</v>
      </c>
      <c r="X30" s="24">
        <v>0.11</v>
      </c>
      <c r="Y30" s="24">
        <v>9.17</v>
      </c>
      <c r="Z30" s="24">
        <v>7.21</v>
      </c>
      <c r="AA30" s="24">
        <v>83.79</v>
      </c>
      <c r="AB30" s="24">
        <v>5.54</v>
      </c>
      <c r="AC30" s="24">
        <v>52.292999700000003</v>
      </c>
      <c r="AD30" s="24">
        <v>14.651</v>
      </c>
      <c r="AE30" s="24">
        <v>4.9620000759999998</v>
      </c>
      <c r="AF30" s="24">
        <v>6.7320000689999997</v>
      </c>
      <c r="AG30" s="24">
        <v>24.008999930000002</v>
      </c>
      <c r="AH30" s="27">
        <f t="shared" ref="AH30:AH48" si="0">SUM(C30:AG30)</f>
        <v>529.37699977500006</v>
      </c>
      <c r="AI30" s="20"/>
    </row>
    <row r="31" spans="1:35">
      <c r="A31" s="20" t="s">
        <v>74</v>
      </c>
      <c r="B31" s="21">
        <v>2040</v>
      </c>
      <c r="C31" s="24">
        <v>9.7799999999999994</v>
      </c>
      <c r="D31" s="24">
        <v>11.32</v>
      </c>
      <c r="E31" s="24">
        <v>5.08</v>
      </c>
      <c r="F31" s="24">
        <v>10.029999999999999</v>
      </c>
      <c r="G31" s="24">
        <v>1.37</v>
      </c>
      <c r="H31" s="24">
        <v>11.54</v>
      </c>
      <c r="I31" s="24">
        <v>70.16</v>
      </c>
      <c r="J31" s="24">
        <v>13.13</v>
      </c>
      <c r="K31" s="24">
        <v>1.7</v>
      </c>
      <c r="L31" s="24">
        <v>5.21</v>
      </c>
      <c r="M31" s="24">
        <v>9.15</v>
      </c>
      <c r="N31" s="24">
        <v>7.49</v>
      </c>
      <c r="O31" s="24">
        <v>53.55</v>
      </c>
      <c r="P31" s="24">
        <v>8.7799999999999994</v>
      </c>
      <c r="Q31" s="24">
        <v>26.29</v>
      </c>
      <c r="R31" s="24">
        <v>10.44</v>
      </c>
      <c r="S31" s="24">
        <v>0.57999999999999996</v>
      </c>
      <c r="T31" s="24">
        <v>16.989999999999998</v>
      </c>
      <c r="U31" s="24">
        <v>2.95</v>
      </c>
      <c r="V31" s="24">
        <v>0.86</v>
      </c>
      <c r="W31" s="24">
        <v>1.82</v>
      </c>
      <c r="X31" s="24">
        <v>0.1</v>
      </c>
      <c r="Y31" s="24">
        <v>7.97</v>
      </c>
      <c r="Z31" s="24">
        <v>6.45</v>
      </c>
      <c r="AA31" s="24">
        <v>45.86</v>
      </c>
      <c r="AB31" s="24">
        <v>3.13</v>
      </c>
      <c r="AC31" s="24">
        <v>27.547999709999999</v>
      </c>
      <c r="AD31" s="24">
        <v>18.48099976</v>
      </c>
      <c r="AE31" s="24">
        <v>2.8209998789999999</v>
      </c>
      <c r="AF31" s="24">
        <v>5.6769998490000004</v>
      </c>
      <c r="AG31" s="24">
        <v>38.173999590000001</v>
      </c>
      <c r="AH31" s="27">
        <f t="shared" si="0"/>
        <v>434.43099878800001</v>
      </c>
      <c r="AI31" s="20"/>
    </row>
    <row r="32" spans="1:35">
      <c r="A32" s="20" t="s">
        <v>74</v>
      </c>
      <c r="B32" s="21">
        <v>2050</v>
      </c>
      <c r="C32" s="24">
        <v>10.61</v>
      </c>
      <c r="D32" s="24">
        <v>12.4</v>
      </c>
      <c r="E32" s="24">
        <v>5.44</v>
      </c>
      <c r="F32" s="24">
        <v>10.98</v>
      </c>
      <c r="G32" s="24">
        <v>1.51</v>
      </c>
      <c r="H32" s="24">
        <v>12.69</v>
      </c>
      <c r="I32" s="24">
        <v>75.77</v>
      </c>
      <c r="J32" s="24">
        <v>14.51</v>
      </c>
      <c r="K32" s="24">
        <v>1.88</v>
      </c>
      <c r="L32" s="24">
        <v>5.5</v>
      </c>
      <c r="M32" s="24">
        <v>9.8800000000000008</v>
      </c>
      <c r="N32" s="24">
        <v>8.1300000000000008</v>
      </c>
      <c r="O32" s="24">
        <v>57.57</v>
      </c>
      <c r="P32" s="24">
        <v>9.6999999999999993</v>
      </c>
      <c r="Q32" s="24">
        <v>29.31</v>
      </c>
      <c r="R32" s="24">
        <v>11.96</v>
      </c>
      <c r="S32" s="24">
        <v>0.64</v>
      </c>
      <c r="T32" s="24">
        <v>18.09</v>
      </c>
      <c r="U32" s="24">
        <v>3.17</v>
      </c>
      <c r="V32" s="24">
        <v>0.97</v>
      </c>
      <c r="W32" s="24">
        <v>1.94</v>
      </c>
      <c r="X32" s="24">
        <v>0.12</v>
      </c>
      <c r="Y32" s="24">
        <v>8.77</v>
      </c>
      <c r="Z32" s="24">
        <v>7.16</v>
      </c>
      <c r="AA32" s="24">
        <v>50.22</v>
      </c>
      <c r="AB32" s="24">
        <v>3.33</v>
      </c>
      <c r="AC32" s="24">
        <v>30.16599991</v>
      </c>
      <c r="AD32" s="24">
        <v>20.79099999</v>
      </c>
      <c r="AE32" s="24">
        <v>3.130000135</v>
      </c>
      <c r="AF32" s="24">
        <v>6.3010000970000002</v>
      </c>
      <c r="AG32" s="24">
        <v>41.610999820000004</v>
      </c>
      <c r="AH32" s="27">
        <f t="shared" si="0"/>
        <v>474.24899995199991</v>
      </c>
      <c r="AI32" s="20"/>
    </row>
    <row r="33" spans="1:35">
      <c r="A33" s="20" t="s">
        <v>74</v>
      </c>
      <c r="B33" s="21">
        <v>2060</v>
      </c>
      <c r="C33" s="24">
        <v>12.49</v>
      </c>
      <c r="D33" s="24">
        <v>14.88</v>
      </c>
      <c r="E33" s="24">
        <v>6.22</v>
      </c>
      <c r="F33" s="24">
        <v>13.17</v>
      </c>
      <c r="G33" s="24">
        <v>1.85</v>
      </c>
      <c r="H33" s="24">
        <v>15.37</v>
      </c>
      <c r="I33" s="24">
        <v>88.36</v>
      </c>
      <c r="J33" s="24">
        <v>17.739999999999998</v>
      </c>
      <c r="K33" s="24">
        <v>2.2999999999999998</v>
      </c>
      <c r="L33" s="24">
        <v>6.11</v>
      </c>
      <c r="M33" s="24">
        <v>11.52</v>
      </c>
      <c r="N33" s="24">
        <v>9.57</v>
      </c>
      <c r="O33" s="24">
        <v>66.5</v>
      </c>
      <c r="P33" s="24">
        <v>11.86</v>
      </c>
      <c r="Q33" s="24">
        <v>36.51</v>
      </c>
      <c r="R33" s="24">
        <v>15.75</v>
      </c>
      <c r="S33" s="24">
        <v>0.76</v>
      </c>
      <c r="T33" s="24">
        <v>20.51</v>
      </c>
      <c r="U33" s="24">
        <v>3.66</v>
      </c>
      <c r="V33" s="24">
        <v>1.23</v>
      </c>
      <c r="W33" s="24">
        <v>2.2200000000000002</v>
      </c>
      <c r="X33" s="24">
        <v>0.17</v>
      </c>
      <c r="Y33" s="24">
        <v>10.62</v>
      </c>
      <c r="Z33" s="24">
        <v>8.84</v>
      </c>
      <c r="AA33" s="24">
        <v>60.25</v>
      </c>
      <c r="AB33" s="24">
        <v>3.78</v>
      </c>
      <c r="AC33" s="24">
        <v>36.189499650000002</v>
      </c>
      <c r="AD33" s="24">
        <v>26.387499720000001</v>
      </c>
      <c r="AE33" s="24">
        <v>3.8634998980000002</v>
      </c>
      <c r="AF33" s="24">
        <v>7.775999873</v>
      </c>
      <c r="AG33" s="24">
        <v>49.450499550000004</v>
      </c>
      <c r="AH33" s="27">
        <f t="shared" si="0"/>
        <v>565.90699869100013</v>
      </c>
      <c r="AI33" s="20"/>
    </row>
    <row r="34" spans="1:35">
      <c r="A34" s="20" t="s">
        <v>74</v>
      </c>
      <c r="B34" s="21">
        <v>2070</v>
      </c>
      <c r="C34" s="24">
        <v>13.65</v>
      </c>
      <c r="D34" s="24">
        <v>16.43</v>
      </c>
      <c r="E34" s="24">
        <v>6.68</v>
      </c>
      <c r="F34" s="24">
        <v>14.55</v>
      </c>
      <c r="G34" s="24">
        <v>2.06</v>
      </c>
      <c r="H34" s="24">
        <v>17.07</v>
      </c>
      <c r="I34" s="24">
        <v>96</v>
      </c>
      <c r="J34" s="24">
        <v>19.8</v>
      </c>
      <c r="K34" s="24">
        <v>2.56</v>
      </c>
      <c r="L34" s="24">
        <v>6.47</v>
      </c>
      <c r="M34" s="24">
        <v>12.52</v>
      </c>
      <c r="N34" s="24">
        <v>10.45</v>
      </c>
      <c r="O34" s="24">
        <v>71.86</v>
      </c>
      <c r="P34" s="24">
        <v>13.24</v>
      </c>
      <c r="Q34" s="24">
        <v>41.2</v>
      </c>
      <c r="R34" s="24">
        <v>18.38</v>
      </c>
      <c r="S34" s="24">
        <v>0.84</v>
      </c>
      <c r="T34" s="24">
        <v>21.92</v>
      </c>
      <c r="U34" s="24">
        <v>3.96</v>
      </c>
      <c r="V34" s="24">
        <v>1.41</v>
      </c>
      <c r="W34" s="24">
        <v>2.39</v>
      </c>
      <c r="X34" s="24">
        <v>0.2</v>
      </c>
      <c r="Y34" s="24">
        <v>11.79</v>
      </c>
      <c r="Z34" s="24">
        <v>9.92</v>
      </c>
      <c r="AA34" s="24">
        <v>66.52</v>
      </c>
      <c r="AB34" s="24">
        <v>4.04</v>
      </c>
      <c r="AC34" s="24">
        <v>39.956194770000003</v>
      </c>
      <c r="AD34" s="24">
        <v>30.108642020000001</v>
      </c>
      <c r="AE34" s="24">
        <v>4.3360111830000001</v>
      </c>
      <c r="AF34" s="24">
        <v>8.7269352100000006</v>
      </c>
      <c r="AG34" s="24">
        <v>54.302898560000003</v>
      </c>
      <c r="AH34" s="27">
        <f t="shared" si="0"/>
        <v>623.340681743</v>
      </c>
      <c r="AI34" s="20"/>
    </row>
    <row r="35" spans="1:35">
      <c r="A35" s="20" t="s">
        <v>67</v>
      </c>
      <c r="B35" s="21">
        <v>2010</v>
      </c>
      <c r="C35">
        <v>5.65</v>
      </c>
      <c r="D35">
        <v>9.6999999999999993</v>
      </c>
      <c r="E35">
        <v>3.7</v>
      </c>
      <c r="F35">
        <v>17.66</v>
      </c>
      <c r="G35">
        <v>0.55000000000000004</v>
      </c>
      <c r="H35">
        <v>12.5</v>
      </c>
      <c r="I35">
        <v>137.09</v>
      </c>
      <c r="J35">
        <v>13.1</v>
      </c>
      <c r="K35">
        <v>12.11</v>
      </c>
      <c r="L35" t="s">
        <v>186</v>
      </c>
      <c r="M35" t="s">
        <v>187</v>
      </c>
      <c r="N35">
        <v>5.28</v>
      </c>
      <c r="O35">
        <v>35.369999999999997</v>
      </c>
      <c r="P35">
        <v>2.86</v>
      </c>
      <c r="Q35">
        <v>26.3</v>
      </c>
      <c r="R35">
        <v>2.36</v>
      </c>
      <c r="S35">
        <v>1.17</v>
      </c>
      <c r="T35" t="s">
        <v>188</v>
      </c>
      <c r="U35">
        <v>16.309999999999999</v>
      </c>
      <c r="V35">
        <v>0.94</v>
      </c>
      <c r="W35">
        <v>12.6</v>
      </c>
      <c r="X35">
        <v>0.41</v>
      </c>
      <c r="Y35">
        <v>17.13</v>
      </c>
      <c r="Z35">
        <v>11.41</v>
      </c>
      <c r="AA35">
        <v>112.24</v>
      </c>
      <c r="AB35" t="s">
        <v>189</v>
      </c>
      <c r="AC35">
        <v>23.59</v>
      </c>
      <c r="AD35">
        <v>27.92</v>
      </c>
      <c r="AE35">
        <v>2.61</v>
      </c>
      <c r="AF35">
        <v>2.23</v>
      </c>
      <c r="AG35">
        <v>18.71</v>
      </c>
      <c r="AH35" s="27">
        <f t="shared" si="0"/>
        <v>531.50000000000011</v>
      </c>
      <c r="AI35" s="20"/>
    </row>
    <row r="36" spans="1:35">
      <c r="A36" s="20" t="s">
        <v>67</v>
      </c>
      <c r="B36" s="21">
        <v>2020</v>
      </c>
      <c r="C36">
        <v>5.9</v>
      </c>
      <c r="D36">
        <v>10.9</v>
      </c>
      <c r="E36">
        <v>3.9</v>
      </c>
      <c r="F36">
        <v>19.8</v>
      </c>
      <c r="G36">
        <v>0.6</v>
      </c>
      <c r="H36">
        <v>13.2</v>
      </c>
      <c r="I36">
        <v>148.1</v>
      </c>
      <c r="J36">
        <v>14.9</v>
      </c>
      <c r="K36">
        <v>16.100000000000001</v>
      </c>
      <c r="L36">
        <v>6.7</v>
      </c>
      <c r="M36">
        <v>29.7</v>
      </c>
      <c r="N36">
        <v>5.5</v>
      </c>
      <c r="O36">
        <v>36.799999999999997</v>
      </c>
      <c r="P36">
        <v>3</v>
      </c>
      <c r="Q36">
        <v>32.9</v>
      </c>
      <c r="R36">
        <v>2.8</v>
      </c>
      <c r="S36">
        <v>1.4</v>
      </c>
      <c r="T36">
        <v>68.2</v>
      </c>
      <c r="U36">
        <v>21</v>
      </c>
      <c r="V36">
        <v>1.1000000000000001</v>
      </c>
      <c r="W36">
        <v>16.100000000000001</v>
      </c>
      <c r="X36">
        <v>0.5</v>
      </c>
      <c r="Y36">
        <v>19</v>
      </c>
      <c r="Z36">
        <v>12.7</v>
      </c>
      <c r="AA36">
        <v>134.69999999999999</v>
      </c>
      <c r="AB36">
        <v>2.1</v>
      </c>
      <c r="AC36">
        <v>26.7</v>
      </c>
      <c r="AD36">
        <v>31.5</v>
      </c>
      <c r="AE36">
        <v>2.8</v>
      </c>
      <c r="AF36">
        <v>2.2999999999999998</v>
      </c>
      <c r="AG36">
        <v>19.600000000000001</v>
      </c>
      <c r="AH36" s="27">
        <f t="shared" si="0"/>
        <v>710.5</v>
      </c>
      <c r="AI36" s="20"/>
    </row>
    <row r="37" spans="1:35">
      <c r="A37" s="20" t="s">
        <v>67</v>
      </c>
      <c r="B37" s="21">
        <v>2030</v>
      </c>
      <c r="C37">
        <v>13.7</v>
      </c>
      <c r="D37">
        <v>12.2</v>
      </c>
      <c r="E37">
        <v>9.8000000000000007</v>
      </c>
      <c r="F37">
        <v>22.2</v>
      </c>
      <c r="G37">
        <v>1.3</v>
      </c>
      <c r="H37">
        <v>14</v>
      </c>
      <c r="I37">
        <v>99.9</v>
      </c>
      <c r="J37">
        <v>12.2</v>
      </c>
      <c r="K37">
        <v>5.8</v>
      </c>
      <c r="L37">
        <v>35.299999999999997</v>
      </c>
      <c r="M37">
        <v>66.900000000000006</v>
      </c>
      <c r="N37">
        <v>7</v>
      </c>
      <c r="O37">
        <v>86.1</v>
      </c>
      <c r="P37">
        <v>12.8</v>
      </c>
      <c r="Q37">
        <v>31.2</v>
      </c>
      <c r="R37">
        <v>5.3</v>
      </c>
      <c r="S37">
        <v>1.3</v>
      </c>
      <c r="T37">
        <v>336.9</v>
      </c>
      <c r="U37">
        <v>15.9</v>
      </c>
      <c r="V37">
        <v>1.1000000000000001</v>
      </c>
      <c r="W37">
        <v>7.4</v>
      </c>
      <c r="X37">
        <v>0.5</v>
      </c>
      <c r="Y37">
        <v>24.9</v>
      </c>
      <c r="Z37">
        <v>17.899999999999999</v>
      </c>
      <c r="AA37">
        <v>169.7</v>
      </c>
      <c r="AB37">
        <v>4.5999999999999996</v>
      </c>
      <c r="AC37">
        <v>51</v>
      </c>
      <c r="AD37">
        <v>30.2</v>
      </c>
      <c r="AE37">
        <v>11.7</v>
      </c>
      <c r="AF37">
        <v>9.1</v>
      </c>
      <c r="AG37">
        <v>24.7</v>
      </c>
      <c r="AH37" s="27">
        <f t="shared" si="0"/>
        <v>1142.6000000000001</v>
      </c>
      <c r="AI37" s="20"/>
    </row>
    <row r="38" spans="1:35">
      <c r="A38" s="20" t="s">
        <v>67</v>
      </c>
      <c r="B38" s="21">
        <v>2040</v>
      </c>
      <c r="C38" s="24">
        <v>14.1</v>
      </c>
      <c r="D38" s="24">
        <v>10.8</v>
      </c>
      <c r="E38" s="24">
        <v>6.4</v>
      </c>
      <c r="F38" s="24">
        <v>19.600000000000001</v>
      </c>
      <c r="G38" s="24">
        <v>1.1000000000000001</v>
      </c>
      <c r="H38" s="24">
        <v>24.8</v>
      </c>
      <c r="I38" s="24">
        <v>167.9</v>
      </c>
      <c r="J38" s="24">
        <v>14</v>
      </c>
      <c r="K38" s="24">
        <v>7.4</v>
      </c>
      <c r="L38" s="24">
        <v>11.5</v>
      </c>
      <c r="M38" s="24">
        <v>67.2</v>
      </c>
      <c r="N38" s="24">
        <v>10.5</v>
      </c>
      <c r="O38" s="24">
        <v>78.2</v>
      </c>
      <c r="P38" s="24">
        <v>7</v>
      </c>
      <c r="Q38" s="24">
        <v>22.5</v>
      </c>
      <c r="R38" s="24">
        <v>3.3</v>
      </c>
      <c r="S38" s="24">
        <v>0.9</v>
      </c>
      <c r="T38" s="24">
        <v>137.1</v>
      </c>
      <c r="U38" s="24">
        <v>8.1999999999999993</v>
      </c>
      <c r="V38" s="24">
        <v>1.1000000000000001</v>
      </c>
      <c r="W38" s="24">
        <v>5.7</v>
      </c>
      <c r="X38" s="24">
        <v>0.5</v>
      </c>
      <c r="Y38" s="24">
        <v>21.7</v>
      </c>
      <c r="Z38" s="24">
        <v>16</v>
      </c>
      <c r="AA38" s="24">
        <v>92.9</v>
      </c>
      <c r="AB38" s="24">
        <v>3.8</v>
      </c>
      <c r="AC38" s="24">
        <v>26.9</v>
      </c>
      <c r="AD38" s="24">
        <v>38</v>
      </c>
      <c r="AE38" s="24">
        <v>6.7</v>
      </c>
      <c r="AF38" s="24">
        <v>7.6</v>
      </c>
      <c r="AG38" s="24">
        <v>39.299999999999997</v>
      </c>
      <c r="AH38" s="27">
        <f t="shared" si="0"/>
        <v>872.7</v>
      </c>
      <c r="AI38" s="20"/>
    </row>
    <row r="39" spans="1:35">
      <c r="A39" s="20" t="s">
        <v>67</v>
      </c>
      <c r="B39" s="21">
        <v>2050</v>
      </c>
      <c r="C39" s="24">
        <v>15.4</v>
      </c>
      <c r="D39" s="24">
        <v>11.8</v>
      </c>
      <c r="E39" s="24">
        <v>6.8</v>
      </c>
      <c r="F39" s="24">
        <v>21.5</v>
      </c>
      <c r="G39" s="24">
        <v>1.2</v>
      </c>
      <c r="H39" s="24">
        <v>27.3</v>
      </c>
      <c r="I39" s="24">
        <v>181.3</v>
      </c>
      <c r="J39" s="24">
        <v>15.5</v>
      </c>
      <c r="K39" s="24">
        <v>8.1999999999999993</v>
      </c>
      <c r="L39" s="24">
        <v>12.2</v>
      </c>
      <c r="M39" s="24">
        <v>72.599999999999994</v>
      </c>
      <c r="N39" s="24">
        <v>11.4</v>
      </c>
      <c r="O39" s="24">
        <v>84</v>
      </c>
      <c r="P39" s="24">
        <v>7.7</v>
      </c>
      <c r="Q39" s="24">
        <v>25.1</v>
      </c>
      <c r="R39" s="24">
        <v>3.8</v>
      </c>
      <c r="S39" s="24">
        <v>1</v>
      </c>
      <c r="T39" s="24">
        <v>146.1</v>
      </c>
      <c r="U39" s="24">
        <v>8.8000000000000007</v>
      </c>
      <c r="V39" s="24">
        <v>1.3</v>
      </c>
      <c r="W39" s="24">
        <v>6.1</v>
      </c>
      <c r="X39" s="24">
        <v>0.6</v>
      </c>
      <c r="Y39" s="24">
        <v>23.9</v>
      </c>
      <c r="Z39" s="24">
        <v>17.8</v>
      </c>
      <c r="AA39" s="24">
        <v>101.7</v>
      </c>
      <c r="AB39" s="24">
        <v>4</v>
      </c>
      <c r="AC39" s="24">
        <v>29.4</v>
      </c>
      <c r="AD39" s="24">
        <v>42.8</v>
      </c>
      <c r="AE39" s="24">
        <v>7.4</v>
      </c>
      <c r="AF39" s="24">
        <v>8.5</v>
      </c>
      <c r="AG39" s="24">
        <v>42.9</v>
      </c>
      <c r="AH39" s="27">
        <f t="shared" si="0"/>
        <v>948.0999999999998</v>
      </c>
      <c r="AI39" s="20"/>
    </row>
    <row r="40" spans="1:35">
      <c r="A40" s="20" t="s">
        <v>67</v>
      </c>
      <c r="B40" s="21">
        <v>2060</v>
      </c>
      <c r="C40" s="24">
        <v>18.100000000000001</v>
      </c>
      <c r="D40" s="24">
        <v>14.2</v>
      </c>
      <c r="E40" s="24">
        <v>7.8</v>
      </c>
      <c r="F40" s="24">
        <v>25.8</v>
      </c>
      <c r="G40" s="24">
        <v>1.5</v>
      </c>
      <c r="H40" s="24">
        <v>33</v>
      </c>
      <c r="I40" s="24">
        <v>211.5</v>
      </c>
      <c r="J40" s="24">
        <v>19</v>
      </c>
      <c r="K40" s="24">
        <v>10</v>
      </c>
      <c r="L40" s="24">
        <v>13.5</v>
      </c>
      <c r="M40" s="24">
        <v>84.6</v>
      </c>
      <c r="N40" s="24">
        <v>13.4</v>
      </c>
      <c r="O40" s="24">
        <v>97.1</v>
      </c>
      <c r="P40" s="24">
        <v>9.4</v>
      </c>
      <c r="Q40" s="24">
        <v>31.2</v>
      </c>
      <c r="R40" s="24">
        <v>5</v>
      </c>
      <c r="S40" s="24">
        <v>1.2</v>
      </c>
      <c r="T40" s="24">
        <v>165.5</v>
      </c>
      <c r="U40" s="24">
        <v>10.199999999999999</v>
      </c>
      <c r="V40" s="24">
        <v>1.6</v>
      </c>
      <c r="W40" s="24">
        <v>7</v>
      </c>
      <c r="X40" s="24">
        <v>0.8</v>
      </c>
      <c r="Y40" s="24">
        <v>28.9</v>
      </c>
      <c r="Z40" s="24">
        <v>22</v>
      </c>
      <c r="AA40" s="24">
        <v>122</v>
      </c>
      <c r="AB40" s="24">
        <v>4.5999999999999996</v>
      </c>
      <c r="AC40" s="24">
        <v>35.299999999999997</v>
      </c>
      <c r="AD40" s="24">
        <v>54.3</v>
      </c>
      <c r="AE40" s="24">
        <v>9.1</v>
      </c>
      <c r="AF40" s="24">
        <v>10.5</v>
      </c>
      <c r="AG40" s="24">
        <v>51</v>
      </c>
      <c r="AH40" s="27">
        <f t="shared" si="0"/>
        <v>1119.0999999999999</v>
      </c>
      <c r="AI40" s="20"/>
    </row>
    <row r="41" spans="1:35">
      <c r="A41" s="20" t="s">
        <v>67</v>
      </c>
      <c r="B41" s="21">
        <v>2070</v>
      </c>
      <c r="C41" s="24">
        <v>19.7</v>
      </c>
      <c r="D41" s="24">
        <v>15.7</v>
      </c>
      <c r="E41" s="24">
        <v>8.4</v>
      </c>
      <c r="F41" s="24">
        <v>28.5</v>
      </c>
      <c r="G41" s="24">
        <v>1.6</v>
      </c>
      <c r="H41" s="24">
        <v>36.700000000000003</v>
      </c>
      <c r="I41" s="24">
        <v>229.7</v>
      </c>
      <c r="J41" s="24">
        <v>21.2</v>
      </c>
      <c r="K41" s="24">
        <v>11.2</v>
      </c>
      <c r="L41" s="24">
        <v>14.3</v>
      </c>
      <c r="M41" s="24">
        <v>91.9</v>
      </c>
      <c r="N41" s="24">
        <v>14.6</v>
      </c>
      <c r="O41" s="24">
        <v>104.9</v>
      </c>
      <c r="P41" s="24">
        <v>10.5</v>
      </c>
      <c r="Q41" s="24">
        <v>35.299999999999997</v>
      </c>
      <c r="R41" s="24">
        <v>5.8</v>
      </c>
      <c r="S41" s="24">
        <v>1.3</v>
      </c>
      <c r="T41" s="24">
        <v>177</v>
      </c>
      <c r="U41" s="24">
        <v>11</v>
      </c>
      <c r="V41" s="24">
        <v>1.8</v>
      </c>
      <c r="W41" s="24">
        <v>7.5</v>
      </c>
      <c r="X41" s="24">
        <v>0.9</v>
      </c>
      <c r="Y41" s="24">
        <v>32.1</v>
      </c>
      <c r="Z41" s="24">
        <v>24.6</v>
      </c>
      <c r="AA41" s="24">
        <v>134.69999999999999</v>
      </c>
      <c r="AB41" s="24">
        <v>4.9000000000000004</v>
      </c>
      <c r="AC41" s="24">
        <v>39</v>
      </c>
      <c r="AD41" s="24">
        <v>62</v>
      </c>
      <c r="AE41" s="24">
        <v>10.3</v>
      </c>
      <c r="AF41" s="24">
        <v>11.7</v>
      </c>
      <c r="AG41" s="24">
        <v>56</v>
      </c>
      <c r="AH41" s="27">
        <f t="shared" si="0"/>
        <v>1224.8</v>
      </c>
      <c r="AI41" s="20"/>
    </row>
    <row r="42" spans="1:35">
      <c r="A42" s="20" t="s">
        <v>75</v>
      </c>
      <c r="B42" s="21">
        <v>2010</v>
      </c>
      <c r="C42" s="24">
        <v>1.81</v>
      </c>
      <c r="D42" s="24">
        <v>16.989999999999998</v>
      </c>
      <c r="E42" s="24">
        <v>1.6</v>
      </c>
      <c r="F42" s="24">
        <v>10.119999999999999</v>
      </c>
      <c r="G42" s="24">
        <v>0.71</v>
      </c>
      <c r="H42" s="24">
        <v>3.45</v>
      </c>
      <c r="I42" s="24">
        <v>59.89</v>
      </c>
      <c r="J42" s="24">
        <v>6.52</v>
      </c>
      <c r="K42" s="24">
        <v>1.29</v>
      </c>
      <c r="L42" s="24" t="s">
        <v>186</v>
      </c>
      <c r="M42" s="24" t="s">
        <v>187</v>
      </c>
      <c r="N42" s="24">
        <v>2.85</v>
      </c>
      <c r="O42" s="24">
        <v>21.54</v>
      </c>
      <c r="P42" s="24">
        <v>1.29</v>
      </c>
      <c r="Q42" s="24">
        <v>11.35</v>
      </c>
      <c r="R42" s="24">
        <v>11.18</v>
      </c>
      <c r="S42" s="24">
        <v>0.71</v>
      </c>
      <c r="T42" s="24" t="s">
        <v>188</v>
      </c>
      <c r="U42" s="24">
        <v>2.96</v>
      </c>
      <c r="V42" s="24">
        <v>0.93</v>
      </c>
      <c r="W42" s="24">
        <v>1.61</v>
      </c>
      <c r="X42" s="24">
        <v>1.1299999999999999</v>
      </c>
      <c r="Y42" s="24">
        <v>33.270000000000003</v>
      </c>
      <c r="Z42" s="24">
        <v>3.61</v>
      </c>
      <c r="AA42" s="24">
        <v>20.79</v>
      </c>
      <c r="AB42" s="24" t="s">
        <v>189</v>
      </c>
      <c r="AC42" s="24">
        <v>6.95</v>
      </c>
      <c r="AD42" s="24">
        <v>6.51</v>
      </c>
      <c r="AE42" s="24">
        <v>0.37</v>
      </c>
      <c r="AF42" s="24">
        <v>0.49</v>
      </c>
      <c r="AG42" s="24">
        <v>63</v>
      </c>
      <c r="AH42" s="27">
        <f t="shared" si="0"/>
        <v>292.92</v>
      </c>
      <c r="AI42" s="20"/>
    </row>
    <row r="43" spans="1:35">
      <c r="A43" s="20" t="s">
        <v>75</v>
      </c>
      <c r="B43" s="21">
        <v>2020</v>
      </c>
      <c r="C43" s="24">
        <v>1.88</v>
      </c>
      <c r="D43" s="24">
        <v>19.03</v>
      </c>
      <c r="E43" s="24">
        <v>1.68</v>
      </c>
      <c r="F43" s="24">
        <v>11.33</v>
      </c>
      <c r="G43" s="24">
        <v>0.76</v>
      </c>
      <c r="H43" s="24">
        <v>3.65</v>
      </c>
      <c r="I43" s="24">
        <v>64.680000000000007</v>
      </c>
      <c r="J43" s="24">
        <v>7.43</v>
      </c>
      <c r="K43" s="24">
        <v>1.71</v>
      </c>
      <c r="L43" s="24">
        <v>1.65</v>
      </c>
      <c r="M43" s="24">
        <v>8.6300000000000008</v>
      </c>
      <c r="N43" s="24">
        <v>2.99</v>
      </c>
      <c r="O43" s="24">
        <v>22.4</v>
      </c>
      <c r="P43" s="24">
        <v>1.37</v>
      </c>
      <c r="Q43" s="24">
        <v>14.19</v>
      </c>
      <c r="R43" s="24">
        <v>13.3</v>
      </c>
      <c r="S43" s="24">
        <v>0.85</v>
      </c>
      <c r="T43" s="24">
        <v>15.02</v>
      </c>
      <c r="U43" s="24">
        <v>3.82</v>
      </c>
      <c r="V43" s="24">
        <v>1.08</v>
      </c>
      <c r="W43" s="24">
        <v>2.06</v>
      </c>
      <c r="X43" s="24">
        <v>1.5</v>
      </c>
      <c r="Y43" s="24">
        <v>36.93</v>
      </c>
      <c r="Z43" s="24">
        <v>4</v>
      </c>
      <c r="AA43" s="24">
        <v>24.95</v>
      </c>
      <c r="AB43" s="24">
        <v>1.32</v>
      </c>
      <c r="AC43" s="24">
        <v>7.85</v>
      </c>
      <c r="AD43" s="24">
        <v>7.35</v>
      </c>
      <c r="AE43" s="24">
        <v>0.39</v>
      </c>
      <c r="AF43" s="24">
        <v>0.51</v>
      </c>
      <c r="AG43" s="24">
        <v>66.150000000000006</v>
      </c>
      <c r="AH43" s="27">
        <f t="shared" si="0"/>
        <v>350.46000000000004</v>
      </c>
    </row>
    <row r="44" spans="1:35">
      <c r="A44" s="20" t="s">
        <v>75</v>
      </c>
      <c r="B44" s="21">
        <v>2030</v>
      </c>
      <c r="C44" s="24">
        <v>4.4000000000000004</v>
      </c>
      <c r="D44" s="24">
        <v>21.31</v>
      </c>
      <c r="E44" s="24">
        <v>4.2300000000000004</v>
      </c>
      <c r="F44" s="24">
        <v>12.69</v>
      </c>
      <c r="G44" s="24">
        <v>1.74</v>
      </c>
      <c r="H44" s="24">
        <v>3.87</v>
      </c>
      <c r="I44" s="24">
        <v>43.66</v>
      </c>
      <c r="J44" s="24">
        <v>6.05</v>
      </c>
      <c r="K44" s="24">
        <v>0.62</v>
      </c>
      <c r="L44" s="24">
        <v>10.71</v>
      </c>
      <c r="M44" s="24">
        <v>29.16</v>
      </c>
      <c r="N44" s="24">
        <v>3.77</v>
      </c>
      <c r="O44" s="24">
        <v>52.42</v>
      </c>
      <c r="P44" s="24">
        <v>5.79</v>
      </c>
      <c r="Q44" s="24">
        <v>13.48</v>
      </c>
      <c r="R44" s="24">
        <v>25</v>
      </c>
      <c r="S44" s="24">
        <v>0.79</v>
      </c>
      <c r="T44" s="24">
        <v>74.209999999999994</v>
      </c>
      <c r="U44" s="24">
        <v>2.89</v>
      </c>
      <c r="V44" s="24">
        <v>1.1000000000000001</v>
      </c>
      <c r="W44" s="24">
        <v>0.94</v>
      </c>
      <c r="X44" s="24">
        <v>1.46</v>
      </c>
      <c r="Y44" s="24">
        <v>48.45</v>
      </c>
      <c r="Z44" s="24">
        <v>5.66</v>
      </c>
      <c r="AA44" s="24">
        <v>31.44</v>
      </c>
      <c r="AB44" s="24">
        <v>4.47</v>
      </c>
      <c r="AC44" s="24">
        <v>15.02</v>
      </c>
      <c r="AD44" s="24">
        <v>7.03</v>
      </c>
      <c r="AE44" s="24">
        <v>1.65</v>
      </c>
      <c r="AF44" s="24">
        <v>2</v>
      </c>
      <c r="AG44" s="24">
        <v>83.35</v>
      </c>
      <c r="AH44" s="27">
        <f t="shared" si="0"/>
        <v>519.3599999999999</v>
      </c>
    </row>
    <row r="45" spans="1:35">
      <c r="A45" s="20" t="s">
        <v>75</v>
      </c>
      <c r="B45" s="21">
        <v>2040</v>
      </c>
      <c r="C45" s="24">
        <v>4.53</v>
      </c>
      <c r="D45" s="24">
        <v>18.899999999999999</v>
      </c>
      <c r="E45" s="24">
        <v>2.76</v>
      </c>
      <c r="F45" s="24">
        <v>11.25</v>
      </c>
      <c r="G45" s="24">
        <v>1.4</v>
      </c>
      <c r="H45" s="24">
        <v>6.84</v>
      </c>
      <c r="I45" s="24">
        <v>73.349999999999994</v>
      </c>
      <c r="J45" s="24">
        <v>6.99</v>
      </c>
      <c r="K45" s="24">
        <v>0.79</v>
      </c>
      <c r="L45" s="24">
        <v>2.95</v>
      </c>
      <c r="M45" s="24">
        <v>20.28</v>
      </c>
      <c r="N45" s="24">
        <v>5.66</v>
      </c>
      <c r="O45" s="24">
        <v>47.62</v>
      </c>
      <c r="P45" s="24">
        <v>3.14</v>
      </c>
      <c r="Q45" s="24">
        <v>9.7100000000000009</v>
      </c>
      <c r="R45" s="24">
        <v>15.71</v>
      </c>
      <c r="S45" s="24">
        <v>0.54</v>
      </c>
      <c r="T45" s="24">
        <v>30.21</v>
      </c>
      <c r="U45" s="24">
        <v>1.49</v>
      </c>
      <c r="V45" s="24">
        <v>1.1200000000000001</v>
      </c>
      <c r="W45" s="24">
        <v>0.73</v>
      </c>
      <c r="X45" s="24">
        <v>1.32</v>
      </c>
      <c r="Y45" s="24">
        <v>42.11</v>
      </c>
      <c r="Z45" s="24">
        <v>5.07</v>
      </c>
      <c r="AA45" s="24">
        <v>17.21</v>
      </c>
      <c r="AB45" s="24">
        <v>2.5299999999999998</v>
      </c>
      <c r="AC45" s="24">
        <v>7.91</v>
      </c>
      <c r="AD45" s="24">
        <v>8.8699999999999992</v>
      </c>
      <c r="AE45" s="24">
        <v>0.94</v>
      </c>
      <c r="AF45" s="24">
        <v>1.69</v>
      </c>
      <c r="AG45" s="24">
        <v>132.53</v>
      </c>
      <c r="AH45" s="27">
        <f t="shared" si="0"/>
        <v>486.15</v>
      </c>
    </row>
    <row r="46" spans="1:35">
      <c r="A46" s="20" t="s">
        <v>75</v>
      </c>
      <c r="B46" s="21">
        <v>2050</v>
      </c>
      <c r="C46" s="24">
        <v>4.92</v>
      </c>
      <c r="D46" s="24">
        <v>20.69</v>
      </c>
      <c r="E46" s="24">
        <v>2.95</v>
      </c>
      <c r="F46" s="24">
        <v>12.32</v>
      </c>
      <c r="G46" s="24">
        <v>1.54</v>
      </c>
      <c r="H46" s="24">
        <v>7.52</v>
      </c>
      <c r="I46" s="24">
        <v>79.22</v>
      </c>
      <c r="J46" s="24">
        <v>7.73</v>
      </c>
      <c r="K46" s="24">
        <v>0.87</v>
      </c>
      <c r="L46" s="24">
        <v>3.11</v>
      </c>
      <c r="M46" s="24">
        <v>21.9</v>
      </c>
      <c r="N46" s="24">
        <v>6.15</v>
      </c>
      <c r="O46" s="24">
        <v>51.19</v>
      </c>
      <c r="P46" s="24">
        <v>3.47</v>
      </c>
      <c r="Q46" s="24">
        <v>10.82</v>
      </c>
      <c r="R46" s="24">
        <v>17.98</v>
      </c>
      <c r="S46" s="24">
        <v>0.59</v>
      </c>
      <c r="T46" s="24">
        <v>32.18</v>
      </c>
      <c r="U46" s="24">
        <v>1.6</v>
      </c>
      <c r="V46" s="24">
        <v>1.26</v>
      </c>
      <c r="W46" s="24">
        <v>0.78</v>
      </c>
      <c r="X46" s="24">
        <v>1.55</v>
      </c>
      <c r="Y46" s="24">
        <v>46.32</v>
      </c>
      <c r="Z46" s="24">
        <v>5.63</v>
      </c>
      <c r="AA46" s="24">
        <v>18.850000000000001</v>
      </c>
      <c r="AB46" s="24">
        <v>2.69</v>
      </c>
      <c r="AC46" s="24">
        <v>8.66</v>
      </c>
      <c r="AD46" s="24">
        <v>9.98</v>
      </c>
      <c r="AE46" s="24">
        <v>1.04</v>
      </c>
      <c r="AF46" s="24">
        <v>1.88</v>
      </c>
      <c r="AG46" s="24">
        <v>144.46</v>
      </c>
      <c r="AH46" s="27">
        <f t="shared" si="0"/>
        <v>529.85</v>
      </c>
    </row>
    <row r="47" spans="1:35">
      <c r="A47" s="20" t="s">
        <v>75</v>
      </c>
      <c r="B47" s="21">
        <v>2060</v>
      </c>
      <c r="C47" s="24">
        <v>5.79</v>
      </c>
      <c r="D47" s="24">
        <v>24.82</v>
      </c>
      <c r="E47" s="24">
        <v>3.38</v>
      </c>
      <c r="F47" s="24">
        <v>14.78</v>
      </c>
      <c r="G47" s="24">
        <v>1.89</v>
      </c>
      <c r="H47" s="24">
        <v>9.11</v>
      </c>
      <c r="I47" s="24">
        <v>92.38</v>
      </c>
      <c r="J47" s="24">
        <v>9.44</v>
      </c>
      <c r="K47" s="24">
        <v>1.07</v>
      </c>
      <c r="L47" s="24">
        <v>3.46</v>
      </c>
      <c r="M47" s="24">
        <v>25.54</v>
      </c>
      <c r="N47" s="24">
        <v>7.23</v>
      </c>
      <c r="O47" s="24">
        <v>59.13</v>
      </c>
      <c r="P47" s="24">
        <v>4.24</v>
      </c>
      <c r="Q47" s="24">
        <v>13.48</v>
      </c>
      <c r="R47" s="24">
        <v>23.69</v>
      </c>
      <c r="S47" s="24">
        <v>0.71</v>
      </c>
      <c r="T47" s="24">
        <v>36.47</v>
      </c>
      <c r="U47" s="24">
        <v>1.85</v>
      </c>
      <c r="V47" s="24">
        <v>1.6</v>
      </c>
      <c r="W47" s="24">
        <v>0.89</v>
      </c>
      <c r="X47" s="24">
        <v>2.15</v>
      </c>
      <c r="Y47" s="24">
        <v>56.1</v>
      </c>
      <c r="Z47" s="24">
        <v>6.94</v>
      </c>
      <c r="AA47" s="24">
        <v>22.61</v>
      </c>
      <c r="AB47" s="24">
        <v>3.05</v>
      </c>
      <c r="AC47" s="24">
        <v>10.39</v>
      </c>
      <c r="AD47" s="24">
        <v>12.66</v>
      </c>
      <c r="AE47" s="24">
        <v>1.28</v>
      </c>
      <c r="AF47" s="24">
        <v>2.31</v>
      </c>
      <c r="AG47" s="24">
        <v>171.68</v>
      </c>
      <c r="AH47" s="27">
        <f t="shared" si="0"/>
        <v>630.12000000000012</v>
      </c>
    </row>
    <row r="48" spans="1:35">
      <c r="A48" s="20" t="s">
        <v>75</v>
      </c>
      <c r="B48" s="21">
        <v>2070</v>
      </c>
      <c r="C48" s="24">
        <v>6.32</v>
      </c>
      <c r="D48" s="24">
        <v>27.41</v>
      </c>
      <c r="E48" s="24">
        <v>3.63</v>
      </c>
      <c r="F48" s="24">
        <v>16.32</v>
      </c>
      <c r="G48" s="24">
        <v>2.11</v>
      </c>
      <c r="H48" s="24">
        <v>10.119999999999999</v>
      </c>
      <c r="I48" s="24">
        <v>100.36</v>
      </c>
      <c r="J48" s="24">
        <v>10.54</v>
      </c>
      <c r="K48" s="24">
        <v>1.19</v>
      </c>
      <c r="L48" s="24">
        <v>3.66</v>
      </c>
      <c r="M48" s="24">
        <v>27.75</v>
      </c>
      <c r="N48" s="24">
        <v>7.9</v>
      </c>
      <c r="O48" s="24">
        <v>63.89</v>
      </c>
      <c r="P48" s="24">
        <v>4.74</v>
      </c>
      <c r="Q48" s="24">
        <v>15.22</v>
      </c>
      <c r="R48" s="24">
        <v>27.64</v>
      </c>
      <c r="S48" s="24">
        <v>0.79</v>
      </c>
      <c r="T48" s="24">
        <v>38.99</v>
      </c>
      <c r="U48" s="24">
        <v>2</v>
      </c>
      <c r="V48" s="24">
        <v>1.82</v>
      </c>
      <c r="W48" s="24">
        <v>0.96</v>
      </c>
      <c r="X48" s="24">
        <v>2.6</v>
      </c>
      <c r="Y48" s="24">
        <v>62.28</v>
      </c>
      <c r="Z48" s="24">
        <v>7.79</v>
      </c>
      <c r="AA48" s="24">
        <v>24.96</v>
      </c>
      <c r="AB48" s="24">
        <v>3.26</v>
      </c>
      <c r="AC48" s="24">
        <v>11.48</v>
      </c>
      <c r="AD48" s="24">
        <v>14.44</v>
      </c>
      <c r="AE48" s="24">
        <v>1.44</v>
      </c>
      <c r="AF48" s="24">
        <v>2.6</v>
      </c>
      <c r="AG48" s="24">
        <v>188.53</v>
      </c>
      <c r="AH48" s="27">
        <f t="shared" si="0"/>
        <v>692.74</v>
      </c>
    </row>
    <row r="49" spans="1:35">
      <c r="A49" s="47" t="s">
        <v>190</v>
      </c>
      <c r="B49" s="21" t="s">
        <v>81</v>
      </c>
      <c r="C49" s="46">
        <f>(C7-C6)/C6</f>
        <v>8.4867894315452358E-2</v>
      </c>
      <c r="D49" s="46">
        <f t="shared" ref="D49:AG49" si="1">(D7-D6)/D6</f>
        <v>9.5019157088122599E-2</v>
      </c>
      <c r="E49" s="46">
        <f t="shared" si="1"/>
        <v>7.0876288659793812E-2</v>
      </c>
      <c r="F49" s="46">
        <f t="shared" si="1"/>
        <v>9.5155709342560554E-2</v>
      </c>
      <c r="G49" s="46">
        <f t="shared" si="1"/>
        <v>0.10416666666666667</v>
      </c>
      <c r="H49" s="46">
        <f t="shared" si="1"/>
        <v>0.10007880220646179</v>
      </c>
      <c r="I49" s="46">
        <f t="shared" si="1"/>
        <v>7.9919763513513514E-2</v>
      </c>
      <c r="J49" s="46">
        <f t="shared" si="1"/>
        <v>0.10492040520984081</v>
      </c>
      <c r="K49" s="46">
        <f t="shared" si="1"/>
        <v>0.10614525139664804</v>
      </c>
      <c r="L49" s="46">
        <f t="shared" si="1"/>
        <v>5.5E-2</v>
      </c>
      <c r="M49" s="46">
        <f t="shared" si="1"/>
        <v>8.0161943319838058E-2</v>
      </c>
      <c r="N49" s="46">
        <f t="shared" si="1"/>
        <v>8.4639498432601878E-2</v>
      </c>
      <c r="O49" s="46">
        <f t="shared" si="1"/>
        <v>7.5039082855653985E-2</v>
      </c>
      <c r="P49" s="46">
        <f t="shared" si="1"/>
        <v>0.10497835497835498</v>
      </c>
      <c r="Q49" s="46">
        <f t="shared" si="1"/>
        <v>0.11494703805413888</v>
      </c>
      <c r="R49" s="46">
        <f t="shared" si="1"/>
        <v>0.14424242424242426</v>
      </c>
      <c r="S49" s="46">
        <f t="shared" si="1"/>
        <v>8.9552238805970144E-2</v>
      </c>
      <c r="T49" s="46">
        <f t="shared" si="1"/>
        <v>6.5037729069349626E-2</v>
      </c>
      <c r="U49" s="46">
        <f t="shared" si="1"/>
        <v>7.5650118203309691E-2</v>
      </c>
      <c r="V49" s="46">
        <f t="shared" si="1"/>
        <v>0.12820512820512819</v>
      </c>
      <c r="W49" s="46">
        <f t="shared" si="1"/>
        <v>6.83453237410072E-2</v>
      </c>
      <c r="X49" s="46">
        <f t="shared" si="1"/>
        <v>0.14285714285714285</v>
      </c>
      <c r="Y49" s="46">
        <f t="shared" si="1"/>
        <v>0.10034207525655645</v>
      </c>
      <c r="Z49" s="46">
        <f t="shared" si="1"/>
        <v>0.11059907834101383</v>
      </c>
      <c r="AA49" s="46">
        <f t="shared" si="1"/>
        <v>9.515701853953841E-2</v>
      </c>
      <c r="AB49" s="46">
        <f t="shared" si="1"/>
        <v>6.4327485380116955E-2</v>
      </c>
      <c r="AC49" s="46">
        <f t="shared" si="1"/>
        <v>9.5118110236220466E-2</v>
      </c>
      <c r="AD49" s="46">
        <f t="shared" si="1"/>
        <v>0.12507516536380037</v>
      </c>
      <c r="AE49" s="46">
        <f t="shared" si="1"/>
        <v>0.10877192982456141</v>
      </c>
      <c r="AF49" s="46">
        <f t="shared" si="1"/>
        <v>0.1099476439790576</v>
      </c>
      <c r="AG49" s="46">
        <f t="shared" si="1"/>
        <v>8.9984858317110103E-2</v>
      </c>
      <c r="AH49" s="32" t="e">
        <f t="shared" ref="AH49" si="2">((AH21-AH20)/AH20)/10</f>
        <v>#N/A</v>
      </c>
    </row>
    <row r="50" spans="1:35"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spans="1:35"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spans="1:35">
      <c r="A52" t="s">
        <v>82</v>
      </c>
      <c r="C52" s="32"/>
    </row>
    <row r="53" spans="1:35">
      <c r="A53" t="s">
        <v>83</v>
      </c>
      <c r="C53" s="21" t="s">
        <v>36</v>
      </c>
      <c r="D53" s="21" t="s">
        <v>37</v>
      </c>
      <c r="E53" s="21" t="s">
        <v>38</v>
      </c>
      <c r="F53" s="21" t="s">
        <v>39</v>
      </c>
      <c r="G53" s="21" t="s">
        <v>40</v>
      </c>
      <c r="H53" s="21" t="s">
        <v>41</v>
      </c>
      <c r="I53" s="21" t="s">
        <v>42</v>
      </c>
      <c r="J53" s="21" t="s">
        <v>43</v>
      </c>
      <c r="K53" s="21" t="s">
        <v>44</v>
      </c>
      <c r="L53" s="21" t="s">
        <v>45</v>
      </c>
      <c r="M53" s="21" t="s">
        <v>46</v>
      </c>
      <c r="N53" s="21" t="s">
        <v>47</v>
      </c>
      <c r="O53" s="21" t="s">
        <v>48</v>
      </c>
      <c r="P53" s="21" t="s">
        <v>49</v>
      </c>
      <c r="Q53" s="21" t="s">
        <v>50</v>
      </c>
      <c r="R53" s="21" t="s">
        <v>51</v>
      </c>
      <c r="S53" s="21" t="s">
        <v>52</v>
      </c>
      <c r="T53" s="21" t="s">
        <v>53</v>
      </c>
      <c r="U53" s="21" t="s">
        <v>54</v>
      </c>
      <c r="V53" s="21" t="s">
        <v>55</v>
      </c>
      <c r="W53" s="21" t="s">
        <v>56</v>
      </c>
      <c r="X53" s="21" t="s">
        <v>57</v>
      </c>
      <c r="Y53" s="21" t="s">
        <v>58</v>
      </c>
      <c r="Z53" s="21" t="s">
        <v>59</v>
      </c>
      <c r="AA53" s="21" t="s">
        <v>60</v>
      </c>
      <c r="AB53" s="21" t="s">
        <v>61</v>
      </c>
      <c r="AC53" s="21" t="s">
        <v>62</v>
      </c>
      <c r="AD53" s="21" t="s">
        <v>63</v>
      </c>
      <c r="AE53" s="21" t="s">
        <v>64</v>
      </c>
      <c r="AF53" s="21" t="s">
        <v>65</v>
      </c>
      <c r="AG53" s="21" t="s">
        <v>66</v>
      </c>
    </row>
    <row r="54" spans="1:35">
      <c r="A54" s="20" t="s">
        <v>33</v>
      </c>
      <c r="B54" s="21">
        <v>2020</v>
      </c>
      <c r="C54" s="28">
        <v>1527</v>
      </c>
      <c r="D54" s="28">
        <v>1014</v>
      </c>
      <c r="E54" s="28">
        <v>816</v>
      </c>
      <c r="F54" s="28">
        <v>1846</v>
      </c>
      <c r="G54" s="28">
        <v>89</v>
      </c>
      <c r="H54" s="28">
        <v>2341</v>
      </c>
      <c r="I54" s="28">
        <v>19988</v>
      </c>
      <c r="J54" s="28">
        <v>1216</v>
      </c>
      <c r="K54" s="28">
        <v>649</v>
      </c>
      <c r="L54" s="29">
        <v>1746</v>
      </c>
      <c r="M54" s="29">
        <v>7730</v>
      </c>
      <c r="N54" s="28">
        <v>1164</v>
      </c>
      <c r="O54" s="28">
        <v>9563</v>
      </c>
      <c r="P54" s="28">
        <v>535</v>
      </c>
      <c r="Q54" s="28">
        <v>1643</v>
      </c>
      <c r="R54" s="28">
        <v>176</v>
      </c>
      <c r="S54" s="28">
        <v>81</v>
      </c>
      <c r="T54" s="28">
        <v>17730</v>
      </c>
      <c r="U54" s="28">
        <v>936</v>
      </c>
      <c r="V54" s="28">
        <v>79</v>
      </c>
      <c r="W54" s="28">
        <v>737</v>
      </c>
      <c r="X54" s="28">
        <v>22</v>
      </c>
      <c r="Y54" s="28">
        <v>1919</v>
      </c>
      <c r="Z54" s="28">
        <v>1278</v>
      </c>
      <c r="AA54" s="28">
        <v>8081</v>
      </c>
      <c r="AB54" s="28">
        <v>535</v>
      </c>
      <c r="AC54" s="28">
        <v>2318</v>
      </c>
      <c r="AD54" s="28">
        <v>2742</v>
      </c>
      <c r="AE54" s="28">
        <v>489</v>
      </c>
      <c r="AF54" s="28">
        <v>604</v>
      </c>
      <c r="AG54" s="28">
        <v>4125</v>
      </c>
      <c r="AH54" s="23"/>
      <c r="AI54" s="23"/>
    </row>
    <row r="55" spans="1:35">
      <c r="A55" s="20" t="s">
        <v>33</v>
      </c>
      <c r="B55">
        <v>2030</v>
      </c>
      <c r="C55" s="30">
        <v>1664</v>
      </c>
      <c r="D55" s="30">
        <v>1136</v>
      </c>
      <c r="E55" s="30">
        <v>914</v>
      </c>
      <c r="F55" s="30">
        <v>2068</v>
      </c>
      <c r="G55" s="30">
        <v>103</v>
      </c>
      <c r="H55" s="30">
        <v>2481</v>
      </c>
      <c r="I55" s="30">
        <v>20987</v>
      </c>
      <c r="J55" s="30">
        <v>1338</v>
      </c>
      <c r="K55" s="30">
        <v>708</v>
      </c>
      <c r="L55" s="30">
        <v>2099</v>
      </c>
      <c r="M55" s="30">
        <v>8399</v>
      </c>
      <c r="N55" s="30">
        <v>1233</v>
      </c>
      <c r="O55" s="30">
        <v>10424</v>
      </c>
      <c r="P55" s="30">
        <v>664</v>
      </c>
      <c r="Q55" s="30">
        <v>1956</v>
      </c>
      <c r="R55" s="30">
        <v>229</v>
      </c>
      <c r="S55" s="30">
        <v>94</v>
      </c>
      <c r="T55" s="30">
        <v>21098</v>
      </c>
      <c r="U55" s="30">
        <v>1095</v>
      </c>
      <c r="V55" s="30">
        <v>90</v>
      </c>
      <c r="W55" s="30">
        <v>811</v>
      </c>
      <c r="X55" s="30">
        <v>27</v>
      </c>
      <c r="Y55" s="30">
        <v>2168</v>
      </c>
      <c r="Z55" s="30">
        <v>1457</v>
      </c>
      <c r="AA55" s="30">
        <v>9778</v>
      </c>
      <c r="AB55" s="30">
        <v>582</v>
      </c>
      <c r="AC55" s="30">
        <v>2827</v>
      </c>
      <c r="AD55" s="30">
        <v>3044</v>
      </c>
      <c r="AE55" s="30">
        <v>606</v>
      </c>
      <c r="AF55" s="30">
        <v>694</v>
      </c>
      <c r="AG55" s="30">
        <v>4372</v>
      </c>
    </row>
    <row r="56" spans="1:35">
      <c r="A56" s="20" t="s">
        <v>33</v>
      </c>
      <c r="B56">
        <v>2040</v>
      </c>
      <c r="C56" s="31">
        <f>((C13-C12)*(1-(((HLOOKUP(C53,scen2!$B1:$AL2,2,0)/2)/100)))+C12)</f>
        <v>1802.45</v>
      </c>
      <c r="D56" s="31">
        <f>((D13-D12)*(1-(((HLOOKUP(D53,scen2!$B1:$AL2,2,0)/2)/100)))+D12)</f>
        <v>1239.95</v>
      </c>
      <c r="E56" s="31">
        <f>((E13-E12)*(1-(((HLOOKUP(E53,scen2!$B1:$AL2,2,0)/2)/100)))+E12)</f>
        <v>975.2</v>
      </c>
      <c r="F56" s="31">
        <f>((F13-F12)*(1-(((HLOOKUP(F53,scen2!$B1:$AL2,2,0)/2)/100)))+F12)</f>
        <v>2249.3000000000002</v>
      </c>
      <c r="G56" s="31">
        <f>((G13-G12)*(1-(((HLOOKUP(G53,scen2!$B1:$AL2,2,0)/2)/100)))+G12)</f>
        <v>113.40765</v>
      </c>
      <c r="H56" s="31">
        <f>((H13-H12)*(1-(((HLOOKUP(H53,scen2!$B1:$AL2,2,0)/2)/100)))+H12)</f>
        <v>2715.05</v>
      </c>
      <c r="I56" s="31">
        <f>((I13-I12)*(1-(((HLOOKUP(I53,scen2!$B1:$AL2,2,0)/2)/100)))+I12)</f>
        <v>22561.0625</v>
      </c>
      <c r="J56" s="31">
        <f>((J13-J12)*(1-(((HLOOKUP(J53,scen2!$B1:$AL2,2,0)/2)/100)))+J12)</f>
        <v>1468.375</v>
      </c>
      <c r="K56" s="31">
        <f>((K13-K12)*(1-(((HLOOKUP(K53,scen2!$B1:$AL2,2,0)/2)/100)))+K12)</f>
        <v>775.0625</v>
      </c>
      <c r="L56" s="31">
        <f>((L13-L12)*(1-(((HLOOKUP(L53,scen2!$B1:$AL2,2,0)/2)/100)))+L12)</f>
        <v>2211.84375</v>
      </c>
      <c r="M56" s="31">
        <f>((M13-M12)*(1-(((HLOOKUP(M53,scen2!$B1:$AL2,2,0)/2)/100)))+M12)</f>
        <v>9054.2000000000007</v>
      </c>
      <c r="N56" s="31">
        <f>((N13-N12)*(1-(((HLOOKUP(N53,scen2!$B1:$AL2,2,0)/2)/100)))+N12)</f>
        <v>1332.34575</v>
      </c>
      <c r="O56" s="31">
        <f>((O13-O12)*(1-(((HLOOKUP(O53,scen2!$B1:$AL2,2,0)/2)/100)))+O12)</f>
        <v>11137.575000000001</v>
      </c>
      <c r="P56" s="31">
        <f>((P13-P12)*(1-(((HLOOKUP(P53,scen2!$B1:$AL2,2,0)/2)/100)))+P12)</f>
        <v>730.41250000000002</v>
      </c>
      <c r="Q56" s="31">
        <f>((Q13-Q12)*(1-(((HLOOKUP(Q53,scen2!$B1:$AL2,2,0)/2)/100)))+Q12)</f>
        <v>2171.15625</v>
      </c>
      <c r="R56" s="31">
        <f>((R13-R12)*(1-(((HLOOKUP(R53,scen2!$B1:$AL2,2,0)/2)/100)))+R12)</f>
        <v>260.96875</v>
      </c>
      <c r="S56" s="31">
        <f>((S13-S12)*(1-(((HLOOKUP(S53,scen2!$B1:$AL2,2,0)/2)/100)))+S12)</f>
        <v>102.51535</v>
      </c>
      <c r="T56" s="31">
        <f>((T13-T12)*(1-(((HLOOKUP(T53,scen2!$B1:$AL2,2,0)/2)/100)))+T12)</f>
        <v>22392.825000000001</v>
      </c>
      <c r="U56" s="31">
        <f>((U13-U12)*(1-(((HLOOKUP(U53,scen2!$B1:$AL2,2,0)/2)/100)))+U12)</f>
        <v>1171.3625</v>
      </c>
      <c r="V56" s="31">
        <f>((V13-V12)*(1-(((HLOOKUP(V53,scen2!$B1:$AL2,2,0)/2)/100)))+V12)</f>
        <v>100.175</v>
      </c>
      <c r="W56" s="31">
        <f>((W13-W12)*(1-(((HLOOKUP(W53,scen2!$B1:$AL2,2,0)/2)/100)))+W12)</f>
        <v>863.36874999999998</v>
      </c>
      <c r="X56" s="31">
        <f>((X13-X12)*(1-(((HLOOKUP(X53,scen2!$B1:$AL2,2,0)/2)/100)))+X12)</f>
        <v>31.90625</v>
      </c>
      <c r="Y56" s="31">
        <f>((Y13-Y12)*(1-(((HLOOKUP(Y53,scen2!$B1:$AL2,2,0)/2)/100)))+Y12)</f>
        <v>2371.4375</v>
      </c>
      <c r="Z56" s="31">
        <f>((Z13-Z12)*(1-(((HLOOKUP(Z53,scen2!$B1:$AL2,2,0)/2)/100)))+Z12)</f>
        <v>1609.95</v>
      </c>
      <c r="AA56" s="31">
        <f>((AA13-AA12)*(1-(((HLOOKUP(AA53,scen2!$B1:$AL2,2,0)/2)/100)))+AA12)</f>
        <v>10683.775</v>
      </c>
      <c r="AB56" s="31">
        <f>((AB13-AB12)*(1-(((HLOOKUP(AB53,scen2!$B1:$AL2,2,0)/2)/100)))+AB12)</f>
        <v>617.84375</v>
      </c>
      <c r="AC56" s="31">
        <f>((AC13-AC12)*(1-(((HLOOKUP(AC53,scen2!$B1:$AL2,2,0)/2)/100)))+AC12)</f>
        <v>3085.9124999999999</v>
      </c>
      <c r="AD56" s="31">
        <f>((AD13-AD12)*(1-(((HLOOKUP(AD53,scen2!$B1:$AL2,2,0)/2)/100)))+AD12)</f>
        <v>3402.625</v>
      </c>
      <c r="AE56" s="31">
        <f>((AE13-AE12)*(1-(((HLOOKUP(AE53,scen2!$B1:$AL2,2,0)/2)/100)))+AE12)</f>
        <v>668.8125</v>
      </c>
      <c r="AF56" s="31">
        <f>((AF13-AF12)*(1-(((HLOOKUP(AF53,scen2!$B1:$AL2,2,0)/2)/100)))+AF12)</f>
        <v>764.77499999999998</v>
      </c>
      <c r="AG56" s="31">
        <f>((AG13-AG12)*(1-(((HLOOKUP(AG53,scen2!$B1:$AL2,2,0)/2)/100)))+AG12)</f>
        <v>4736.45</v>
      </c>
    </row>
    <row r="57" spans="1:35">
      <c r="A57" s="20" t="s">
        <v>33</v>
      </c>
      <c r="B57">
        <v>2050</v>
      </c>
      <c r="C57" s="31">
        <f>((C14-C13)*(1-((HLOOKUP(C53,scen2!$B1:$AL2,2,0))/100)))+C13</f>
        <v>1951.35</v>
      </c>
      <c r="D57" s="31">
        <f>((D14-D13)*(1-((HLOOKUP(D53,scen2!$B1:$AL2,2,0))/100)))+D13</f>
        <v>1353.15</v>
      </c>
      <c r="E57" s="31">
        <f>((E14-E13)*(1-((HLOOKUP(E53,scen2!$B1:$AL2,2,0))/100)))+E13</f>
        <v>1040.05</v>
      </c>
      <c r="F57" s="31">
        <f>((F14-F13)*(1-((HLOOKUP(F53,scen2!$B1:$AL2,2,0))/100)))+F13</f>
        <v>2446.75</v>
      </c>
      <c r="G57" s="31">
        <f>((G14-G13)*(1-((HLOOKUP(G53,scen2!$B1:$AL2,2,0))/100)))+G13</f>
        <v>124.7076</v>
      </c>
      <c r="H57" s="31">
        <f>((H14-H13)*(1-((HLOOKUP(H53,scen2!$B1:$AL2,2,0))/100)))+H13</f>
        <v>2971.2874999999999</v>
      </c>
      <c r="I57" s="31">
        <f>((I14-I13)*(1-((HLOOKUP(I53,scen2!$B1:$AL2,2,0))/100)))+I13</f>
        <v>24253.25</v>
      </c>
      <c r="J57" s="31">
        <f>((J14-J13)*(1-((HLOOKUP(J53,scen2!$B1:$AL2,2,0))/100)))+J13</f>
        <v>1611.6875</v>
      </c>
      <c r="K57" s="31">
        <f>((K14-K13)*(1-((HLOOKUP(K53,scen2!$B1:$AL2,2,0))/100)))+K13</f>
        <v>848.625</v>
      </c>
      <c r="L57" s="31">
        <f>((L14-L13)*(1-((HLOOKUP(L53,scen2!$B1:$AL2,2,0))/100)))+L13</f>
        <v>2331.4250000000002</v>
      </c>
      <c r="M57" s="31">
        <f>((M14-M13)*(1-((HLOOKUP(M53,scen2!$B1:$AL2,2,0))/100)))+M13</f>
        <v>9760.7000000000007</v>
      </c>
      <c r="N57" s="31">
        <f>((N14-N13)*(1-((HLOOKUP(N53,scen2!$B1:$AL2,2,0))/100)))+N13</f>
        <v>1439.7221999999999</v>
      </c>
      <c r="O57" s="31">
        <f>((O14-O13)*(1-((HLOOKUP(O53,scen2!$B1:$AL2,2,0))/100)))+O13</f>
        <v>11899</v>
      </c>
      <c r="P57" s="31">
        <f>((P14-P13)*(1-((HLOOKUP(P53,scen2!$B1:$AL2,2,0))/100)))+P13</f>
        <v>805.15</v>
      </c>
      <c r="Q57" s="31">
        <f>((Q14-Q13)*(1-((HLOOKUP(Q53,scen2!$B1:$AL2,2,0))/100)))+Q13</f>
        <v>2409.125</v>
      </c>
      <c r="R57" s="31">
        <f>((R14-R13)*(1-((HLOOKUP(R53,scen2!$B1:$AL2,2,0))/100)))+R13</f>
        <v>297.625</v>
      </c>
      <c r="S57" s="31">
        <f>((S14-S13)*(1-((HLOOKUP(S53,scen2!$B1:$AL2,2,0))/100)))+S13</f>
        <v>111.923</v>
      </c>
      <c r="T57" s="31">
        <f>((T14-T13)*(1-((HLOOKUP(T53,scen2!$B1:$AL2,2,0))/100)))+T13</f>
        <v>23765.75</v>
      </c>
      <c r="U57" s="31">
        <f>((U14-U13)*(1-((HLOOKUP(U53,scen2!$B1:$AL2,2,0))/100)))+U13</f>
        <v>1252.9000000000001</v>
      </c>
      <c r="V57" s="31">
        <f>((V14-V13)*(1-((HLOOKUP(V53,scen2!$B1:$AL2,2,0))/100)))+V13</f>
        <v>112.05</v>
      </c>
      <c r="W57" s="31">
        <f>((W14-W13)*(1-((HLOOKUP(W53,scen2!$B1:$AL2,2,0))/100)))+W13</f>
        <v>919.08749999999998</v>
      </c>
      <c r="X57" s="31">
        <f>((X14-X13)*(1-((HLOOKUP(X53,scen2!$B1:$AL2,2,0))/100)))+X13</f>
        <v>36.8125</v>
      </c>
      <c r="Y57" s="31">
        <f>((Y14-Y13)*(1-((HLOOKUP(Y53,scen2!$B1:$AL2,2,0))/100)))+Y13</f>
        <v>2594.125</v>
      </c>
      <c r="Z57" s="31">
        <f>((Z14-Z13)*(1-((HLOOKUP(Z53,scen2!$B1:$AL2,2,0))/100)))+Z13</f>
        <v>1778.2</v>
      </c>
      <c r="AA57" s="31">
        <f>((AA14-AA13)*(1-((HLOOKUP(AA53,scen2!$B1:$AL2,2,0))/100)))+AA13</f>
        <v>11673.15</v>
      </c>
      <c r="AB57" s="31">
        <f>((AB14-AB13)*(1-((HLOOKUP(AB53,scen2!$B1:$AL2,2,0))/100)))+AB13</f>
        <v>657.4375</v>
      </c>
      <c r="AC57" s="31">
        <f>((AC14-AC13)*(1-((HLOOKUP(AC53,scen2!$B1:$AL2,2,0))/100)))+AC13</f>
        <v>3367.95</v>
      </c>
      <c r="AD57" s="31">
        <f>((AD14-AD13)*(1-((HLOOKUP(AD53,scen2!$B1:$AL2,2,0))/100)))+AD13</f>
        <v>3803.85</v>
      </c>
      <c r="AE57" s="31">
        <f>((AE14-AE13)*(1-((HLOOKUP(AE53,scen2!$B1:$AL2,2,0))/100)))+AE13</f>
        <v>737.75</v>
      </c>
      <c r="AF57" s="31">
        <f>((AF14-AF13)*(1-((HLOOKUP(AF53,scen2!$B1:$AL2,2,0))/100)))+AF13</f>
        <v>843.3125</v>
      </c>
      <c r="AG57" s="31">
        <f>((AG14-AG13)*(1-((HLOOKUP(AG53,scen2!$B1:$AL2,2,0))/100)))+AG13</f>
        <v>5130.6499999999996</v>
      </c>
    </row>
    <row r="58" spans="1:35">
      <c r="A58" s="20" t="s">
        <v>33</v>
      </c>
      <c r="B58">
        <v>2060</v>
      </c>
      <c r="C58" s="33">
        <f>C57*((1+C$49))</f>
        <v>2116.9569655724581</v>
      </c>
      <c r="D58" s="33">
        <f t="shared" ref="D58:AG59" si="3">D57*((1+D$49))</f>
        <v>1481.7251724137934</v>
      </c>
      <c r="E58" s="33">
        <f t="shared" si="3"/>
        <v>1113.7648840206184</v>
      </c>
      <c r="F58" s="33">
        <f t="shared" si="3"/>
        <v>2679.5722318339099</v>
      </c>
      <c r="G58" s="33">
        <f t="shared" si="3"/>
        <v>137.69797500000001</v>
      </c>
      <c r="H58" s="33">
        <f t="shared" si="3"/>
        <v>3268.6503940110324</v>
      </c>
      <c r="I58" s="33">
        <f t="shared" si="3"/>
        <v>26191.564004434123</v>
      </c>
      <c r="J58" s="33">
        <f t="shared" si="3"/>
        <v>1780.7864055716352</v>
      </c>
      <c r="K58" s="33">
        <f t="shared" si="3"/>
        <v>938.70251396648052</v>
      </c>
      <c r="L58" s="33">
        <f t="shared" si="3"/>
        <v>2459.6533749999999</v>
      </c>
      <c r="M58" s="33">
        <f t="shared" si="3"/>
        <v>10543.136680161946</v>
      </c>
      <c r="N58" s="33">
        <f t="shared" si="3"/>
        <v>1561.5795648902822</v>
      </c>
      <c r="O58" s="33">
        <f t="shared" si="3"/>
        <v>12791.890046899427</v>
      </c>
      <c r="P58" s="33">
        <f t="shared" si="3"/>
        <v>889.67332251082246</v>
      </c>
      <c r="Q58" s="33">
        <f t="shared" si="3"/>
        <v>2686.0467830521775</v>
      </c>
      <c r="R58" s="33">
        <f t="shared" si="3"/>
        <v>340.55515151515152</v>
      </c>
      <c r="S58" s="33">
        <f t="shared" si="3"/>
        <v>121.9459552238806</v>
      </c>
      <c r="T58" s="33">
        <f t="shared" si="3"/>
        <v>25311.420409629896</v>
      </c>
      <c r="U58" s="33">
        <f t="shared" si="3"/>
        <v>1347.6820330969269</v>
      </c>
      <c r="V58" s="33">
        <f t="shared" si="3"/>
        <v>126.41538461538461</v>
      </c>
      <c r="W58" s="33">
        <f t="shared" si="3"/>
        <v>981.90283273381294</v>
      </c>
      <c r="X58" s="33">
        <f t="shared" si="3"/>
        <v>42.071428571428569</v>
      </c>
      <c r="Y58" s="33">
        <f t="shared" si="3"/>
        <v>2854.4248859749146</v>
      </c>
      <c r="Z58" s="33">
        <f t="shared" si="3"/>
        <v>1974.8672811059907</v>
      </c>
      <c r="AA58" s="33">
        <f t="shared" si="3"/>
        <v>12783.932150964814</v>
      </c>
      <c r="AB58" s="33">
        <f t="shared" si="3"/>
        <v>699.72880116959072</v>
      </c>
      <c r="AC58" s="33">
        <f t="shared" si="3"/>
        <v>3688.3030393700783</v>
      </c>
      <c r="AD58" s="33">
        <f t="shared" si="3"/>
        <v>4279.6171677690918</v>
      </c>
      <c r="AE58" s="33">
        <f t="shared" si="3"/>
        <v>817.99649122807011</v>
      </c>
      <c r="AF58" s="33">
        <f t="shared" si="3"/>
        <v>936.03272251308908</v>
      </c>
      <c r="AG58" s="33">
        <f t="shared" si="3"/>
        <v>5592.330813324681</v>
      </c>
    </row>
    <row r="59" spans="1:35">
      <c r="A59" s="20" t="s">
        <v>33</v>
      </c>
      <c r="B59">
        <v>2070</v>
      </c>
      <c r="C59" s="33">
        <f>C58*((1+C$49))</f>
        <v>2296.6186455970224</v>
      </c>
      <c r="D59" s="33">
        <f t="shared" si="3"/>
        <v>1622.5174493328054</v>
      </c>
      <c r="E59" s="33">
        <f t="shared" si="3"/>
        <v>1192.7044054396056</v>
      </c>
      <c r="F59" s="33">
        <f t="shared" si="3"/>
        <v>2934.5488282886936</v>
      </c>
      <c r="G59" s="33">
        <f t="shared" si="3"/>
        <v>152.04151406250003</v>
      </c>
      <c r="H59" s="33">
        <f t="shared" si="3"/>
        <v>3595.7730102753362</v>
      </c>
      <c r="I59" s="33">
        <f t="shared" si="3"/>
        <v>28284.787605717553</v>
      </c>
      <c r="J59" s="33">
        <f t="shared" si="3"/>
        <v>1967.6272368363868</v>
      </c>
      <c r="K59" s="33">
        <f t="shared" si="3"/>
        <v>1038.3413282981182</v>
      </c>
      <c r="L59" s="33">
        <f t="shared" si="3"/>
        <v>2594.9343106249999</v>
      </c>
      <c r="M59" s="33">
        <f t="shared" si="3"/>
        <v>11388.295005130394</v>
      </c>
      <c r="N59" s="33">
        <f t="shared" si="3"/>
        <v>1693.7508760251965</v>
      </c>
      <c r="O59" s="33">
        <f t="shared" si="3"/>
        <v>13751.781744009129</v>
      </c>
      <c r="P59" s="33">
        <f t="shared" si="3"/>
        <v>983.06976437613605</v>
      </c>
      <c r="Q59" s="33">
        <f t="shared" si="3"/>
        <v>2994.7999048388733</v>
      </c>
      <c r="R59" s="33">
        <f t="shared" si="3"/>
        <v>389.6776521579431</v>
      </c>
      <c r="S59" s="33">
        <f t="shared" si="3"/>
        <v>132.86648852751171</v>
      </c>
      <c r="T59" s="33">
        <f t="shared" si="3"/>
        <v>26957.617712591811</v>
      </c>
      <c r="U59" s="33">
        <f t="shared" si="3"/>
        <v>1449.6343382011864</v>
      </c>
      <c r="V59" s="33">
        <f t="shared" si="3"/>
        <v>142.6224852071006</v>
      </c>
      <c r="W59" s="33">
        <f t="shared" si="3"/>
        <v>1049.0112997192175</v>
      </c>
      <c r="X59" s="33">
        <f t="shared" si="3"/>
        <v>48.08163265306122</v>
      </c>
      <c r="Y59" s="33">
        <f t="shared" si="3"/>
        <v>3140.8438026975969</v>
      </c>
      <c r="Z59" s="33">
        <f t="shared" si="3"/>
        <v>2193.285782242137</v>
      </c>
      <c r="AA59" s="33">
        <f t="shared" si="3"/>
        <v>14000.413019662376</v>
      </c>
      <c r="AB59" s="33">
        <f t="shared" si="3"/>
        <v>744.74059539687437</v>
      </c>
      <c r="AC59" s="33">
        <f t="shared" si="3"/>
        <v>4039.1274544534681</v>
      </c>
      <c r="AD59" s="33">
        <f t="shared" si="3"/>
        <v>4814.8909927215691</v>
      </c>
      <c r="AE59" s="33">
        <f t="shared" si="3"/>
        <v>906.97154816866714</v>
      </c>
      <c r="AF59" s="33">
        <f t="shared" si="3"/>
        <v>1038.9473150407064</v>
      </c>
      <c r="AG59" s="33">
        <f t="shared" si="3"/>
        <v>6095.5559092241119</v>
      </c>
    </row>
    <row r="60" spans="1:35">
      <c r="G60" t="s">
        <v>185</v>
      </c>
    </row>
    <row r="61" spans="1:35" ht="15" thickBot="1">
      <c r="A61" t="s">
        <v>83</v>
      </c>
      <c r="C61" s="21" t="s">
        <v>36</v>
      </c>
      <c r="D61" s="21" t="s">
        <v>37</v>
      </c>
      <c r="E61" s="21" t="s">
        <v>38</v>
      </c>
      <c r="F61" s="21" t="s">
        <v>39</v>
      </c>
      <c r="G61" s="21" t="s">
        <v>40</v>
      </c>
      <c r="H61" s="21" t="s">
        <v>41</v>
      </c>
      <c r="I61" s="21" t="s">
        <v>42</v>
      </c>
      <c r="J61" s="21" t="s">
        <v>43</v>
      </c>
      <c r="K61" s="21" t="s">
        <v>44</v>
      </c>
      <c r="L61" s="21" t="s">
        <v>45</v>
      </c>
      <c r="M61" s="21" t="s">
        <v>46</v>
      </c>
      <c r="N61" s="21" t="s">
        <v>47</v>
      </c>
      <c r="O61" s="21" t="s">
        <v>48</v>
      </c>
      <c r="P61" s="21" t="s">
        <v>49</v>
      </c>
      <c r="Q61" s="21" t="s">
        <v>50</v>
      </c>
      <c r="R61" s="21" t="s">
        <v>51</v>
      </c>
      <c r="S61" s="21" t="s">
        <v>52</v>
      </c>
      <c r="T61" s="21" t="s">
        <v>53</v>
      </c>
      <c r="U61" s="21" t="s">
        <v>54</v>
      </c>
      <c r="V61" s="21" t="s">
        <v>55</v>
      </c>
      <c r="W61" s="21" t="s">
        <v>56</v>
      </c>
      <c r="X61" s="21" t="s">
        <v>57</v>
      </c>
      <c r="Y61" s="21" t="s">
        <v>58</v>
      </c>
      <c r="Z61" s="21" t="s">
        <v>59</v>
      </c>
      <c r="AA61" s="21" t="s">
        <v>60</v>
      </c>
      <c r="AB61" s="21" t="s">
        <v>61</v>
      </c>
      <c r="AC61" s="21" t="s">
        <v>62</v>
      </c>
      <c r="AD61" s="21" t="s">
        <v>63</v>
      </c>
      <c r="AE61" s="21" t="s">
        <v>64</v>
      </c>
      <c r="AF61" s="21" t="s">
        <v>65</v>
      </c>
      <c r="AG61" s="21" t="s">
        <v>66</v>
      </c>
    </row>
    <row r="62" spans="1:35" ht="15" thickBot="1">
      <c r="A62" t="s">
        <v>77</v>
      </c>
      <c r="B62">
        <v>2030</v>
      </c>
      <c r="C62" s="36">
        <f>(C55-C54)/10</f>
        <v>13.7</v>
      </c>
      <c r="D62" s="37">
        <f t="shared" ref="D62:H62" si="4">(D55-D54)/10</f>
        <v>12.2</v>
      </c>
      <c r="E62" s="37">
        <f t="shared" si="4"/>
        <v>9.8000000000000007</v>
      </c>
      <c r="F62" s="37">
        <f t="shared" si="4"/>
        <v>22.2</v>
      </c>
      <c r="G62" s="37">
        <f t="shared" si="4"/>
        <v>1.4</v>
      </c>
      <c r="H62" s="37">
        <f t="shared" si="4"/>
        <v>14</v>
      </c>
      <c r="I62" s="37">
        <f t="shared" ref="I62:AG62" si="5">(I55-I54)/10</f>
        <v>99.9</v>
      </c>
      <c r="J62" s="37">
        <f t="shared" si="5"/>
        <v>12.2</v>
      </c>
      <c r="K62" s="37">
        <f t="shared" si="5"/>
        <v>5.9</v>
      </c>
      <c r="L62" s="37">
        <f t="shared" si="5"/>
        <v>35.299999999999997</v>
      </c>
      <c r="M62" s="37">
        <f t="shared" si="5"/>
        <v>66.900000000000006</v>
      </c>
      <c r="N62" s="37">
        <f t="shared" si="5"/>
        <v>6.9</v>
      </c>
      <c r="O62" s="37">
        <f t="shared" si="5"/>
        <v>86.1</v>
      </c>
      <c r="P62" s="37">
        <f t="shared" si="5"/>
        <v>12.9</v>
      </c>
      <c r="Q62" s="37">
        <f t="shared" si="5"/>
        <v>31.3</v>
      </c>
      <c r="R62" s="37">
        <f t="shared" si="5"/>
        <v>5.3</v>
      </c>
      <c r="S62" s="37">
        <f t="shared" si="5"/>
        <v>1.3</v>
      </c>
      <c r="T62" s="37">
        <f t="shared" si="5"/>
        <v>336.8</v>
      </c>
      <c r="U62" s="37">
        <f t="shared" si="5"/>
        <v>15.9</v>
      </c>
      <c r="V62" s="37">
        <f t="shared" si="5"/>
        <v>1.1000000000000001</v>
      </c>
      <c r="W62" s="37">
        <f t="shared" si="5"/>
        <v>7.4</v>
      </c>
      <c r="X62" s="37">
        <f t="shared" si="5"/>
        <v>0.5</v>
      </c>
      <c r="Y62" s="37">
        <f t="shared" si="5"/>
        <v>24.9</v>
      </c>
      <c r="Z62" s="37">
        <f t="shared" si="5"/>
        <v>17.899999999999999</v>
      </c>
      <c r="AA62" s="37">
        <f t="shared" si="5"/>
        <v>169.7</v>
      </c>
      <c r="AB62" s="37">
        <f t="shared" si="5"/>
        <v>4.7</v>
      </c>
      <c r="AC62" s="37">
        <f t="shared" si="5"/>
        <v>50.9</v>
      </c>
      <c r="AD62" s="37">
        <f t="shared" si="5"/>
        <v>30.2</v>
      </c>
      <c r="AE62" s="37">
        <f t="shared" si="5"/>
        <v>11.7</v>
      </c>
      <c r="AF62" s="37">
        <f t="shared" si="5"/>
        <v>9</v>
      </c>
      <c r="AG62" s="38">
        <f t="shared" si="5"/>
        <v>24.7</v>
      </c>
      <c r="AH62" s="19">
        <f>SUM(C62:AG62)</f>
        <v>1142.7000000000003</v>
      </c>
    </row>
    <row r="63" spans="1:35" ht="15" thickBot="1">
      <c r="A63" t="s">
        <v>77</v>
      </c>
      <c r="B63">
        <v>2040</v>
      </c>
      <c r="C63" s="36">
        <f>(C56-C55)/10</f>
        <v>13.845000000000004</v>
      </c>
      <c r="D63" s="36">
        <f t="shared" ref="D63:AG63" si="6">(D56-D55)/10</f>
        <v>10.395000000000005</v>
      </c>
      <c r="E63" s="36">
        <f t="shared" si="6"/>
        <v>6.1200000000000045</v>
      </c>
      <c r="F63" s="36">
        <f t="shared" si="6"/>
        <v>18.130000000000017</v>
      </c>
      <c r="G63" s="36">
        <f t="shared" si="6"/>
        <v>1.0407650000000004</v>
      </c>
      <c r="H63" s="36">
        <f t="shared" si="6"/>
        <v>23.405000000000019</v>
      </c>
      <c r="I63" s="36">
        <f t="shared" si="6"/>
        <v>157.40625</v>
      </c>
      <c r="J63" s="36">
        <f t="shared" si="6"/>
        <v>13.0375</v>
      </c>
      <c r="K63" s="36">
        <f t="shared" si="6"/>
        <v>6.7062499999999998</v>
      </c>
      <c r="L63" s="36">
        <f t="shared" si="6"/>
        <v>11.284375000000001</v>
      </c>
      <c r="M63" s="36">
        <f t="shared" si="6"/>
        <v>65.520000000000067</v>
      </c>
      <c r="N63" s="36">
        <f t="shared" si="6"/>
        <v>9.9345749999999953</v>
      </c>
      <c r="O63" s="36">
        <f t="shared" si="6"/>
        <v>71.357500000000073</v>
      </c>
      <c r="P63" s="36">
        <f t="shared" si="6"/>
        <v>6.6412500000000021</v>
      </c>
      <c r="Q63" s="36">
        <f t="shared" si="6"/>
        <v>21.515625</v>
      </c>
      <c r="R63" s="36">
        <f t="shared" si="6"/>
        <v>3.1968749999999999</v>
      </c>
      <c r="S63" s="36">
        <f t="shared" si="6"/>
        <v>0.85153499999999982</v>
      </c>
      <c r="T63" s="36">
        <f t="shared" si="6"/>
        <v>129.48250000000007</v>
      </c>
      <c r="U63" s="36">
        <f t="shared" si="6"/>
        <v>7.6362499999999951</v>
      </c>
      <c r="V63" s="36">
        <f t="shared" si="6"/>
        <v>1.0174999999999996</v>
      </c>
      <c r="W63" s="36">
        <f t="shared" si="6"/>
        <v>5.2368749999999977</v>
      </c>
      <c r="X63" s="36">
        <f t="shared" si="6"/>
        <v>0.49062499999999998</v>
      </c>
      <c r="Y63" s="36">
        <f t="shared" si="6"/>
        <v>20.34375</v>
      </c>
      <c r="Z63" s="36">
        <f t="shared" si="6"/>
        <v>15.295000000000005</v>
      </c>
      <c r="AA63" s="36">
        <f t="shared" si="6"/>
        <v>90.577499999999958</v>
      </c>
      <c r="AB63" s="36">
        <f t="shared" si="6"/>
        <v>3.5843750000000001</v>
      </c>
      <c r="AC63" s="36">
        <f t="shared" si="6"/>
        <v>25.891249999999992</v>
      </c>
      <c r="AD63" s="36">
        <f t="shared" si="6"/>
        <v>35.862499999999997</v>
      </c>
      <c r="AE63" s="36">
        <f t="shared" si="6"/>
        <v>6.28125</v>
      </c>
      <c r="AF63" s="36">
        <f t="shared" si="6"/>
        <v>7.0774999999999979</v>
      </c>
      <c r="AG63" s="36">
        <f t="shared" si="6"/>
        <v>36.444999999999979</v>
      </c>
      <c r="AH63" s="19">
        <f>SUM(C63:AG63)</f>
        <v>825.60937500000023</v>
      </c>
      <c r="AI63" s="19">
        <f>AVERAGE(AH62,AH64)</f>
        <v>1017.6729525</v>
      </c>
    </row>
    <row r="64" spans="1:35" ht="15" thickBot="1">
      <c r="A64" t="s">
        <v>77</v>
      </c>
      <c r="B64">
        <v>2050</v>
      </c>
      <c r="C64" s="39">
        <f>(C57-C56)/10</f>
        <v>14.889999999999986</v>
      </c>
      <c r="D64" s="39">
        <f t="shared" ref="D64:AG64" si="7">(D57-D56)/10</f>
        <v>11.320000000000004</v>
      </c>
      <c r="E64" s="39">
        <f t="shared" si="7"/>
        <v>6.4849999999999905</v>
      </c>
      <c r="F64" s="39">
        <f t="shared" si="7"/>
        <v>19.744999999999983</v>
      </c>
      <c r="G64" s="39">
        <f t="shared" si="7"/>
        <v>1.1299949999999996</v>
      </c>
      <c r="H64" s="39">
        <f t="shared" si="7"/>
        <v>25.623749999999973</v>
      </c>
      <c r="I64" s="39">
        <f t="shared" si="7"/>
        <v>169.21875</v>
      </c>
      <c r="J64" s="39">
        <f t="shared" si="7"/>
        <v>14.331250000000001</v>
      </c>
      <c r="K64" s="39">
        <f t="shared" si="7"/>
        <v>7.3562500000000002</v>
      </c>
      <c r="L64" s="39">
        <f t="shared" si="7"/>
        <v>11.958125000000019</v>
      </c>
      <c r="M64" s="39">
        <f t="shared" si="7"/>
        <v>70.650000000000006</v>
      </c>
      <c r="N64" s="39">
        <f t="shared" si="7"/>
        <v>10.737644999999997</v>
      </c>
      <c r="O64" s="39">
        <f t="shared" si="7"/>
        <v>76.142499999999927</v>
      </c>
      <c r="P64" s="39">
        <f t="shared" si="7"/>
        <v>7.4737499999999955</v>
      </c>
      <c r="Q64" s="39">
        <f t="shared" si="7"/>
        <v>23.796875</v>
      </c>
      <c r="R64" s="39">
        <f t="shared" si="7"/>
        <v>3.6656249999999999</v>
      </c>
      <c r="S64" s="39">
        <f t="shared" si="7"/>
        <v>0.94076500000000041</v>
      </c>
      <c r="T64" s="39">
        <f t="shared" si="7"/>
        <v>137.29249999999993</v>
      </c>
      <c r="U64" s="39">
        <f t="shared" si="7"/>
        <v>8.1537500000000129</v>
      </c>
      <c r="V64" s="39">
        <f t="shared" si="7"/>
        <v>1.1875</v>
      </c>
      <c r="W64" s="39">
        <f t="shared" si="7"/>
        <v>5.5718750000000004</v>
      </c>
      <c r="X64" s="39">
        <f t="shared" si="7"/>
        <v>0.49062499999999998</v>
      </c>
      <c r="Y64" s="39">
        <f t="shared" si="7"/>
        <v>22.268750000000001</v>
      </c>
      <c r="Z64" s="39">
        <f t="shared" si="7"/>
        <v>16.824999999999999</v>
      </c>
      <c r="AA64" s="39">
        <f t="shared" si="7"/>
        <v>98.9375</v>
      </c>
      <c r="AB64" s="39">
        <f t="shared" si="7"/>
        <v>3.9593750000000001</v>
      </c>
      <c r="AC64" s="39">
        <f t="shared" si="7"/>
        <v>28.203749999999992</v>
      </c>
      <c r="AD64" s="39">
        <f t="shared" si="7"/>
        <v>40.122499999999988</v>
      </c>
      <c r="AE64" s="39">
        <f t="shared" si="7"/>
        <v>6.8937499999999998</v>
      </c>
      <c r="AF64" s="39">
        <f t="shared" si="7"/>
        <v>7.8537500000000025</v>
      </c>
      <c r="AG64" s="39">
        <f t="shared" si="7"/>
        <v>39.41999999999998</v>
      </c>
      <c r="AH64" s="19">
        <f t="shared" ref="AH64:AH66" si="8">SUM(C64:AG64)</f>
        <v>892.64590499999963</v>
      </c>
    </row>
    <row r="65" spans="1:34" ht="15" thickBot="1">
      <c r="A65" t="s">
        <v>77</v>
      </c>
      <c r="B65">
        <v>2060</v>
      </c>
      <c r="C65" s="39">
        <f t="shared" ref="C65:R66" si="9">(C58-C57)/10</f>
        <v>16.560696557245819</v>
      </c>
      <c r="D65" s="39">
        <f t="shared" si="9"/>
        <v>12.857517241379332</v>
      </c>
      <c r="E65" s="39">
        <f t="shared" si="9"/>
        <v>7.3714884020618454</v>
      </c>
      <c r="F65" s="39">
        <f t="shared" si="9"/>
        <v>23.28222318339099</v>
      </c>
      <c r="G65" s="39">
        <f t="shared" si="9"/>
        <v>1.2990375000000014</v>
      </c>
      <c r="H65" s="39">
        <f t="shared" si="9"/>
        <v>29.736289401103249</v>
      </c>
      <c r="I65" s="39">
        <f t="shared" si="9"/>
        <v>193.83140044341235</v>
      </c>
      <c r="J65" s="39">
        <f t="shared" si="9"/>
        <v>16.909890557163521</v>
      </c>
      <c r="K65" s="39">
        <f t="shared" si="9"/>
        <v>9.007751396648052</v>
      </c>
      <c r="L65" s="39">
        <f t="shared" si="9"/>
        <v>12.822837499999968</v>
      </c>
      <c r="M65" s="39">
        <f t="shared" si="9"/>
        <v>78.243668016194533</v>
      </c>
      <c r="N65" s="39">
        <f t="shared" si="9"/>
        <v>12.185736489028226</v>
      </c>
      <c r="O65" s="39">
        <f t="shared" si="9"/>
        <v>89.289004689942701</v>
      </c>
      <c r="P65" s="39">
        <f t="shared" si="9"/>
        <v>8.4523322510822485</v>
      </c>
      <c r="Q65" s="39">
        <f t="shared" si="9"/>
        <v>27.692178305217748</v>
      </c>
      <c r="R65" s="39">
        <f t="shared" si="9"/>
        <v>4.293015151515152</v>
      </c>
      <c r="S65" s="39">
        <f t="shared" ref="D65:AG66" si="10">(S58-S57)/10</f>
        <v>1.0022955223880601</v>
      </c>
      <c r="T65" s="39">
        <f t="shared" si="10"/>
        <v>154.56704096298964</v>
      </c>
      <c r="U65" s="39">
        <f t="shared" si="10"/>
        <v>9.4782033096926845</v>
      </c>
      <c r="V65" s="39">
        <f t="shared" si="10"/>
        <v>1.4365384615384613</v>
      </c>
      <c r="W65" s="39">
        <f t="shared" si="10"/>
        <v>6.2815332733812967</v>
      </c>
      <c r="X65" s="39">
        <f t="shared" si="10"/>
        <v>0.52589285714285694</v>
      </c>
      <c r="Y65" s="39">
        <f t="shared" si="10"/>
        <v>26.029988597491457</v>
      </c>
      <c r="Z65" s="39">
        <f t="shared" si="10"/>
        <v>19.66672811059907</v>
      </c>
      <c r="AA65" s="39">
        <f t="shared" si="10"/>
        <v>111.07821509648147</v>
      </c>
      <c r="AB65" s="39">
        <f t="shared" si="10"/>
        <v>4.2291301169590723</v>
      </c>
      <c r="AC65" s="39">
        <f t="shared" si="10"/>
        <v>32.035303937007846</v>
      </c>
      <c r="AD65" s="39">
        <f t="shared" si="10"/>
        <v>47.576716776909187</v>
      </c>
      <c r="AE65" s="39">
        <f t="shared" si="10"/>
        <v>8.0246491228070109</v>
      </c>
      <c r="AF65" s="39">
        <f t="shared" si="10"/>
        <v>9.2720222513089077</v>
      </c>
      <c r="AG65" s="39">
        <f t="shared" si="10"/>
        <v>46.168081332468134</v>
      </c>
      <c r="AH65" s="19">
        <f t="shared" si="8"/>
        <v>1021.2074068145508</v>
      </c>
    </row>
    <row r="66" spans="1:34" ht="15" thickBot="1">
      <c r="A66" t="s">
        <v>77</v>
      </c>
      <c r="B66">
        <v>2070</v>
      </c>
      <c r="C66" s="39">
        <f t="shared" si="9"/>
        <v>17.966168002456424</v>
      </c>
      <c r="D66" s="39">
        <f t="shared" si="10"/>
        <v>14.079227691901201</v>
      </c>
      <c r="E66" s="39">
        <f t="shared" si="10"/>
        <v>7.8939521418987173</v>
      </c>
      <c r="F66" s="39">
        <f t="shared" si="10"/>
        <v>25.497659645478372</v>
      </c>
      <c r="G66" s="39">
        <f t="shared" si="10"/>
        <v>1.4343539062500015</v>
      </c>
      <c r="H66" s="39">
        <f t="shared" si="10"/>
        <v>32.712261626430383</v>
      </c>
      <c r="I66" s="39">
        <f t="shared" si="10"/>
        <v>209.32236012834292</v>
      </c>
      <c r="J66" s="39">
        <f t="shared" si="10"/>
        <v>18.684083126475162</v>
      </c>
      <c r="K66" s="39">
        <f t="shared" si="10"/>
        <v>9.9638814331637722</v>
      </c>
      <c r="L66" s="39">
        <f t="shared" si="10"/>
        <v>13.528093562499999</v>
      </c>
      <c r="M66" s="39">
        <f t="shared" si="10"/>
        <v>84.515832496844808</v>
      </c>
      <c r="N66" s="39">
        <f t="shared" si="10"/>
        <v>13.217131113491428</v>
      </c>
      <c r="O66" s="39">
        <f t="shared" si="10"/>
        <v>95.989169710970231</v>
      </c>
      <c r="P66" s="39">
        <f t="shared" si="10"/>
        <v>9.3396441865313591</v>
      </c>
      <c r="Q66" s="39">
        <f t="shared" si="10"/>
        <v>30.875312178669581</v>
      </c>
      <c r="R66" s="39">
        <f t="shared" si="10"/>
        <v>4.9122500642791582</v>
      </c>
      <c r="S66" s="39">
        <f t="shared" si="10"/>
        <v>1.0920533303631104</v>
      </c>
      <c r="T66" s="39">
        <f t="shared" si="10"/>
        <v>164.61973029619148</v>
      </c>
      <c r="U66" s="39">
        <f t="shared" si="10"/>
        <v>10.195230510425949</v>
      </c>
      <c r="V66" s="39">
        <f t="shared" si="10"/>
        <v>1.6207100591715986</v>
      </c>
      <c r="W66" s="39">
        <f t="shared" si="10"/>
        <v>6.7108466985404558</v>
      </c>
      <c r="X66" s="39">
        <f t="shared" si="10"/>
        <v>0.60102040816326507</v>
      </c>
      <c r="Y66" s="39">
        <f t="shared" si="10"/>
        <v>28.64189167226823</v>
      </c>
      <c r="Z66" s="39">
        <f t="shared" si="10"/>
        <v>21.841850113614623</v>
      </c>
      <c r="AA66" s="39">
        <f t="shared" si="10"/>
        <v>121.64808686975611</v>
      </c>
      <c r="AB66" s="39">
        <f t="shared" si="10"/>
        <v>4.5011794227283648</v>
      </c>
      <c r="AC66" s="39">
        <f t="shared" si="10"/>
        <v>35.082441508338981</v>
      </c>
      <c r="AD66" s="39">
        <f t="shared" si="10"/>
        <v>53.527382495247728</v>
      </c>
      <c r="AE66" s="39">
        <f t="shared" si="10"/>
        <v>8.8975056940597028</v>
      </c>
      <c r="AF66" s="39">
        <f t="shared" si="10"/>
        <v>10.291459252761729</v>
      </c>
      <c r="AG66" s="39">
        <f t="shared" si="10"/>
        <v>50.322509589943095</v>
      </c>
      <c r="AH66" s="19">
        <f t="shared" si="8"/>
        <v>1109.525278937258</v>
      </c>
    </row>
    <row r="68" spans="1:34">
      <c r="C68" s="19">
        <f>C56-C55</f>
        <v>138.45000000000005</v>
      </c>
    </row>
    <row r="70" spans="1:34">
      <c r="C70">
        <v>13.7</v>
      </c>
      <c r="D70">
        <v>12.2</v>
      </c>
      <c r="E70">
        <v>9.8000000000000007</v>
      </c>
      <c r="F70">
        <v>22.2</v>
      </c>
      <c r="G70">
        <v>1.3</v>
      </c>
      <c r="H70">
        <v>14</v>
      </c>
      <c r="I70">
        <v>99.9</v>
      </c>
      <c r="J70">
        <v>12.2</v>
      </c>
      <c r="K70">
        <v>5.8</v>
      </c>
      <c r="L70">
        <v>35.299999999999997</v>
      </c>
      <c r="M70">
        <v>66.900000000000006</v>
      </c>
      <c r="N70">
        <v>7</v>
      </c>
      <c r="O70">
        <v>86.1</v>
      </c>
      <c r="P70">
        <v>12.8</v>
      </c>
      <c r="Q70">
        <v>31.2</v>
      </c>
      <c r="R70">
        <v>5.3</v>
      </c>
      <c r="S70">
        <v>1.3</v>
      </c>
      <c r="T70">
        <v>336.9</v>
      </c>
      <c r="U70">
        <v>15.9</v>
      </c>
      <c r="V70">
        <v>1.1000000000000001</v>
      </c>
      <c r="W70">
        <v>7.4</v>
      </c>
      <c r="X70">
        <v>0.5</v>
      </c>
      <c r="Y70">
        <v>24.9</v>
      </c>
      <c r="Z70">
        <v>17.899999999999999</v>
      </c>
      <c r="AA70">
        <v>169.7</v>
      </c>
      <c r="AB70">
        <v>4.5999999999999996</v>
      </c>
      <c r="AC70">
        <v>51</v>
      </c>
      <c r="AD70">
        <v>30.2</v>
      </c>
      <c r="AE70">
        <v>11.7</v>
      </c>
      <c r="AF70">
        <v>9.1</v>
      </c>
      <c r="AG70">
        <v>24.7</v>
      </c>
    </row>
    <row r="72" spans="1:34">
      <c r="C72" s="19">
        <f>C62-C70</f>
        <v>0</v>
      </c>
      <c r="D72" s="19">
        <f t="shared" ref="D72:AH72" si="11">D62-D70</f>
        <v>0</v>
      </c>
      <c r="E72" s="19">
        <f t="shared" si="11"/>
        <v>0</v>
      </c>
      <c r="F72" s="19">
        <f t="shared" si="11"/>
        <v>0</v>
      </c>
      <c r="G72" s="19">
        <f t="shared" si="11"/>
        <v>9.9999999999999867E-2</v>
      </c>
      <c r="H72" s="19">
        <f t="shared" si="11"/>
        <v>0</v>
      </c>
      <c r="I72" s="19">
        <f t="shared" si="11"/>
        <v>0</v>
      </c>
      <c r="J72" s="19">
        <f t="shared" si="11"/>
        <v>0</v>
      </c>
      <c r="K72" s="19">
        <f t="shared" si="11"/>
        <v>0.10000000000000053</v>
      </c>
      <c r="L72" s="19">
        <f t="shared" si="11"/>
        <v>0</v>
      </c>
      <c r="M72" s="19">
        <f t="shared" si="11"/>
        <v>0</v>
      </c>
      <c r="N72" s="19">
        <f t="shared" si="11"/>
        <v>-9.9999999999999645E-2</v>
      </c>
      <c r="O72" s="19">
        <f t="shared" si="11"/>
        <v>0</v>
      </c>
      <c r="P72" s="19">
        <f t="shared" si="11"/>
        <v>9.9999999999999645E-2</v>
      </c>
      <c r="Q72" s="19">
        <f t="shared" si="11"/>
        <v>0.10000000000000142</v>
      </c>
      <c r="R72" s="19">
        <f t="shared" si="11"/>
        <v>0</v>
      </c>
      <c r="S72" s="19">
        <f t="shared" si="11"/>
        <v>0</v>
      </c>
      <c r="T72" s="19">
        <f t="shared" si="11"/>
        <v>-9.9999999999965894E-2</v>
      </c>
      <c r="U72" s="19">
        <f t="shared" si="11"/>
        <v>0</v>
      </c>
      <c r="V72" s="19">
        <f t="shared" si="11"/>
        <v>0</v>
      </c>
      <c r="W72" s="19">
        <f t="shared" si="11"/>
        <v>0</v>
      </c>
      <c r="X72" s="19">
        <f t="shared" si="11"/>
        <v>0</v>
      </c>
      <c r="Y72" s="19">
        <f t="shared" si="11"/>
        <v>0</v>
      </c>
      <c r="Z72" s="19">
        <f t="shared" si="11"/>
        <v>0</v>
      </c>
      <c r="AA72" s="19">
        <f t="shared" si="11"/>
        <v>0</v>
      </c>
      <c r="AB72" s="19">
        <f t="shared" si="11"/>
        <v>0.10000000000000053</v>
      </c>
      <c r="AC72" s="19">
        <f t="shared" si="11"/>
        <v>-0.10000000000000142</v>
      </c>
      <c r="AD72" s="19">
        <f t="shared" si="11"/>
        <v>0</v>
      </c>
      <c r="AE72" s="19">
        <f t="shared" si="11"/>
        <v>0</v>
      </c>
      <c r="AF72" s="19">
        <f t="shared" si="11"/>
        <v>-9.9999999999999645E-2</v>
      </c>
      <c r="AG72" s="19">
        <f t="shared" si="11"/>
        <v>0</v>
      </c>
      <c r="AH72" s="19">
        <f t="shared" si="11"/>
        <v>1142.7000000000003</v>
      </c>
    </row>
    <row r="75" spans="1:34">
      <c r="A75" s="48" t="s">
        <v>83</v>
      </c>
      <c r="B75" s="48"/>
      <c r="C75" t="s">
        <v>36</v>
      </c>
      <c r="D75" t="s">
        <v>37</v>
      </c>
      <c r="E75" t="s">
        <v>38</v>
      </c>
      <c r="F75" t="s">
        <v>39</v>
      </c>
      <c r="G75" t="s">
        <v>40</v>
      </c>
      <c r="H75" t="s">
        <v>41</v>
      </c>
      <c r="I75" t="s">
        <v>42</v>
      </c>
      <c r="J75" t="s">
        <v>43</v>
      </c>
      <c r="K75" t="s">
        <v>44</v>
      </c>
      <c r="L75" t="s">
        <v>45</v>
      </c>
      <c r="M75" t="s">
        <v>46</v>
      </c>
      <c r="N75" t="s">
        <v>47</v>
      </c>
      <c r="O75" t="s">
        <v>48</v>
      </c>
      <c r="P75" t="s">
        <v>49</v>
      </c>
      <c r="Q75" t="s">
        <v>50</v>
      </c>
      <c r="R75" t="s">
        <v>51</v>
      </c>
      <c r="S75" t="s">
        <v>52</v>
      </c>
      <c r="T75" t="s">
        <v>53</v>
      </c>
      <c r="U75" t="s">
        <v>54</v>
      </c>
      <c r="V75" t="s">
        <v>55</v>
      </c>
      <c r="W75" t="s">
        <v>56</v>
      </c>
      <c r="X75" t="s">
        <v>57</v>
      </c>
      <c r="Y75" t="s">
        <v>58</v>
      </c>
      <c r="Z75" t="s">
        <v>59</v>
      </c>
      <c r="AA75" t="s">
        <v>60</v>
      </c>
      <c r="AB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66</v>
      </c>
    </row>
    <row r="76" spans="1:34">
      <c r="A76" s="48">
        <v>2030</v>
      </c>
      <c r="B76" t="s">
        <v>77</v>
      </c>
      <c r="C76">
        <v>13.742287832431748</v>
      </c>
      <c r="D76">
        <v>12.170229313697188</v>
      </c>
      <c r="E76">
        <v>9.7929430957741488</v>
      </c>
      <c r="F76">
        <v>22.152953242962802</v>
      </c>
      <c r="G76">
        <v>1.340895222769906</v>
      </c>
      <c r="H76">
        <v>14.043078521198003</v>
      </c>
      <c r="I76">
        <v>99.94038624760833</v>
      </c>
      <c r="J76">
        <v>12.160109269667396</v>
      </c>
      <c r="K76">
        <v>5.8431121536466666</v>
      </c>
      <c r="L76">
        <v>41.976882824449739</v>
      </c>
      <c r="M76">
        <v>96.630414554100938</v>
      </c>
      <c r="N76">
        <v>6.9814855859534877</v>
      </c>
      <c r="O76">
        <v>86.068501254937843</v>
      </c>
      <c r="P76">
        <v>12.847829051283929</v>
      </c>
      <c r="Q76">
        <v>31.226554751003484</v>
      </c>
      <c r="R76">
        <v>5.2878222322259258</v>
      </c>
      <c r="S76">
        <v>1.3002589265621125</v>
      </c>
      <c r="T76">
        <v>323.90979894351585</v>
      </c>
      <c r="U76">
        <v>15.911168210441327</v>
      </c>
      <c r="V76">
        <v>1.1043199941259587</v>
      </c>
      <c r="W76">
        <v>7.3748502223969812</v>
      </c>
      <c r="X76">
        <v>0.52142796218874676</v>
      </c>
      <c r="Y76">
        <v>24.945149190974483</v>
      </c>
      <c r="Z76">
        <v>17.896840086720907</v>
      </c>
      <c r="AA76">
        <v>169.70030744715433</v>
      </c>
      <c r="AB76">
        <v>6.6909149507092707</v>
      </c>
      <c r="AC76">
        <v>50.985556553903734</v>
      </c>
      <c r="AD76">
        <v>30.164893948501458</v>
      </c>
      <c r="AE76">
        <v>11.738497105726344</v>
      </c>
      <c r="AF76">
        <v>9.0536277315826048</v>
      </c>
      <c r="AG76">
        <v>24.747830614546455</v>
      </c>
    </row>
    <row r="77" spans="1:34">
      <c r="A77" s="48"/>
      <c r="B77" t="s">
        <v>78</v>
      </c>
      <c r="C77">
        <v>13.742287832431748</v>
      </c>
      <c r="D77">
        <v>12.170229313697188</v>
      </c>
      <c r="E77">
        <v>9.7929430957741488</v>
      </c>
      <c r="F77">
        <v>22.152953242962802</v>
      </c>
      <c r="G77">
        <v>1.340895222769906</v>
      </c>
      <c r="H77">
        <v>14.043078521198003</v>
      </c>
      <c r="I77">
        <v>99.94038624760833</v>
      </c>
      <c r="J77">
        <v>12.160109269667396</v>
      </c>
      <c r="K77">
        <v>5.8431121536466666</v>
      </c>
      <c r="L77">
        <v>41.976882824449739</v>
      </c>
      <c r="M77">
        <v>96.630414554100938</v>
      </c>
      <c r="N77">
        <v>6.9814855859534877</v>
      </c>
      <c r="O77">
        <v>86.068501254937843</v>
      </c>
      <c r="P77">
        <v>12.847829051283929</v>
      </c>
      <c r="Q77">
        <v>31.226554751003484</v>
      </c>
      <c r="R77">
        <v>5.2878222322259258</v>
      </c>
      <c r="S77">
        <v>1.3002589265621125</v>
      </c>
      <c r="T77">
        <v>323.90979894351585</v>
      </c>
      <c r="U77">
        <v>15.911168210441327</v>
      </c>
      <c r="V77">
        <v>1.1043199941259587</v>
      </c>
      <c r="W77">
        <v>7.3748502223969812</v>
      </c>
      <c r="X77">
        <v>0.52142796218874676</v>
      </c>
      <c r="Y77">
        <v>24.945149190974483</v>
      </c>
      <c r="Z77">
        <v>17.896840086720907</v>
      </c>
      <c r="AA77">
        <v>169.70030744715433</v>
      </c>
      <c r="AB77">
        <v>6.6909149507092707</v>
      </c>
      <c r="AC77">
        <v>50.985556553903734</v>
      </c>
      <c r="AD77">
        <v>30.164893948501458</v>
      </c>
      <c r="AE77">
        <v>11.738497105726344</v>
      </c>
      <c r="AF77">
        <v>9.0536277315826048</v>
      </c>
      <c r="AG77">
        <v>24.747830614546455</v>
      </c>
    </row>
    <row r="78" spans="1:34">
      <c r="A78" s="48">
        <v>2040</v>
      </c>
      <c r="B78" t="s">
        <v>77</v>
      </c>
      <c r="C78">
        <v>14.36443078669779</v>
      </c>
      <c r="D78">
        <v>10.860403312881612</v>
      </c>
      <c r="E78">
        <v>6.3224791175641482</v>
      </c>
      <c r="F78">
        <v>18.962171083407021</v>
      </c>
      <c r="G78">
        <v>1.0718478438017427</v>
      </c>
      <c r="H78">
        <v>24.514826635973805</v>
      </c>
      <c r="I78">
        <v>163.28260305134282</v>
      </c>
      <c r="J78">
        <v>13.715309344557841</v>
      </c>
      <c r="K78">
        <v>7.050839308135517</v>
      </c>
      <c r="L78">
        <v>11.632745269406495</v>
      </c>
      <c r="M78">
        <v>68.06884260672868</v>
      </c>
      <c r="N78">
        <v>10.31676796683546</v>
      </c>
      <c r="O78">
        <v>73.756895251207425</v>
      </c>
      <c r="P78">
        <v>7.0470523018888347</v>
      </c>
      <c r="Q78">
        <v>22.687433279033826</v>
      </c>
      <c r="R78">
        <v>3.444513565775722</v>
      </c>
      <c r="S78">
        <v>0.88527505028132225</v>
      </c>
      <c r="T78">
        <v>128.2514482597613</v>
      </c>
      <c r="U78">
        <v>7.9139671870819939</v>
      </c>
      <c r="V78">
        <v>1.0994516191518529</v>
      </c>
      <c r="W78">
        <v>5.383700583007851</v>
      </c>
      <c r="X78">
        <v>0.50232353417566356</v>
      </c>
      <c r="Y78">
        <v>21.276533259474945</v>
      </c>
      <c r="Z78">
        <v>16.02244010715258</v>
      </c>
      <c r="AA78">
        <v>94.760141567447675</v>
      </c>
      <c r="AB78">
        <v>3.7774135354732721</v>
      </c>
      <c r="AC78">
        <v>27.033030213645635</v>
      </c>
      <c r="AD78">
        <v>38.01917461802914</v>
      </c>
      <c r="AE78">
        <v>6.5754781125875867</v>
      </c>
      <c r="AF78">
        <v>7.4725002983665831</v>
      </c>
      <c r="AG78">
        <v>37.902973064744401</v>
      </c>
    </row>
    <row r="79" spans="1:34">
      <c r="A79" s="48"/>
      <c r="B79" t="s">
        <v>78</v>
      </c>
      <c r="C79">
        <v>14.146921863053331</v>
      </c>
      <c r="D79">
        <v>10.790936658144824</v>
      </c>
      <c r="E79">
        <v>6.3980561559057829</v>
      </c>
      <c r="F79">
        <v>19.642285208760359</v>
      </c>
      <c r="G79">
        <v>1.0794206543297746</v>
      </c>
      <c r="H79">
        <v>24.809438720783145</v>
      </c>
      <c r="I79">
        <v>167.89984889598236</v>
      </c>
      <c r="J79">
        <v>14.044926206465835</v>
      </c>
      <c r="K79">
        <v>7.4304909553873362</v>
      </c>
      <c r="L79">
        <v>11.543642776723663</v>
      </c>
      <c r="M79">
        <v>67.19530365915962</v>
      </c>
      <c r="N79">
        <v>10.483864188240137</v>
      </c>
      <c r="O79">
        <v>78.178888639901743</v>
      </c>
      <c r="P79">
        <v>6.9699472603215327</v>
      </c>
      <c r="Q79">
        <v>22.491336935130654</v>
      </c>
      <c r="R79">
        <v>3.3225149692486213</v>
      </c>
      <c r="S79">
        <v>0.89555333566965489</v>
      </c>
      <c r="T79">
        <v>131.86538393832089</v>
      </c>
      <c r="U79">
        <v>8.2129706498013313</v>
      </c>
      <c r="V79">
        <v>1.1240399940210637</v>
      </c>
      <c r="W79">
        <v>5.6786346712456748</v>
      </c>
      <c r="X79">
        <v>0.471457782478992</v>
      </c>
      <c r="Y79">
        <v>21.683091219847075</v>
      </c>
      <c r="Z79">
        <v>16.030455334819997</v>
      </c>
      <c r="AA79">
        <v>92.890715909763827</v>
      </c>
      <c r="AB79">
        <v>3.7803669471507417</v>
      </c>
      <c r="AC79">
        <v>26.860118202715647</v>
      </c>
      <c r="AD79">
        <v>38.048900321405199</v>
      </c>
      <c r="AE79">
        <v>6.6713791884211444</v>
      </c>
      <c r="AF79">
        <v>7.6352260536346765</v>
      </c>
      <c r="AG79">
        <v>39.349050677128886</v>
      </c>
    </row>
    <row r="80" spans="1:34">
      <c r="A80" s="48">
        <v>2050</v>
      </c>
      <c r="B80" t="s">
        <v>77</v>
      </c>
      <c r="C80">
        <v>14.364430786697767</v>
      </c>
      <c r="D80">
        <v>10.860403312881635</v>
      </c>
      <c r="E80">
        <v>6.3224791175641482</v>
      </c>
      <c r="F80">
        <v>18.962171083407021</v>
      </c>
      <c r="G80">
        <v>1.0718478438017427</v>
      </c>
      <c r="H80">
        <v>24.514826635973851</v>
      </c>
      <c r="I80">
        <v>163.28260305134282</v>
      </c>
      <c r="J80">
        <v>13.715309344557841</v>
      </c>
      <c r="K80">
        <v>7.0508393081355054</v>
      </c>
      <c r="L80">
        <v>11.632745269406495</v>
      </c>
      <c r="M80">
        <v>68.06884260672868</v>
      </c>
      <c r="N80">
        <v>10.316767966835481</v>
      </c>
      <c r="O80">
        <v>73.75689525120724</v>
      </c>
      <c r="P80">
        <v>7.0470523018888347</v>
      </c>
      <c r="Q80">
        <v>22.687433279033847</v>
      </c>
      <c r="R80">
        <v>3.4445135657757193</v>
      </c>
      <c r="S80">
        <v>0.88527505028132081</v>
      </c>
      <c r="T80">
        <v>128.2514482597613</v>
      </c>
      <c r="U80">
        <v>7.9139671870819939</v>
      </c>
      <c r="V80">
        <v>1.0994516191518529</v>
      </c>
      <c r="W80">
        <v>5.383700583007851</v>
      </c>
      <c r="X80">
        <v>0.50232353417566389</v>
      </c>
      <c r="Y80">
        <v>21.276533259474945</v>
      </c>
      <c r="Z80">
        <v>16.022440107152601</v>
      </c>
      <c r="AA80">
        <v>94.76014156744786</v>
      </c>
      <c r="AB80">
        <v>3.7774135354732836</v>
      </c>
      <c r="AC80">
        <v>27.033030213645635</v>
      </c>
      <c r="AD80">
        <v>38.019174618029091</v>
      </c>
      <c r="AE80">
        <v>6.5754781125875867</v>
      </c>
      <c r="AF80">
        <v>7.4725002983665831</v>
      </c>
      <c r="AG80">
        <v>37.902973064744401</v>
      </c>
    </row>
    <row r="81" spans="1:33">
      <c r="A81" s="48"/>
      <c r="B81" t="s">
        <v>78</v>
      </c>
      <c r="C81">
        <v>15.349410221412858</v>
      </c>
      <c r="D81">
        <v>11.816075640668577</v>
      </c>
      <c r="E81">
        <v>6.8459200868191825</v>
      </c>
      <c r="F81">
        <v>21.508302303592565</v>
      </c>
      <c r="G81">
        <v>1.1927598230344016</v>
      </c>
      <c r="H81">
        <v>27.290382592861441</v>
      </c>
      <c r="I81">
        <v>181.33183680766086</v>
      </c>
      <c r="J81">
        <v>15.519643458144742</v>
      </c>
      <c r="K81">
        <v>8.2106925057030029</v>
      </c>
      <c r="L81">
        <v>12.17854312944346</v>
      </c>
      <c r="M81">
        <v>72.570927951892372</v>
      </c>
      <c r="N81">
        <v>11.374992644240546</v>
      </c>
      <c r="O81">
        <v>84.042305287894493</v>
      </c>
      <c r="P81">
        <v>7.7017917226552868</v>
      </c>
      <c r="Q81">
        <v>25.077840682670693</v>
      </c>
      <c r="R81">
        <v>3.8042796397896721</v>
      </c>
      <c r="S81">
        <v>0.98063090255827201</v>
      </c>
      <c r="T81">
        <v>140.43663389431168</v>
      </c>
      <c r="U81">
        <v>8.8289434485364158</v>
      </c>
      <c r="V81">
        <v>1.2645449932736965</v>
      </c>
      <c r="W81">
        <v>6.0761390982328747</v>
      </c>
      <c r="X81">
        <v>0.55396289441281577</v>
      </c>
      <c r="Y81">
        <v>23.851400341831777</v>
      </c>
      <c r="Z81">
        <v>17.793805421650198</v>
      </c>
      <c r="AA81">
        <v>101.71533392119127</v>
      </c>
      <c r="AB81">
        <v>4.0260907987155408</v>
      </c>
      <c r="AC81">
        <v>29.411829431973636</v>
      </c>
      <c r="AD81">
        <v>42.80501286158087</v>
      </c>
      <c r="AE81">
        <v>7.4052308991474662</v>
      </c>
      <c r="AF81">
        <v>8.4751009195344871</v>
      </c>
      <c r="AG81">
        <v>42.890465238070462</v>
      </c>
    </row>
    <row r="82" spans="1:33">
      <c r="A82" s="48">
        <v>2060</v>
      </c>
      <c r="B82" t="s">
        <v>77</v>
      </c>
      <c r="C82">
        <v>17.237998262180099</v>
      </c>
      <c r="D82">
        <v>13.418094886773293</v>
      </c>
      <c r="E82">
        <v>7.5169595618501948</v>
      </c>
      <c r="F82">
        <v>24.264423416974431</v>
      </c>
      <c r="G82">
        <v>1.3679047185553586</v>
      </c>
      <c r="H82">
        <v>31.085748625759287</v>
      </c>
      <c r="I82">
        <v>201.16108530698548</v>
      </c>
      <c r="J82">
        <v>17.747662733048536</v>
      </c>
      <c r="K82">
        <v>9.3442287201660861</v>
      </c>
      <c r="L82">
        <v>13.145320001797382</v>
      </c>
      <c r="M82">
        <v>80.958243932054216</v>
      </c>
      <c r="N82">
        <v>12.716576876682074</v>
      </c>
      <c r="O82">
        <v>92.315391129309688</v>
      </c>
      <c r="P82">
        <v>8.8604697784111295</v>
      </c>
      <c r="Q82">
        <v>29.188282667478688</v>
      </c>
      <c r="R82">
        <v>4.6145813005224001</v>
      </c>
      <c r="S82">
        <v>1.1104025670947693</v>
      </c>
      <c r="T82">
        <v>152.95898298263347</v>
      </c>
      <c r="U82">
        <v>9.7237470234656946</v>
      </c>
      <c r="V82">
        <v>1.4802723763616357</v>
      </c>
      <c r="W82">
        <v>6.6388008117079043</v>
      </c>
      <c r="X82">
        <v>0.70069673389768428</v>
      </c>
      <c r="Y82">
        <v>27.137303151031212</v>
      </c>
      <c r="Z82">
        <v>20.552332373994272</v>
      </c>
      <c r="AA82">
        <v>115.75802919847429</v>
      </c>
      <c r="AB82">
        <v>4.3985604973670203</v>
      </c>
      <c r="AC82">
        <v>33.399474589812598</v>
      </c>
      <c r="AD82">
        <v>50.319732446353058</v>
      </c>
      <c r="AE82">
        <v>8.5318418415397552</v>
      </c>
      <c r="AF82">
        <v>9.7522315183191264</v>
      </c>
      <c r="AG82">
        <v>48.087128368511273</v>
      </c>
    </row>
    <row r="83" spans="1:33">
      <c r="A83" s="48"/>
      <c r="B83" t="s">
        <v>78</v>
      </c>
      <c r="C83">
        <v>17.305785902813206</v>
      </c>
      <c r="D83">
        <v>13.505976239013444</v>
      </c>
      <c r="E83">
        <v>7.5602366172526896</v>
      </c>
      <c r="F83">
        <v>24.584356827746479</v>
      </c>
      <c r="G83">
        <v>1.3820512472422806</v>
      </c>
      <c r="H83">
        <v>31.406956131651167</v>
      </c>
      <c r="I83">
        <v>203.04109545004138</v>
      </c>
      <c r="J83">
        <v>17.982616603833911</v>
      </c>
      <c r="K83">
        <v>9.513732437232159</v>
      </c>
      <c r="L83">
        <v>13.171069129835587</v>
      </c>
      <c r="M83">
        <v>81.259203946671363</v>
      </c>
      <c r="N83">
        <v>12.82480463468794</v>
      </c>
      <c r="O83">
        <v>93.456428924315873</v>
      </c>
      <c r="P83">
        <v>8.9240689120604308</v>
      </c>
      <c r="Q83">
        <v>29.454095977590349</v>
      </c>
      <c r="R83">
        <v>4.6513963920533907</v>
      </c>
      <c r="S83">
        <v>1.1208778677423012</v>
      </c>
      <c r="T83">
        <v>154.01649057637988</v>
      </c>
      <c r="U83">
        <v>9.8179306606169572</v>
      </c>
      <c r="V83">
        <v>1.5053617386728504</v>
      </c>
      <c r="W83">
        <v>6.7101351928468151</v>
      </c>
      <c r="X83">
        <v>0.70463217958151747</v>
      </c>
      <c r="Y83">
        <v>27.449226175755712</v>
      </c>
      <c r="Z83">
        <v>20.75804270712797</v>
      </c>
      <c r="AA83">
        <v>116.26236365267523</v>
      </c>
      <c r="AB83">
        <v>4.4154032916131998</v>
      </c>
      <c r="AC83">
        <v>33.618223303086097</v>
      </c>
      <c r="AD83">
        <v>50.956691084914475</v>
      </c>
      <c r="AE83">
        <v>8.6388546810573636</v>
      </c>
      <c r="AF83">
        <v>9.8869523784306352</v>
      </c>
      <c r="AG83">
        <v>48.690171780471246</v>
      </c>
    </row>
    <row r="84" spans="1:33">
      <c r="A84" s="48">
        <v>2070</v>
      </c>
      <c r="B84" t="s">
        <v>77</v>
      </c>
      <c r="C84">
        <v>18.760562601233595</v>
      </c>
      <c r="D84">
        <v>14.748711874450418</v>
      </c>
      <c r="E84">
        <v>8.0600348472188443</v>
      </c>
      <c r="F84">
        <v>26.67062595669886</v>
      </c>
      <c r="G84">
        <v>1.5185147898179565</v>
      </c>
      <c r="H84">
        <v>34.338005716984661</v>
      </c>
      <c r="I84">
        <v>217.8458500972487</v>
      </c>
      <c r="J84">
        <v>19.701729206181177</v>
      </c>
      <c r="K84">
        <v>10.373053998965123</v>
      </c>
      <c r="L84">
        <v>13.886471657856873</v>
      </c>
      <c r="M84">
        <v>87.673107573685954</v>
      </c>
      <c r="N84">
        <v>13.839781913182629</v>
      </c>
      <c r="O84">
        <v>99.477454159248552</v>
      </c>
      <c r="P84">
        <v>9.836031867381724</v>
      </c>
      <c r="Q84">
        <v>32.724077648733058</v>
      </c>
      <c r="R84">
        <v>5.3290870636805323</v>
      </c>
      <c r="S84">
        <v>1.2205165982895423</v>
      </c>
      <c r="T84">
        <v>163.19722869454017</v>
      </c>
      <c r="U84">
        <v>10.478140069059691</v>
      </c>
      <c r="V84">
        <v>1.6760692317120713</v>
      </c>
      <c r="W84">
        <v>7.1184320529908636</v>
      </c>
      <c r="X84">
        <v>0.83343986957967076</v>
      </c>
      <c r="Y84">
        <v>29.976465484620302</v>
      </c>
      <c r="Z84">
        <v>22.928343035651142</v>
      </c>
      <c r="AA84">
        <v>127.2372743082511</v>
      </c>
      <c r="AB84">
        <v>4.6929763091918293</v>
      </c>
      <c r="AC84">
        <v>36.711562381985139</v>
      </c>
      <c r="AD84">
        <v>56.975565205515615</v>
      </c>
      <c r="AE84">
        <v>9.5181896102591619</v>
      </c>
      <c r="AF84">
        <v>10.879665896122038</v>
      </c>
      <c r="AG84">
        <v>52.594521142444044</v>
      </c>
    </row>
    <row r="85" spans="1:33">
      <c r="A85" s="48"/>
      <c r="B85" t="s">
        <v>78</v>
      </c>
      <c r="C85">
        <v>18.834337656570415</v>
      </c>
      <c r="D85">
        <v>14.845308057013176</v>
      </c>
      <c r="E85">
        <v>8.1064385256953759</v>
      </c>
      <c r="F85">
        <v>27.022285840930135</v>
      </c>
      <c r="G85">
        <v>1.5342188902163798</v>
      </c>
      <c r="H85">
        <v>34.692818634840975</v>
      </c>
      <c r="I85">
        <v>219.8817926215219</v>
      </c>
      <c r="J85">
        <v>19.962552144265192</v>
      </c>
      <c r="K85">
        <v>10.561220541416821</v>
      </c>
      <c r="L85">
        <v>13.91367255799987</v>
      </c>
      <c r="M85">
        <v>87.999029906673599</v>
      </c>
      <c r="N85">
        <v>13.957569001821275</v>
      </c>
      <c r="O85">
        <v>100.70701657086974</v>
      </c>
      <c r="P85">
        <v>9.9066334405439758</v>
      </c>
      <c r="Q85">
        <v>33.022090913139756</v>
      </c>
      <c r="R85">
        <v>5.3716024762931109</v>
      </c>
      <c r="S85">
        <v>1.2320306911881531</v>
      </c>
      <c r="T85">
        <v>164.32552011788465</v>
      </c>
      <c r="U85">
        <v>10.579630712522839</v>
      </c>
      <c r="V85">
        <v>1.7044771847919378</v>
      </c>
      <c r="W85">
        <v>7.1949201055144503</v>
      </c>
      <c r="X85">
        <v>0.83812086376559525</v>
      </c>
      <c r="Y85">
        <v>30.321022559156155</v>
      </c>
      <c r="Z85">
        <v>23.157835095152656</v>
      </c>
      <c r="AA85">
        <v>127.79162152491172</v>
      </c>
      <c r="AB85">
        <v>4.7109464688441109</v>
      </c>
      <c r="AC85">
        <v>36.952003500653788</v>
      </c>
      <c r="AD85">
        <v>57.696774891661427</v>
      </c>
      <c r="AE85">
        <v>9.6375739725315164</v>
      </c>
      <c r="AF85">
        <v>11.029961543277057</v>
      </c>
      <c r="AG85">
        <v>53.254090148875093</v>
      </c>
    </row>
    <row r="89" spans="1:33">
      <c r="A89">
        <v>0.18</v>
      </c>
    </row>
  </sheetData>
  <mergeCells count="6">
    <mergeCell ref="A84:A85"/>
    <mergeCell ref="A75:B75"/>
    <mergeCell ref="A76:A77"/>
    <mergeCell ref="A78:A79"/>
    <mergeCell ref="A80:A81"/>
    <mergeCell ref="A82:A83"/>
  </mergeCells>
  <phoneticPr fontId="94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F35"/>
  <sheetViews>
    <sheetView topLeftCell="AA1" workbookViewId="0">
      <selection activeCell="AL1" sqref="AL1:AL1048576"/>
    </sheetView>
  </sheetViews>
  <sheetFormatPr defaultRowHeight="14.4"/>
  <sheetData>
    <row r="1" spans="1:58" s="18" customFormat="1" ht="115.2">
      <c r="A1" s="18" t="s">
        <v>84</v>
      </c>
      <c r="B1" s="18" t="s">
        <v>85</v>
      </c>
      <c r="C1" s="18" t="s">
        <v>86</v>
      </c>
      <c r="D1" s="18" t="s">
        <v>87</v>
      </c>
      <c r="E1" s="18" t="s">
        <v>88</v>
      </c>
      <c r="F1" s="18" t="s">
        <v>89</v>
      </c>
      <c r="G1" s="18" t="s">
        <v>90</v>
      </c>
      <c r="H1" s="18" t="s">
        <v>91</v>
      </c>
      <c r="I1" s="18" t="s">
        <v>92</v>
      </c>
      <c r="J1" s="18" t="s">
        <v>93</v>
      </c>
      <c r="K1" s="18" t="s">
        <v>94</v>
      </c>
      <c r="L1" s="18" t="s">
        <v>95</v>
      </c>
      <c r="M1" s="18" t="s">
        <v>96</v>
      </c>
      <c r="N1" s="18" t="s">
        <v>97</v>
      </c>
      <c r="O1" s="18" t="s">
        <v>98</v>
      </c>
      <c r="P1" s="18" t="s">
        <v>99</v>
      </c>
      <c r="Q1" s="18" t="s">
        <v>100</v>
      </c>
      <c r="R1" s="18" t="s">
        <v>101</v>
      </c>
      <c r="S1" s="18" t="s">
        <v>102</v>
      </c>
      <c r="T1" s="18" t="s">
        <v>103</v>
      </c>
      <c r="U1" s="18" t="s">
        <v>104</v>
      </c>
      <c r="V1" s="18" t="s">
        <v>105</v>
      </c>
      <c r="W1" s="18" t="s">
        <v>106</v>
      </c>
      <c r="X1" s="18" t="s">
        <v>149</v>
      </c>
      <c r="Y1" s="18" t="s">
        <v>150</v>
      </c>
      <c r="Z1" s="18" t="s">
        <v>151</v>
      </c>
      <c r="AA1" s="18" t="s">
        <v>152</v>
      </c>
      <c r="AB1" s="18" t="s">
        <v>153</v>
      </c>
      <c r="AC1" s="18" t="s">
        <v>154</v>
      </c>
      <c r="AD1" s="18" t="s">
        <v>155</v>
      </c>
      <c r="AE1" s="18" t="s">
        <v>156</v>
      </c>
      <c r="AF1" s="18" t="s">
        <v>157</v>
      </c>
      <c r="AG1" s="18" t="s">
        <v>158</v>
      </c>
      <c r="AH1" s="18" t="s">
        <v>159</v>
      </c>
      <c r="AI1" s="18" t="s">
        <v>160</v>
      </c>
      <c r="AJ1" s="18" t="s">
        <v>161</v>
      </c>
      <c r="AK1" s="18" t="s">
        <v>162</v>
      </c>
      <c r="AL1" s="18" t="s">
        <v>163</v>
      </c>
      <c r="AM1" s="18" t="s">
        <v>164</v>
      </c>
      <c r="AN1" s="18" t="s">
        <v>165</v>
      </c>
      <c r="AO1" s="18" t="s">
        <v>166</v>
      </c>
      <c r="AP1" s="18" t="s">
        <v>167</v>
      </c>
      <c r="AQ1" s="18" t="s">
        <v>168</v>
      </c>
      <c r="AR1" s="18" t="s">
        <v>169</v>
      </c>
      <c r="AS1" s="18" t="s">
        <v>170</v>
      </c>
      <c r="AT1" s="18" t="s">
        <v>171</v>
      </c>
      <c r="AU1" s="18" t="s">
        <v>172</v>
      </c>
      <c r="AV1" s="18" t="s">
        <v>173</v>
      </c>
      <c r="AW1" s="18" t="s">
        <v>174</v>
      </c>
      <c r="AX1" s="18" t="s">
        <v>175</v>
      </c>
      <c r="AY1" s="18" t="s">
        <v>176</v>
      </c>
      <c r="AZ1" s="18" t="s">
        <v>177</v>
      </c>
      <c r="BA1" s="18" t="s">
        <v>178</v>
      </c>
      <c r="BB1" s="18" t="s">
        <v>179</v>
      </c>
      <c r="BC1" s="18" t="s">
        <v>180</v>
      </c>
      <c r="BD1" s="18" t="s">
        <v>181</v>
      </c>
      <c r="BE1" s="18" t="s">
        <v>182</v>
      </c>
    </row>
    <row r="2" spans="1:58">
      <c r="A2">
        <v>0</v>
      </c>
      <c r="B2" t="s">
        <v>107</v>
      </c>
      <c r="C2" t="s">
        <v>108</v>
      </c>
      <c r="D2">
        <v>0</v>
      </c>
      <c r="E2" t="s">
        <v>109</v>
      </c>
      <c r="F2">
        <v>85.6</v>
      </c>
      <c r="G2">
        <v>8.4</v>
      </c>
      <c r="H2">
        <v>0.4</v>
      </c>
      <c r="I2">
        <v>20.399999999999999</v>
      </c>
      <c r="J2">
        <v>5.0999999999999996</v>
      </c>
      <c r="K2">
        <v>1.4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 t="s">
        <v>110</v>
      </c>
      <c r="S2">
        <v>81.319999999999993</v>
      </c>
      <c r="T2">
        <v>7.98</v>
      </c>
      <c r="U2">
        <v>0.38</v>
      </c>
      <c r="V2">
        <v>19.38</v>
      </c>
      <c r="W2">
        <v>4.8449999999999998</v>
      </c>
      <c r="X2">
        <v>1.33</v>
      </c>
      <c r="Y2">
        <v>3</v>
      </c>
      <c r="Z2">
        <v>3.21</v>
      </c>
      <c r="AA2">
        <v>3.27</v>
      </c>
      <c r="AB2">
        <v>3.36</v>
      </c>
      <c r="AC2">
        <v>3.3</v>
      </c>
      <c r="AD2">
        <v>20</v>
      </c>
      <c r="AE2" t="s">
        <v>183</v>
      </c>
      <c r="AF2">
        <v>72.760000000000005</v>
      </c>
      <c r="AG2">
        <v>7.14</v>
      </c>
      <c r="AH2">
        <v>0.34</v>
      </c>
      <c r="AI2">
        <v>17.34</v>
      </c>
      <c r="AJ2">
        <v>4.335</v>
      </c>
      <c r="AK2">
        <v>1.19</v>
      </c>
      <c r="AL2">
        <v>3.75</v>
      </c>
      <c r="AM2">
        <v>4.0125000000000002</v>
      </c>
      <c r="AN2">
        <v>4.0875000000000004</v>
      </c>
      <c r="AO2">
        <v>4.2</v>
      </c>
      <c r="AP2">
        <v>4.125</v>
      </c>
      <c r="AQ2">
        <v>30</v>
      </c>
      <c r="AR2" t="s">
        <v>184</v>
      </c>
      <c r="AS2">
        <v>64.2</v>
      </c>
      <c r="AT2">
        <v>6.3</v>
      </c>
      <c r="AU2">
        <v>0.3</v>
      </c>
      <c r="AV2">
        <v>15.3</v>
      </c>
      <c r="AW2">
        <v>3.8250000000000002</v>
      </c>
      <c r="AX2">
        <v>1.05</v>
      </c>
      <c r="AY2">
        <v>4.05</v>
      </c>
      <c r="AZ2">
        <v>4.3334999999999999</v>
      </c>
      <c r="BA2">
        <v>4.4145000000000003</v>
      </c>
      <c r="BB2">
        <v>4.5359999999999996</v>
      </c>
      <c r="BC2">
        <v>4.4550000000000001</v>
      </c>
      <c r="BF2">
        <f>(AF2-F2)/F2</f>
        <v>-0.14999999999999988</v>
      </c>
    </row>
    <row r="3" spans="1:58">
      <c r="A3">
        <v>1</v>
      </c>
      <c r="B3" t="s">
        <v>36</v>
      </c>
      <c r="C3" t="s">
        <v>111</v>
      </c>
      <c r="D3">
        <v>0</v>
      </c>
      <c r="E3" t="s">
        <v>109</v>
      </c>
      <c r="F3">
        <v>341.5</v>
      </c>
      <c r="G3">
        <v>184.1</v>
      </c>
      <c r="H3">
        <v>0.3</v>
      </c>
      <c r="I3">
        <v>266.5</v>
      </c>
      <c r="J3">
        <v>66.625</v>
      </c>
      <c r="K3">
        <v>18.100000000000001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  <c r="R3" t="s">
        <v>110</v>
      </c>
      <c r="S3">
        <v>324.42500000000001</v>
      </c>
      <c r="T3">
        <v>174.89500000000001</v>
      </c>
      <c r="U3">
        <v>0.28499999999999998</v>
      </c>
      <c r="V3">
        <v>253.17500000000001</v>
      </c>
      <c r="W3">
        <v>63.293799999999997</v>
      </c>
      <c r="X3">
        <v>17.195</v>
      </c>
      <c r="Y3">
        <v>4</v>
      </c>
      <c r="Z3">
        <v>4.28</v>
      </c>
      <c r="AA3">
        <v>4.3600000000000003</v>
      </c>
      <c r="AB3">
        <v>4.4800000000000004</v>
      </c>
      <c r="AC3">
        <v>4.4000000000000004</v>
      </c>
      <c r="AD3">
        <v>20</v>
      </c>
      <c r="AE3" t="s">
        <v>183</v>
      </c>
      <c r="AF3">
        <v>290.27499999999998</v>
      </c>
      <c r="AG3">
        <v>156.48500000000001</v>
      </c>
      <c r="AH3">
        <v>0.255</v>
      </c>
      <c r="AI3">
        <v>226.52500000000001</v>
      </c>
      <c r="AJ3">
        <v>56.6312</v>
      </c>
      <c r="AK3">
        <v>15.385</v>
      </c>
      <c r="AL3">
        <v>5</v>
      </c>
      <c r="AM3">
        <v>5.35</v>
      </c>
      <c r="AN3">
        <v>5.45</v>
      </c>
      <c r="AO3">
        <v>5.6</v>
      </c>
      <c r="AP3">
        <v>5.5</v>
      </c>
      <c r="AQ3">
        <v>30</v>
      </c>
      <c r="AR3" t="s">
        <v>184</v>
      </c>
      <c r="AS3">
        <v>256.125</v>
      </c>
      <c r="AT3">
        <v>138.07499999999999</v>
      </c>
      <c r="AU3">
        <v>0.22500000000000001</v>
      </c>
      <c r="AV3">
        <v>199.875</v>
      </c>
      <c r="AW3">
        <v>49.968800000000002</v>
      </c>
      <c r="AX3">
        <v>13.574999999999999</v>
      </c>
      <c r="AY3">
        <v>5.4</v>
      </c>
      <c r="AZ3">
        <v>5.7779999999999996</v>
      </c>
      <c r="BA3">
        <v>5.8860000000000001</v>
      </c>
      <c r="BB3">
        <v>6.048</v>
      </c>
      <c r="BC3">
        <v>5.94</v>
      </c>
    </row>
    <row r="4" spans="1:58">
      <c r="A4">
        <v>2</v>
      </c>
      <c r="B4" t="s">
        <v>112</v>
      </c>
      <c r="C4" t="s">
        <v>113</v>
      </c>
      <c r="D4">
        <v>0</v>
      </c>
      <c r="E4" t="s">
        <v>109</v>
      </c>
      <c r="F4">
        <v>85.6</v>
      </c>
      <c r="G4">
        <v>17.100000000000001</v>
      </c>
      <c r="H4">
        <v>1.8</v>
      </c>
      <c r="I4">
        <v>34.299999999999997</v>
      </c>
      <c r="J4">
        <v>8.5749999999999993</v>
      </c>
      <c r="K4">
        <v>2.2999999999999998</v>
      </c>
      <c r="L4">
        <v>0</v>
      </c>
      <c r="M4">
        <v>0</v>
      </c>
      <c r="N4">
        <v>0</v>
      </c>
      <c r="O4">
        <v>0</v>
      </c>
      <c r="P4">
        <v>0</v>
      </c>
      <c r="Q4">
        <v>10</v>
      </c>
      <c r="R4" t="s">
        <v>110</v>
      </c>
      <c r="S4">
        <v>81.319999999999993</v>
      </c>
      <c r="T4">
        <v>16.245000000000001</v>
      </c>
      <c r="U4">
        <v>1.71</v>
      </c>
      <c r="V4">
        <v>32.585000000000001</v>
      </c>
      <c r="W4">
        <v>8.1462500000000002</v>
      </c>
      <c r="X4">
        <v>2.1850000000000001</v>
      </c>
      <c r="Y4">
        <v>5</v>
      </c>
      <c r="Z4">
        <v>5.35</v>
      </c>
      <c r="AA4">
        <v>5.45</v>
      </c>
      <c r="AB4">
        <v>5.6</v>
      </c>
      <c r="AC4">
        <v>5.5</v>
      </c>
      <c r="AD4">
        <v>20</v>
      </c>
      <c r="AE4" t="s">
        <v>183</v>
      </c>
      <c r="AF4">
        <v>72.760000000000005</v>
      </c>
      <c r="AG4">
        <v>14.535</v>
      </c>
      <c r="AH4">
        <v>1.53</v>
      </c>
      <c r="AI4">
        <v>29.155000000000001</v>
      </c>
      <c r="AJ4">
        <v>7.2887500000000003</v>
      </c>
      <c r="AK4">
        <v>1.9550000000000001</v>
      </c>
      <c r="AL4">
        <v>6.25</v>
      </c>
      <c r="AM4">
        <v>6.6875</v>
      </c>
      <c r="AN4">
        <v>6.8125</v>
      </c>
      <c r="AO4">
        <v>7</v>
      </c>
      <c r="AP4">
        <v>6.875</v>
      </c>
      <c r="AQ4">
        <v>30</v>
      </c>
      <c r="AR4" t="s">
        <v>184</v>
      </c>
      <c r="AS4">
        <v>64.2</v>
      </c>
      <c r="AT4">
        <v>12.824999999999999</v>
      </c>
      <c r="AU4">
        <v>1.35</v>
      </c>
      <c r="AV4">
        <v>25.725000000000001</v>
      </c>
      <c r="AW4">
        <v>6.4312500000000004</v>
      </c>
      <c r="AX4">
        <v>1.7250000000000001</v>
      </c>
      <c r="AY4">
        <v>6.75</v>
      </c>
      <c r="AZ4">
        <v>7.2225000000000001</v>
      </c>
      <c r="BA4">
        <v>7.3574999999999999</v>
      </c>
      <c r="BB4">
        <v>7.56</v>
      </c>
      <c r="BC4">
        <v>7.4249999999999998</v>
      </c>
    </row>
    <row r="5" spans="1:58">
      <c r="A5">
        <v>3</v>
      </c>
      <c r="B5" t="s">
        <v>37</v>
      </c>
      <c r="C5" t="s">
        <v>114</v>
      </c>
      <c r="D5">
        <v>0</v>
      </c>
      <c r="E5" t="s">
        <v>109</v>
      </c>
      <c r="F5">
        <v>466.4</v>
      </c>
      <c r="G5">
        <v>277.2</v>
      </c>
      <c r="H5">
        <v>1.6</v>
      </c>
      <c r="I5">
        <v>387.8</v>
      </c>
      <c r="J5">
        <v>96.95</v>
      </c>
      <c r="K5">
        <v>26.3</v>
      </c>
      <c r="L5">
        <v>0</v>
      </c>
      <c r="M5">
        <v>0</v>
      </c>
      <c r="N5">
        <v>0</v>
      </c>
      <c r="O5">
        <v>0</v>
      </c>
      <c r="P5">
        <v>0</v>
      </c>
      <c r="Q5">
        <v>10</v>
      </c>
      <c r="R5" t="s">
        <v>110</v>
      </c>
      <c r="S5">
        <v>443.08</v>
      </c>
      <c r="T5">
        <v>263.33999999999997</v>
      </c>
      <c r="U5">
        <v>1.52</v>
      </c>
      <c r="V5">
        <v>368.41</v>
      </c>
      <c r="W5">
        <v>92.102500000000006</v>
      </c>
      <c r="X5">
        <v>24.984999999999999</v>
      </c>
      <c r="Y5">
        <v>6</v>
      </c>
      <c r="Z5">
        <v>6.42</v>
      </c>
      <c r="AA5">
        <v>6.54</v>
      </c>
      <c r="AB5">
        <v>6.72</v>
      </c>
      <c r="AC5">
        <v>6.6</v>
      </c>
      <c r="AD5">
        <v>20</v>
      </c>
      <c r="AE5" t="s">
        <v>183</v>
      </c>
      <c r="AF5">
        <v>396.44</v>
      </c>
      <c r="AG5">
        <v>235.62</v>
      </c>
      <c r="AH5">
        <v>1.36</v>
      </c>
      <c r="AI5">
        <v>329.63</v>
      </c>
      <c r="AJ5">
        <v>82.407499999999999</v>
      </c>
      <c r="AK5">
        <v>22.355</v>
      </c>
      <c r="AL5">
        <v>7.5</v>
      </c>
      <c r="AM5">
        <v>8.0250000000000004</v>
      </c>
      <c r="AN5">
        <v>8.1750000000000007</v>
      </c>
      <c r="AO5">
        <v>8.4</v>
      </c>
      <c r="AP5">
        <v>8.25</v>
      </c>
      <c r="AQ5">
        <v>30</v>
      </c>
      <c r="AR5" t="s">
        <v>184</v>
      </c>
      <c r="AS5">
        <v>349.8</v>
      </c>
      <c r="AT5">
        <v>207.9</v>
      </c>
      <c r="AU5">
        <v>1.2</v>
      </c>
      <c r="AV5">
        <v>290.85000000000002</v>
      </c>
      <c r="AW5">
        <v>72.712500000000006</v>
      </c>
      <c r="AX5">
        <v>19.725000000000001</v>
      </c>
      <c r="AY5">
        <v>8.1</v>
      </c>
      <c r="AZ5">
        <v>8.6669999999999998</v>
      </c>
      <c r="BA5">
        <v>8.8290000000000006</v>
      </c>
      <c r="BB5">
        <v>9.0719999999999992</v>
      </c>
      <c r="BC5">
        <v>8.91</v>
      </c>
    </row>
    <row r="6" spans="1:58">
      <c r="A6">
        <v>4</v>
      </c>
      <c r="B6" t="s">
        <v>38</v>
      </c>
      <c r="C6" t="s">
        <v>115</v>
      </c>
      <c r="D6">
        <v>0</v>
      </c>
      <c r="E6" t="s">
        <v>109</v>
      </c>
      <c r="F6">
        <v>197.2</v>
      </c>
      <c r="G6">
        <v>50</v>
      </c>
      <c r="H6">
        <v>0.4</v>
      </c>
      <c r="I6">
        <v>92.8</v>
      </c>
      <c r="J6">
        <v>23.2</v>
      </c>
      <c r="K6">
        <v>6.3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 t="s">
        <v>110</v>
      </c>
      <c r="S6">
        <v>187.34</v>
      </c>
      <c r="T6">
        <v>47.5</v>
      </c>
      <c r="U6">
        <v>0.38</v>
      </c>
      <c r="V6">
        <v>88.16</v>
      </c>
      <c r="W6">
        <v>22.04</v>
      </c>
      <c r="X6">
        <v>5.9850000000000003</v>
      </c>
      <c r="Y6">
        <v>7</v>
      </c>
      <c r="Z6">
        <v>7.49</v>
      </c>
      <c r="AA6">
        <v>7.63</v>
      </c>
      <c r="AB6">
        <v>7.84</v>
      </c>
      <c r="AC6">
        <v>7.7</v>
      </c>
      <c r="AD6">
        <v>20</v>
      </c>
      <c r="AE6" t="s">
        <v>183</v>
      </c>
      <c r="AF6">
        <v>167.62</v>
      </c>
      <c r="AG6">
        <v>42.5</v>
      </c>
      <c r="AH6">
        <v>0.34</v>
      </c>
      <c r="AI6">
        <v>78.88</v>
      </c>
      <c r="AJ6">
        <v>19.72</v>
      </c>
      <c r="AK6">
        <v>5.3550000000000004</v>
      </c>
      <c r="AL6">
        <v>8.75</v>
      </c>
      <c r="AM6">
        <v>9.3625000000000007</v>
      </c>
      <c r="AN6">
        <v>9.5374999999999996</v>
      </c>
      <c r="AO6">
        <v>9.8000000000000007</v>
      </c>
      <c r="AP6">
        <v>9.625</v>
      </c>
      <c r="AQ6">
        <v>30</v>
      </c>
      <c r="AR6" t="s">
        <v>184</v>
      </c>
      <c r="AS6">
        <v>147.9</v>
      </c>
      <c r="AT6">
        <v>37.5</v>
      </c>
      <c r="AU6">
        <v>0.3</v>
      </c>
      <c r="AV6">
        <v>69.599999999999994</v>
      </c>
      <c r="AW6">
        <v>17.399999999999999</v>
      </c>
      <c r="AX6">
        <v>4.7249999999999996</v>
      </c>
      <c r="AY6">
        <v>9.4499999999999993</v>
      </c>
      <c r="AZ6">
        <v>10.111499999999999</v>
      </c>
      <c r="BA6">
        <v>10.3005</v>
      </c>
      <c r="BB6">
        <v>10.584</v>
      </c>
      <c r="BC6">
        <v>10.395</v>
      </c>
    </row>
    <row r="7" spans="1:58">
      <c r="A7">
        <v>9</v>
      </c>
      <c r="B7" t="s">
        <v>39</v>
      </c>
      <c r="C7" t="s">
        <v>116</v>
      </c>
      <c r="D7">
        <v>0</v>
      </c>
      <c r="E7" t="s">
        <v>109</v>
      </c>
      <c r="F7">
        <v>374.1</v>
      </c>
      <c r="G7">
        <v>188.4</v>
      </c>
      <c r="H7">
        <v>0.4</v>
      </c>
      <c r="I7">
        <v>270.5</v>
      </c>
      <c r="J7">
        <v>67.625</v>
      </c>
      <c r="K7">
        <v>18.3</v>
      </c>
      <c r="L7">
        <v>0</v>
      </c>
      <c r="M7">
        <v>0</v>
      </c>
      <c r="N7">
        <v>0</v>
      </c>
      <c r="O7">
        <v>0</v>
      </c>
      <c r="P7">
        <v>0</v>
      </c>
      <c r="Q7">
        <v>10</v>
      </c>
      <c r="R7" t="s">
        <v>110</v>
      </c>
      <c r="S7">
        <v>355.39499999999998</v>
      </c>
      <c r="T7">
        <v>178.98</v>
      </c>
      <c r="U7">
        <v>0.38</v>
      </c>
      <c r="V7">
        <v>256.97500000000002</v>
      </c>
      <c r="W7">
        <v>64.243799999999993</v>
      </c>
      <c r="X7">
        <v>17.385000000000002</v>
      </c>
      <c r="Y7">
        <v>12</v>
      </c>
      <c r="Z7">
        <v>12.84</v>
      </c>
      <c r="AA7">
        <v>13.08</v>
      </c>
      <c r="AB7">
        <v>13.44</v>
      </c>
      <c r="AC7">
        <v>13.2</v>
      </c>
      <c r="AD7">
        <v>20</v>
      </c>
      <c r="AE7" t="s">
        <v>183</v>
      </c>
      <c r="AF7">
        <v>317.98500000000001</v>
      </c>
      <c r="AG7">
        <v>160.13999999999999</v>
      </c>
      <c r="AH7">
        <v>0.34</v>
      </c>
      <c r="AI7">
        <v>229.92500000000001</v>
      </c>
      <c r="AJ7">
        <v>57.481299999999997</v>
      </c>
      <c r="AK7">
        <v>15.555</v>
      </c>
      <c r="AL7">
        <v>15</v>
      </c>
      <c r="AM7">
        <v>16.05</v>
      </c>
      <c r="AN7">
        <v>16.350000000000001</v>
      </c>
      <c r="AO7">
        <v>16.8</v>
      </c>
      <c r="AP7">
        <v>16.5</v>
      </c>
      <c r="AQ7">
        <v>30</v>
      </c>
      <c r="AR7" t="s">
        <v>184</v>
      </c>
      <c r="AS7">
        <v>280.57499999999999</v>
      </c>
      <c r="AT7">
        <v>141.30000000000001</v>
      </c>
      <c r="AU7">
        <v>0.3</v>
      </c>
      <c r="AV7">
        <v>202.875</v>
      </c>
      <c r="AW7">
        <v>50.718800000000002</v>
      </c>
      <c r="AX7">
        <v>13.725</v>
      </c>
      <c r="AY7">
        <v>16.2</v>
      </c>
      <c r="AZ7">
        <v>17.334</v>
      </c>
      <c r="BA7">
        <v>17.658000000000001</v>
      </c>
      <c r="BB7">
        <v>18.143999999999998</v>
      </c>
      <c r="BC7">
        <v>17.82</v>
      </c>
    </row>
    <row r="8" spans="1:58">
      <c r="A8">
        <v>6</v>
      </c>
      <c r="B8" t="s">
        <v>41</v>
      </c>
      <c r="C8" t="s">
        <v>117</v>
      </c>
      <c r="D8">
        <v>0</v>
      </c>
      <c r="E8" t="s">
        <v>109</v>
      </c>
      <c r="F8">
        <v>309.60000000000002</v>
      </c>
      <c r="G8">
        <v>232.6</v>
      </c>
      <c r="H8">
        <v>0.1</v>
      </c>
      <c r="I8">
        <v>301</v>
      </c>
      <c r="J8">
        <v>75.25</v>
      </c>
      <c r="K8">
        <v>20.399999999999999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 t="s">
        <v>110</v>
      </c>
      <c r="S8">
        <v>294.12</v>
      </c>
      <c r="T8">
        <v>220.97</v>
      </c>
      <c r="U8">
        <v>9.5000000000000001E-2</v>
      </c>
      <c r="V8">
        <v>285.95</v>
      </c>
      <c r="W8">
        <v>71.487499999999997</v>
      </c>
      <c r="X8">
        <v>19.38</v>
      </c>
      <c r="Y8">
        <v>9</v>
      </c>
      <c r="Z8">
        <v>9.6300000000000008</v>
      </c>
      <c r="AA8">
        <v>9.81</v>
      </c>
      <c r="AB8">
        <v>10.08</v>
      </c>
      <c r="AC8">
        <v>9.9</v>
      </c>
      <c r="AD8">
        <v>20</v>
      </c>
      <c r="AE8" t="s">
        <v>183</v>
      </c>
      <c r="AF8">
        <v>263.16000000000003</v>
      </c>
      <c r="AG8">
        <v>197.71</v>
      </c>
      <c r="AH8">
        <v>8.5000000000000006E-2</v>
      </c>
      <c r="AI8">
        <v>255.85</v>
      </c>
      <c r="AJ8">
        <v>63.962499999999999</v>
      </c>
      <c r="AK8">
        <v>17.34</v>
      </c>
      <c r="AL8">
        <v>11.25</v>
      </c>
      <c r="AM8">
        <v>12.0375</v>
      </c>
      <c r="AN8">
        <v>12.262499999999999</v>
      </c>
      <c r="AO8">
        <v>12.6</v>
      </c>
      <c r="AP8">
        <v>12.375</v>
      </c>
      <c r="AQ8">
        <v>30</v>
      </c>
      <c r="AR8" t="s">
        <v>184</v>
      </c>
      <c r="AS8">
        <v>232.2</v>
      </c>
      <c r="AT8">
        <v>174.45</v>
      </c>
      <c r="AU8">
        <v>7.4999999999999997E-2</v>
      </c>
      <c r="AV8">
        <v>225.75</v>
      </c>
      <c r="AW8">
        <v>56.4375</v>
      </c>
      <c r="AX8">
        <v>15.3</v>
      </c>
      <c r="AY8">
        <v>12.15</v>
      </c>
      <c r="AZ8">
        <v>13.000500000000001</v>
      </c>
      <c r="BA8">
        <v>13.243499999999999</v>
      </c>
      <c r="BB8">
        <v>13.608000000000001</v>
      </c>
      <c r="BC8">
        <v>13.365</v>
      </c>
    </row>
    <row r="9" spans="1:58">
      <c r="A9">
        <v>7</v>
      </c>
      <c r="B9" t="s">
        <v>42</v>
      </c>
      <c r="C9" t="s">
        <v>118</v>
      </c>
      <c r="D9">
        <v>0</v>
      </c>
      <c r="E9" t="s">
        <v>109</v>
      </c>
      <c r="F9">
        <v>3252.4</v>
      </c>
      <c r="G9">
        <v>1811.3</v>
      </c>
      <c r="H9">
        <v>3.2</v>
      </c>
      <c r="I9">
        <v>2574.1</v>
      </c>
      <c r="J9">
        <v>643.52499999999998</v>
      </c>
      <c r="K9">
        <v>174.5</v>
      </c>
      <c r="L9">
        <v>0</v>
      </c>
      <c r="M9">
        <v>0</v>
      </c>
      <c r="N9">
        <v>0</v>
      </c>
      <c r="O9">
        <v>0</v>
      </c>
      <c r="P9">
        <v>0</v>
      </c>
      <c r="Q9">
        <v>10</v>
      </c>
      <c r="R9" t="s">
        <v>110</v>
      </c>
      <c r="S9">
        <v>3089.78</v>
      </c>
      <c r="T9">
        <v>1720.74</v>
      </c>
      <c r="U9">
        <v>3.04</v>
      </c>
      <c r="V9">
        <v>2445.4</v>
      </c>
      <c r="W9">
        <v>611.34900000000005</v>
      </c>
      <c r="X9">
        <v>165.77500000000001</v>
      </c>
      <c r="Y9">
        <v>10</v>
      </c>
      <c r="Z9">
        <v>10.7</v>
      </c>
      <c r="AA9">
        <v>10.9</v>
      </c>
      <c r="AB9">
        <v>11.2</v>
      </c>
      <c r="AC9">
        <v>11</v>
      </c>
      <c r="AD9">
        <v>20</v>
      </c>
      <c r="AE9" t="s">
        <v>183</v>
      </c>
      <c r="AF9">
        <v>2764.54</v>
      </c>
      <c r="AG9">
        <v>1539.6</v>
      </c>
      <c r="AH9">
        <v>2.72</v>
      </c>
      <c r="AI9">
        <v>2187.9899999999998</v>
      </c>
      <c r="AJ9">
        <v>546.99599999999998</v>
      </c>
      <c r="AK9">
        <v>148.32499999999999</v>
      </c>
      <c r="AL9">
        <v>12.5</v>
      </c>
      <c r="AM9">
        <v>13.375</v>
      </c>
      <c r="AN9">
        <v>13.625</v>
      </c>
      <c r="AO9">
        <v>14</v>
      </c>
      <c r="AP9">
        <v>13.75</v>
      </c>
      <c r="AQ9">
        <v>30</v>
      </c>
      <c r="AR9" t="s">
        <v>184</v>
      </c>
      <c r="AS9">
        <v>2439.3000000000002</v>
      </c>
      <c r="AT9">
        <v>1358.48</v>
      </c>
      <c r="AU9">
        <v>2.4</v>
      </c>
      <c r="AV9">
        <v>1930.58</v>
      </c>
      <c r="AW9">
        <v>482.64400000000001</v>
      </c>
      <c r="AX9">
        <v>130.875</v>
      </c>
      <c r="AY9">
        <v>13.5</v>
      </c>
      <c r="AZ9">
        <v>14.445</v>
      </c>
      <c r="BA9">
        <v>14.715</v>
      </c>
      <c r="BB9">
        <v>15.12</v>
      </c>
      <c r="BC9">
        <v>14.85</v>
      </c>
    </row>
    <row r="10" spans="1:58">
      <c r="A10">
        <v>8</v>
      </c>
      <c r="B10" t="s">
        <v>43</v>
      </c>
      <c r="C10" t="s">
        <v>119</v>
      </c>
      <c r="D10">
        <v>0</v>
      </c>
      <c r="E10" t="s">
        <v>109</v>
      </c>
      <c r="F10">
        <v>297.5</v>
      </c>
      <c r="G10">
        <v>143.6</v>
      </c>
      <c r="H10">
        <v>0.2</v>
      </c>
      <c r="I10">
        <v>2020.6</v>
      </c>
      <c r="J10">
        <v>505.15</v>
      </c>
      <c r="K10">
        <v>13.7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  <c r="R10" t="s">
        <v>110</v>
      </c>
      <c r="S10">
        <v>282.625</v>
      </c>
      <c r="T10">
        <v>136.41999999999999</v>
      </c>
      <c r="U10">
        <v>0.19</v>
      </c>
      <c r="V10">
        <v>1919.57</v>
      </c>
      <c r="W10">
        <v>479.892</v>
      </c>
      <c r="X10">
        <v>13.015000000000001</v>
      </c>
      <c r="Y10">
        <v>11</v>
      </c>
      <c r="Z10">
        <v>11.77</v>
      </c>
      <c r="AA10">
        <v>11.99</v>
      </c>
      <c r="AB10">
        <v>12.32</v>
      </c>
      <c r="AC10">
        <v>12.1</v>
      </c>
      <c r="AD10">
        <v>20</v>
      </c>
      <c r="AE10" t="s">
        <v>183</v>
      </c>
      <c r="AF10">
        <v>252.875</v>
      </c>
      <c r="AG10">
        <v>122.06</v>
      </c>
      <c r="AH10">
        <v>0.17</v>
      </c>
      <c r="AI10">
        <v>1717.51</v>
      </c>
      <c r="AJ10">
        <v>429.37799999999999</v>
      </c>
      <c r="AK10">
        <v>11.645</v>
      </c>
      <c r="AL10">
        <v>13.75</v>
      </c>
      <c r="AM10">
        <v>14.7125</v>
      </c>
      <c r="AN10">
        <v>14.987500000000001</v>
      </c>
      <c r="AO10">
        <v>15.4</v>
      </c>
      <c r="AP10">
        <v>15.125</v>
      </c>
      <c r="AQ10">
        <v>30</v>
      </c>
      <c r="AR10" t="s">
        <v>184</v>
      </c>
      <c r="AS10">
        <v>223.125</v>
      </c>
      <c r="AT10">
        <v>107.7</v>
      </c>
      <c r="AU10">
        <v>0.15</v>
      </c>
      <c r="AV10">
        <v>1515.45</v>
      </c>
      <c r="AW10">
        <v>378.86200000000002</v>
      </c>
      <c r="AX10">
        <v>10.275</v>
      </c>
      <c r="AY10">
        <v>14.85</v>
      </c>
      <c r="AZ10">
        <v>15.8895</v>
      </c>
      <c r="BA10">
        <v>16.186499999999999</v>
      </c>
      <c r="BB10">
        <v>16.632000000000001</v>
      </c>
      <c r="BC10">
        <v>16.335000000000001</v>
      </c>
    </row>
    <row r="11" spans="1:58">
      <c r="A11">
        <v>12</v>
      </c>
      <c r="B11" t="s">
        <v>44</v>
      </c>
      <c r="C11" t="s">
        <v>120</v>
      </c>
      <c r="D11">
        <v>0</v>
      </c>
      <c r="E11" t="s">
        <v>109</v>
      </c>
      <c r="F11">
        <v>37.4</v>
      </c>
      <c r="G11">
        <v>30.5</v>
      </c>
      <c r="H11">
        <v>0</v>
      </c>
      <c r="I11">
        <v>42.9</v>
      </c>
      <c r="J11">
        <v>10.725</v>
      </c>
      <c r="K11">
        <v>2.9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 t="s">
        <v>110</v>
      </c>
      <c r="S11">
        <v>35.53</v>
      </c>
      <c r="T11">
        <v>28.975000000000001</v>
      </c>
      <c r="U11">
        <v>0</v>
      </c>
      <c r="V11">
        <v>40.755000000000003</v>
      </c>
      <c r="W11">
        <v>10.188800000000001</v>
      </c>
      <c r="X11">
        <v>2.7549999999999999</v>
      </c>
      <c r="Y11">
        <v>15</v>
      </c>
      <c r="Z11">
        <v>16.05</v>
      </c>
      <c r="AA11">
        <v>16.350000000000001</v>
      </c>
      <c r="AB11">
        <v>16.8</v>
      </c>
      <c r="AC11">
        <v>16.5</v>
      </c>
      <c r="AD11">
        <v>20</v>
      </c>
      <c r="AE11" t="s">
        <v>183</v>
      </c>
      <c r="AF11">
        <v>31.79</v>
      </c>
      <c r="AG11">
        <v>25.925000000000001</v>
      </c>
      <c r="AH11">
        <v>0</v>
      </c>
      <c r="AI11">
        <v>36.465000000000003</v>
      </c>
      <c r="AJ11">
        <v>9.1162500000000009</v>
      </c>
      <c r="AK11">
        <v>2.4649999999999999</v>
      </c>
      <c r="AL11">
        <v>18.75</v>
      </c>
      <c r="AM11">
        <v>20.0625</v>
      </c>
      <c r="AN11">
        <v>20.4375</v>
      </c>
      <c r="AO11">
        <v>21</v>
      </c>
      <c r="AP11">
        <v>20.625</v>
      </c>
      <c r="AQ11">
        <v>30</v>
      </c>
      <c r="AR11" t="s">
        <v>184</v>
      </c>
      <c r="AS11">
        <v>28.05</v>
      </c>
      <c r="AT11">
        <v>22.875</v>
      </c>
      <c r="AU11">
        <v>0</v>
      </c>
      <c r="AV11">
        <v>32.174999999999997</v>
      </c>
      <c r="AW11">
        <v>8.0437499999999993</v>
      </c>
      <c r="AX11">
        <v>2.1749999999999998</v>
      </c>
      <c r="AY11">
        <v>20.25</v>
      </c>
      <c r="AZ11">
        <v>21.6675</v>
      </c>
      <c r="BA11">
        <v>22.072500000000002</v>
      </c>
      <c r="BB11">
        <v>22.68</v>
      </c>
      <c r="BC11">
        <v>22.274999999999999</v>
      </c>
    </row>
    <row r="12" spans="1:58">
      <c r="A12">
        <v>13</v>
      </c>
      <c r="B12" t="s">
        <v>45</v>
      </c>
      <c r="C12" t="s">
        <v>121</v>
      </c>
      <c r="D12">
        <v>0</v>
      </c>
      <c r="E12" t="s">
        <v>109</v>
      </c>
      <c r="F12">
        <v>309.7</v>
      </c>
      <c r="G12">
        <v>110.4</v>
      </c>
      <c r="H12">
        <v>2.5</v>
      </c>
      <c r="I12">
        <v>185.5</v>
      </c>
      <c r="J12">
        <v>46.375</v>
      </c>
      <c r="K12">
        <v>12.6</v>
      </c>
      <c r="L12">
        <v>0</v>
      </c>
      <c r="M12">
        <v>0</v>
      </c>
      <c r="N12">
        <v>0</v>
      </c>
      <c r="O12">
        <v>0</v>
      </c>
      <c r="P12">
        <v>0</v>
      </c>
      <c r="Q12">
        <v>10</v>
      </c>
      <c r="R12" t="s">
        <v>110</v>
      </c>
      <c r="S12">
        <v>294.21499999999997</v>
      </c>
      <c r="T12">
        <v>104.88</v>
      </c>
      <c r="U12">
        <v>2.375</v>
      </c>
      <c r="V12">
        <v>176.22499999999999</v>
      </c>
      <c r="W12">
        <v>44.0563</v>
      </c>
      <c r="X12">
        <v>11.97</v>
      </c>
      <c r="Y12">
        <v>3</v>
      </c>
      <c r="Z12">
        <v>3.21</v>
      </c>
      <c r="AA12">
        <v>3.27</v>
      </c>
      <c r="AB12">
        <v>3.36</v>
      </c>
      <c r="AC12">
        <v>3.3</v>
      </c>
      <c r="AD12">
        <v>20</v>
      </c>
      <c r="AE12" t="s">
        <v>183</v>
      </c>
      <c r="AF12">
        <v>263.245</v>
      </c>
      <c r="AG12">
        <v>93.84</v>
      </c>
      <c r="AH12">
        <v>2.125</v>
      </c>
      <c r="AI12">
        <v>157.67500000000001</v>
      </c>
      <c r="AJ12">
        <v>39.418799999999997</v>
      </c>
      <c r="AK12">
        <v>10.71</v>
      </c>
      <c r="AL12">
        <v>3.75</v>
      </c>
      <c r="AM12">
        <v>4.0125000000000002</v>
      </c>
      <c r="AN12">
        <v>4.0875000000000004</v>
      </c>
      <c r="AO12">
        <v>4.2</v>
      </c>
      <c r="AP12">
        <v>4.125</v>
      </c>
      <c r="AQ12">
        <v>30</v>
      </c>
      <c r="AR12" t="s">
        <v>184</v>
      </c>
      <c r="AS12">
        <v>232.27500000000001</v>
      </c>
      <c r="AT12">
        <v>82.8</v>
      </c>
      <c r="AU12">
        <v>1.875</v>
      </c>
      <c r="AV12">
        <v>139.125</v>
      </c>
      <c r="AW12">
        <v>34.781199999999998</v>
      </c>
      <c r="AX12">
        <v>9.4499999999999993</v>
      </c>
      <c r="AY12">
        <v>4.05</v>
      </c>
      <c r="AZ12">
        <v>4.3334999999999999</v>
      </c>
      <c r="BA12">
        <v>4.4145000000000003</v>
      </c>
      <c r="BB12">
        <v>4.5359999999999996</v>
      </c>
      <c r="BC12">
        <v>4.4550000000000001</v>
      </c>
    </row>
    <row r="13" spans="1:58">
      <c r="A13">
        <v>14</v>
      </c>
      <c r="B13" t="s">
        <v>46</v>
      </c>
      <c r="C13" t="s">
        <v>122</v>
      </c>
      <c r="D13">
        <v>0</v>
      </c>
      <c r="E13" t="s">
        <v>109</v>
      </c>
      <c r="F13">
        <v>1568</v>
      </c>
      <c r="G13">
        <v>340.3</v>
      </c>
      <c r="H13">
        <v>6.1</v>
      </c>
      <c r="I13">
        <v>721.2</v>
      </c>
      <c r="J13">
        <v>180.3</v>
      </c>
      <c r="K13">
        <v>48.9</v>
      </c>
      <c r="L13">
        <v>0</v>
      </c>
      <c r="M13">
        <v>0</v>
      </c>
      <c r="N13">
        <v>0</v>
      </c>
      <c r="O13">
        <v>0</v>
      </c>
      <c r="P13">
        <v>0</v>
      </c>
      <c r="Q13">
        <v>10</v>
      </c>
      <c r="R13" t="s">
        <v>110</v>
      </c>
      <c r="S13">
        <v>1489.6</v>
      </c>
      <c r="T13">
        <v>323.28500000000003</v>
      </c>
      <c r="U13">
        <v>5.7949999999999999</v>
      </c>
      <c r="V13">
        <v>685.14</v>
      </c>
      <c r="W13">
        <v>171.285</v>
      </c>
      <c r="X13">
        <v>46.454999999999998</v>
      </c>
      <c r="Y13">
        <v>4</v>
      </c>
      <c r="Z13">
        <v>4.28</v>
      </c>
      <c r="AA13">
        <v>4.3600000000000003</v>
      </c>
      <c r="AB13">
        <v>4.4800000000000004</v>
      </c>
      <c r="AC13">
        <v>4.4000000000000004</v>
      </c>
      <c r="AD13">
        <v>20</v>
      </c>
      <c r="AE13" t="s">
        <v>183</v>
      </c>
      <c r="AF13">
        <v>1332.8</v>
      </c>
      <c r="AG13">
        <v>289.255</v>
      </c>
      <c r="AH13">
        <v>5.1849999999999996</v>
      </c>
      <c r="AI13">
        <v>613.02</v>
      </c>
      <c r="AJ13">
        <v>153.255</v>
      </c>
      <c r="AK13">
        <v>41.564999999999998</v>
      </c>
      <c r="AL13">
        <v>5</v>
      </c>
      <c r="AM13">
        <v>5.35</v>
      </c>
      <c r="AN13">
        <v>5.45</v>
      </c>
      <c r="AO13">
        <v>5.6</v>
      </c>
      <c r="AP13">
        <v>5.5</v>
      </c>
      <c r="AQ13">
        <v>30</v>
      </c>
      <c r="AR13" t="s">
        <v>184</v>
      </c>
      <c r="AS13">
        <v>1176</v>
      </c>
      <c r="AT13">
        <v>255.22499999999999</v>
      </c>
      <c r="AU13">
        <v>4.5750000000000002</v>
      </c>
      <c r="AV13">
        <v>540.9</v>
      </c>
      <c r="AW13">
        <v>135.22499999999999</v>
      </c>
      <c r="AX13">
        <v>36.674999999999997</v>
      </c>
      <c r="AY13">
        <v>5.4</v>
      </c>
      <c r="AZ13">
        <v>5.7779999999999996</v>
      </c>
      <c r="BA13">
        <v>5.8860000000000001</v>
      </c>
      <c r="BB13">
        <v>6.048</v>
      </c>
      <c r="BC13">
        <v>5.94</v>
      </c>
    </row>
    <row r="14" spans="1:58">
      <c r="A14">
        <v>11</v>
      </c>
      <c r="B14" t="s">
        <v>48</v>
      </c>
      <c r="C14" t="s">
        <v>123</v>
      </c>
      <c r="D14">
        <v>0</v>
      </c>
      <c r="E14" t="s">
        <v>109</v>
      </c>
      <c r="F14">
        <v>2479.5</v>
      </c>
      <c r="G14">
        <v>1168.2</v>
      </c>
      <c r="H14">
        <v>17.2</v>
      </c>
      <c r="I14">
        <v>1893.2</v>
      </c>
      <c r="J14">
        <v>473.3</v>
      </c>
      <c r="K14">
        <v>128.4</v>
      </c>
      <c r="L14">
        <v>0</v>
      </c>
      <c r="M14">
        <v>0</v>
      </c>
      <c r="N14">
        <v>0</v>
      </c>
      <c r="O14">
        <v>0</v>
      </c>
      <c r="P14">
        <v>0</v>
      </c>
      <c r="Q14">
        <v>10</v>
      </c>
      <c r="R14" t="s">
        <v>110</v>
      </c>
      <c r="S14">
        <v>2355.52</v>
      </c>
      <c r="T14">
        <v>1109.79</v>
      </c>
      <c r="U14">
        <v>16.34</v>
      </c>
      <c r="V14">
        <v>1798.54</v>
      </c>
      <c r="W14">
        <v>449.63499999999999</v>
      </c>
      <c r="X14">
        <v>121.98</v>
      </c>
      <c r="Y14">
        <v>14</v>
      </c>
      <c r="Z14">
        <v>14.98</v>
      </c>
      <c r="AA14">
        <v>15.26</v>
      </c>
      <c r="AB14">
        <v>15.68</v>
      </c>
      <c r="AC14">
        <v>15.4</v>
      </c>
      <c r="AD14">
        <v>20</v>
      </c>
      <c r="AE14" t="s">
        <v>183</v>
      </c>
      <c r="AF14">
        <v>2107.5700000000002</v>
      </c>
      <c r="AG14">
        <v>992.97</v>
      </c>
      <c r="AH14">
        <v>14.62</v>
      </c>
      <c r="AI14">
        <v>1609.22</v>
      </c>
      <c r="AJ14">
        <v>402.30500000000001</v>
      </c>
      <c r="AK14">
        <v>109.14</v>
      </c>
      <c r="AL14">
        <v>17.5</v>
      </c>
      <c r="AM14">
        <v>18.725000000000001</v>
      </c>
      <c r="AN14">
        <v>19.074999999999999</v>
      </c>
      <c r="AO14">
        <v>19.600000000000001</v>
      </c>
      <c r="AP14">
        <v>19.25</v>
      </c>
      <c r="AQ14">
        <v>30</v>
      </c>
      <c r="AR14" t="s">
        <v>184</v>
      </c>
      <c r="AS14">
        <v>1859.62</v>
      </c>
      <c r="AT14">
        <v>876.15</v>
      </c>
      <c r="AU14">
        <v>12.9</v>
      </c>
      <c r="AV14">
        <v>1419.9</v>
      </c>
      <c r="AW14">
        <v>354.97500000000002</v>
      </c>
      <c r="AX14">
        <v>96.3</v>
      </c>
      <c r="AY14">
        <v>18.899999999999999</v>
      </c>
      <c r="AZ14">
        <v>20.222999999999999</v>
      </c>
      <c r="BA14">
        <v>20.600999999999999</v>
      </c>
      <c r="BB14">
        <v>21.167999999999999</v>
      </c>
      <c r="BC14">
        <v>20.79</v>
      </c>
    </row>
    <row r="15" spans="1:58">
      <c r="A15">
        <v>16</v>
      </c>
      <c r="B15" t="s">
        <v>49</v>
      </c>
      <c r="C15" t="s">
        <v>124</v>
      </c>
      <c r="D15">
        <v>0</v>
      </c>
      <c r="E15" t="s">
        <v>109</v>
      </c>
      <c r="F15">
        <v>99.2</v>
      </c>
      <c r="G15">
        <v>74.5</v>
      </c>
      <c r="H15">
        <v>2.2999999999999998</v>
      </c>
      <c r="I15">
        <v>105.6</v>
      </c>
      <c r="J15">
        <v>26.4</v>
      </c>
      <c r="K15">
        <v>7.2</v>
      </c>
      <c r="L15">
        <v>0</v>
      </c>
      <c r="M15">
        <v>0</v>
      </c>
      <c r="N15">
        <v>0</v>
      </c>
      <c r="O15">
        <v>0</v>
      </c>
      <c r="P15">
        <v>0</v>
      </c>
      <c r="Q15">
        <v>10</v>
      </c>
      <c r="R15" t="s">
        <v>110</v>
      </c>
      <c r="S15">
        <v>94.24</v>
      </c>
      <c r="T15">
        <v>70.775000000000006</v>
      </c>
      <c r="U15">
        <v>2.1850000000000001</v>
      </c>
      <c r="V15">
        <v>100.32</v>
      </c>
      <c r="W15">
        <v>25.08</v>
      </c>
      <c r="X15">
        <v>6.84</v>
      </c>
      <c r="Y15">
        <v>6</v>
      </c>
      <c r="Z15">
        <v>6.42</v>
      </c>
      <c r="AA15">
        <v>6.54</v>
      </c>
      <c r="AB15">
        <v>6.72</v>
      </c>
      <c r="AC15">
        <v>6.6</v>
      </c>
      <c r="AD15">
        <v>20</v>
      </c>
      <c r="AE15" t="s">
        <v>183</v>
      </c>
      <c r="AF15">
        <v>84.32</v>
      </c>
      <c r="AG15">
        <v>63.325000000000003</v>
      </c>
      <c r="AH15">
        <v>1.9550000000000001</v>
      </c>
      <c r="AI15">
        <v>89.76</v>
      </c>
      <c r="AJ15">
        <v>22.44</v>
      </c>
      <c r="AK15">
        <v>6.12</v>
      </c>
      <c r="AL15">
        <v>7.5</v>
      </c>
      <c r="AM15">
        <v>8.0250000000000004</v>
      </c>
      <c r="AN15">
        <v>8.1750000000000007</v>
      </c>
      <c r="AO15">
        <v>8.4</v>
      </c>
      <c r="AP15">
        <v>8.25</v>
      </c>
      <c r="AQ15">
        <v>30</v>
      </c>
      <c r="AR15" t="s">
        <v>184</v>
      </c>
      <c r="AS15">
        <v>74.400000000000006</v>
      </c>
      <c r="AT15">
        <v>55.875</v>
      </c>
      <c r="AU15">
        <v>1.7250000000000001</v>
      </c>
      <c r="AV15">
        <v>79.2</v>
      </c>
      <c r="AW15">
        <v>19.8</v>
      </c>
      <c r="AX15">
        <v>5.4</v>
      </c>
      <c r="AY15">
        <v>8.1</v>
      </c>
      <c r="AZ15">
        <v>8.6669999999999998</v>
      </c>
      <c r="BA15">
        <v>8.8290000000000006</v>
      </c>
      <c r="BB15">
        <v>9.0719999999999992</v>
      </c>
      <c r="BC15">
        <v>8.91</v>
      </c>
    </row>
    <row r="16" spans="1:58">
      <c r="A16">
        <v>17</v>
      </c>
      <c r="B16" t="s">
        <v>50</v>
      </c>
      <c r="C16" t="s">
        <v>125</v>
      </c>
      <c r="D16">
        <v>0</v>
      </c>
      <c r="E16" t="s">
        <v>109</v>
      </c>
      <c r="F16">
        <v>303.3</v>
      </c>
      <c r="G16">
        <v>205.8</v>
      </c>
      <c r="H16">
        <v>0.1</v>
      </c>
      <c r="I16">
        <v>266.89999999999998</v>
      </c>
      <c r="J16">
        <v>66.724999999999994</v>
      </c>
      <c r="K16">
        <v>18.100000000000001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 t="s">
        <v>110</v>
      </c>
      <c r="S16">
        <v>288.13499999999999</v>
      </c>
      <c r="T16">
        <v>195.51</v>
      </c>
      <c r="U16">
        <v>9.5000000000000001E-2</v>
      </c>
      <c r="V16">
        <v>253.55500000000001</v>
      </c>
      <c r="W16">
        <v>63.3887</v>
      </c>
      <c r="X16">
        <v>17.195</v>
      </c>
      <c r="Y16">
        <v>7</v>
      </c>
      <c r="Z16">
        <v>7.49</v>
      </c>
      <c r="AA16">
        <v>7.63</v>
      </c>
      <c r="AB16">
        <v>7.84</v>
      </c>
      <c r="AC16">
        <v>7.7</v>
      </c>
      <c r="AD16">
        <v>20</v>
      </c>
      <c r="AE16" t="s">
        <v>183</v>
      </c>
      <c r="AF16">
        <v>257.80500000000001</v>
      </c>
      <c r="AG16">
        <v>174.93</v>
      </c>
      <c r="AH16">
        <v>8.5000000000000006E-2</v>
      </c>
      <c r="AI16">
        <v>226.86500000000001</v>
      </c>
      <c r="AJ16">
        <v>56.716200000000001</v>
      </c>
      <c r="AK16">
        <v>15.385</v>
      </c>
      <c r="AL16">
        <v>8.75</v>
      </c>
      <c r="AM16">
        <v>9.3625000000000007</v>
      </c>
      <c r="AN16">
        <v>9.5374999999999996</v>
      </c>
      <c r="AO16">
        <v>9.8000000000000007</v>
      </c>
      <c r="AP16">
        <v>9.625</v>
      </c>
      <c r="AQ16">
        <v>30</v>
      </c>
      <c r="AR16" t="s">
        <v>184</v>
      </c>
      <c r="AS16">
        <v>227.47499999999999</v>
      </c>
      <c r="AT16">
        <v>154.35</v>
      </c>
      <c r="AU16">
        <v>7.4999999999999997E-2</v>
      </c>
      <c r="AV16">
        <v>200.17500000000001</v>
      </c>
      <c r="AW16">
        <v>50.043700000000001</v>
      </c>
      <c r="AX16">
        <v>13.574999999999999</v>
      </c>
      <c r="AY16">
        <v>9.4499999999999993</v>
      </c>
      <c r="AZ16">
        <v>10.111499999999999</v>
      </c>
      <c r="BA16">
        <v>10.3005</v>
      </c>
      <c r="BB16">
        <v>10.584</v>
      </c>
      <c r="BC16">
        <v>10.395</v>
      </c>
    </row>
    <row r="17" spans="1:55">
      <c r="A17">
        <v>15</v>
      </c>
      <c r="B17" t="s">
        <v>51</v>
      </c>
      <c r="C17" t="s">
        <v>126</v>
      </c>
      <c r="D17">
        <v>0</v>
      </c>
      <c r="E17" t="s">
        <v>109</v>
      </c>
      <c r="F17">
        <v>184.6</v>
      </c>
      <c r="G17">
        <v>91.3</v>
      </c>
      <c r="H17">
        <v>0.1</v>
      </c>
      <c r="I17">
        <v>136.1</v>
      </c>
      <c r="J17">
        <v>34.024999999999999</v>
      </c>
      <c r="K17">
        <v>9.1999999999999993</v>
      </c>
      <c r="L17">
        <v>0</v>
      </c>
      <c r="M17">
        <v>0</v>
      </c>
      <c r="N17">
        <v>0</v>
      </c>
      <c r="O17">
        <v>0</v>
      </c>
      <c r="P17">
        <v>0</v>
      </c>
      <c r="Q17">
        <v>10</v>
      </c>
      <c r="R17" t="s">
        <v>110</v>
      </c>
      <c r="S17">
        <v>175.37</v>
      </c>
      <c r="T17">
        <v>86.734999999999999</v>
      </c>
      <c r="U17">
        <v>9.5000000000000001E-2</v>
      </c>
      <c r="V17">
        <v>129.29499999999999</v>
      </c>
      <c r="W17">
        <v>32.323799999999999</v>
      </c>
      <c r="X17">
        <v>8.74</v>
      </c>
      <c r="Y17">
        <v>5</v>
      </c>
      <c r="Z17">
        <v>5.35</v>
      </c>
      <c r="AA17">
        <v>5.45</v>
      </c>
      <c r="AB17">
        <v>5.6</v>
      </c>
      <c r="AC17">
        <v>5.5</v>
      </c>
      <c r="AD17">
        <v>20</v>
      </c>
      <c r="AE17" t="s">
        <v>183</v>
      </c>
      <c r="AF17">
        <v>156.91</v>
      </c>
      <c r="AG17">
        <v>77.605000000000004</v>
      </c>
      <c r="AH17">
        <v>8.5000000000000006E-2</v>
      </c>
      <c r="AI17">
        <v>115.685</v>
      </c>
      <c r="AJ17">
        <v>28.921299999999999</v>
      </c>
      <c r="AK17">
        <v>7.82</v>
      </c>
      <c r="AL17">
        <v>6.25</v>
      </c>
      <c r="AM17">
        <v>6.6875</v>
      </c>
      <c r="AN17">
        <v>6.8125</v>
      </c>
      <c r="AO17">
        <v>7</v>
      </c>
      <c r="AP17">
        <v>6.875</v>
      </c>
      <c r="AQ17">
        <v>30</v>
      </c>
      <c r="AR17" t="s">
        <v>184</v>
      </c>
      <c r="AS17">
        <v>138.44999999999999</v>
      </c>
      <c r="AT17">
        <v>68.474999999999994</v>
      </c>
      <c r="AU17">
        <v>7.4999999999999997E-2</v>
      </c>
      <c r="AV17">
        <v>102.075</v>
      </c>
      <c r="AW17">
        <v>25.518799999999999</v>
      </c>
      <c r="AX17">
        <v>6.9</v>
      </c>
      <c r="AY17">
        <v>6.75</v>
      </c>
      <c r="AZ17">
        <v>7.2225000000000001</v>
      </c>
      <c r="BA17">
        <v>7.3574999999999999</v>
      </c>
      <c r="BB17">
        <v>7.56</v>
      </c>
      <c r="BC17">
        <v>7.4249999999999998</v>
      </c>
    </row>
    <row r="18" spans="1:55">
      <c r="A18">
        <v>19</v>
      </c>
      <c r="B18" t="s">
        <v>53</v>
      </c>
      <c r="C18" t="s">
        <v>127</v>
      </c>
      <c r="D18">
        <v>0</v>
      </c>
      <c r="E18" t="s">
        <v>109</v>
      </c>
      <c r="F18">
        <v>2576.9</v>
      </c>
      <c r="G18">
        <v>922.8</v>
      </c>
      <c r="H18">
        <v>12.9</v>
      </c>
      <c r="I18">
        <v>1417.7</v>
      </c>
      <c r="J18">
        <v>354.42500000000001</v>
      </c>
      <c r="K18">
        <v>96.1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 t="s">
        <v>110</v>
      </c>
      <c r="S18">
        <v>2448.0500000000002</v>
      </c>
      <c r="T18">
        <v>876.66</v>
      </c>
      <c r="U18">
        <v>12.255000000000001</v>
      </c>
      <c r="V18">
        <v>1346.81</v>
      </c>
      <c r="W18">
        <v>336.70400000000001</v>
      </c>
      <c r="X18">
        <v>91.295000000000002</v>
      </c>
      <c r="Y18">
        <v>9</v>
      </c>
      <c r="Z18">
        <v>9.6300000000000008</v>
      </c>
      <c r="AA18">
        <v>9.81</v>
      </c>
      <c r="AB18">
        <v>10.08</v>
      </c>
      <c r="AC18">
        <v>9.9</v>
      </c>
      <c r="AD18">
        <v>20</v>
      </c>
      <c r="AE18" t="s">
        <v>183</v>
      </c>
      <c r="AF18">
        <v>2190.36</v>
      </c>
      <c r="AG18">
        <v>784.38</v>
      </c>
      <c r="AH18">
        <v>10.965</v>
      </c>
      <c r="AI18">
        <v>1205.04</v>
      </c>
      <c r="AJ18">
        <v>301.26100000000002</v>
      </c>
      <c r="AK18">
        <v>81.685000000000002</v>
      </c>
      <c r="AL18">
        <v>11.25</v>
      </c>
      <c r="AM18">
        <v>12.0375</v>
      </c>
      <c r="AN18">
        <v>12.262499999999999</v>
      </c>
      <c r="AO18">
        <v>12.6</v>
      </c>
      <c r="AP18">
        <v>12.375</v>
      </c>
      <c r="AQ18">
        <v>30</v>
      </c>
      <c r="AR18" t="s">
        <v>184</v>
      </c>
      <c r="AS18">
        <v>1932.67</v>
      </c>
      <c r="AT18">
        <v>692.1</v>
      </c>
      <c r="AU18">
        <v>9.6750000000000007</v>
      </c>
      <c r="AV18">
        <v>1063.27</v>
      </c>
      <c r="AW18">
        <v>265.81900000000002</v>
      </c>
      <c r="AX18">
        <v>72.075000000000003</v>
      </c>
      <c r="AY18">
        <v>12.15</v>
      </c>
      <c r="AZ18">
        <v>13.000500000000001</v>
      </c>
      <c r="BA18">
        <v>13.243499999999999</v>
      </c>
      <c r="BB18">
        <v>13.608000000000001</v>
      </c>
      <c r="BC18">
        <v>13.365</v>
      </c>
    </row>
    <row r="19" spans="1:55">
      <c r="A19">
        <v>36</v>
      </c>
      <c r="B19" t="s">
        <v>128</v>
      </c>
      <c r="C19" t="s">
        <v>129</v>
      </c>
      <c r="D19">
        <v>0</v>
      </c>
      <c r="E19" t="s">
        <v>109</v>
      </c>
      <c r="F19">
        <v>47.9</v>
      </c>
      <c r="G19">
        <v>10.7</v>
      </c>
      <c r="H19">
        <v>0.9</v>
      </c>
      <c r="I19">
        <v>19.3</v>
      </c>
      <c r="J19">
        <v>4.8250000000000002</v>
      </c>
      <c r="K19">
        <v>1.3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 t="s">
        <v>110</v>
      </c>
      <c r="S19">
        <v>45.505000000000003</v>
      </c>
      <c r="T19">
        <v>10.164999999999999</v>
      </c>
      <c r="U19">
        <v>0.85499999999999998</v>
      </c>
      <c r="V19">
        <v>18.335000000000001</v>
      </c>
      <c r="W19">
        <v>4.5837500000000002</v>
      </c>
      <c r="X19">
        <v>1.2350000000000001</v>
      </c>
      <c r="Y19">
        <v>13</v>
      </c>
      <c r="Z19">
        <v>13.91</v>
      </c>
      <c r="AA19">
        <v>14.17</v>
      </c>
      <c r="AB19">
        <v>14.56</v>
      </c>
      <c r="AC19">
        <v>14.3</v>
      </c>
      <c r="AD19">
        <v>20</v>
      </c>
      <c r="AE19" t="s">
        <v>183</v>
      </c>
      <c r="AF19">
        <v>40.715000000000003</v>
      </c>
      <c r="AG19">
        <v>9.0950000000000006</v>
      </c>
      <c r="AH19">
        <v>0.76500000000000001</v>
      </c>
      <c r="AI19">
        <v>16.405000000000001</v>
      </c>
      <c r="AJ19">
        <v>4.1012500000000003</v>
      </c>
      <c r="AK19">
        <v>1.105</v>
      </c>
      <c r="AL19">
        <v>16.25</v>
      </c>
      <c r="AM19">
        <v>17.387499999999999</v>
      </c>
      <c r="AN19">
        <v>17.712499999999999</v>
      </c>
      <c r="AO19">
        <v>18.2</v>
      </c>
      <c r="AP19">
        <v>17.875</v>
      </c>
      <c r="AQ19">
        <v>30</v>
      </c>
      <c r="AR19" t="s">
        <v>184</v>
      </c>
      <c r="AS19">
        <v>35.924999999999997</v>
      </c>
      <c r="AT19">
        <v>8.0250000000000004</v>
      </c>
      <c r="AU19">
        <v>0.67500000000000004</v>
      </c>
      <c r="AV19">
        <v>14.475</v>
      </c>
      <c r="AW19">
        <v>3.6187499999999999</v>
      </c>
      <c r="AX19">
        <v>0.97499999999999998</v>
      </c>
      <c r="AY19">
        <v>17.55</v>
      </c>
      <c r="AZ19">
        <v>18.778500000000001</v>
      </c>
      <c r="BA19">
        <v>19.1295</v>
      </c>
      <c r="BB19">
        <v>19.655999999999999</v>
      </c>
      <c r="BC19">
        <v>19.305</v>
      </c>
    </row>
    <row r="20" spans="1:55">
      <c r="A20">
        <v>21</v>
      </c>
      <c r="B20" t="s">
        <v>54</v>
      </c>
      <c r="C20" t="s">
        <v>130</v>
      </c>
      <c r="D20">
        <v>0</v>
      </c>
      <c r="E20" t="s">
        <v>109</v>
      </c>
      <c r="F20">
        <v>104</v>
      </c>
      <c r="G20">
        <v>47.1</v>
      </c>
      <c r="H20">
        <v>0</v>
      </c>
      <c r="I20">
        <v>66.3</v>
      </c>
      <c r="J20">
        <v>16.574999999999999</v>
      </c>
      <c r="K20">
        <v>4.5</v>
      </c>
      <c r="L20">
        <v>0</v>
      </c>
      <c r="M20">
        <v>0</v>
      </c>
      <c r="N20">
        <v>0</v>
      </c>
      <c r="O20">
        <v>0</v>
      </c>
      <c r="P20">
        <v>0</v>
      </c>
      <c r="Q20">
        <v>10</v>
      </c>
      <c r="R20" t="s">
        <v>110</v>
      </c>
      <c r="S20">
        <v>98.8</v>
      </c>
      <c r="T20">
        <v>44.744999999999997</v>
      </c>
      <c r="U20">
        <v>0</v>
      </c>
      <c r="V20">
        <v>62.984999999999999</v>
      </c>
      <c r="W20">
        <v>15.7463</v>
      </c>
      <c r="X20">
        <v>4.2750000000000004</v>
      </c>
      <c r="Y20">
        <v>11</v>
      </c>
      <c r="Z20">
        <v>11.77</v>
      </c>
      <c r="AA20">
        <v>11.99</v>
      </c>
      <c r="AB20">
        <v>12.32</v>
      </c>
      <c r="AC20">
        <v>12.1</v>
      </c>
      <c r="AD20">
        <v>20</v>
      </c>
      <c r="AE20" t="s">
        <v>183</v>
      </c>
      <c r="AF20">
        <v>88.4</v>
      </c>
      <c r="AG20">
        <v>40.034999999999997</v>
      </c>
      <c r="AH20">
        <v>0</v>
      </c>
      <c r="AI20">
        <v>56.354999999999997</v>
      </c>
      <c r="AJ20">
        <v>14.088800000000001</v>
      </c>
      <c r="AK20">
        <v>3.8250000000000002</v>
      </c>
      <c r="AL20">
        <v>13.75</v>
      </c>
      <c r="AM20">
        <v>14.7125</v>
      </c>
      <c r="AN20">
        <v>14.987500000000001</v>
      </c>
      <c r="AO20">
        <v>15.4</v>
      </c>
      <c r="AP20">
        <v>15.125</v>
      </c>
      <c r="AQ20">
        <v>30</v>
      </c>
      <c r="AR20" t="s">
        <v>184</v>
      </c>
      <c r="AS20">
        <v>78</v>
      </c>
      <c r="AT20">
        <v>35.325000000000003</v>
      </c>
      <c r="AU20">
        <v>0</v>
      </c>
      <c r="AV20">
        <v>49.725000000000001</v>
      </c>
      <c r="AW20">
        <v>12.4313</v>
      </c>
      <c r="AX20">
        <v>3.375</v>
      </c>
      <c r="AY20">
        <v>14.85</v>
      </c>
      <c r="AZ20">
        <v>15.8895</v>
      </c>
      <c r="BA20">
        <v>16.186499999999999</v>
      </c>
      <c r="BB20">
        <v>16.632000000000001</v>
      </c>
      <c r="BC20">
        <v>16.335000000000001</v>
      </c>
    </row>
    <row r="21" spans="1:55">
      <c r="A21">
        <v>22</v>
      </c>
      <c r="B21" t="s">
        <v>55</v>
      </c>
      <c r="C21" t="s">
        <v>131</v>
      </c>
      <c r="D21">
        <v>0</v>
      </c>
      <c r="E21" t="s">
        <v>109</v>
      </c>
      <c r="F21">
        <v>16.3</v>
      </c>
      <c r="G21">
        <v>16.2</v>
      </c>
      <c r="H21">
        <v>0.2</v>
      </c>
      <c r="I21">
        <v>21.1</v>
      </c>
      <c r="J21">
        <v>5.2750000000000004</v>
      </c>
      <c r="K21">
        <v>1.4</v>
      </c>
      <c r="L21">
        <v>0</v>
      </c>
      <c r="M21">
        <v>0</v>
      </c>
      <c r="N21">
        <v>0</v>
      </c>
      <c r="O21">
        <v>0</v>
      </c>
      <c r="P21">
        <v>0</v>
      </c>
      <c r="Q21">
        <v>10</v>
      </c>
      <c r="R21" t="s">
        <v>110</v>
      </c>
      <c r="S21">
        <v>15.484999999999999</v>
      </c>
      <c r="T21">
        <v>15.39</v>
      </c>
      <c r="U21">
        <v>0.19</v>
      </c>
      <c r="V21">
        <v>20.045000000000002</v>
      </c>
      <c r="W21">
        <v>5.0112500000000004</v>
      </c>
      <c r="X21">
        <v>1.33</v>
      </c>
      <c r="Y21">
        <v>12</v>
      </c>
      <c r="Z21">
        <v>12.84</v>
      </c>
      <c r="AA21">
        <v>13.08</v>
      </c>
      <c r="AB21">
        <v>13.44</v>
      </c>
      <c r="AC21">
        <v>13.2</v>
      </c>
      <c r="AD21">
        <v>20</v>
      </c>
      <c r="AE21" t="s">
        <v>183</v>
      </c>
      <c r="AF21">
        <v>13.855</v>
      </c>
      <c r="AG21">
        <v>13.77</v>
      </c>
      <c r="AH21">
        <v>0.17</v>
      </c>
      <c r="AI21">
        <v>17.934999999999999</v>
      </c>
      <c r="AJ21">
        <v>4.4837499999999997</v>
      </c>
      <c r="AK21">
        <v>1.19</v>
      </c>
      <c r="AL21">
        <v>15</v>
      </c>
      <c r="AM21">
        <v>16.05</v>
      </c>
      <c r="AN21">
        <v>16.350000000000001</v>
      </c>
      <c r="AO21">
        <v>16.8</v>
      </c>
      <c r="AP21">
        <v>16.5</v>
      </c>
      <c r="AQ21">
        <v>30</v>
      </c>
      <c r="AR21" t="s">
        <v>184</v>
      </c>
      <c r="AS21">
        <v>12.225</v>
      </c>
      <c r="AT21">
        <v>12.15</v>
      </c>
      <c r="AU21">
        <v>0.15</v>
      </c>
      <c r="AV21">
        <v>15.824999999999999</v>
      </c>
      <c r="AW21">
        <v>3.9562499999999998</v>
      </c>
      <c r="AX21">
        <v>1.05</v>
      </c>
      <c r="AY21">
        <v>16.2</v>
      </c>
      <c r="AZ21">
        <v>17.334</v>
      </c>
      <c r="BA21">
        <v>17.658000000000001</v>
      </c>
      <c r="BB21">
        <v>18.143999999999998</v>
      </c>
      <c r="BC21">
        <v>17.82</v>
      </c>
    </row>
    <row r="22" spans="1:55">
      <c r="A22">
        <v>23</v>
      </c>
      <c r="B22" t="s">
        <v>56</v>
      </c>
      <c r="C22" t="s">
        <v>132</v>
      </c>
      <c r="D22">
        <v>0</v>
      </c>
      <c r="E22" t="s">
        <v>109</v>
      </c>
      <c r="F22">
        <v>64.5</v>
      </c>
      <c r="G22">
        <v>41.7</v>
      </c>
      <c r="H22">
        <v>0</v>
      </c>
      <c r="I22">
        <v>59.4</v>
      </c>
      <c r="J22">
        <v>14.85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10</v>
      </c>
      <c r="R22" t="s">
        <v>110</v>
      </c>
      <c r="S22">
        <v>61.274999999999999</v>
      </c>
      <c r="T22">
        <v>39.615000000000002</v>
      </c>
      <c r="U22">
        <v>0</v>
      </c>
      <c r="V22">
        <v>56.43</v>
      </c>
      <c r="W22">
        <v>14.1075</v>
      </c>
      <c r="X22">
        <v>3.8</v>
      </c>
      <c r="Y22">
        <v>13</v>
      </c>
      <c r="Z22">
        <v>13.91</v>
      </c>
      <c r="AA22">
        <v>14.17</v>
      </c>
      <c r="AB22">
        <v>14.56</v>
      </c>
      <c r="AC22">
        <v>14.3</v>
      </c>
      <c r="AD22">
        <v>20</v>
      </c>
      <c r="AE22" t="s">
        <v>183</v>
      </c>
      <c r="AF22">
        <v>54.825000000000003</v>
      </c>
      <c r="AG22">
        <v>35.445</v>
      </c>
      <c r="AH22">
        <v>0</v>
      </c>
      <c r="AI22">
        <v>50.49</v>
      </c>
      <c r="AJ22">
        <v>12.6225</v>
      </c>
      <c r="AK22">
        <v>3.4</v>
      </c>
      <c r="AL22">
        <v>16.25</v>
      </c>
      <c r="AM22">
        <v>17.387499999999999</v>
      </c>
      <c r="AN22">
        <v>17.712499999999999</v>
      </c>
      <c r="AO22">
        <v>18.2</v>
      </c>
      <c r="AP22">
        <v>17.875</v>
      </c>
      <c r="AQ22">
        <v>30</v>
      </c>
      <c r="AR22" t="s">
        <v>184</v>
      </c>
      <c r="AS22">
        <v>48.375</v>
      </c>
      <c r="AT22">
        <v>31.274999999999999</v>
      </c>
      <c r="AU22">
        <v>0</v>
      </c>
      <c r="AV22">
        <v>44.55</v>
      </c>
      <c r="AW22">
        <v>11.137499999999999</v>
      </c>
      <c r="AX22">
        <v>3</v>
      </c>
      <c r="AY22">
        <v>17.55</v>
      </c>
      <c r="AZ22">
        <v>18.778500000000001</v>
      </c>
      <c r="BA22">
        <v>19.1295</v>
      </c>
      <c r="BB22">
        <v>19.655999999999999</v>
      </c>
      <c r="BC22">
        <v>19.305</v>
      </c>
    </row>
    <row r="23" spans="1:55">
      <c r="A23">
        <v>24</v>
      </c>
      <c r="B23" t="s">
        <v>133</v>
      </c>
      <c r="C23" t="s">
        <v>134</v>
      </c>
      <c r="D23">
        <v>0</v>
      </c>
      <c r="E23" t="s">
        <v>109</v>
      </c>
      <c r="F23">
        <v>16.600000000000001</v>
      </c>
      <c r="G23">
        <v>0</v>
      </c>
      <c r="H23">
        <v>0.2</v>
      </c>
      <c r="I23">
        <v>14</v>
      </c>
      <c r="J23">
        <v>3.5</v>
      </c>
      <c r="K23">
        <v>0.9</v>
      </c>
      <c r="L23">
        <v>0</v>
      </c>
      <c r="M23">
        <v>0</v>
      </c>
      <c r="N23">
        <v>0</v>
      </c>
      <c r="O23">
        <v>0</v>
      </c>
      <c r="P23">
        <v>0</v>
      </c>
      <c r="Q23">
        <v>10</v>
      </c>
      <c r="R23" t="s">
        <v>110</v>
      </c>
      <c r="S23">
        <v>15.77</v>
      </c>
      <c r="T23">
        <v>0</v>
      </c>
      <c r="U23">
        <v>0.19</v>
      </c>
      <c r="V23">
        <v>13.3</v>
      </c>
      <c r="W23">
        <v>3.3250000000000002</v>
      </c>
      <c r="X23">
        <v>0.85499999999999998</v>
      </c>
      <c r="Y23">
        <v>14</v>
      </c>
      <c r="Z23">
        <v>14.98</v>
      </c>
      <c r="AA23">
        <v>15.26</v>
      </c>
      <c r="AB23">
        <v>15.68</v>
      </c>
      <c r="AC23">
        <v>15.4</v>
      </c>
      <c r="AD23">
        <v>20</v>
      </c>
      <c r="AE23" t="s">
        <v>183</v>
      </c>
      <c r="AF23">
        <v>14.11</v>
      </c>
      <c r="AG23">
        <v>0</v>
      </c>
      <c r="AH23">
        <v>0.17</v>
      </c>
      <c r="AI23">
        <v>11.9</v>
      </c>
      <c r="AJ23">
        <v>2.9750000000000001</v>
      </c>
      <c r="AK23">
        <v>0.76500000000000001</v>
      </c>
      <c r="AL23">
        <v>17.5</v>
      </c>
      <c r="AM23">
        <v>18.725000000000001</v>
      </c>
      <c r="AN23">
        <v>19.074999999999999</v>
      </c>
      <c r="AO23">
        <v>19.600000000000001</v>
      </c>
      <c r="AP23">
        <v>19.25</v>
      </c>
      <c r="AQ23">
        <v>30</v>
      </c>
      <c r="AR23" t="s">
        <v>184</v>
      </c>
      <c r="AS23">
        <v>12.45</v>
      </c>
      <c r="AT23">
        <v>0</v>
      </c>
      <c r="AU23">
        <v>0.15</v>
      </c>
      <c r="AV23">
        <v>10.5</v>
      </c>
      <c r="AW23">
        <v>2.625</v>
      </c>
      <c r="AX23">
        <v>0.67500000000000004</v>
      </c>
      <c r="AY23">
        <v>18.899999999999999</v>
      </c>
      <c r="AZ23">
        <v>20.222999999999999</v>
      </c>
      <c r="BA23">
        <v>20.600999999999999</v>
      </c>
      <c r="BB23">
        <v>21.167999999999999</v>
      </c>
      <c r="BC23">
        <v>20.79</v>
      </c>
    </row>
    <row r="24" spans="1:55">
      <c r="A24">
        <v>25</v>
      </c>
      <c r="B24" t="s">
        <v>135</v>
      </c>
      <c r="C24" t="s">
        <v>136</v>
      </c>
      <c r="D24">
        <v>0</v>
      </c>
      <c r="E24" t="s">
        <v>109</v>
      </c>
      <c r="F24">
        <v>45.5</v>
      </c>
      <c r="G24">
        <v>10.1</v>
      </c>
      <c r="H24">
        <v>1.3</v>
      </c>
      <c r="I24">
        <v>22.5</v>
      </c>
      <c r="J24">
        <v>5.625</v>
      </c>
      <c r="K24">
        <v>1.5</v>
      </c>
      <c r="L24">
        <v>0</v>
      </c>
      <c r="M24">
        <v>0</v>
      </c>
      <c r="N24">
        <v>0</v>
      </c>
      <c r="O24">
        <v>0</v>
      </c>
      <c r="P24">
        <v>0</v>
      </c>
      <c r="Q24">
        <v>10</v>
      </c>
      <c r="R24" t="s">
        <v>110</v>
      </c>
      <c r="S24">
        <v>43.225000000000001</v>
      </c>
      <c r="T24">
        <v>9.5950000000000006</v>
      </c>
      <c r="U24">
        <v>1.2350000000000001</v>
      </c>
      <c r="V24">
        <v>21.375</v>
      </c>
      <c r="W24">
        <v>5.34375</v>
      </c>
      <c r="X24">
        <v>1.425</v>
      </c>
      <c r="Y24">
        <v>15</v>
      </c>
      <c r="Z24">
        <v>16.05</v>
      </c>
      <c r="AA24">
        <v>16.350000000000001</v>
      </c>
      <c r="AB24">
        <v>16.8</v>
      </c>
      <c r="AC24">
        <v>16.5</v>
      </c>
      <c r="AD24">
        <v>20</v>
      </c>
      <c r="AE24" t="s">
        <v>183</v>
      </c>
      <c r="AF24">
        <v>38.674999999999997</v>
      </c>
      <c r="AG24">
        <v>8.5850000000000009</v>
      </c>
      <c r="AH24">
        <v>1.105</v>
      </c>
      <c r="AI24">
        <v>19.125</v>
      </c>
      <c r="AJ24">
        <v>4.78125</v>
      </c>
      <c r="AK24">
        <v>1.2749999999999999</v>
      </c>
      <c r="AL24">
        <v>18.75</v>
      </c>
      <c r="AM24">
        <v>20.0625</v>
      </c>
      <c r="AN24">
        <v>20.4375</v>
      </c>
      <c r="AO24">
        <v>21</v>
      </c>
      <c r="AP24">
        <v>20.625</v>
      </c>
      <c r="AQ24">
        <v>30</v>
      </c>
      <c r="AR24" t="s">
        <v>184</v>
      </c>
      <c r="AS24">
        <v>34.125</v>
      </c>
      <c r="AT24">
        <v>7.5750000000000002</v>
      </c>
      <c r="AU24">
        <v>0.97499999999999998</v>
      </c>
      <c r="AV24">
        <v>16.875</v>
      </c>
      <c r="AW24">
        <v>4.21875</v>
      </c>
      <c r="AX24">
        <v>1.125</v>
      </c>
      <c r="AY24">
        <v>20.25</v>
      </c>
      <c r="AZ24">
        <v>21.6675</v>
      </c>
      <c r="BA24">
        <v>22.072500000000002</v>
      </c>
      <c r="BB24">
        <v>22.68</v>
      </c>
      <c r="BC24">
        <v>22.274999999999999</v>
      </c>
    </row>
    <row r="25" spans="1:55">
      <c r="A25">
        <v>26</v>
      </c>
      <c r="B25" t="s">
        <v>68</v>
      </c>
      <c r="C25" t="s">
        <v>137</v>
      </c>
      <c r="D25">
        <v>0</v>
      </c>
      <c r="E25" t="s">
        <v>109</v>
      </c>
      <c r="F25">
        <v>13.5</v>
      </c>
      <c r="G25">
        <v>0.4</v>
      </c>
      <c r="H25">
        <v>0.3</v>
      </c>
      <c r="I25">
        <v>2.9</v>
      </c>
      <c r="J25">
        <v>0.72499999999999998</v>
      </c>
      <c r="K25">
        <v>0.2</v>
      </c>
      <c r="L25">
        <v>0</v>
      </c>
      <c r="M25">
        <v>0</v>
      </c>
      <c r="N25">
        <v>0</v>
      </c>
      <c r="O25">
        <v>0</v>
      </c>
      <c r="P25">
        <v>0</v>
      </c>
      <c r="Q25">
        <v>10</v>
      </c>
      <c r="R25" t="s">
        <v>110</v>
      </c>
      <c r="S25">
        <v>12.824999999999999</v>
      </c>
      <c r="T25">
        <v>0.38</v>
      </c>
      <c r="U25">
        <v>0.28499999999999998</v>
      </c>
      <c r="V25">
        <v>2.7549999999999999</v>
      </c>
      <c r="W25">
        <v>0.68874999999999997</v>
      </c>
      <c r="X25">
        <v>0.19</v>
      </c>
      <c r="Y25">
        <v>3</v>
      </c>
      <c r="Z25">
        <v>3.21</v>
      </c>
      <c r="AA25">
        <v>3.27</v>
      </c>
      <c r="AB25">
        <v>3.36</v>
      </c>
      <c r="AC25">
        <v>3.3</v>
      </c>
      <c r="AD25">
        <v>20</v>
      </c>
      <c r="AE25" t="s">
        <v>183</v>
      </c>
      <c r="AF25">
        <v>11.475</v>
      </c>
      <c r="AG25">
        <v>0.34</v>
      </c>
      <c r="AH25">
        <v>0.255</v>
      </c>
      <c r="AI25">
        <v>2.4649999999999999</v>
      </c>
      <c r="AJ25">
        <v>0.61624999999999996</v>
      </c>
      <c r="AK25">
        <v>0.17</v>
      </c>
      <c r="AL25">
        <v>3.75</v>
      </c>
      <c r="AM25">
        <v>4.0125000000000002</v>
      </c>
      <c r="AN25">
        <v>4.0875000000000004</v>
      </c>
      <c r="AO25">
        <v>4.2</v>
      </c>
      <c r="AP25">
        <v>4.125</v>
      </c>
      <c r="AQ25">
        <v>30</v>
      </c>
      <c r="AR25" t="s">
        <v>184</v>
      </c>
      <c r="AS25">
        <v>10.125</v>
      </c>
      <c r="AT25">
        <v>0.3</v>
      </c>
      <c r="AU25">
        <v>0.22500000000000001</v>
      </c>
      <c r="AV25">
        <v>2.1749999999999998</v>
      </c>
      <c r="AW25">
        <v>0.54374999999999996</v>
      </c>
      <c r="AX25">
        <v>0.15</v>
      </c>
      <c r="AY25">
        <v>4.05</v>
      </c>
      <c r="AZ25">
        <v>4.3334999999999999</v>
      </c>
      <c r="BA25">
        <v>4.4145000000000003</v>
      </c>
      <c r="BB25">
        <v>4.5359999999999996</v>
      </c>
      <c r="BC25">
        <v>4.4550000000000001</v>
      </c>
    </row>
    <row r="26" spans="1:55">
      <c r="A26">
        <v>20</v>
      </c>
      <c r="B26" t="s">
        <v>58</v>
      </c>
      <c r="C26" t="s">
        <v>138</v>
      </c>
      <c r="D26">
        <v>0</v>
      </c>
      <c r="E26" t="s">
        <v>109</v>
      </c>
      <c r="F26">
        <v>718.9</v>
      </c>
      <c r="G26">
        <v>344.7</v>
      </c>
      <c r="H26">
        <v>1.6</v>
      </c>
      <c r="I26">
        <v>506.3</v>
      </c>
      <c r="J26">
        <v>126.575</v>
      </c>
      <c r="K26">
        <v>34.299999999999997</v>
      </c>
      <c r="L26">
        <v>0</v>
      </c>
      <c r="M26">
        <v>0</v>
      </c>
      <c r="N26">
        <v>0</v>
      </c>
      <c r="O26">
        <v>0</v>
      </c>
      <c r="P26">
        <v>0</v>
      </c>
      <c r="Q26">
        <v>10</v>
      </c>
      <c r="R26" t="s">
        <v>110</v>
      </c>
      <c r="S26">
        <v>682.95500000000004</v>
      </c>
      <c r="T26">
        <v>327.46499999999997</v>
      </c>
      <c r="U26">
        <v>1.52</v>
      </c>
      <c r="V26">
        <v>480.98500000000001</v>
      </c>
      <c r="W26">
        <v>120.246</v>
      </c>
      <c r="X26">
        <v>32.585000000000001</v>
      </c>
      <c r="Y26">
        <v>10</v>
      </c>
      <c r="Z26">
        <v>10.7</v>
      </c>
      <c r="AA26">
        <v>10.9</v>
      </c>
      <c r="AB26">
        <v>11.2</v>
      </c>
      <c r="AC26">
        <v>11</v>
      </c>
      <c r="AD26">
        <v>20</v>
      </c>
      <c r="AE26" t="s">
        <v>183</v>
      </c>
      <c r="AF26">
        <v>611.06500000000005</v>
      </c>
      <c r="AG26">
        <v>292.995</v>
      </c>
      <c r="AH26">
        <v>1.36</v>
      </c>
      <c r="AI26">
        <v>430.35500000000002</v>
      </c>
      <c r="AJ26">
        <v>107.589</v>
      </c>
      <c r="AK26">
        <v>29.155000000000001</v>
      </c>
      <c r="AL26">
        <v>12.5</v>
      </c>
      <c r="AM26">
        <v>13.375</v>
      </c>
      <c r="AN26">
        <v>13.625</v>
      </c>
      <c r="AO26">
        <v>14</v>
      </c>
      <c r="AP26">
        <v>13.75</v>
      </c>
      <c r="AQ26">
        <v>30</v>
      </c>
      <c r="AR26" t="s">
        <v>184</v>
      </c>
      <c r="AS26">
        <v>539.17499999999995</v>
      </c>
      <c r="AT26">
        <v>258.52499999999998</v>
      </c>
      <c r="AU26">
        <v>1.2</v>
      </c>
      <c r="AV26">
        <v>379.72500000000002</v>
      </c>
      <c r="AW26">
        <v>94.931200000000004</v>
      </c>
      <c r="AX26">
        <v>25.725000000000001</v>
      </c>
      <c r="AY26">
        <v>13.5</v>
      </c>
      <c r="AZ26">
        <v>14.445</v>
      </c>
      <c r="BA26">
        <v>14.715</v>
      </c>
      <c r="BB26">
        <v>15.12</v>
      </c>
      <c r="BC26">
        <v>14.85</v>
      </c>
    </row>
    <row r="27" spans="1:55">
      <c r="A27">
        <v>31</v>
      </c>
      <c r="B27" t="s">
        <v>59</v>
      </c>
      <c r="C27" t="s">
        <v>139</v>
      </c>
      <c r="D27">
        <v>0</v>
      </c>
      <c r="E27" t="s">
        <v>109</v>
      </c>
      <c r="F27">
        <v>207</v>
      </c>
      <c r="G27">
        <v>78.2</v>
      </c>
      <c r="H27">
        <v>0.2</v>
      </c>
      <c r="I27">
        <v>185.2</v>
      </c>
      <c r="J27">
        <v>46.3</v>
      </c>
      <c r="K27">
        <v>12.6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 t="s">
        <v>110</v>
      </c>
      <c r="S27">
        <v>196.65</v>
      </c>
      <c r="T27">
        <v>74.290000000000006</v>
      </c>
      <c r="U27">
        <v>0.19</v>
      </c>
      <c r="V27">
        <v>175.94</v>
      </c>
      <c r="W27">
        <v>43.984999999999999</v>
      </c>
      <c r="X27">
        <v>11.97</v>
      </c>
      <c r="Y27">
        <v>8</v>
      </c>
      <c r="Z27">
        <v>8.56</v>
      </c>
      <c r="AA27">
        <v>8.7200000000000006</v>
      </c>
      <c r="AB27">
        <v>8.9600000000000009</v>
      </c>
      <c r="AC27">
        <v>8.8000000000000007</v>
      </c>
      <c r="AD27">
        <v>20</v>
      </c>
      <c r="AE27" t="s">
        <v>183</v>
      </c>
      <c r="AF27">
        <v>175.95</v>
      </c>
      <c r="AG27">
        <v>66.47</v>
      </c>
      <c r="AH27">
        <v>0.17</v>
      </c>
      <c r="AI27">
        <v>157.41999999999999</v>
      </c>
      <c r="AJ27">
        <v>39.354999999999997</v>
      </c>
      <c r="AK27">
        <v>10.71</v>
      </c>
      <c r="AL27">
        <v>10</v>
      </c>
      <c r="AM27">
        <v>10.7</v>
      </c>
      <c r="AN27">
        <v>10.9</v>
      </c>
      <c r="AO27">
        <v>11.2</v>
      </c>
      <c r="AP27">
        <v>11</v>
      </c>
      <c r="AQ27">
        <v>30</v>
      </c>
      <c r="AR27" t="s">
        <v>184</v>
      </c>
      <c r="AS27">
        <v>155.25</v>
      </c>
      <c r="AT27">
        <v>58.65</v>
      </c>
      <c r="AU27">
        <v>0.15</v>
      </c>
      <c r="AV27">
        <v>138.9</v>
      </c>
      <c r="AW27">
        <v>34.725000000000001</v>
      </c>
      <c r="AX27">
        <v>9.4499999999999993</v>
      </c>
      <c r="AY27">
        <v>10.8</v>
      </c>
      <c r="AZ27">
        <v>11.555999999999999</v>
      </c>
      <c r="BA27">
        <v>11.772</v>
      </c>
      <c r="BB27">
        <v>12.096</v>
      </c>
      <c r="BC27">
        <v>11.88</v>
      </c>
    </row>
    <row r="28" spans="1:55">
      <c r="A28">
        <v>27</v>
      </c>
      <c r="B28" t="s">
        <v>60</v>
      </c>
      <c r="C28" t="s">
        <v>140</v>
      </c>
      <c r="D28">
        <v>0</v>
      </c>
      <c r="E28" t="s">
        <v>109</v>
      </c>
      <c r="F28">
        <v>942.1</v>
      </c>
      <c r="G28">
        <v>646.5</v>
      </c>
      <c r="H28">
        <v>0.1</v>
      </c>
      <c r="I28">
        <v>896.6</v>
      </c>
      <c r="J28">
        <v>224.15</v>
      </c>
      <c r="K28">
        <v>60.8</v>
      </c>
      <c r="L28">
        <v>0</v>
      </c>
      <c r="M28">
        <v>0</v>
      </c>
      <c r="N28">
        <v>0</v>
      </c>
      <c r="O28">
        <v>0</v>
      </c>
      <c r="P28">
        <v>0</v>
      </c>
      <c r="Q28">
        <v>10</v>
      </c>
      <c r="R28" t="s">
        <v>110</v>
      </c>
      <c r="S28">
        <v>894.995</v>
      </c>
      <c r="T28">
        <v>614.17499999999995</v>
      </c>
      <c r="U28">
        <v>9.5000000000000001E-2</v>
      </c>
      <c r="V28">
        <v>851.77</v>
      </c>
      <c r="W28">
        <v>212.94200000000001</v>
      </c>
      <c r="X28">
        <v>57.76</v>
      </c>
      <c r="Y28">
        <v>4</v>
      </c>
      <c r="Z28">
        <v>4.28</v>
      </c>
      <c r="AA28">
        <v>4.3600000000000003</v>
      </c>
      <c r="AB28">
        <v>4.4800000000000004</v>
      </c>
      <c r="AC28">
        <v>4.4000000000000004</v>
      </c>
      <c r="AD28">
        <v>20</v>
      </c>
      <c r="AE28" t="s">
        <v>183</v>
      </c>
      <c r="AF28">
        <v>800.78499999999997</v>
      </c>
      <c r="AG28">
        <v>549.52499999999998</v>
      </c>
      <c r="AH28">
        <v>8.5000000000000006E-2</v>
      </c>
      <c r="AI28">
        <v>762.11</v>
      </c>
      <c r="AJ28">
        <v>190.52699999999999</v>
      </c>
      <c r="AK28">
        <v>51.68</v>
      </c>
      <c r="AL28">
        <v>5</v>
      </c>
      <c r="AM28">
        <v>5.35</v>
      </c>
      <c r="AN28">
        <v>5.45</v>
      </c>
      <c r="AO28">
        <v>5.6</v>
      </c>
      <c r="AP28">
        <v>5.5</v>
      </c>
      <c r="AQ28">
        <v>30</v>
      </c>
      <c r="AR28" t="s">
        <v>184</v>
      </c>
      <c r="AS28">
        <v>706.57500000000005</v>
      </c>
      <c r="AT28">
        <v>484.875</v>
      </c>
      <c r="AU28">
        <v>7.4999999999999997E-2</v>
      </c>
      <c r="AV28">
        <v>672.45</v>
      </c>
      <c r="AW28">
        <v>168.11199999999999</v>
      </c>
      <c r="AX28">
        <v>45.6</v>
      </c>
      <c r="AY28">
        <v>5.4</v>
      </c>
      <c r="AZ28">
        <v>5.7779999999999996</v>
      </c>
      <c r="BA28">
        <v>5.8860000000000001</v>
      </c>
      <c r="BB28">
        <v>6.048</v>
      </c>
      <c r="BC28">
        <v>5.94</v>
      </c>
    </row>
    <row r="29" spans="1:55">
      <c r="A29">
        <v>28</v>
      </c>
      <c r="B29" t="s">
        <v>61</v>
      </c>
      <c r="C29" t="s">
        <v>141</v>
      </c>
      <c r="D29">
        <v>0</v>
      </c>
      <c r="E29" t="s">
        <v>109</v>
      </c>
      <c r="F29">
        <v>410.1</v>
      </c>
      <c r="G29">
        <v>23.2</v>
      </c>
      <c r="H29">
        <v>0.7</v>
      </c>
      <c r="I29">
        <v>122.6</v>
      </c>
      <c r="J29">
        <v>30.65</v>
      </c>
      <c r="K29">
        <v>8.3000000000000007</v>
      </c>
      <c r="L29">
        <v>0</v>
      </c>
      <c r="M29">
        <v>0</v>
      </c>
      <c r="N29">
        <v>0</v>
      </c>
      <c r="O29">
        <v>0</v>
      </c>
      <c r="P29">
        <v>0</v>
      </c>
      <c r="Q29">
        <v>10</v>
      </c>
      <c r="R29" t="s">
        <v>110</v>
      </c>
      <c r="S29">
        <v>389.59500000000003</v>
      </c>
      <c r="T29">
        <v>22.04</v>
      </c>
      <c r="U29">
        <v>0.66500000000000004</v>
      </c>
      <c r="V29">
        <v>116.47</v>
      </c>
      <c r="W29">
        <v>29.1175</v>
      </c>
      <c r="X29">
        <v>7.8849999999999998</v>
      </c>
      <c r="Y29">
        <v>5</v>
      </c>
      <c r="Z29">
        <v>5.35</v>
      </c>
      <c r="AA29">
        <v>5.45</v>
      </c>
      <c r="AB29">
        <v>5.6</v>
      </c>
      <c r="AC29">
        <v>5.5</v>
      </c>
      <c r="AD29">
        <v>20</v>
      </c>
      <c r="AE29" t="s">
        <v>183</v>
      </c>
      <c r="AF29">
        <v>348.58499999999998</v>
      </c>
      <c r="AG29">
        <v>19.72</v>
      </c>
      <c r="AH29">
        <v>0.59499999999999997</v>
      </c>
      <c r="AI29">
        <v>104.21</v>
      </c>
      <c r="AJ29">
        <v>26.052499999999998</v>
      </c>
      <c r="AK29">
        <v>7.0549999999999997</v>
      </c>
      <c r="AL29">
        <v>6.25</v>
      </c>
      <c r="AM29">
        <v>6.6875</v>
      </c>
      <c r="AN29">
        <v>6.8125</v>
      </c>
      <c r="AO29">
        <v>7</v>
      </c>
      <c r="AP29">
        <v>6.875</v>
      </c>
      <c r="AQ29">
        <v>30</v>
      </c>
      <c r="AR29" t="s">
        <v>184</v>
      </c>
      <c r="AS29">
        <v>307.57499999999999</v>
      </c>
      <c r="AT29">
        <v>17.399999999999999</v>
      </c>
      <c r="AU29">
        <v>0.52500000000000002</v>
      </c>
      <c r="AV29">
        <v>91.95</v>
      </c>
      <c r="AW29">
        <v>22.987500000000001</v>
      </c>
      <c r="AX29">
        <v>6.2249999999999996</v>
      </c>
      <c r="AY29">
        <v>6.75</v>
      </c>
      <c r="AZ29">
        <v>7.2225000000000001</v>
      </c>
      <c r="BA29">
        <v>7.3574999999999999</v>
      </c>
      <c r="BB29">
        <v>7.56</v>
      </c>
      <c r="BC29">
        <v>7.4249999999999998</v>
      </c>
    </row>
    <row r="30" spans="1:55">
      <c r="A30">
        <v>29</v>
      </c>
      <c r="B30" t="s">
        <v>62</v>
      </c>
      <c r="C30" t="s">
        <v>142</v>
      </c>
      <c r="D30">
        <v>0</v>
      </c>
      <c r="E30" t="s">
        <v>109</v>
      </c>
      <c r="F30">
        <v>456.4</v>
      </c>
      <c r="G30">
        <v>232</v>
      </c>
      <c r="H30">
        <v>0.2</v>
      </c>
      <c r="I30">
        <v>340.3</v>
      </c>
      <c r="J30">
        <v>85.075000000000003</v>
      </c>
      <c r="K30">
        <v>23.1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  <c r="R30" t="s">
        <v>110</v>
      </c>
      <c r="S30">
        <v>433.58</v>
      </c>
      <c r="T30">
        <v>220.4</v>
      </c>
      <c r="U30">
        <v>0.19</v>
      </c>
      <c r="V30">
        <v>323.28500000000003</v>
      </c>
      <c r="W30">
        <v>80.821200000000005</v>
      </c>
      <c r="X30">
        <v>21.945</v>
      </c>
      <c r="Y30">
        <v>6</v>
      </c>
      <c r="Z30">
        <v>6.42</v>
      </c>
      <c r="AA30">
        <v>6.54</v>
      </c>
      <c r="AB30">
        <v>6.72</v>
      </c>
      <c r="AC30">
        <v>6.6</v>
      </c>
      <c r="AD30">
        <v>20</v>
      </c>
      <c r="AE30" t="s">
        <v>183</v>
      </c>
      <c r="AF30">
        <v>387.94</v>
      </c>
      <c r="AG30">
        <v>197.2</v>
      </c>
      <c r="AH30">
        <v>0.17</v>
      </c>
      <c r="AI30">
        <v>289.255</v>
      </c>
      <c r="AJ30">
        <v>72.313800000000001</v>
      </c>
      <c r="AK30">
        <v>19.635000000000002</v>
      </c>
      <c r="AL30">
        <v>7.5</v>
      </c>
      <c r="AM30">
        <v>8.0250000000000004</v>
      </c>
      <c r="AN30">
        <v>8.1750000000000007</v>
      </c>
      <c r="AO30">
        <v>8.4</v>
      </c>
      <c r="AP30">
        <v>8.25</v>
      </c>
      <c r="AQ30">
        <v>30</v>
      </c>
      <c r="AR30" t="s">
        <v>184</v>
      </c>
      <c r="AS30">
        <v>342.3</v>
      </c>
      <c r="AT30">
        <v>174</v>
      </c>
      <c r="AU30">
        <v>0.15</v>
      </c>
      <c r="AV30">
        <v>255.22499999999999</v>
      </c>
      <c r="AW30">
        <v>63.806199999999997</v>
      </c>
      <c r="AX30">
        <v>17.324999999999999</v>
      </c>
      <c r="AY30">
        <v>8.1</v>
      </c>
      <c r="AZ30">
        <v>8.6669999999999998</v>
      </c>
      <c r="BA30">
        <v>8.8290000000000006</v>
      </c>
      <c r="BB30">
        <v>9.0719999999999992</v>
      </c>
      <c r="BC30">
        <v>8.91</v>
      </c>
    </row>
    <row r="31" spans="1:55">
      <c r="A31">
        <v>30</v>
      </c>
      <c r="B31" t="s">
        <v>143</v>
      </c>
      <c r="C31" t="s">
        <v>144</v>
      </c>
      <c r="D31">
        <v>0</v>
      </c>
      <c r="E31" t="s">
        <v>109</v>
      </c>
      <c r="F31">
        <v>163.80000000000001</v>
      </c>
      <c r="G31">
        <v>71.7</v>
      </c>
      <c r="H31">
        <v>5.8</v>
      </c>
      <c r="I31">
        <v>129.6</v>
      </c>
      <c r="J31">
        <v>32.4</v>
      </c>
      <c r="K31">
        <v>8.8000000000000007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 t="s">
        <v>110</v>
      </c>
      <c r="S31">
        <v>155.61000000000001</v>
      </c>
      <c r="T31">
        <v>68.114999999999995</v>
      </c>
      <c r="U31">
        <v>5.51</v>
      </c>
      <c r="V31">
        <v>123.12</v>
      </c>
      <c r="W31">
        <v>30.78</v>
      </c>
      <c r="X31">
        <v>8.36</v>
      </c>
      <c r="Y31">
        <v>7</v>
      </c>
      <c r="Z31">
        <v>7.49</v>
      </c>
      <c r="AA31">
        <v>7.63</v>
      </c>
      <c r="AB31">
        <v>7.84</v>
      </c>
      <c r="AC31">
        <v>7.7</v>
      </c>
      <c r="AD31">
        <v>20</v>
      </c>
      <c r="AE31" t="s">
        <v>183</v>
      </c>
      <c r="AF31">
        <v>139.22999999999999</v>
      </c>
      <c r="AG31">
        <v>60.945</v>
      </c>
      <c r="AH31">
        <v>4.93</v>
      </c>
      <c r="AI31">
        <v>110.16</v>
      </c>
      <c r="AJ31">
        <v>27.54</v>
      </c>
      <c r="AK31">
        <v>7.48</v>
      </c>
      <c r="AL31">
        <v>8.75</v>
      </c>
      <c r="AM31">
        <v>9.3625000000000007</v>
      </c>
      <c r="AN31">
        <v>9.5374999999999996</v>
      </c>
      <c r="AO31">
        <v>9.8000000000000007</v>
      </c>
      <c r="AP31">
        <v>9.625</v>
      </c>
      <c r="AQ31">
        <v>30</v>
      </c>
      <c r="AR31" t="s">
        <v>184</v>
      </c>
      <c r="AS31">
        <v>122.85</v>
      </c>
      <c r="AT31">
        <v>53.774999999999999</v>
      </c>
      <c r="AU31">
        <v>4.3499999999999996</v>
      </c>
      <c r="AV31">
        <v>97.2</v>
      </c>
      <c r="AW31">
        <v>24.3</v>
      </c>
      <c r="AX31">
        <v>6.6</v>
      </c>
      <c r="AY31">
        <v>9.4499999999999993</v>
      </c>
      <c r="AZ31">
        <v>10.111499999999999</v>
      </c>
      <c r="BA31">
        <v>10.3005</v>
      </c>
      <c r="BB31">
        <v>10.584</v>
      </c>
      <c r="BC31">
        <v>10.395</v>
      </c>
    </row>
    <row r="32" spans="1:55">
      <c r="A32">
        <v>32</v>
      </c>
      <c r="B32" t="s">
        <v>63</v>
      </c>
      <c r="C32" t="s">
        <v>145</v>
      </c>
      <c r="D32">
        <v>0</v>
      </c>
      <c r="E32" t="s">
        <v>109</v>
      </c>
      <c r="F32">
        <v>386.5</v>
      </c>
      <c r="G32">
        <v>229.8</v>
      </c>
      <c r="H32">
        <v>0.2</v>
      </c>
      <c r="I32">
        <v>323.2</v>
      </c>
      <c r="J32">
        <v>80.8</v>
      </c>
      <c r="K32">
        <v>21.9</v>
      </c>
      <c r="L32">
        <v>0</v>
      </c>
      <c r="M32">
        <v>0</v>
      </c>
      <c r="N32">
        <v>0</v>
      </c>
      <c r="O32">
        <v>0</v>
      </c>
      <c r="P32">
        <v>0</v>
      </c>
      <c r="Q32">
        <v>10</v>
      </c>
      <c r="R32" t="s">
        <v>110</v>
      </c>
      <c r="S32">
        <v>367.17500000000001</v>
      </c>
      <c r="T32">
        <v>218.31</v>
      </c>
      <c r="U32">
        <v>0.19</v>
      </c>
      <c r="V32">
        <v>307.04000000000002</v>
      </c>
      <c r="W32">
        <v>76.760000000000005</v>
      </c>
      <c r="X32">
        <v>20.805</v>
      </c>
      <c r="Y32">
        <v>9</v>
      </c>
      <c r="Z32">
        <v>9.6300000000000008</v>
      </c>
      <c r="AA32">
        <v>9.81</v>
      </c>
      <c r="AB32">
        <v>10.08</v>
      </c>
      <c r="AC32">
        <v>9.9</v>
      </c>
      <c r="AD32">
        <v>20</v>
      </c>
      <c r="AE32" t="s">
        <v>183</v>
      </c>
      <c r="AF32">
        <v>328.52499999999998</v>
      </c>
      <c r="AG32">
        <v>195.33</v>
      </c>
      <c r="AH32">
        <v>0.17</v>
      </c>
      <c r="AI32">
        <v>274.72000000000003</v>
      </c>
      <c r="AJ32">
        <v>68.680000000000007</v>
      </c>
      <c r="AK32">
        <v>18.614999999999998</v>
      </c>
      <c r="AL32">
        <v>11.25</v>
      </c>
      <c r="AM32">
        <v>12.0375</v>
      </c>
      <c r="AN32">
        <v>12.262499999999999</v>
      </c>
      <c r="AO32">
        <v>12.6</v>
      </c>
      <c r="AP32">
        <v>12.375</v>
      </c>
      <c r="AQ32">
        <v>30</v>
      </c>
      <c r="AR32" t="s">
        <v>184</v>
      </c>
      <c r="AS32">
        <v>289.875</v>
      </c>
      <c r="AT32">
        <v>172.35</v>
      </c>
      <c r="AU32">
        <v>0.15</v>
      </c>
      <c r="AV32">
        <v>242.4</v>
      </c>
      <c r="AW32">
        <v>60.6</v>
      </c>
      <c r="AX32">
        <v>16.425000000000001</v>
      </c>
      <c r="AY32">
        <v>12.15</v>
      </c>
      <c r="AZ32">
        <v>13.000500000000001</v>
      </c>
      <c r="BA32">
        <v>13.243499999999999</v>
      </c>
      <c r="BB32">
        <v>13.608000000000001</v>
      </c>
      <c r="BC32">
        <v>13.365</v>
      </c>
    </row>
    <row r="33" spans="1:55">
      <c r="A33">
        <v>33</v>
      </c>
      <c r="B33" t="s">
        <v>64</v>
      </c>
      <c r="C33" t="s">
        <v>146</v>
      </c>
      <c r="D33">
        <v>0</v>
      </c>
      <c r="E33" t="s">
        <v>109</v>
      </c>
      <c r="F33">
        <v>52.1</v>
      </c>
      <c r="G33">
        <v>34.799999999999997</v>
      </c>
      <c r="H33">
        <v>0.1</v>
      </c>
      <c r="I33">
        <v>54.3</v>
      </c>
      <c r="J33">
        <v>13.574999999999999</v>
      </c>
      <c r="K33">
        <v>3.7</v>
      </c>
      <c r="L33">
        <v>0</v>
      </c>
      <c r="M33">
        <v>0</v>
      </c>
      <c r="N33">
        <v>0</v>
      </c>
      <c r="O33">
        <v>0</v>
      </c>
      <c r="P33">
        <v>0</v>
      </c>
      <c r="Q33">
        <v>10</v>
      </c>
      <c r="R33" t="s">
        <v>110</v>
      </c>
      <c r="S33">
        <v>49.494999999999997</v>
      </c>
      <c r="T33">
        <v>33.06</v>
      </c>
      <c r="U33">
        <v>9.5000000000000001E-2</v>
      </c>
      <c r="V33">
        <v>51.585000000000001</v>
      </c>
      <c r="W33">
        <v>12.8962</v>
      </c>
      <c r="X33">
        <v>3.5150000000000001</v>
      </c>
      <c r="Y33">
        <v>10</v>
      </c>
      <c r="Z33">
        <v>10.7</v>
      </c>
      <c r="AA33">
        <v>10.9</v>
      </c>
      <c r="AB33">
        <v>11.2</v>
      </c>
      <c r="AC33">
        <v>11</v>
      </c>
      <c r="AD33">
        <v>20</v>
      </c>
      <c r="AE33" t="s">
        <v>183</v>
      </c>
      <c r="AF33">
        <v>44.284999999999997</v>
      </c>
      <c r="AG33">
        <v>29.58</v>
      </c>
      <c r="AH33">
        <v>8.5000000000000006E-2</v>
      </c>
      <c r="AI33">
        <v>46.155000000000001</v>
      </c>
      <c r="AJ33">
        <v>11.5387</v>
      </c>
      <c r="AK33">
        <v>3.145</v>
      </c>
      <c r="AL33">
        <v>12.5</v>
      </c>
      <c r="AM33">
        <v>13.375</v>
      </c>
      <c r="AN33">
        <v>13.625</v>
      </c>
      <c r="AO33">
        <v>14</v>
      </c>
      <c r="AP33">
        <v>13.75</v>
      </c>
      <c r="AQ33">
        <v>30</v>
      </c>
      <c r="AR33" t="s">
        <v>184</v>
      </c>
      <c r="AS33">
        <v>39.075000000000003</v>
      </c>
      <c r="AT33">
        <v>26.1</v>
      </c>
      <c r="AU33">
        <v>7.4999999999999997E-2</v>
      </c>
      <c r="AV33">
        <v>40.725000000000001</v>
      </c>
      <c r="AW33">
        <v>10.1812</v>
      </c>
      <c r="AX33">
        <v>2.7749999999999999</v>
      </c>
      <c r="AY33">
        <v>13.5</v>
      </c>
      <c r="AZ33">
        <v>14.445</v>
      </c>
      <c r="BA33">
        <v>14.715</v>
      </c>
      <c r="BB33">
        <v>15.12</v>
      </c>
      <c r="BC33">
        <v>14.85</v>
      </c>
    </row>
    <row r="34" spans="1:55">
      <c r="A34">
        <v>34</v>
      </c>
      <c r="B34" t="s">
        <v>65</v>
      </c>
      <c r="C34" t="s">
        <v>147</v>
      </c>
      <c r="D34">
        <v>0</v>
      </c>
      <c r="E34" t="s">
        <v>109</v>
      </c>
      <c r="F34">
        <v>135.5</v>
      </c>
      <c r="G34">
        <v>66.5</v>
      </c>
      <c r="H34">
        <v>0.1</v>
      </c>
      <c r="I34">
        <v>95.5</v>
      </c>
      <c r="J34">
        <v>23.875</v>
      </c>
      <c r="K34">
        <v>6.5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 t="s">
        <v>110</v>
      </c>
      <c r="S34">
        <v>128.72499999999999</v>
      </c>
      <c r="T34">
        <v>63.174999999999997</v>
      </c>
      <c r="U34">
        <v>9.5000000000000001E-2</v>
      </c>
      <c r="V34">
        <v>90.724999999999994</v>
      </c>
      <c r="W34">
        <v>22.6812</v>
      </c>
      <c r="X34">
        <v>6.1749999999999998</v>
      </c>
      <c r="Y34">
        <v>11</v>
      </c>
      <c r="Z34">
        <v>11.77</v>
      </c>
      <c r="AA34">
        <v>11.99</v>
      </c>
      <c r="AB34">
        <v>12.32</v>
      </c>
      <c r="AC34">
        <v>12.1</v>
      </c>
      <c r="AD34">
        <v>20</v>
      </c>
      <c r="AE34" t="s">
        <v>183</v>
      </c>
      <c r="AF34">
        <v>115.175</v>
      </c>
      <c r="AG34">
        <v>56.524999999999999</v>
      </c>
      <c r="AH34">
        <v>8.5000000000000006E-2</v>
      </c>
      <c r="AI34">
        <v>81.174999999999997</v>
      </c>
      <c r="AJ34">
        <v>20.293800000000001</v>
      </c>
      <c r="AK34">
        <v>5.5250000000000004</v>
      </c>
      <c r="AL34">
        <v>13.75</v>
      </c>
      <c r="AM34">
        <v>14.7125</v>
      </c>
      <c r="AN34">
        <v>14.987500000000001</v>
      </c>
      <c r="AO34">
        <v>15.4</v>
      </c>
      <c r="AP34">
        <v>15.125</v>
      </c>
      <c r="AQ34">
        <v>30</v>
      </c>
      <c r="AR34" t="s">
        <v>184</v>
      </c>
      <c r="AS34">
        <v>101.625</v>
      </c>
      <c r="AT34">
        <v>49.875</v>
      </c>
      <c r="AU34">
        <v>7.4999999999999997E-2</v>
      </c>
      <c r="AV34">
        <v>71.625</v>
      </c>
      <c r="AW34">
        <v>17.906199999999998</v>
      </c>
      <c r="AX34">
        <v>4.875</v>
      </c>
      <c r="AY34">
        <v>14.85</v>
      </c>
      <c r="AZ34">
        <v>15.8895</v>
      </c>
      <c r="BA34">
        <v>16.186499999999999</v>
      </c>
      <c r="BB34">
        <v>16.632000000000001</v>
      </c>
      <c r="BC34">
        <v>16.335000000000001</v>
      </c>
    </row>
    <row r="35" spans="1:55">
      <c r="A35">
        <v>35</v>
      </c>
      <c r="B35" t="s">
        <v>66</v>
      </c>
      <c r="C35" t="s">
        <v>148</v>
      </c>
      <c r="D35">
        <v>0</v>
      </c>
      <c r="E35" t="s">
        <v>109</v>
      </c>
      <c r="F35">
        <v>1925</v>
      </c>
      <c r="G35">
        <v>1308.4000000000001</v>
      </c>
      <c r="H35">
        <v>1.1000000000000001</v>
      </c>
      <c r="I35">
        <v>1894.5</v>
      </c>
      <c r="J35">
        <v>473.625</v>
      </c>
      <c r="K35">
        <v>128.5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 t="s">
        <v>110</v>
      </c>
      <c r="S35">
        <v>1828.75</v>
      </c>
      <c r="T35">
        <v>1242.98</v>
      </c>
      <c r="U35">
        <v>1.0449999999999999</v>
      </c>
      <c r="V35">
        <v>1799.78</v>
      </c>
      <c r="W35">
        <v>449.94400000000002</v>
      </c>
      <c r="X35">
        <v>122.075</v>
      </c>
      <c r="Y35">
        <v>12</v>
      </c>
      <c r="Z35">
        <v>12.84</v>
      </c>
      <c r="AA35">
        <v>13.08</v>
      </c>
      <c r="AB35">
        <v>13.44</v>
      </c>
      <c r="AC35">
        <v>13.2</v>
      </c>
      <c r="AD35">
        <v>20</v>
      </c>
      <c r="AE35" t="s">
        <v>183</v>
      </c>
      <c r="AF35">
        <v>1636.25</v>
      </c>
      <c r="AG35">
        <v>1112.1400000000001</v>
      </c>
      <c r="AH35">
        <v>0.93500000000000005</v>
      </c>
      <c r="AI35">
        <v>1610.32</v>
      </c>
      <c r="AJ35">
        <v>402.58100000000002</v>
      </c>
      <c r="AK35">
        <v>109.22499999999999</v>
      </c>
      <c r="AL35">
        <v>15</v>
      </c>
      <c r="AM35">
        <v>16.05</v>
      </c>
      <c r="AN35">
        <v>16.350000000000001</v>
      </c>
      <c r="AO35">
        <v>16.8</v>
      </c>
      <c r="AP35">
        <v>16.5</v>
      </c>
      <c r="AQ35">
        <v>30</v>
      </c>
      <c r="AR35" t="s">
        <v>184</v>
      </c>
      <c r="AS35">
        <v>1443.75</v>
      </c>
      <c r="AT35">
        <v>981.3</v>
      </c>
      <c r="AU35">
        <v>0.82499999999999996</v>
      </c>
      <c r="AV35">
        <v>1420.88</v>
      </c>
      <c r="AW35">
        <v>355.21899999999999</v>
      </c>
      <c r="AX35">
        <v>96.375</v>
      </c>
      <c r="AY35">
        <v>16.2</v>
      </c>
      <c r="AZ35">
        <v>17.334</v>
      </c>
      <c r="BA35">
        <v>17.658000000000001</v>
      </c>
      <c r="BB35">
        <v>18.143999999999998</v>
      </c>
      <c r="BC35">
        <v>17.82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1EA9-2B01-4BD6-853D-958A1AE68331}">
  <dimension ref="A1:AL33"/>
  <sheetViews>
    <sheetView zoomScale="115" zoomScaleNormal="115" workbookViewId="0">
      <selection activeCell="AK10" sqref="AK10"/>
    </sheetView>
  </sheetViews>
  <sheetFormatPr defaultRowHeight="14.4"/>
  <sheetData>
    <row r="1" spans="1:38" ht="28.8">
      <c r="A1" s="18" t="s">
        <v>85</v>
      </c>
      <c r="B1" t="s">
        <v>107</v>
      </c>
      <c r="C1" t="s">
        <v>36</v>
      </c>
      <c r="D1" t="s">
        <v>112</v>
      </c>
      <c r="E1" t="s">
        <v>37</v>
      </c>
      <c r="F1" t="s">
        <v>38</v>
      </c>
      <c r="G1" t="s">
        <v>39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48</v>
      </c>
      <c r="O1" t="s">
        <v>49</v>
      </c>
      <c r="P1" t="s">
        <v>50</v>
      </c>
      <c r="Q1" t="s">
        <v>51</v>
      </c>
      <c r="R1" t="s">
        <v>53</v>
      </c>
      <c r="S1" t="s">
        <v>128</v>
      </c>
      <c r="T1" t="s">
        <v>54</v>
      </c>
      <c r="U1" t="s">
        <v>55</v>
      </c>
      <c r="V1" t="s">
        <v>56</v>
      </c>
      <c r="W1" t="s">
        <v>133</v>
      </c>
      <c r="X1" t="s">
        <v>135</v>
      </c>
      <c r="Y1" t="s">
        <v>68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143</v>
      </c>
      <c r="AF1" t="s">
        <v>63</v>
      </c>
      <c r="AG1" t="s">
        <v>64</v>
      </c>
      <c r="AH1" t="s">
        <v>65</v>
      </c>
      <c r="AI1" t="s">
        <v>66</v>
      </c>
      <c r="AJ1" s="43" t="s">
        <v>40</v>
      </c>
      <c r="AK1" s="43" t="s">
        <v>47</v>
      </c>
      <c r="AL1" s="43" t="s">
        <v>52</v>
      </c>
    </row>
    <row r="2" spans="1:38" ht="57.6">
      <c r="A2" s="18" t="s">
        <v>163</v>
      </c>
      <c r="B2">
        <v>3.75</v>
      </c>
      <c r="C2">
        <v>5</v>
      </c>
      <c r="D2">
        <v>6.25</v>
      </c>
      <c r="E2">
        <v>7.5</v>
      </c>
      <c r="F2">
        <v>8.75</v>
      </c>
      <c r="G2">
        <v>15</v>
      </c>
      <c r="H2">
        <v>11.25</v>
      </c>
      <c r="I2">
        <v>12.5</v>
      </c>
      <c r="J2">
        <v>13.75</v>
      </c>
      <c r="K2">
        <v>18.75</v>
      </c>
      <c r="L2">
        <v>3.75</v>
      </c>
      <c r="M2">
        <v>5</v>
      </c>
      <c r="N2">
        <v>17.5</v>
      </c>
      <c r="O2">
        <v>7.5</v>
      </c>
      <c r="P2">
        <v>8.75</v>
      </c>
      <c r="Q2">
        <v>6.25</v>
      </c>
      <c r="R2">
        <v>11.25</v>
      </c>
      <c r="S2">
        <v>16.25</v>
      </c>
      <c r="T2">
        <v>13.75</v>
      </c>
      <c r="U2">
        <v>15</v>
      </c>
      <c r="V2">
        <v>16.25</v>
      </c>
      <c r="W2">
        <v>17.5</v>
      </c>
      <c r="X2">
        <v>18.75</v>
      </c>
      <c r="Y2">
        <v>3.75</v>
      </c>
      <c r="Z2">
        <v>12.5</v>
      </c>
      <c r="AA2">
        <v>10</v>
      </c>
      <c r="AB2">
        <v>5</v>
      </c>
      <c r="AC2">
        <v>6.25</v>
      </c>
      <c r="AD2">
        <v>7.5</v>
      </c>
      <c r="AE2">
        <v>8.75</v>
      </c>
      <c r="AF2">
        <v>11.25</v>
      </c>
      <c r="AG2">
        <v>12.5</v>
      </c>
      <c r="AH2">
        <v>13.75</v>
      </c>
      <c r="AI2">
        <v>15</v>
      </c>
      <c r="AJ2" s="43">
        <v>10.77</v>
      </c>
      <c r="AK2" s="43">
        <v>10.77</v>
      </c>
      <c r="AL2" s="43">
        <v>10.77</v>
      </c>
    </row>
    <row r="5" spans="1:38" ht="57.6">
      <c r="A5" s="18" t="s">
        <v>85</v>
      </c>
      <c r="B5" s="18" t="s">
        <v>163</v>
      </c>
    </row>
    <row r="6" spans="1:38">
      <c r="A6" t="s">
        <v>45</v>
      </c>
      <c r="B6" s="35">
        <v>3.75</v>
      </c>
    </row>
    <row r="7" spans="1:38">
      <c r="A7" t="s">
        <v>68</v>
      </c>
      <c r="B7" s="35">
        <v>3.75</v>
      </c>
    </row>
    <row r="8" spans="1:38">
      <c r="A8" t="s">
        <v>36</v>
      </c>
      <c r="B8" s="35">
        <v>5</v>
      </c>
    </row>
    <row r="9" spans="1:38">
      <c r="A9" t="s">
        <v>46</v>
      </c>
      <c r="B9" s="35">
        <v>5</v>
      </c>
    </row>
    <row r="10" spans="1:38">
      <c r="A10" t="s">
        <v>60</v>
      </c>
      <c r="B10" s="35">
        <v>5</v>
      </c>
    </row>
    <row r="11" spans="1:38">
      <c r="A11" t="s">
        <v>51</v>
      </c>
      <c r="B11" s="35">
        <v>6.25</v>
      </c>
    </row>
    <row r="12" spans="1:38">
      <c r="A12" t="s">
        <v>61</v>
      </c>
      <c r="B12" s="35">
        <v>6.25</v>
      </c>
    </row>
    <row r="13" spans="1:38">
      <c r="A13" t="s">
        <v>37</v>
      </c>
      <c r="B13" s="35">
        <v>7.5</v>
      </c>
    </row>
    <row r="14" spans="1:38">
      <c r="A14" t="s">
        <v>49</v>
      </c>
      <c r="B14" s="35">
        <v>7.5</v>
      </c>
    </row>
    <row r="15" spans="1:38">
      <c r="A15" t="s">
        <v>62</v>
      </c>
      <c r="B15" s="35">
        <v>7.5</v>
      </c>
    </row>
    <row r="16" spans="1:38">
      <c r="A16" t="s">
        <v>38</v>
      </c>
      <c r="B16" s="35">
        <v>8.75</v>
      </c>
    </row>
    <row r="17" spans="1:2">
      <c r="A17" t="s">
        <v>50</v>
      </c>
      <c r="B17" s="35">
        <v>8.75</v>
      </c>
    </row>
    <row r="18" spans="1:2">
      <c r="A18" t="s">
        <v>59</v>
      </c>
      <c r="B18" s="35">
        <v>10</v>
      </c>
    </row>
    <row r="19" spans="1:2">
      <c r="A19" t="s">
        <v>41</v>
      </c>
      <c r="B19" s="35">
        <v>11.25</v>
      </c>
    </row>
    <row r="20" spans="1:2">
      <c r="A20" t="s">
        <v>53</v>
      </c>
      <c r="B20" s="35">
        <v>11.25</v>
      </c>
    </row>
    <row r="21" spans="1:2">
      <c r="A21" t="s">
        <v>63</v>
      </c>
      <c r="B21" s="35">
        <v>11.25</v>
      </c>
    </row>
    <row r="22" spans="1:2">
      <c r="A22" t="s">
        <v>42</v>
      </c>
      <c r="B22" s="35">
        <v>12.5</v>
      </c>
    </row>
    <row r="23" spans="1:2">
      <c r="A23" t="s">
        <v>58</v>
      </c>
      <c r="B23" s="35">
        <v>12.5</v>
      </c>
    </row>
    <row r="24" spans="1:2">
      <c r="A24" t="s">
        <v>64</v>
      </c>
      <c r="B24" s="35">
        <v>12.5</v>
      </c>
    </row>
    <row r="25" spans="1:2">
      <c r="A25" t="s">
        <v>43</v>
      </c>
      <c r="B25" s="35">
        <v>13.75</v>
      </c>
    </row>
    <row r="26" spans="1:2">
      <c r="A26" t="s">
        <v>54</v>
      </c>
      <c r="B26" s="35">
        <v>13.75</v>
      </c>
    </row>
    <row r="27" spans="1:2">
      <c r="A27" t="s">
        <v>65</v>
      </c>
      <c r="B27" s="35">
        <v>13.75</v>
      </c>
    </row>
    <row r="28" spans="1:2">
      <c r="A28" t="s">
        <v>39</v>
      </c>
      <c r="B28" s="35">
        <v>15</v>
      </c>
    </row>
    <row r="29" spans="1:2">
      <c r="A29" t="s">
        <v>55</v>
      </c>
      <c r="B29" s="35">
        <v>15</v>
      </c>
    </row>
    <row r="30" spans="1:2">
      <c r="A30" t="s">
        <v>66</v>
      </c>
      <c r="B30" s="35">
        <v>15</v>
      </c>
    </row>
    <row r="31" spans="1:2">
      <c r="A31" t="s">
        <v>56</v>
      </c>
      <c r="B31" s="35">
        <v>16.25</v>
      </c>
    </row>
    <row r="32" spans="1:2">
      <c r="A32" t="s">
        <v>48</v>
      </c>
      <c r="B32" s="35">
        <v>17.5</v>
      </c>
    </row>
    <row r="33" spans="1:2">
      <c r="A33" t="s">
        <v>44</v>
      </c>
      <c r="B33" s="35">
        <v>18.75</v>
      </c>
    </row>
  </sheetData>
  <sortState xmlns:xlrd2="http://schemas.microsoft.com/office/spreadsheetml/2017/richdata2" ref="A6:B33">
    <sortCondition ref="B6:B33"/>
  </sortState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data</vt:lpstr>
      <vt:lpstr>ciemat</vt:lpstr>
      <vt:lpstr>scen2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2025-12-08T07:45:17Z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