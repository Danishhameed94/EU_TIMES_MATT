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vml" ContentType="application/vnd.openxmlformats-officedocument.vmlDrawing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externalLinks/externalLink1.xml" ContentType="application/vnd.openxmlformats-officedocument.spreadsheetml.externalLink+xml"/>
  <Override PartName="/xl/externalLinks/externalLink2.xml" ContentType="application/vnd.openxmlformats-officedocument.spreadsheetml.externalLink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omments1.xml" ContentType="application/vnd.openxmlformats-officedocument.spreadsheetml.comments+xml"/>
  <Override PartName="/xl/calcChain.xml" ContentType="application/vnd.openxmlformats-officedocument.spreadsheetml.calcChain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227"/>
  <workbookPr defaultThemeVersion="124226"/>
  <mc:AlternateContent xmlns:mc="http://schemas.openxmlformats.org/markup-compatibility/2006">
    <mc:Choice Requires="x15">
      <x15ac:absPath xmlns:x15ac="http://schemas.microsoft.com/office/spreadsheetml/2010/11/ac" url="C:\Models\EU_TIMES_Veda2.0-master_FLAT_GLASS\EU_TIMES_Veda2.0-master_FLAT_GLASS\SuppXLS\"/>
    </mc:Choice>
  </mc:AlternateContent>
  <xr:revisionPtr revIDLastSave="0" documentId="13_ncr:1_{1DB4750C-B482-4ECB-B8DA-A49077CD3A4B}" xr6:coauthVersionLast="47" xr6:coauthVersionMax="47" xr10:uidLastSave="{00000000-0000-0000-0000-000000000000}"/>
  <bookViews>
    <workbookView xWindow="-120" yWindow="-120" windowWidth="20730" windowHeight="11160" activeTab="2" xr2:uid="{00000000-000D-0000-FFFF-FFFF00000000}"/>
  </bookViews>
  <sheets>
    <sheet name="UCStorage" sheetId="15" r:id="rId1"/>
    <sheet name="WinterPeakLimit" sheetId="6" r:id="rId2"/>
    <sheet name="Sheet1" sheetId="16" r:id="rId3"/>
  </sheets>
  <externalReferences>
    <externalReference r:id="rId4"/>
    <externalReference r:id="rId5"/>
  </externalReferences>
  <definedNames>
    <definedName name="FID_1">[1]AGR_Fuels!$A$2</definedName>
  </definedNames>
  <calcPr calcId="191029" concurrentCalc="0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</xcalcf:calcFeatures>
    </ext>
  </extLst>
</workbook>
</file>

<file path=xl/calcChain.xml><?xml version="1.0" encoding="utf-8"?>
<calcChain xmlns="http://schemas.openxmlformats.org/spreadsheetml/2006/main">
  <c r="M17" i="15" l="1"/>
  <c r="M27" i="15"/>
  <c r="N46" i="15"/>
  <c r="N47" i="15"/>
  <c r="N48" i="15"/>
  <c r="N49" i="15"/>
  <c r="N50" i="15"/>
  <c r="N51" i="15"/>
  <c r="N52" i="15"/>
  <c r="N53" i="15"/>
  <c r="N54" i="15"/>
  <c r="N55" i="15"/>
  <c r="N56" i="15"/>
  <c r="N57" i="15"/>
  <c r="N58" i="15"/>
  <c r="N60" i="15"/>
  <c r="N61" i="15"/>
  <c r="N62" i="15"/>
  <c r="N63" i="15"/>
  <c r="N64" i="15"/>
  <c r="N65" i="15"/>
  <c r="N66" i="15"/>
  <c r="N67" i="15"/>
  <c r="N68" i="15"/>
  <c r="N69" i="15"/>
  <c r="N70" i="15"/>
  <c r="N71" i="15"/>
  <c r="N72" i="15"/>
  <c r="N73" i="15"/>
  <c r="N74" i="15"/>
  <c r="N75" i="15"/>
  <c r="N76" i="15"/>
  <c r="N77" i="15"/>
  <c r="N78" i="15"/>
  <c r="N79" i="15"/>
  <c r="D31" i="15"/>
  <c r="D67" i="15"/>
  <c r="B66" i="15"/>
  <c r="D21" i="15"/>
  <c r="D57" i="15"/>
  <c r="B56" i="15"/>
  <c r="M43" i="15"/>
  <c r="D43" i="15"/>
  <c r="D79" i="15"/>
  <c r="D42" i="15"/>
  <c r="D78" i="15"/>
  <c r="M41" i="15"/>
  <c r="D41" i="15"/>
  <c r="D77" i="15"/>
  <c r="D40" i="15"/>
  <c r="D76" i="15"/>
  <c r="Q76" i="15"/>
  <c r="M39" i="15"/>
  <c r="D39" i="15"/>
  <c r="D75" i="15"/>
  <c r="D38" i="15"/>
  <c r="D74" i="15"/>
  <c r="M37" i="15"/>
  <c r="D37" i="15"/>
  <c r="D73" i="15"/>
  <c r="D36" i="15"/>
  <c r="D72" i="15"/>
  <c r="M35" i="15"/>
  <c r="D35" i="15"/>
  <c r="D71" i="15"/>
  <c r="D34" i="15"/>
  <c r="D70" i="15"/>
  <c r="M33" i="15"/>
  <c r="D33" i="15"/>
  <c r="D69" i="15"/>
  <c r="D32" i="15"/>
  <c r="D68" i="15"/>
  <c r="D30" i="15"/>
  <c r="D66" i="15"/>
  <c r="M19" i="15"/>
  <c r="M29" i="15"/>
  <c r="D29" i="15"/>
  <c r="D65" i="15"/>
  <c r="D28" i="15"/>
  <c r="D64" i="15"/>
  <c r="Q64" i="15"/>
  <c r="D27" i="15"/>
  <c r="D63" i="15"/>
  <c r="D26" i="15"/>
  <c r="D62" i="15"/>
  <c r="D25" i="15"/>
  <c r="D61" i="15"/>
  <c r="D24" i="15"/>
  <c r="D60" i="15"/>
  <c r="Q60" i="15"/>
  <c r="M23" i="15"/>
  <c r="D23" i="15"/>
  <c r="D59" i="15"/>
  <c r="D22" i="15"/>
  <c r="D58" i="15"/>
  <c r="M21" i="15"/>
  <c r="M31" i="15"/>
  <c r="D20" i="15"/>
  <c r="D56" i="15"/>
  <c r="D19" i="15"/>
  <c r="D55" i="15"/>
  <c r="D18" i="15"/>
  <c r="D54" i="15"/>
  <c r="Q54" i="15"/>
  <c r="D17" i="15"/>
  <c r="D53" i="15"/>
  <c r="D16" i="15"/>
  <c r="D52" i="15"/>
  <c r="M15" i="15"/>
  <c r="D15" i="15"/>
  <c r="D51" i="15"/>
  <c r="D14" i="15"/>
  <c r="D50" i="15"/>
  <c r="M13" i="15"/>
  <c r="M25" i="15"/>
  <c r="D13" i="15"/>
  <c r="D49" i="15"/>
  <c r="D12" i="15"/>
  <c r="D48" i="15"/>
  <c r="M11" i="15"/>
  <c r="D11" i="15"/>
  <c r="D47" i="15"/>
  <c r="D10" i="15"/>
  <c r="D46" i="15"/>
  <c r="B76" i="15"/>
  <c r="B54" i="15"/>
  <c r="B72" i="15"/>
  <c r="Q72" i="15"/>
  <c r="Q46" i="15"/>
  <c r="B46" i="15"/>
  <c r="Q62" i="15"/>
  <c r="B62" i="15"/>
  <c r="Q50" i="15"/>
  <c r="B50" i="15"/>
  <c r="Q78" i="15"/>
  <c r="B78" i="15"/>
  <c r="B48" i="15"/>
  <c r="Q48" i="15"/>
  <c r="B52" i="15"/>
  <c r="Q52" i="15"/>
  <c r="B70" i="15"/>
  <c r="Q70" i="15"/>
  <c r="Q58" i="15"/>
  <c r="B58" i="15"/>
  <c r="B68" i="15"/>
  <c r="Q68" i="15"/>
  <c r="Q56" i="15"/>
  <c r="Q74" i="15"/>
  <c r="B74" i="15"/>
  <c r="Q66" i="15"/>
  <c r="B64" i="15"/>
  <c r="B60" i="15"/>
</calcChain>
</file>

<file path=xl/comments1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Alessandro Chiodi</author>
    <author>ese-veda04</author>
  </authors>
  <commentList>
    <comment ref="L9" authorId="0" shapeId="0" xr:uid="{00000000-0006-0000-0000-000001000000}">
      <text>
        <r>
          <rPr>
            <b/>
            <sz val="9"/>
            <color indexed="81"/>
            <rFont val="Tahoma"/>
            <family val="2"/>
          </rPr>
          <t>Power cap</t>
        </r>
        <r>
          <rPr>
            <sz val="9"/>
            <color indexed="81"/>
            <rFont val="Tahoma"/>
            <family val="2"/>
          </rPr>
          <t xml:space="preserve">
</t>
        </r>
      </text>
    </comment>
    <comment ref="M9" authorId="0" shapeId="0" xr:uid="{00000000-0006-0000-0000-000002000000}">
      <text>
        <r>
          <rPr>
            <b/>
            <sz val="9"/>
            <color indexed="81"/>
            <rFont val="Tahoma"/>
            <family val="2"/>
          </rPr>
          <t>Storage cap</t>
        </r>
        <r>
          <rPr>
            <sz val="9"/>
            <color indexed="81"/>
            <rFont val="Tahoma"/>
            <family val="2"/>
          </rPr>
          <t xml:space="preserve">
</t>
        </r>
      </text>
    </comment>
    <comment ref="N46" authorId="1" shapeId="0" xr:uid="{00000000-0006-0000-0000-000003000000}">
      <text>
        <r>
          <rPr>
            <b/>
            <sz val="8"/>
            <color indexed="81"/>
            <rFont val="Tahoma"/>
            <family val="2"/>
          </rPr>
          <t>ese-veda04:</t>
        </r>
        <r>
          <rPr>
            <sz val="8"/>
            <color indexed="81"/>
            <rFont val="Tahoma"/>
            <family val="2"/>
          </rPr>
          <t xml:space="preserve">
In the TIMES following equation is active that puts a relation between the CAP and the ACT of a classical storage process.
In a DAYNITE storage the capacity normally represents the max. daily amount that can be stored.
For each timeslice 
ACT(ESTCAESS00) &gt; CAP(ESTCAESS00).AF.G_YRFR.PRC(CAPACT) . Nr of days in the season. 
We moved this to following relation:
</t>
        </r>
        <r>
          <rPr>
            <b/>
            <sz val="8"/>
            <color indexed="81"/>
            <rFont val="Tahoma"/>
            <family val="2"/>
          </rPr>
          <t>VAR_SIN</t>
        </r>
        <r>
          <rPr>
            <sz val="8"/>
            <color indexed="81"/>
            <rFont val="Tahoma"/>
            <family val="2"/>
          </rPr>
          <t>(ESTCAESS00) + ACT &gt; CAP(ESTCAESS00).AF.G_YRFR.PRC(CAPACT) . (</t>
        </r>
        <r>
          <rPr>
            <b/>
            <sz val="8"/>
            <color indexed="81"/>
            <rFont val="Tahoma"/>
            <family val="2"/>
          </rPr>
          <t>Nr of days in shortest season/2</t>
        </r>
        <r>
          <rPr>
            <sz val="8"/>
            <color indexed="81"/>
            <rFont val="Tahoma"/>
            <family val="2"/>
          </rPr>
          <t>). 
Motivation: 
1. the storage technologies showed a VAR_SIN and VAR_SOUT in the same timeslice. the capacity is now based on VAR_SIN rather than on ACT. We implement it via the P_ processes as VAR_SIN cannot be used in a constraint.
2. to mimic the variation in the daily availability of solar activity. Without, the model assumes a daily charge/discharge cycle that is based on average solar availability.
! we always have to check if PV is the driver for storage investments</t>
        </r>
      </text>
    </comment>
  </commentList>
</comments>
</file>

<file path=xl/sharedStrings.xml><?xml version="1.0" encoding="utf-8"?>
<sst xmlns="http://schemas.openxmlformats.org/spreadsheetml/2006/main" count="214" uniqueCount="115">
  <si>
    <t>~UC_Sets: R_E: AllRegions</t>
  </si>
  <si>
    <t>UC_N</t>
  </si>
  <si>
    <t>Pset_CI</t>
  </si>
  <si>
    <t>Year</t>
  </si>
  <si>
    <t>Pset_PN</t>
  </si>
  <si>
    <t>Pset_Set</t>
  </si>
  <si>
    <t>Cset_CN</t>
  </si>
  <si>
    <t>Pset_CO</t>
  </si>
  <si>
    <t>~UC_T</t>
  </si>
  <si>
    <t>UC_CAP</t>
  </si>
  <si>
    <t>Attribute</t>
  </si>
  <si>
    <t>LimType</t>
  </si>
  <si>
    <t>UC_Desc</t>
  </si>
  <si>
    <t>UC_RHSRTS</t>
  </si>
  <si>
    <t>Constraint limits the discharging capacity (GW) to (1/discharge time) times the storage capacity (GWh)</t>
  </si>
  <si>
    <t>This actually limits the discharging power so that it can not be charged faster than 4-8 hours</t>
  </si>
  <si>
    <t xml:space="preserve">~UC_Sets: TS_E: </t>
  </si>
  <si>
    <t>Timeslice</t>
  </si>
  <si>
    <t>UC_ACT</t>
  </si>
  <si>
    <t>UC_RHSRTS~0</t>
  </si>
  <si>
    <t>UC_DCAES00-STG_DischLimit</t>
  </si>
  <si>
    <t>FX</t>
  </si>
  <si>
    <t>Coupling power capacity (GW) with storage (energy - GWh) capacity for BY-DCAES</t>
  </si>
  <si>
    <t>UC_DCAES-STG_DischLimit</t>
  </si>
  <si>
    <t>Coupling power capacity with storage (energy) capacity for DCAES-STG</t>
  </si>
  <si>
    <t>UC_ACAES-STG_DischLimit</t>
  </si>
  <si>
    <t>Coupling power capacity with storage (energy) capacity for ACAES-STG</t>
  </si>
  <si>
    <t>UC_PHS-STG_DischLimit</t>
  </si>
  <si>
    <t>Coupling power capacity with storage (energy) capacity for PHS-STG</t>
  </si>
  <si>
    <t>UC_Batt1-STG_DischLimit</t>
  </si>
  <si>
    <t>Coupling power capacity with storage (energy) capacity for Batt1-STG</t>
  </si>
  <si>
    <t>UC_Batt2-STG_DischLimit</t>
  </si>
  <si>
    <t>Coupling power capacity with storage (energy) capacity for Batt2-STG</t>
  </si>
  <si>
    <t>UC_Batt3-STG_DischLimit</t>
  </si>
  <si>
    <t>Coupling power capacity with storage (energy) capacity for Batt3-STG</t>
  </si>
  <si>
    <t>UC_DCAES-STS_DischLimit</t>
  </si>
  <si>
    <t>Coupling power capacity with storage (energy) capacity for DCAES-STS</t>
  </si>
  <si>
    <t>UC_PHS-STS_DischLimit</t>
  </si>
  <si>
    <t>Coupling power capacity with storage (energy) capacity for PHS-STS</t>
  </si>
  <si>
    <t>UC_Batt1-STS_DischLimit</t>
  </si>
  <si>
    <t>Coupling power capacity with storage (energy) capacity for Batt1-STS</t>
  </si>
  <si>
    <t>UC_Batt2-STS_DischLimit</t>
  </si>
  <si>
    <t>Coupling power capacity with storage (energy) capacity for Batt2-STS</t>
  </si>
  <si>
    <t>UC_RSDBatt1_DischLimit</t>
  </si>
  <si>
    <t>Coupling power capacity with storage (energy) capacity for RSDBatt1</t>
  </si>
  <si>
    <t>UC_RSDBatt2_DischLimit</t>
  </si>
  <si>
    <t>Coupling power capacity with storage (energy) capacity for RSDBatt2</t>
  </si>
  <si>
    <t>UC_RSDBatt3_DischLimit</t>
  </si>
  <si>
    <t>UC_COMBatt1_DischLimit</t>
  </si>
  <si>
    <t>Coupling power capacity with storage (energy) capacity for COMBatt1</t>
  </si>
  <si>
    <t>UC_COMBatt2_DischLimit</t>
  </si>
  <si>
    <t>Coupling power capacity with storage (energy) capacity for COMBatt2</t>
  </si>
  <si>
    <t>UC_COMBatt3_DischLimit</t>
  </si>
  <si>
    <t>Coupling power capacity with storage (energy) capacity for COMBatt3</t>
  </si>
  <si>
    <t>DAYNITE</t>
  </si>
  <si>
    <t>LO</t>
  </si>
  <si>
    <t>electricity stored / CF x SF</t>
  </si>
  <si>
    <t>Two average days</t>
  </si>
  <si>
    <t>Seasons</t>
  </si>
  <si>
    <t>N. of Days</t>
  </si>
  <si>
    <t>CF</t>
  </si>
  <si>
    <t>SF</t>
  </si>
  <si>
    <t>SF/CF</t>
  </si>
  <si>
    <t>Corrected factor</t>
  </si>
  <si>
    <t>R</t>
  </si>
  <si>
    <t>S</t>
  </si>
  <si>
    <t>Needs to be calibrated</t>
  </si>
  <si>
    <t>F</t>
  </si>
  <si>
    <t xml:space="preserve">W </t>
  </si>
  <si>
    <t>~TFM_INS</t>
  </si>
  <si>
    <t>Pset_PD</t>
  </si>
  <si>
    <t>Curr</t>
  </si>
  <si>
    <t>AllRegions</t>
  </si>
  <si>
    <t>STGOUT_BND</t>
  </si>
  <si>
    <t>EST*,COMBAT*,RSDBAT*</t>
  </si>
  <si>
    <t>RSDELC, COMELC,ELCHIG</t>
  </si>
  <si>
    <t>WP</t>
  </si>
  <si>
    <t>The transport battery is in the TRA_SCENARIOS file</t>
  </si>
  <si>
    <t>If we change a value for storage processes (like nt of days), we need to do a similar change for transport</t>
  </si>
  <si>
    <t>DEACTIVATED</t>
  </si>
  <si>
    <t>Pumped Storage Capacity from IDEES</t>
  </si>
  <si>
    <t>PSET_PN</t>
  </si>
  <si>
    <t>AT</t>
  </si>
  <si>
    <t>BE</t>
  </si>
  <si>
    <t>BG</t>
  </si>
  <si>
    <t>CY</t>
  </si>
  <si>
    <t>CZ</t>
  </si>
  <si>
    <t>DE</t>
  </si>
  <si>
    <t>DK</t>
  </si>
  <si>
    <t>EE</t>
  </si>
  <si>
    <t>EL</t>
  </si>
  <si>
    <t>ES</t>
  </si>
  <si>
    <t>FI</t>
  </si>
  <si>
    <t>FR</t>
  </si>
  <si>
    <t>HR</t>
  </si>
  <si>
    <t>HU</t>
  </si>
  <si>
    <t>IE</t>
  </si>
  <si>
    <t>IT</t>
  </si>
  <si>
    <t>LT</t>
  </si>
  <si>
    <t>LU</t>
  </si>
  <si>
    <t>LV</t>
  </si>
  <si>
    <t>MT</t>
  </si>
  <si>
    <t>NL</t>
  </si>
  <si>
    <t>PL</t>
  </si>
  <si>
    <t>PT</t>
  </si>
  <si>
    <t>RO</t>
  </si>
  <si>
    <t>SE</t>
  </si>
  <si>
    <t>SI</t>
  </si>
  <si>
    <t>SK</t>
  </si>
  <si>
    <t>UK</t>
  </si>
  <si>
    <t>NO</t>
  </si>
  <si>
    <t>NCAP_BND</t>
  </si>
  <si>
    <t>P_ESTHYDPS101</t>
  </si>
  <si>
    <t>STG_EFF</t>
  </si>
  <si>
    <t>UC_CAP~2010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</si>
</sst>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0">
    <numFmt numFmtId="41" formatCode="_-* #,##0_-;\-* #,##0_-;_-* &quot;-&quot;_-;_-@_-"/>
    <numFmt numFmtId="43" formatCode="_-* #,##0.00_-;\-* #,##0.00_-;_-* &quot;-&quot;??_-;_-@_-"/>
    <numFmt numFmtId="164" formatCode="_(* #,##0.00_);_(* \(#,##0.00\);_(* &quot;-&quot;??_);_(@_)"/>
    <numFmt numFmtId="165" formatCode="&quot;$&quot;#,##0_);\(&quot;$&quot;#,##0\)"/>
    <numFmt numFmtId="166" formatCode="_(&quot;$&quot;* #,##0.00_);_(&quot;$&quot;* \(#,##0.00\);_(&quot;$&quot;* &quot;-&quot;??_);_(@_)"/>
    <numFmt numFmtId="167" formatCode="_-* #,##0.00\ _€_-;\-* #,##0.00\ _€_-;_-* &quot;-&quot;??\ _€_-;_-@_-"/>
    <numFmt numFmtId="168" formatCode="0.0%"/>
    <numFmt numFmtId="169" formatCode="_-&quot;$&quot;* #,##0.00_-;\-&quot;$&quot;* #,##0.00_-;_-&quot;$&quot;* &quot;-&quot;??_-;_-@_-"/>
    <numFmt numFmtId="170" formatCode="_-[$€-2]\ * #,##0.00_-;\-[$€-2]\ * #,##0.00_-;_-[$€-2]\ * &quot;-&quot;??_-"/>
    <numFmt numFmtId="171" formatCode="_([$€-2]* #,##0.00_);_([$€-2]* \(#,##0.00\);_([$€-2]* &quot;-&quot;??_)"/>
    <numFmt numFmtId="172" formatCode="_-* #,##0.00\ &quot;€&quot;_-;\-* #,##0.00\ &quot;€&quot;_-;_-* &quot;-&quot;??\ &quot;€&quot;_-;_-@_-"/>
    <numFmt numFmtId="173" formatCode="_([$€]* #,##0.00_);_([$€]* \(#,##0.00\);_([$€]* &quot;-&quot;??_);_(@_)"/>
    <numFmt numFmtId="174" formatCode="_-[$€-2]* #,##0.00_-;\-[$€-2]* #,##0.00_-;_-[$€-2]* &quot;-&quot;??_-"/>
    <numFmt numFmtId="175" formatCode="_-[$€]* #,##0.00_-;\-[$€]* #,##0.00_-;_-[$€]* &quot;-&quot;??_-;_-@_-"/>
    <numFmt numFmtId="176" formatCode="_-&quot;€&quot;\ * #,##0.00_-;\-&quot;€&quot;\ * #,##0.00_-;_-&quot;€&quot;\ * &quot;-&quot;??_-;_-@_-"/>
    <numFmt numFmtId="177" formatCode="General_)"/>
    <numFmt numFmtId="178" formatCode="\(##\);\(##\)"/>
    <numFmt numFmtId="179" formatCode="#,##0;\-\ #,##0;_-\ &quot;- &quot;"/>
    <numFmt numFmtId="180" formatCode="#,##0.0000"/>
    <numFmt numFmtId="181" formatCode="???,???.00"/>
  </numFmts>
  <fonts count="77">
    <font>
      <sz val="11"/>
      <color theme="1"/>
      <name val="Calibri"/>
      <family val="2"/>
      <scheme val="minor"/>
    </font>
    <font>
      <sz val="11"/>
      <color indexed="8"/>
      <name val="Calibri"/>
      <family val="2"/>
    </font>
    <font>
      <b/>
      <sz val="11"/>
      <color indexed="8"/>
      <name val="Calibri"/>
      <family val="2"/>
    </font>
    <font>
      <b/>
      <sz val="10"/>
      <name val="Arial"/>
      <family val="2"/>
    </font>
    <font>
      <sz val="10"/>
      <name val="Arial"/>
      <family val="2"/>
    </font>
    <font>
      <sz val="11"/>
      <color indexed="9"/>
      <name val="Calibri"/>
      <family val="2"/>
    </font>
    <font>
      <sz val="11"/>
      <color indexed="20"/>
      <name val="Calibri"/>
      <family val="2"/>
    </font>
    <font>
      <b/>
      <sz val="11"/>
      <color indexed="52"/>
      <name val="Calibri"/>
      <family val="2"/>
    </font>
    <font>
      <b/>
      <sz val="11"/>
      <color indexed="9"/>
      <name val="Calibri"/>
      <family val="2"/>
    </font>
    <font>
      <i/>
      <sz val="11"/>
      <color indexed="23"/>
      <name val="Calibri"/>
      <family val="2"/>
    </font>
    <font>
      <sz val="11"/>
      <color indexed="17"/>
      <name val="Calibri"/>
      <family val="2"/>
    </font>
    <font>
      <b/>
      <sz val="15"/>
      <color indexed="56"/>
      <name val="Calibri"/>
      <family val="2"/>
    </font>
    <font>
      <b/>
      <sz val="13"/>
      <color indexed="56"/>
      <name val="Calibri"/>
      <family val="2"/>
    </font>
    <font>
      <b/>
      <sz val="11"/>
      <color indexed="56"/>
      <name val="Calibri"/>
      <family val="2"/>
    </font>
    <font>
      <sz val="11"/>
      <color indexed="62"/>
      <name val="Calibri"/>
      <family val="2"/>
    </font>
    <font>
      <sz val="11"/>
      <color indexed="52"/>
      <name val="Calibri"/>
      <family val="2"/>
    </font>
    <font>
      <sz val="11"/>
      <color indexed="60"/>
      <name val="Calibri"/>
      <family val="2"/>
    </font>
    <font>
      <b/>
      <sz val="11"/>
      <color indexed="63"/>
      <name val="Calibri"/>
      <family val="2"/>
    </font>
    <font>
      <sz val="11"/>
      <color indexed="10"/>
      <name val="Calibri"/>
      <family val="2"/>
    </font>
    <font>
      <b/>
      <sz val="9"/>
      <color indexed="81"/>
      <name val="Tahoma"/>
      <family val="2"/>
    </font>
    <font>
      <sz val="9"/>
      <color indexed="81"/>
      <name val="Tahoma"/>
      <family val="2"/>
    </font>
    <font>
      <u/>
      <sz val="12"/>
      <color indexed="20"/>
      <name val="??"/>
      <charset val="134"/>
    </font>
    <font>
      <sz val="9"/>
      <name val="Times New Roman"/>
      <family val="1"/>
    </font>
    <font>
      <b/>
      <sz val="9"/>
      <name val="Times New Roman"/>
      <family val="1"/>
    </font>
    <font>
      <sz val="9"/>
      <color indexed="8"/>
      <name val="Times New Roman"/>
      <family val="1"/>
    </font>
    <font>
      <sz val="12"/>
      <color indexed="8"/>
      <name val="Times New Roman"/>
      <family val="1"/>
    </font>
    <font>
      <b/>
      <sz val="11"/>
      <color indexed="10"/>
      <name val="Calibri"/>
      <family val="2"/>
    </font>
    <font>
      <sz val="10"/>
      <name val="Arial"/>
      <family val="2"/>
      <charset val="161"/>
    </font>
    <font>
      <sz val="10"/>
      <name val="MS Sans Serif"/>
      <family val="2"/>
    </font>
    <font>
      <sz val="10"/>
      <color indexed="56"/>
      <name val="Arial"/>
      <family val="2"/>
    </font>
    <font>
      <sz val="10"/>
      <name val="Arial Cyr"/>
      <charset val="204"/>
    </font>
    <font>
      <i/>
      <sz val="8"/>
      <color indexed="38"/>
      <name val="Arial"/>
      <family val="2"/>
    </font>
    <font>
      <sz val="10"/>
      <color indexed="8"/>
      <name val="Arial"/>
      <family val="2"/>
    </font>
    <font>
      <b/>
      <sz val="15"/>
      <color indexed="62"/>
      <name val="Calibri"/>
      <family val="2"/>
    </font>
    <font>
      <b/>
      <sz val="13"/>
      <color indexed="62"/>
      <name val="Calibri"/>
      <family val="2"/>
    </font>
    <font>
      <b/>
      <sz val="11"/>
      <color indexed="62"/>
      <name val="Calibri"/>
      <family val="2"/>
    </font>
    <font>
      <b/>
      <sz val="12"/>
      <name val="Times New Roman"/>
      <family val="1"/>
    </font>
    <font>
      <u/>
      <sz val="10"/>
      <color indexed="12"/>
      <name val="Arial"/>
      <family val="2"/>
    </font>
    <font>
      <b/>
      <sz val="12"/>
      <color indexed="8"/>
      <name val="Times New Roman"/>
      <family val="1"/>
    </font>
    <font>
      <sz val="11"/>
      <color indexed="19"/>
      <name val="Calibri"/>
      <family val="2"/>
    </font>
    <font>
      <sz val="11"/>
      <color indexed="60"/>
      <name val="Calibri"/>
      <family val="2"/>
      <charset val="161"/>
    </font>
    <font>
      <sz val="8"/>
      <name val="Helv"/>
    </font>
    <font>
      <sz val="11"/>
      <name val="Arial"/>
      <family val="2"/>
    </font>
    <font>
      <sz val="10"/>
      <name val="Times New Roman"/>
      <family val="1"/>
    </font>
    <font>
      <sz val="8"/>
      <name val="Arial"/>
      <family val="2"/>
    </font>
    <font>
      <sz val="10"/>
      <name val="Myriad Pro"/>
    </font>
    <font>
      <sz val="10"/>
      <name val="Courier"/>
      <family val="3"/>
    </font>
    <font>
      <b/>
      <vertAlign val="superscript"/>
      <sz val="12"/>
      <color indexed="54"/>
      <name val="Arial"/>
      <family val="2"/>
    </font>
    <font>
      <sz val="8"/>
      <color indexed="81"/>
      <name val="Tahoma"/>
      <family val="2"/>
    </font>
    <font>
      <b/>
      <sz val="8"/>
      <color indexed="81"/>
      <name val="Tahoma"/>
      <family val="2"/>
    </font>
    <font>
      <sz val="10"/>
      <name val="Arial"/>
    </font>
    <font>
      <sz val="11"/>
      <name val="Arial"/>
      <charset val="238"/>
    </font>
    <font>
      <sz val="10"/>
      <name val="Arial"/>
      <family val="2"/>
      <charset val="238"/>
    </font>
    <font>
      <sz val="8"/>
      <name val="Arial"/>
      <family val="2"/>
      <charset val="161"/>
    </font>
    <font>
      <sz val="9"/>
      <name val="Arial"/>
      <family val="2"/>
    </font>
    <font>
      <sz val="8"/>
      <name val="Helvetica"/>
    </font>
    <font>
      <sz val="11"/>
      <color theme="1"/>
      <name val="Calibri"/>
      <family val="2"/>
      <scheme val="minor"/>
    </font>
    <font>
      <sz val="11"/>
      <color theme="0"/>
      <name val="Calibri"/>
      <family val="2"/>
      <scheme val="minor"/>
    </font>
    <font>
      <sz val="11"/>
      <color rgb="FF9C0006"/>
      <name val="Calibri"/>
      <family val="2"/>
      <scheme val="minor"/>
    </font>
    <font>
      <b/>
      <sz val="11"/>
      <color rgb="FFFA7D00"/>
      <name val="Calibri"/>
      <family val="2"/>
      <scheme val="minor"/>
    </font>
    <font>
      <b/>
      <sz val="11"/>
      <color theme="0"/>
      <name val="Calibri"/>
      <family val="2"/>
      <scheme val="minor"/>
    </font>
    <font>
      <i/>
      <sz val="11"/>
      <color rgb="FF7F7F7F"/>
      <name val="Calibri"/>
      <family val="2"/>
      <scheme val="minor"/>
    </font>
    <font>
      <sz val="11"/>
      <color rgb="FF006100"/>
      <name val="Calibri"/>
      <family val="2"/>
      <scheme val="minor"/>
    </font>
    <font>
      <sz val="11"/>
      <color rgb="FF006100"/>
      <name val="Calibri"/>
      <family val="3"/>
      <charset val="128"/>
      <scheme val="minor"/>
    </font>
    <font>
      <b/>
      <sz val="15"/>
      <color theme="3"/>
      <name val="Calibri"/>
      <family val="2"/>
      <scheme val="minor"/>
    </font>
    <font>
      <b/>
      <sz val="13"/>
      <color theme="3"/>
      <name val="Calibri"/>
      <family val="2"/>
      <scheme val="minor"/>
    </font>
    <font>
      <b/>
      <sz val="11"/>
      <color theme="3"/>
      <name val="Calibri"/>
      <family val="2"/>
      <scheme val="minor"/>
    </font>
    <font>
      <u/>
      <sz val="11"/>
      <color theme="10"/>
      <name val="Calibri"/>
      <family val="2"/>
    </font>
    <font>
      <u/>
      <sz val="11"/>
      <color theme="10"/>
      <name val="Calibri"/>
      <family val="2"/>
      <scheme val="minor"/>
    </font>
    <font>
      <sz val="11"/>
      <color rgb="FF3F3F76"/>
      <name val="Calibri"/>
      <family val="2"/>
      <scheme val="minor"/>
    </font>
    <font>
      <sz val="11"/>
      <color rgb="FF3F3F76"/>
      <name val="Calibri"/>
      <family val="3"/>
      <charset val="128"/>
      <scheme val="minor"/>
    </font>
    <font>
      <sz val="11"/>
      <color rgb="FFFA7D00"/>
      <name val="Calibri"/>
      <family val="2"/>
      <scheme val="minor"/>
    </font>
    <font>
      <sz val="11"/>
      <color rgb="FF9C6500"/>
      <name val="Calibri"/>
      <family val="2"/>
      <scheme val="minor"/>
    </font>
    <font>
      <sz val="11"/>
      <color theme="1"/>
      <name val="Calibri"/>
      <family val="3"/>
      <charset val="128"/>
      <scheme val="minor"/>
    </font>
    <font>
      <sz val="10"/>
      <color theme="1"/>
      <name val="Arial"/>
      <family val="2"/>
    </font>
    <font>
      <sz val="10"/>
      <color theme="1"/>
      <name val="Calibri"/>
      <family val="2"/>
      <scheme val="minor"/>
    </font>
    <font>
      <b/>
      <sz val="11"/>
      <color rgb="FF3F3F3F"/>
      <name val="Calibri"/>
      <family val="2"/>
      <scheme val="minor"/>
    </font>
  </fonts>
  <fills count="66">
    <fill>
      <patternFill patternType="none"/>
    </fill>
    <fill>
      <patternFill patternType="gray125"/>
    </fill>
    <fill>
      <patternFill patternType="solid">
        <fgColor indexed="31"/>
      </patternFill>
    </fill>
    <fill>
      <patternFill patternType="solid">
        <fgColor indexed="44"/>
      </patternFill>
    </fill>
    <fill>
      <patternFill patternType="solid">
        <fgColor indexed="45"/>
      </patternFill>
    </fill>
    <fill>
      <patternFill patternType="solid">
        <fgColor indexed="29"/>
      </patternFill>
    </fill>
    <fill>
      <patternFill patternType="solid">
        <fgColor indexed="42"/>
      </patternFill>
    </fill>
    <fill>
      <patternFill patternType="solid">
        <fgColor indexed="26"/>
      </patternFill>
    </fill>
    <fill>
      <patternFill patternType="solid">
        <fgColor indexed="46"/>
      </patternFill>
    </fill>
    <fill>
      <patternFill patternType="solid">
        <fgColor indexed="47"/>
      </patternFill>
    </fill>
    <fill>
      <patternFill patternType="solid">
        <fgColor indexed="27"/>
      </patternFill>
    </fill>
    <fill>
      <patternFill patternType="solid">
        <fgColor indexed="11"/>
      </patternFill>
    </fill>
    <fill>
      <patternFill patternType="solid">
        <fgColor indexed="43"/>
      </patternFill>
    </fill>
    <fill>
      <patternFill patternType="solid">
        <fgColor indexed="51"/>
      </patternFill>
    </fill>
    <fill>
      <patternFill patternType="solid">
        <fgColor indexed="30"/>
      </patternFill>
    </fill>
    <fill>
      <patternFill patternType="solid">
        <fgColor indexed="53"/>
      </patternFill>
    </fill>
    <fill>
      <patternFill patternType="solid">
        <fgColor indexed="36"/>
      </patternFill>
    </fill>
    <fill>
      <patternFill patternType="solid">
        <fgColor indexed="49"/>
      </patternFill>
    </fill>
    <fill>
      <patternFill patternType="solid">
        <fgColor indexed="52"/>
      </patternFill>
    </fill>
    <fill>
      <patternFill patternType="solid">
        <fgColor indexed="62"/>
      </patternFill>
    </fill>
    <fill>
      <patternFill patternType="solid">
        <fgColor indexed="56"/>
      </patternFill>
    </fill>
    <fill>
      <patternFill patternType="solid">
        <fgColor indexed="10"/>
      </patternFill>
    </fill>
    <fill>
      <patternFill patternType="solid">
        <fgColor indexed="57"/>
      </patternFill>
    </fill>
    <fill>
      <patternFill patternType="solid">
        <fgColor indexed="54"/>
      </patternFill>
    </fill>
    <fill>
      <patternFill patternType="solid">
        <fgColor indexed="27"/>
        <bgColor indexed="64"/>
      </patternFill>
    </fill>
    <fill>
      <patternFill patternType="solid">
        <fgColor indexed="42"/>
        <bgColor indexed="64"/>
      </patternFill>
    </fill>
    <fill>
      <patternFill patternType="solid">
        <fgColor indexed="47"/>
        <bgColor indexed="64"/>
      </patternFill>
    </fill>
    <fill>
      <patternFill patternType="solid">
        <fgColor indexed="22"/>
      </patternFill>
    </fill>
    <fill>
      <patternFill patternType="solid">
        <fgColor indexed="9"/>
      </patternFill>
    </fill>
    <fill>
      <patternFill patternType="solid">
        <fgColor indexed="55"/>
      </patternFill>
    </fill>
    <fill>
      <patternFill patternType="solid">
        <fgColor indexed="49"/>
        <bgColor indexed="64"/>
      </patternFill>
    </fill>
    <fill>
      <patternFill patternType="solid">
        <fgColor indexed="23"/>
        <bgColor indexed="64"/>
      </patternFill>
    </fill>
    <fill>
      <patternFill patternType="solid">
        <fgColor indexed="55"/>
        <bgColor indexed="64"/>
      </patternFill>
    </fill>
    <fill>
      <patternFill patternType="solid">
        <fgColor indexed="22"/>
        <bgColor indexed="64"/>
      </patternFill>
    </fill>
    <fill>
      <patternFill patternType="darkTrellis"/>
    </fill>
    <fill>
      <patternFill patternType="solid">
        <fgColor theme="4" tint="0.79998168889431442"/>
        <bgColor indexed="6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theme="4"/>
      </patternFill>
    </fill>
    <fill>
      <patternFill patternType="solid">
        <fgColor theme="5"/>
      </patternFill>
    </fill>
    <fill>
      <patternFill patternType="solid">
        <fgColor theme="6"/>
      </patternFill>
    </fill>
    <fill>
      <patternFill patternType="solid">
        <fgColor theme="7"/>
      </patternFill>
    </fill>
    <fill>
      <patternFill patternType="solid">
        <fgColor theme="8"/>
      </patternFill>
    </fill>
    <fill>
      <patternFill patternType="solid">
        <fgColor theme="9"/>
      </patternFill>
    </fill>
    <fill>
      <patternFill patternType="solid">
        <fgColor rgb="FFFFC7CE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C6EFCE"/>
      </patternFill>
    </fill>
    <fill>
      <patternFill patternType="solid">
        <fgColor rgb="FFFFCC99"/>
      </patternFill>
    </fill>
    <fill>
      <patternFill patternType="solid">
        <fgColor rgb="FFFFEB9C"/>
      </patternFill>
    </fill>
    <fill>
      <patternFill patternType="solid">
        <fgColor rgb="FFFFFFCC"/>
      </patternFill>
    </fill>
  </fills>
  <borders count="3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3"/>
      </left>
      <right style="thin">
        <color indexed="63"/>
      </right>
      <top style="thin">
        <color indexed="63"/>
      </top>
      <bottom style="thin">
        <color indexed="63"/>
      </bottom>
      <diagonal/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double">
        <color indexed="63"/>
      </left>
      <right style="double">
        <color indexed="63"/>
      </right>
      <top style="double">
        <color indexed="63"/>
      </top>
      <bottom style="double">
        <color indexed="63"/>
      </bottom>
      <diagonal/>
    </border>
    <border>
      <left style="thin">
        <color indexed="30"/>
      </left>
      <right style="thin">
        <color indexed="30"/>
      </right>
      <top style="thin">
        <color indexed="30"/>
      </top>
      <bottom style="thin">
        <color indexed="30"/>
      </bottom>
      <diagonal/>
    </border>
    <border>
      <left style="medium">
        <color indexed="64"/>
      </left>
      <right/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  <border>
      <left/>
      <right/>
      <top/>
      <bottom style="medium">
        <color indexed="64"/>
      </bottom>
      <diagonal/>
    </border>
    <border>
      <left/>
      <right/>
      <top style="thin">
        <color indexed="62"/>
      </top>
      <bottom style="double">
        <color indexed="62"/>
      </bottom>
      <diagonal/>
    </border>
    <border>
      <left/>
      <right/>
      <top/>
      <bottom style="thick">
        <color indexed="62"/>
      </bottom>
      <diagonal/>
    </border>
    <border>
      <left/>
      <right/>
      <top/>
      <bottom style="thick">
        <color indexed="56"/>
      </bottom>
      <diagonal/>
    </border>
    <border>
      <left/>
      <right/>
      <top/>
      <bottom style="thick">
        <color indexed="22"/>
      </bottom>
      <diagonal/>
    </border>
    <border>
      <left/>
      <right/>
      <top/>
      <bottom style="thick">
        <color indexed="27"/>
      </bottom>
      <diagonal/>
    </border>
    <border>
      <left/>
      <right/>
      <top/>
      <bottom style="medium">
        <color indexed="30"/>
      </bottom>
      <diagonal/>
    </border>
    <border>
      <left/>
      <right/>
      <top/>
      <bottom style="medium">
        <color indexed="27"/>
      </bottom>
      <diagonal/>
    </border>
    <border>
      <left/>
      <right/>
      <top/>
      <bottom style="double">
        <color indexed="52"/>
      </bottom>
      <diagonal/>
    </border>
    <border>
      <left/>
      <right/>
      <top/>
      <bottom style="double">
        <color indexed="10"/>
      </bottom>
      <diagonal/>
    </border>
    <border>
      <left style="thin">
        <color indexed="22"/>
      </left>
      <right style="thin">
        <color indexed="22"/>
      </right>
      <top style="thin">
        <color indexed="22"/>
      </top>
      <bottom style="thin">
        <color indexed="2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/>
      <right/>
      <top/>
      <bottom style="double">
        <color rgb="FFFF8001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</borders>
  <cellStyleXfs count="7239">
    <xf numFmtId="0" fontId="0" fillId="0" borderId="0"/>
    <xf numFmtId="0" fontId="21" fillId="0" borderId="0" applyNumberFormat="0" applyFill="0" applyBorder="0" applyAlignment="0" applyProtection="0">
      <alignment vertical="center"/>
    </xf>
    <xf numFmtId="0" fontId="56" fillId="35" borderId="0" applyNumberFormat="0" applyBorder="0" applyAlignment="0" applyProtection="0"/>
    <xf numFmtId="0" fontId="1" fillId="2" borderId="0" applyNumberFormat="0" applyBorder="0" applyAlignment="0" applyProtection="0"/>
    <xf numFmtId="0" fontId="1" fillId="2" borderId="0" applyNumberFormat="0" applyBorder="0" applyAlignment="0" applyProtection="0"/>
    <xf numFmtId="0" fontId="1" fillId="2" borderId="0" applyNumberFormat="0" applyBorder="0" applyAlignment="0" applyProtection="0"/>
    <xf numFmtId="0" fontId="1" fillId="2" borderId="0" applyNumberFormat="0" applyBorder="0" applyAlignment="0" applyProtection="0"/>
    <xf numFmtId="0" fontId="1" fillId="2" borderId="0" applyNumberFormat="0" applyBorder="0" applyAlignment="0" applyProtection="0"/>
    <xf numFmtId="0" fontId="1" fillId="2" borderId="0" applyNumberFormat="0" applyBorder="0" applyAlignment="0" applyProtection="0"/>
    <xf numFmtId="0" fontId="1" fillId="2" borderId="0" applyNumberFormat="0" applyBorder="0" applyAlignment="0" applyProtection="0"/>
    <xf numFmtId="0" fontId="1" fillId="2" borderId="0" applyNumberFormat="0" applyBorder="0" applyAlignment="0" applyProtection="0"/>
    <xf numFmtId="0" fontId="1" fillId="2" borderId="0" applyNumberFormat="0" applyBorder="0" applyAlignment="0" applyProtection="0"/>
    <xf numFmtId="0" fontId="1" fillId="2" borderId="0" applyNumberFormat="0" applyBorder="0" applyAlignment="0" applyProtection="0"/>
    <xf numFmtId="0" fontId="1" fillId="2" borderId="0" applyNumberFormat="0" applyBorder="0" applyAlignment="0" applyProtection="0"/>
    <xf numFmtId="0" fontId="1" fillId="3" borderId="0" applyNumberFormat="0" applyBorder="0" applyAlignment="0" applyProtection="0"/>
    <xf numFmtId="0" fontId="1" fillId="3" borderId="0" applyNumberFormat="0" applyBorder="0" applyAlignment="0" applyProtection="0"/>
    <xf numFmtId="0" fontId="1" fillId="3" borderId="0" applyNumberFormat="0" applyBorder="0" applyAlignment="0" applyProtection="0"/>
    <xf numFmtId="0" fontId="1" fillId="3" borderId="0" applyNumberFormat="0" applyBorder="0" applyAlignment="0" applyProtection="0"/>
    <xf numFmtId="0" fontId="1" fillId="3" borderId="0" applyNumberFormat="0" applyBorder="0" applyAlignment="0" applyProtection="0"/>
    <xf numFmtId="0" fontId="1" fillId="3" borderId="0" applyNumberFormat="0" applyBorder="0" applyAlignment="0" applyProtection="0"/>
    <xf numFmtId="0" fontId="1" fillId="3" borderId="0" applyNumberFormat="0" applyBorder="0" applyAlignment="0" applyProtection="0"/>
    <xf numFmtId="0" fontId="1" fillId="2" borderId="0" applyNumberFormat="0" applyBorder="0" applyAlignment="0" applyProtection="0"/>
    <xf numFmtId="0" fontId="1" fillId="3" borderId="0" applyNumberFormat="0" applyBorder="0" applyAlignment="0" applyProtection="0"/>
    <xf numFmtId="0" fontId="1" fillId="3" borderId="0" applyNumberFormat="0" applyBorder="0" applyAlignment="0" applyProtection="0"/>
    <xf numFmtId="0" fontId="1" fillId="3" borderId="0" applyNumberFormat="0" applyBorder="0" applyAlignment="0" applyProtection="0"/>
    <xf numFmtId="0" fontId="1" fillId="3" borderId="0" applyNumberFormat="0" applyBorder="0" applyAlignment="0" applyProtection="0"/>
    <xf numFmtId="0" fontId="1" fillId="3" borderId="0" applyNumberFormat="0" applyBorder="0" applyAlignment="0" applyProtection="0"/>
    <xf numFmtId="0" fontId="1" fillId="3" borderId="0" applyNumberFormat="0" applyBorder="0" applyAlignment="0" applyProtection="0"/>
    <xf numFmtId="0" fontId="1" fillId="3" borderId="0" applyNumberFormat="0" applyBorder="0" applyAlignment="0" applyProtection="0"/>
    <xf numFmtId="0" fontId="1" fillId="2" borderId="0" applyNumberFormat="0" applyBorder="0" applyAlignment="0" applyProtection="0"/>
    <xf numFmtId="0" fontId="1" fillId="2" borderId="0" applyNumberFormat="0" applyBorder="0" applyAlignment="0" applyProtection="0"/>
    <xf numFmtId="0" fontId="1" fillId="2" borderId="0" applyNumberFormat="0" applyBorder="0" applyAlignment="0" applyProtection="0"/>
    <xf numFmtId="0" fontId="1" fillId="2" borderId="0" applyNumberFormat="0" applyBorder="0" applyAlignment="0" applyProtection="0"/>
    <xf numFmtId="0" fontId="1" fillId="2" borderId="0" applyNumberFormat="0" applyBorder="0" applyAlignment="0" applyProtection="0"/>
    <xf numFmtId="0" fontId="1" fillId="2" borderId="0" applyNumberFormat="0" applyBorder="0" applyAlignment="0" applyProtection="0"/>
    <xf numFmtId="0" fontId="1" fillId="2" borderId="0" applyNumberFormat="0" applyBorder="0" applyAlignment="0" applyProtection="0"/>
    <xf numFmtId="0" fontId="1" fillId="2" borderId="0" applyNumberFormat="0" applyBorder="0" applyAlignment="0" applyProtection="0"/>
    <xf numFmtId="0" fontId="1" fillId="2" borderId="0" applyNumberFormat="0" applyBorder="0" applyAlignment="0" applyProtection="0"/>
    <xf numFmtId="0" fontId="1" fillId="2" borderId="0" applyNumberFormat="0" applyBorder="0" applyAlignment="0" applyProtection="0"/>
    <xf numFmtId="0" fontId="1" fillId="2" borderId="0" applyNumberFormat="0" applyBorder="0" applyAlignment="0" applyProtection="0"/>
    <xf numFmtId="0" fontId="1" fillId="2" borderId="0" applyNumberFormat="0" applyBorder="0" applyAlignment="0" applyProtection="0"/>
    <xf numFmtId="0" fontId="1" fillId="3" borderId="0" applyNumberFormat="0" applyBorder="0" applyAlignment="0" applyProtection="0"/>
    <xf numFmtId="0" fontId="1" fillId="2" borderId="0" applyNumberFormat="0" applyBorder="0" applyAlignment="0" applyProtection="0"/>
    <xf numFmtId="0" fontId="1" fillId="2" borderId="0" applyNumberFormat="0" applyBorder="0" applyAlignment="0" applyProtection="0"/>
    <xf numFmtId="0" fontId="1" fillId="2" borderId="0" applyNumberFormat="0" applyBorder="0" applyAlignment="0" applyProtection="0"/>
    <xf numFmtId="0" fontId="1" fillId="2" borderId="0" applyNumberFormat="0" applyBorder="0" applyAlignment="0" applyProtection="0"/>
    <xf numFmtId="0" fontId="1" fillId="2" borderId="0" applyNumberFormat="0" applyBorder="0" applyAlignment="0" applyProtection="0"/>
    <xf numFmtId="0" fontId="1" fillId="2" borderId="0" applyNumberFormat="0" applyBorder="0" applyAlignment="0" applyProtection="0"/>
    <xf numFmtId="0" fontId="1" fillId="2" borderId="0" applyNumberFormat="0" applyBorder="0" applyAlignment="0" applyProtection="0"/>
    <xf numFmtId="0" fontId="1" fillId="2" borderId="0" applyNumberFormat="0" applyBorder="0" applyAlignment="0" applyProtection="0"/>
    <xf numFmtId="0" fontId="1" fillId="2" borderId="0" applyNumberFormat="0" applyBorder="0" applyAlignment="0" applyProtection="0"/>
    <xf numFmtId="0" fontId="1" fillId="2" borderId="0" applyNumberFormat="0" applyBorder="0" applyAlignment="0" applyProtection="0"/>
    <xf numFmtId="0" fontId="1" fillId="2" borderId="0" applyNumberFormat="0" applyBorder="0" applyAlignment="0" applyProtection="0"/>
    <xf numFmtId="0" fontId="1" fillId="2" borderId="0" applyNumberFormat="0" applyBorder="0" applyAlignment="0" applyProtection="0"/>
    <xf numFmtId="0" fontId="1" fillId="3" borderId="0" applyNumberFormat="0" applyBorder="0" applyAlignment="0" applyProtection="0"/>
    <xf numFmtId="0" fontId="1" fillId="2" borderId="0" applyNumberFormat="0" applyBorder="0" applyAlignment="0" applyProtection="0"/>
    <xf numFmtId="0" fontId="1" fillId="2" borderId="0" applyNumberFormat="0" applyBorder="0" applyAlignment="0" applyProtection="0"/>
    <xf numFmtId="0" fontId="1" fillId="2" borderId="0" applyNumberFormat="0" applyBorder="0" applyAlignment="0" applyProtection="0"/>
    <xf numFmtId="0" fontId="1" fillId="2" borderId="0" applyNumberFormat="0" applyBorder="0" applyAlignment="0" applyProtection="0"/>
    <xf numFmtId="0" fontId="1" fillId="2" borderId="0" applyNumberFormat="0" applyBorder="0" applyAlignment="0" applyProtection="0"/>
    <xf numFmtId="0" fontId="1" fillId="2" borderId="0" applyNumberFormat="0" applyBorder="0" applyAlignment="0" applyProtection="0"/>
    <xf numFmtId="0" fontId="1" fillId="3" borderId="0" applyNumberFormat="0" applyBorder="0" applyAlignment="0" applyProtection="0"/>
    <xf numFmtId="0" fontId="1" fillId="2" borderId="0" applyNumberFormat="0" applyBorder="0" applyAlignment="0" applyProtection="0"/>
    <xf numFmtId="0" fontId="1" fillId="2" borderId="0" applyNumberFormat="0" applyBorder="0" applyAlignment="0" applyProtection="0"/>
    <xf numFmtId="0" fontId="1" fillId="3" borderId="0" applyNumberFormat="0" applyBorder="0" applyAlignment="0" applyProtection="0"/>
    <xf numFmtId="0" fontId="1" fillId="2" borderId="0" applyNumberFormat="0" applyBorder="0" applyAlignment="0" applyProtection="0"/>
    <xf numFmtId="0" fontId="1" fillId="2" borderId="0" applyNumberFormat="0" applyBorder="0" applyAlignment="0" applyProtection="0"/>
    <xf numFmtId="0" fontId="1" fillId="3" borderId="0" applyNumberFormat="0" applyBorder="0" applyAlignment="0" applyProtection="0"/>
    <xf numFmtId="0" fontId="1" fillId="2" borderId="0" applyNumberFormat="0" applyBorder="0" applyAlignment="0" applyProtection="0"/>
    <xf numFmtId="0" fontId="1" fillId="2" borderId="0" applyNumberFormat="0" applyBorder="0" applyAlignment="0" applyProtection="0"/>
    <xf numFmtId="0" fontId="1" fillId="3" borderId="0" applyNumberFormat="0" applyBorder="0" applyAlignment="0" applyProtection="0"/>
    <xf numFmtId="0" fontId="1" fillId="2" borderId="0" applyNumberFormat="0" applyBorder="0" applyAlignment="0" applyProtection="0"/>
    <xf numFmtId="0" fontId="1" fillId="2" borderId="0" applyNumberFormat="0" applyBorder="0" applyAlignment="0" applyProtection="0"/>
    <xf numFmtId="0" fontId="56" fillId="36" borderId="0" applyNumberFormat="0" applyBorder="0" applyAlignment="0" applyProtection="0"/>
    <xf numFmtId="0" fontId="1" fillId="4" borderId="0" applyNumberFormat="0" applyBorder="0" applyAlignment="0" applyProtection="0"/>
    <xf numFmtId="0" fontId="1" fillId="4" borderId="0" applyNumberFormat="0" applyBorder="0" applyAlignment="0" applyProtection="0"/>
    <xf numFmtId="0" fontId="1" fillId="4" borderId="0" applyNumberFormat="0" applyBorder="0" applyAlignment="0" applyProtection="0"/>
    <xf numFmtId="0" fontId="1" fillId="4" borderId="0" applyNumberFormat="0" applyBorder="0" applyAlignment="0" applyProtection="0"/>
    <xf numFmtId="0" fontId="1" fillId="4" borderId="0" applyNumberFormat="0" applyBorder="0" applyAlignment="0" applyProtection="0"/>
    <xf numFmtId="0" fontId="1" fillId="4" borderId="0" applyNumberFormat="0" applyBorder="0" applyAlignment="0" applyProtection="0"/>
    <xf numFmtId="0" fontId="1" fillId="4" borderId="0" applyNumberFormat="0" applyBorder="0" applyAlignment="0" applyProtection="0"/>
    <xf numFmtId="0" fontId="1" fillId="4" borderId="0" applyNumberFormat="0" applyBorder="0" applyAlignment="0" applyProtection="0"/>
    <xf numFmtId="0" fontId="1" fillId="4" borderId="0" applyNumberFormat="0" applyBorder="0" applyAlignment="0" applyProtection="0"/>
    <xf numFmtId="0" fontId="1" fillId="4" borderId="0" applyNumberFormat="0" applyBorder="0" applyAlignment="0" applyProtection="0"/>
    <xf numFmtId="0" fontId="1" fillId="4" borderId="0" applyNumberFormat="0" applyBorder="0" applyAlignment="0" applyProtection="0"/>
    <xf numFmtId="0" fontId="1" fillId="5" borderId="0" applyNumberFormat="0" applyBorder="0" applyAlignment="0" applyProtection="0"/>
    <xf numFmtId="0" fontId="1" fillId="5" borderId="0" applyNumberFormat="0" applyBorder="0" applyAlignment="0" applyProtection="0"/>
    <xf numFmtId="0" fontId="1" fillId="5" borderId="0" applyNumberFormat="0" applyBorder="0" applyAlignment="0" applyProtection="0"/>
    <xf numFmtId="0" fontId="1" fillId="5" borderId="0" applyNumberFormat="0" applyBorder="0" applyAlignment="0" applyProtection="0"/>
    <xf numFmtId="0" fontId="1" fillId="5" borderId="0" applyNumberFormat="0" applyBorder="0" applyAlignment="0" applyProtection="0"/>
    <xf numFmtId="0" fontId="1" fillId="5" borderId="0" applyNumberFormat="0" applyBorder="0" applyAlignment="0" applyProtection="0"/>
    <xf numFmtId="0" fontId="1" fillId="5" borderId="0" applyNumberFormat="0" applyBorder="0" applyAlignment="0" applyProtection="0"/>
    <xf numFmtId="0" fontId="1" fillId="4" borderId="0" applyNumberFormat="0" applyBorder="0" applyAlignment="0" applyProtection="0"/>
    <xf numFmtId="0" fontId="1" fillId="5" borderId="0" applyNumberFormat="0" applyBorder="0" applyAlignment="0" applyProtection="0"/>
    <xf numFmtId="0" fontId="1" fillId="5" borderId="0" applyNumberFormat="0" applyBorder="0" applyAlignment="0" applyProtection="0"/>
    <xf numFmtId="0" fontId="1" fillId="5" borderId="0" applyNumberFormat="0" applyBorder="0" applyAlignment="0" applyProtection="0"/>
    <xf numFmtId="0" fontId="1" fillId="5" borderId="0" applyNumberFormat="0" applyBorder="0" applyAlignment="0" applyProtection="0"/>
    <xf numFmtId="0" fontId="1" fillId="5" borderId="0" applyNumberFormat="0" applyBorder="0" applyAlignment="0" applyProtection="0"/>
    <xf numFmtId="0" fontId="1" fillId="5" borderId="0" applyNumberFormat="0" applyBorder="0" applyAlignment="0" applyProtection="0"/>
    <xf numFmtId="0" fontId="1" fillId="5" borderId="0" applyNumberFormat="0" applyBorder="0" applyAlignment="0" applyProtection="0"/>
    <xf numFmtId="0" fontId="1" fillId="4" borderId="0" applyNumberFormat="0" applyBorder="0" applyAlignment="0" applyProtection="0"/>
    <xf numFmtId="0" fontId="1" fillId="4" borderId="0" applyNumberFormat="0" applyBorder="0" applyAlignment="0" applyProtection="0"/>
    <xf numFmtId="0" fontId="1" fillId="4" borderId="0" applyNumberFormat="0" applyBorder="0" applyAlignment="0" applyProtection="0"/>
    <xf numFmtId="0" fontId="1" fillId="4" borderId="0" applyNumberFormat="0" applyBorder="0" applyAlignment="0" applyProtection="0"/>
    <xf numFmtId="0" fontId="1" fillId="4" borderId="0" applyNumberFormat="0" applyBorder="0" applyAlignment="0" applyProtection="0"/>
    <xf numFmtId="0" fontId="1" fillId="4" borderId="0" applyNumberFormat="0" applyBorder="0" applyAlignment="0" applyProtection="0"/>
    <xf numFmtId="0" fontId="1" fillId="4" borderId="0" applyNumberFormat="0" applyBorder="0" applyAlignment="0" applyProtection="0"/>
    <xf numFmtId="0" fontId="1" fillId="4" borderId="0" applyNumberFormat="0" applyBorder="0" applyAlignment="0" applyProtection="0"/>
    <xf numFmtId="0" fontId="1" fillId="4" borderId="0" applyNumberFormat="0" applyBorder="0" applyAlignment="0" applyProtection="0"/>
    <xf numFmtId="0" fontId="1" fillId="4" borderId="0" applyNumberFormat="0" applyBorder="0" applyAlignment="0" applyProtection="0"/>
    <xf numFmtId="0" fontId="1" fillId="4" borderId="0" applyNumberFormat="0" applyBorder="0" applyAlignment="0" applyProtection="0"/>
    <xf numFmtId="0" fontId="1" fillId="4" borderId="0" applyNumberFormat="0" applyBorder="0" applyAlignment="0" applyProtection="0"/>
    <xf numFmtId="0" fontId="1" fillId="5" borderId="0" applyNumberFormat="0" applyBorder="0" applyAlignment="0" applyProtection="0"/>
    <xf numFmtId="0" fontId="1" fillId="4" borderId="0" applyNumberFormat="0" applyBorder="0" applyAlignment="0" applyProtection="0"/>
    <xf numFmtId="0" fontId="1" fillId="4" borderId="0" applyNumberFormat="0" applyBorder="0" applyAlignment="0" applyProtection="0"/>
    <xf numFmtId="0" fontId="1" fillId="4" borderId="0" applyNumberFormat="0" applyBorder="0" applyAlignment="0" applyProtection="0"/>
    <xf numFmtId="0" fontId="1" fillId="4" borderId="0" applyNumberFormat="0" applyBorder="0" applyAlignment="0" applyProtection="0"/>
    <xf numFmtId="0" fontId="1" fillId="4" borderId="0" applyNumberFormat="0" applyBorder="0" applyAlignment="0" applyProtection="0"/>
    <xf numFmtId="0" fontId="1" fillId="4" borderId="0" applyNumberFormat="0" applyBorder="0" applyAlignment="0" applyProtection="0"/>
    <xf numFmtId="0" fontId="1" fillId="4" borderId="0" applyNumberFormat="0" applyBorder="0" applyAlignment="0" applyProtection="0"/>
    <xf numFmtId="0" fontId="1" fillId="4" borderId="0" applyNumberFormat="0" applyBorder="0" applyAlignment="0" applyProtection="0"/>
    <xf numFmtId="0" fontId="1" fillId="4" borderId="0" applyNumberFormat="0" applyBorder="0" applyAlignment="0" applyProtection="0"/>
    <xf numFmtId="0" fontId="1" fillId="4" borderId="0" applyNumberFormat="0" applyBorder="0" applyAlignment="0" applyProtection="0"/>
    <xf numFmtId="0" fontId="1" fillId="4" borderId="0" applyNumberFormat="0" applyBorder="0" applyAlignment="0" applyProtection="0"/>
    <xf numFmtId="0" fontId="1" fillId="4" borderId="0" applyNumberFormat="0" applyBorder="0" applyAlignment="0" applyProtection="0"/>
    <xf numFmtId="0" fontId="1" fillId="5" borderId="0" applyNumberFormat="0" applyBorder="0" applyAlignment="0" applyProtection="0"/>
    <xf numFmtId="0" fontId="1" fillId="4" borderId="0" applyNumberFormat="0" applyBorder="0" applyAlignment="0" applyProtection="0"/>
    <xf numFmtId="0" fontId="1" fillId="4" borderId="0" applyNumberFormat="0" applyBorder="0" applyAlignment="0" applyProtection="0"/>
    <xf numFmtId="0" fontId="1" fillId="4" borderId="0" applyNumberFormat="0" applyBorder="0" applyAlignment="0" applyProtection="0"/>
    <xf numFmtId="0" fontId="1" fillId="4" borderId="0" applyNumberFormat="0" applyBorder="0" applyAlignment="0" applyProtection="0"/>
    <xf numFmtId="0" fontId="1" fillId="4" borderId="0" applyNumberFormat="0" applyBorder="0" applyAlignment="0" applyProtection="0"/>
    <xf numFmtId="0" fontId="1" fillId="4" borderId="0" applyNumberFormat="0" applyBorder="0" applyAlignment="0" applyProtection="0"/>
    <xf numFmtId="0" fontId="1" fillId="5" borderId="0" applyNumberFormat="0" applyBorder="0" applyAlignment="0" applyProtection="0"/>
    <xf numFmtId="0" fontId="1" fillId="4" borderId="0" applyNumberFormat="0" applyBorder="0" applyAlignment="0" applyProtection="0"/>
    <xf numFmtId="0" fontId="1" fillId="4" borderId="0" applyNumberFormat="0" applyBorder="0" applyAlignment="0" applyProtection="0"/>
    <xf numFmtId="0" fontId="1" fillId="5" borderId="0" applyNumberFormat="0" applyBorder="0" applyAlignment="0" applyProtection="0"/>
    <xf numFmtId="0" fontId="1" fillId="4" borderId="0" applyNumberFormat="0" applyBorder="0" applyAlignment="0" applyProtection="0"/>
    <xf numFmtId="0" fontId="1" fillId="4" borderId="0" applyNumberFormat="0" applyBorder="0" applyAlignment="0" applyProtection="0"/>
    <xf numFmtId="0" fontId="1" fillId="5" borderId="0" applyNumberFormat="0" applyBorder="0" applyAlignment="0" applyProtection="0"/>
    <xf numFmtId="0" fontId="1" fillId="4" borderId="0" applyNumberFormat="0" applyBorder="0" applyAlignment="0" applyProtection="0"/>
    <xf numFmtId="0" fontId="1" fillId="4" borderId="0" applyNumberFormat="0" applyBorder="0" applyAlignment="0" applyProtection="0"/>
    <xf numFmtId="0" fontId="1" fillId="5" borderId="0" applyNumberFormat="0" applyBorder="0" applyAlignment="0" applyProtection="0"/>
    <xf numFmtId="0" fontId="1" fillId="4" borderId="0" applyNumberFormat="0" applyBorder="0" applyAlignment="0" applyProtection="0"/>
    <xf numFmtId="0" fontId="1" fillId="4" borderId="0" applyNumberFormat="0" applyBorder="0" applyAlignment="0" applyProtection="0"/>
    <xf numFmtId="0" fontId="56" fillId="37" borderId="0" applyNumberFormat="0" applyBorder="0" applyAlignment="0" applyProtection="0"/>
    <xf numFmtId="0" fontId="1" fillId="6" borderId="0" applyNumberFormat="0" applyBorder="0" applyAlignment="0" applyProtection="0"/>
    <xf numFmtId="0" fontId="1" fillId="6" borderId="0" applyNumberFormat="0" applyBorder="0" applyAlignment="0" applyProtection="0"/>
    <xf numFmtId="0" fontId="1" fillId="6" borderId="0" applyNumberFormat="0" applyBorder="0" applyAlignment="0" applyProtection="0"/>
    <xf numFmtId="0" fontId="1" fillId="6" borderId="0" applyNumberFormat="0" applyBorder="0" applyAlignment="0" applyProtection="0"/>
    <xf numFmtId="0" fontId="1" fillId="6" borderId="0" applyNumberFormat="0" applyBorder="0" applyAlignment="0" applyProtection="0"/>
    <xf numFmtId="0" fontId="1" fillId="6" borderId="0" applyNumberFormat="0" applyBorder="0" applyAlignment="0" applyProtection="0"/>
    <xf numFmtId="0" fontId="1" fillId="6" borderId="0" applyNumberFormat="0" applyBorder="0" applyAlignment="0" applyProtection="0"/>
    <xf numFmtId="0" fontId="1" fillId="6" borderId="0" applyNumberFormat="0" applyBorder="0" applyAlignment="0" applyProtection="0"/>
    <xf numFmtId="0" fontId="1" fillId="6" borderId="0" applyNumberFormat="0" applyBorder="0" applyAlignment="0" applyProtection="0"/>
    <xf numFmtId="0" fontId="1" fillId="6" borderId="0" applyNumberFormat="0" applyBorder="0" applyAlignment="0" applyProtection="0"/>
    <xf numFmtId="0" fontId="1" fillId="6" borderId="0" applyNumberFormat="0" applyBorder="0" applyAlignment="0" applyProtection="0"/>
    <xf numFmtId="0" fontId="1" fillId="7" borderId="0" applyNumberFormat="0" applyBorder="0" applyAlignment="0" applyProtection="0"/>
    <xf numFmtId="0" fontId="1" fillId="7" borderId="0" applyNumberFormat="0" applyBorder="0" applyAlignment="0" applyProtection="0"/>
    <xf numFmtId="0" fontId="1" fillId="7" borderId="0" applyNumberFormat="0" applyBorder="0" applyAlignment="0" applyProtection="0"/>
    <xf numFmtId="0" fontId="1" fillId="7" borderId="0" applyNumberFormat="0" applyBorder="0" applyAlignment="0" applyProtection="0"/>
    <xf numFmtId="0" fontId="1" fillId="7" borderId="0" applyNumberFormat="0" applyBorder="0" applyAlignment="0" applyProtection="0"/>
    <xf numFmtId="0" fontId="1" fillId="7" borderId="0" applyNumberFormat="0" applyBorder="0" applyAlignment="0" applyProtection="0"/>
    <xf numFmtId="0" fontId="1" fillId="7" borderId="0" applyNumberFormat="0" applyBorder="0" applyAlignment="0" applyProtection="0"/>
    <xf numFmtId="0" fontId="1" fillId="6" borderId="0" applyNumberFormat="0" applyBorder="0" applyAlignment="0" applyProtection="0"/>
    <xf numFmtId="0" fontId="1" fillId="7" borderId="0" applyNumberFormat="0" applyBorder="0" applyAlignment="0" applyProtection="0"/>
    <xf numFmtId="0" fontId="1" fillId="7" borderId="0" applyNumberFormat="0" applyBorder="0" applyAlignment="0" applyProtection="0"/>
    <xf numFmtId="0" fontId="1" fillId="7" borderId="0" applyNumberFormat="0" applyBorder="0" applyAlignment="0" applyProtection="0"/>
    <xf numFmtId="0" fontId="1" fillId="7" borderId="0" applyNumberFormat="0" applyBorder="0" applyAlignment="0" applyProtection="0"/>
    <xf numFmtId="0" fontId="1" fillId="7" borderId="0" applyNumberFormat="0" applyBorder="0" applyAlignment="0" applyProtection="0"/>
    <xf numFmtId="0" fontId="1" fillId="7" borderId="0" applyNumberFormat="0" applyBorder="0" applyAlignment="0" applyProtection="0"/>
    <xf numFmtId="0" fontId="1" fillId="7" borderId="0" applyNumberFormat="0" applyBorder="0" applyAlignment="0" applyProtection="0"/>
    <xf numFmtId="0" fontId="1" fillId="6" borderId="0" applyNumberFormat="0" applyBorder="0" applyAlignment="0" applyProtection="0"/>
    <xf numFmtId="0" fontId="1" fillId="6" borderId="0" applyNumberFormat="0" applyBorder="0" applyAlignment="0" applyProtection="0"/>
    <xf numFmtId="0" fontId="1" fillId="6" borderId="0" applyNumberFormat="0" applyBorder="0" applyAlignment="0" applyProtection="0"/>
    <xf numFmtId="0" fontId="1" fillId="6" borderId="0" applyNumberFormat="0" applyBorder="0" applyAlignment="0" applyProtection="0"/>
    <xf numFmtId="0" fontId="1" fillId="6" borderId="0" applyNumberFormat="0" applyBorder="0" applyAlignment="0" applyProtection="0"/>
    <xf numFmtId="0" fontId="1" fillId="6" borderId="0" applyNumberFormat="0" applyBorder="0" applyAlignment="0" applyProtection="0"/>
    <xf numFmtId="0" fontId="1" fillId="6" borderId="0" applyNumberFormat="0" applyBorder="0" applyAlignment="0" applyProtection="0"/>
    <xf numFmtId="0" fontId="1" fillId="6" borderId="0" applyNumberFormat="0" applyBorder="0" applyAlignment="0" applyProtection="0"/>
    <xf numFmtId="0" fontId="1" fillId="6" borderId="0" applyNumberFormat="0" applyBorder="0" applyAlignment="0" applyProtection="0"/>
    <xf numFmtId="0" fontId="1" fillId="6" borderId="0" applyNumberFormat="0" applyBorder="0" applyAlignment="0" applyProtection="0"/>
    <xf numFmtId="0" fontId="1" fillId="6" borderId="0" applyNumberFormat="0" applyBorder="0" applyAlignment="0" applyProtection="0"/>
    <xf numFmtId="0" fontId="1" fillId="6" borderId="0" applyNumberFormat="0" applyBorder="0" applyAlignment="0" applyProtection="0"/>
    <xf numFmtId="0" fontId="1" fillId="7" borderId="0" applyNumberFormat="0" applyBorder="0" applyAlignment="0" applyProtection="0"/>
    <xf numFmtId="0" fontId="1" fillId="6" borderId="0" applyNumberFormat="0" applyBorder="0" applyAlignment="0" applyProtection="0"/>
    <xf numFmtId="0" fontId="1" fillId="6" borderId="0" applyNumberFormat="0" applyBorder="0" applyAlignment="0" applyProtection="0"/>
    <xf numFmtId="0" fontId="1" fillId="6" borderId="0" applyNumberFormat="0" applyBorder="0" applyAlignment="0" applyProtection="0"/>
    <xf numFmtId="0" fontId="1" fillId="6" borderId="0" applyNumberFormat="0" applyBorder="0" applyAlignment="0" applyProtection="0"/>
    <xf numFmtId="0" fontId="1" fillId="6" borderId="0" applyNumberFormat="0" applyBorder="0" applyAlignment="0" applyProtection="0"/>
    <xf numFmtId="0" fontId="1" fillId="6" borderId="0" applyNumberFormat="0" applyBorder="0" applyAlignment="0" applyProtection="0"/>
    <xf numFmtId="0" fontId="1" fillId="6" borderId="0" applyNumberFormat="0" applyBorder="0" applyAlignment="0" applyProtection="0"/>
    <xf numFmtId="0" fontId="1" fillId="6" borderId="0" applyNumberFormat="0" applyBorder="0" applyAlignment="0" applyProtection="0"/>
    <xf numFmtId="0" fontId="1" fillId="6" borderId="0" applyNumberFormat="0" applyBorder="0" applyAlignment="0" applyProtection="0"/>
    <xf numFmtId="0" fontId="1" fillId="6" borderId="0" applyNumberFormat="0" applyBorder="0" applyAlignment="0" applyProtection="0"/>
    <xf numFmtId="0" fontId="1" fillId="6" borderId="0" applyNumberFormat="0" applyBorder="0" applyAlignment="0" applyProtection="0"/>
    <xf numFmtId="0" fontId="1" fillId="6" borderId="0" applyNumberFormat="0" applyBorder="0" applyAlignment="0" applyProtection="0"/>
    <xf numFmtId="0" fontId="1" fillId="7" borderId="0" applyNumberFormat="0" applyBorder="0" applyAlignment="0" applyProtection="0"/>
    <xf numFmtId="0" fontId="1" fillId="6" borderId="0" applyNumberFormat="0" applyBorder="0" applyAlignment="0" applyProtection="0"/>
    <xf numFmtId="0" fontId="1" fillId="6" borderId="0" applyNumberFormat="0" applyBorder="0" applyAlignment="0" applyProtection="0"/>
    <xf numFmtId="0" fontId="1" fillId="6" borderId="0" applyNumberFormat="0" applyBorder="0" applyAlignment="0" applyProtection="0"/>
    <xf numFmtId="0" fontId="1" fillId="6" borderId="0" applyNumberFormat="0" applyBorder="0" applyAlignment="0" applyProtection="0"/>
    <xf numFmtId="0" fontId="1" fillId="6" borderId="0" applyNumberFormat="0" applyBorder="0" applyAlignment="0" applyProtection="0"/>
    <xf numFmtId="0" fontId="1" fillId="6" borderId="0" applyNumberFormat="0" applyBorder="0" applyAlignment="0" applyProtection="0"/>
    <xf numFmtId="0" fontId="1" fillId="7" borderId="0" applyNumberFormat="0" applyBorder="0" applyAlignment="0" applyProtection="0"/>
    <xf numFmtId="0" fontId="1" fillId="6" borderId="0" applyNumberFormat="0" applyBorder="0" applyAlignment="0" applyProtection="0"/>
    <xf numFmtId="0" fontId="1" fillId="6" borderId="0" applyNumberFormat="0" applyBorder="0" applyAlignment="0" applyProtection="0"/>
    <xf numFmtId="0" fontId="1" fillId="7" borderId="0" applyNumberFormat="0" applyBorder="0" applyAlignment="0" applyProtection="0"/>
    <xf numFmtId="0" fontId="1" fillId="6" borderId="0" applyNumberFormat="0" applyBorder="0" applyAlignment="0" applyProtection="0"/>
    <xf numFmtId="0" fontId="1" fillId="6" borderId="0" applyNumberFormat="0" applyBorder="0" applyAlignment="0" applyProtection="0"/>
    <xf numFmtId="0" fontId="1" fillId="7" borderId="0" applyNumberFormat="0" applyBorder="0" applyAlignment="0" applyProtection="0"/>
    <xf numFmtId="0" fontId="1" fillId="6" borderId="0" applyNumberFormat="0" applyBorder="0" applyAlignment="0" applyProtection="0"/>
    <xf numFmtId="0" fontId="1" fillId="6" borderId="0" applyNumberFormat="0" applyBorder="0" applyAlignment="0" applyProtection="0"/>
    <xf numFmtId="0" fontId="1" fillId="7" borderId="0" applyNumberFormat="0" applyBorder="0" applyAlignment="0" applyProtection="0"/>
    <xf numFmtId="0" fontId="1" fillId="6" borderId="0" applyNumberFormat="0" applyBorder="0" applyAlignment="0" applyProtection="0"/>
    <xf numFmtId="0" fontId="1" fillId="6" borderId="0" applyNumberFormat="0" applyBorder="0" applyAlignment="0" applyProtection="0"/>
    <xf numFmtId="0" fontId="56" fillId="38" borderId="0" applyNumberFormat="0" applyBorder="0" applyAlignment="0" applyProtection="0"/>
    <xf numFmtId="0" fontId="1" fillId="8" borderId="0" applyNumberFormat="0" applyBorder="0" applyAlignment="0" applyProtection="0"/>
    <xf numFmtId="0" fontId="1" fillId="8" borderId="0" applyNumberFormat="0" applyBorder="0" applyAlignment="0" applyProtection="0"/>
    <xf numFmtId="0" fontId="1" fillId="8" borderId="0" applyNumberFormat="0" applyBorder="0" applyAlignment="0" applyProtection="0"/>
    <xf numFmtId="0" fontId="1" fillId="8" borderId="0" applyNumberFormat="0" applyBorder="0" applyAlignment="0" applyProtection="0"/>
    <xf numFmtId="0" fontId="1" fillId="8" borderId="0" applyNumberFormat="0" applyBorder="0" applyAlignment="0" applyProtection="0"/>
    <xf numFmtId="0" fontId="1" fillId="8" borderId="0" applyNumberFormat="0" applyBorder="0" applyAlignment="0" applyProtection="0"/>
    <xf numFmtId="0" fontId="1" fillId="8" borderId="0" applyNumberFormat="0" applyBorder="0" applyAlignment="0" applyProtection="0"/>
    <xf numFmtId="0" fontId="1" fillId="8" borderId="0" applyNumberFormat="0" applyBorder="0" applyAlignment="0" applyProtection="0"/>
    <xf numFmtId="0" fontId="1" fillId="8" borderId="0" applyNumberFormat="0" applyBorder="0" applyAlignment="0" applyProtection="0"/>
    <xf numFmtId="0" fontId="1" fillId="8" borderId="0" applyNumberFormat="0" applyBorder="0" applyAlignment="0" applyProtection="0"/>
    <xf numFmtId="0" fontId="1" fillId="8" borderId="0" applyNumberFormat="0" applyBorder="0" applyAlignment="0" applyProtection="0"/>
    <xf numFmtId="0" fontId="1" fillId="9" borderId="0" applyNumberFormat="0" applyBorder="0" applyAlignment="0" applyProtection="0"/>
    <xf numFmtId="0" fontId="1" fillId="9" borderId="0" applyNumberFormat="0" applyBorder="0" applyAlignment="0" applyProtection="0"/>
    <xf numFmtId="0" fontId="1" fillId="9" borderId="0" applyNumberFormat="0" applyBorder="0" applyAlignment="0" applyProtection="0"/>
    <xf numFmtId="0" fontId="1" fillId="9" borderId="0" applyNumberFormat="0" applyBorder="0" applyAlignment="0" applyProtection="0"/>
    <xf numFmtId="0" fontId="1" fillId="9" borderId="0" applyNumberFormat="0" applyBorder="0" applyAlignment="0" applyProtection="0"/>
    <xf numFmtId="0" fontId="1" fillId="9" borderId="0" applyNumberFormat="0" applyBorder="0" applyAlignment="0" applyProtection="0"/>
    <xf numFmtId="0" fontId="1" fillId="9" borderId="0" applyNumberFormat="0" applyBorder="0" applyAlignment="0" applyProtection="0"/>
    <xf numFmtId="0" fontId="1" fillId="8" borderId="0" applyNumberFormat="0" applyBorder="0" applyAlignment="0" applyProtection="0"/>
    <xf numFmtId="0" fontId="1" fillId="9" borderId="0" applyNumberFormat="0" applyBorder="0" applyAlignment="0" applyProtection="0"/>
    <xf numFmtId="0" fontId="1" fillId="9" borderId="0" applyNumberFormat="0" applyBorder="0" applyAlignment="0" applyProtection="0"/>
    <xf numFmtId="0" fontId="1" fillId="9" borderId="0" applyNumberFormat="0" applyBorder="0" applyAlignment="0" applyProtection="0"/>
    <xf numFmtId="0" fontId="1" fillId="9" borderId="0" applyNumberFormat="0" applyBorder="0" applyAlignment="0" applyProtection="0"/>
    <xf numFmtId="0" fontId="1" fillId="9" borderId="0" applyNumberFormat="0" applyBorder="0" applyAlignment="0" applyProtection="0"/>
    <xf numFmtId="0" fontId="1" fillId="9" borderId="0" applyNumberFormat="0" applyBorder="0" applyAlignment="0" applyProtection="0"/>
    <xf numFmtId="0" fontId="1" fillId="9" borderId="0" applyNumberFormat="0" applyBorder="0" applyAlignment="0" applyProtection="0"/>
    <xf numFmtId="0" fontId="1" fillId="8" borderId="0" applyNumberFormat="0" applyBorder="0" applyAlignment="0" applyProtection="0"/>
    <xf numFmtId="0" fontId="1" fillId="8" borderId="0" applyNumberFormat="0" applyBorder="0" applyAlignment="0" applyProtection="0"/>
    <xf numFmtId="0" fontId="1" fillId="8" borderId="0" applyNumberFormat="0" applyBorder="0" applyAlignment="0" applyProtection="0"/>
    <xf numFmtId="0" fontId="1" fillId="8" borderId="0" applyNumberFormat="0" applyBorder="0" applyAlignment="0" applyProtection="0"/>
    <xf numFmtId="0" fontId="1" fillId="8" borderId="0" applyNumberFormat="0" applyBorder="0" applyAlignment="0" applyProtection="0"/>
    <xf numFmtId="0" fontId="1" fillId="8" borderId="0" applyNumberFormat="0" applyBorder="0" applyAlignment="0" applyProtection="0"/>
    <xf numFmtId="0" fontId="1" fillId="8" borderId="0" applyNumberFormat="0" applyBorder="0" applyAlignment="0" applyProtection="0"/>
    <xf numFmtId="0" fontId="1" fillId="8" borderId="0" applyNumberFormat="0" applyBorder="0" applyAlignment="0" applyProtection="0"/>
    <xf numFmtId="0" fontId="1" fillId="8" borderId="0" applyNumberFormat="0" applyBorder="0" applyAlignment="0" applyProtection="0"/>
    <xf numFmtId="0" fontId="1" fillId="8" borderId="0" applyNumberFormat="0" applyBorder="0" applyAlignment="0" applyProtection="0"/>
    <xf numFmtId="0" fontId="1" fillId="8" borderId="0" applyNumberFormat="0" applyBorder="0" applyAlignment="0" applyProtection="0"/>
    <xf numFmtId="0" fontId="1" fillId="8" borderId="0" applyNumberFormat="0" applyBorder="0" applyAlignment="0" applyProtection="0"/>
    <xf numFmtId="0" fontId="1" fillId="9" borderId="0" applyNumberFormat="0" applyBorder="0" applyAlignment="0" applyProtection="0"/>
    <xf numFmtId="0" fontId="1" fillId="8" borderId="0" applyNumberFormat="0" applyBorder="0" applyAlignment="0" applyProtection="0"/>
    <xf numFmtId="0" fontId="1" fillId="8" borderId="0" applyNumberFormat="0" applyBorder="0" applyAlignment="0" applyProtection="0"/>
    <xf numFmtId="0" fontId="1" fillId="8" borderId="0" applyNumberFormat="0" applyBorder="0" applyAlignment="0" applyProtection="0"/>
    <xf numFmtId="0" fontId="1" fillId="8" borderId="0" applyNumberFormat="0" applyBorder="0" applyAlignment="0" applyProtection="0"/>
    <xf numFmtId="0" fontId="1" fillId="8" borderId="0" applyNumberFormat="0" applyBorder="0" applyAlignment="0" applyProtection="0"/>
    <xf numFmtId="0" fontId="1" fillId="8" borderId="0" applyNumberFormat="0" applyBorder="0" applyAlignment="0" applyProtection="0"/>
    <xf numFmtId="0" fontId="1" fillId="8" borderId="0" applyNumberFormat="0" applyBorder="0" applyAlignment="0" applyProtection="0"/>
    <xf numFmtId="0" fontId="1" fillId="8" borderId="0" applyNumberFormat="0" applyBorder="0" applyAlignment="0" applyProtection="0"/>
    <xf numFmtId="0" fontId="1" fillId="8" borderId="0" applyNumberFormat="0" applyBorder="0" applyAlignment="0" applyProtection="0"/>
    <xf numFmtId="0" fontId="1" fillId="8" borderId="0" applyNumberFormat="0" applyBorder="0" applyAlignment="0" applyProtection="0"/>
    <xf numFmtId="0" fontId="1" fillId="8" borderId="0" applyNumberFormat="0" applyBorder="0" applyAlignment="0" applyProtection="0"/>
    <xf numFmtId="0" fontId="1" fillId="8" borderId="0" applyNumberFormat="0" applyBorder="0" applyAlignment="0" applyProtection="0"/>
    <xf numFmtId="0" fontId="1" fillId="9" borderId="0" applyNumberFormat="0" applyBorder="0" applyAlignment="0" applyProtection="0"/>
    <xf numFmtId="0" fontId="1" fillId="8" borderId="0" applyNumberFormat="0" applyBorder="0" applyAlignment="0" applyProtection="0"/>
    <xf numFmtId="0" fontId="1" fillId="8" borderId="0" applyNumberFormat="0" applyBorder="0" applyAlignment="0" applyProtection="0"/>
    <xf numFmtId="0" fontId="1" fillId="8" borderId="0" applyNumberFormat="0" applyBorder="0" applyAlignment="0" applyProtection="0"/>
    <xf numFmtId="0" fontId="1" fillId="8" borderId="0" applyNumberFormat="0" applyBorder="0" applyAlignment="0" applyProtection="0"/>
    <xf numFmtId="0" fontId="1" fillId="8" borderId="0" applyNumberFormat="0" applyBorder="0" applyAlignment="0" applyProtection="0"/>
    <xf numFmtId="0" fontId="1" fillId="8" borderId="0" applyNumberFormat="0" applyBorder="0" applyAlignment="0" applyProtection="0"/>
    <xf numFmtId="0" fontId="1" fillId="9" borderId="0" applyNumberFormat="0" applyBorder="0" applyAlignment="0" applyProtection="0"/>
    <xf numFmtId="0" fontId="1" fillId="8" borderId="0" applyNumberFormat="0" applyBorder="0" applyAlignment="0" applyProtection="0"/>
    <xf numFmtId="0" fontId="1" fillId="8" borderId="0" applyNumberFormat="0" applyBorder="0" applyAlignment="0" applyProtection="0"/>
    <xf numFmtId="0" fontId="1" fillId="9" borderId="0" applyNumberFormat="0" applyBorder="0" applyAlignment="0" applyProtection="0"/>
    <xf numFmtId="0" fontId="1" fillId="8" borderId="0" applyNumberFormat="0" applyBorder="0" applyAlignment="0" applyProtection="0"/>
    <xf numFmtId="0" fontId="1" fillId="8" borderId="0" applyNumberFormat="0" applyBorder="0" applyAlignment="0" applyProtection="0"/>
    <xf numFmtId="0" fontId="1" fillId="9" borderId="0" applyNumberFormat="0" applyBorder="0" applyAlignment="0" applyProtection="0"/>
    <xf numFmtId="0" fontId="1" fillId="8" borderId="0" applyNumberFormat="0" applyBorder="0" applyAlignment="0" applyProtection="0"/>
    <xf numFmtId="0" fontId="1" fillId="8" borderId="0" applyNumberFormat="0" applyBorder="0" applyAlignment="0" applyProtection="0"/>
    <xf numFmtId="0" fontId="1" fillId="9" borderId="0" applyNumberFormat="0" applyBorder="0" applyAlignment="0" applyProtection="0"/>
    <xf numFmtId="0" fontId="1" fillId="8" borderId="0" applyNumberFormat="0" applyBorder="0" applyAlignment="0" applyProtection="0"/>
    <xf numFmtId="0" fontId="1" fillId="8" borderId="0" applyNumberFormat="0" applyBorder="0" applyAlignment="0" applyProtection="0"/>
    <xf numFmtId="0" fontId="56" fillId="39" borderId="0" applyNumberFormat="0" applyBorder="0" applyAlignment="0" applyProtection="0"/>
    <xf numFmtId="0" fontId="1" fillId="10" borderId="0" applyNumberFormat="0" applyBorder="0" applyAlignment="0" applyProtection="0"/>
    <xf numFmtId="0" fontId="1" fillId="10" borderId="0" applyNumberFormat="0" applyBorder="0" applyAlignment="0" applyProtection="0"/>
    <xf numFmtId="0" fontId="1" fillId="10" borderId="0" applyNumberFormat="0" applyBorder="0" applyAlignment="0" applyProtection="0"/>
    <xf numFmtId="0" fontId="1" fillId="10" borderId="0" applyNumberFormat="0" applyBorder="0" applyAlignment="0" applyProtection="0"/>
    <xf numFmtId="0" fontId="1" fillId="10" borderId="0" applyNumberFormat="0" applyBorder="0" applyAlignment="0" applyProtection="0"/>
    <xf numFmtId="0" fontId="1" fillId="10" borderId="0" applyNumberFormat="0" applyBorder="0" applyAlignment="0" applyProtection="0"/>
    <xf numFmtId="0" fontId="1" fillId="10" borderId="0" applyNumberFormat="0" applyBorder="0" applyAlignment="0" applyProtection="0"/>
    <xf numFmtId="0" fontId="1" fillId="10" borderId="0" applyNumberFormat="0" applyBorder="0" applyAlignment="0" applyProtection="0"/>
    <xf numFmtId="0" fontId="1" fillId="10" borderId="0" applyNumberFormat="0" applyBorder="0" applyAlignment="0" applyProtection="0"/>
    <xf numFmtId="0" fontId="1" fillId="10" borderId="0" applyNumberFormat="0" applyBorder="0" applyAlignment="0" applyProtection="0"/>
    <xf numFmtId="0" fontId="1" fillId="10" borderId="0" applyNumberFormat="0" applyBorder="0" applyAlignment="0" applyProtection="0"/>
    <xf numFmtId="0" fontId="1" fillId="10" borderId="0" applyNumberFormat="0" applyBorder="0" applyAlignment="0" applyProtection="0"/>
    <xf numFmtId="0" fontId="1" fillId="10" borderId="0" applyNumberFormat="0" applyBorder="0" applyAlignment="0" applyProtection="0"/>
    <xf numFmtId="0" fontId="1" fillId="10" borderId="0" applyNumberFormat="0" applyBorder="0" applyAlignment="0" applyProtection="0"/>
    <xf numFmtId="0" fontId="1" fillId="10" borderId="0" applyNumberFormat="0" applyBorder="0" applyAlignment="0" applyProtection="0"/>
    <xf numFmtId="0" fontId="1" fillId="10" borderId="0" applyNumberFormat="0" applyBorder="0" applyAlignment="0" applyProtection="0"/>
    <xf numFmtId="0" fontId="1" fillId="10" borderId="0" applyNumberFormat="0" applyBorder="0" applyAlignment="0" applyProtection="0"/>
    <xf numFmtId="0" fontId="1" fillId="10" borderId="0" applyNumberFormat="0" applyBorder="0" applyAlignment="0" applyProtection="0"/>
    <xf numFmtId="0" fontId="1" fillId="10" borderId="0" applyNumberFormat="0" applyBorder="0" applyAlignment="0" applyProtection="0"/>
    <xf numFmtId="0" fontId="1" fillId="10" borderId="0" applyNumberFormat="0" applyBorder="0" applyAlignment="0" applyProtection="0"/>
    <xf numFmtId="0" fontId="1" fillId="10" borderId="0" applyNumberFormat="0" applyBorder="0" applyAlignment="0" applyProtection="0"/>
    <xf numFmtId="0" fontId="1" fillId="10" borderId="0" applyNumberFormat="0" applyBorder="0" applyAlignment="0" applyProtection="0"/>
    <xf numFmtId="0" fontId="1" fillId="10" borderId="0" applyNumberFormat="0" applyBorder="0" applyAlignment="0" applyProtection="0"/>
    <xf numFmtId="0" fontId="1" fillId="10" borderId="0" applyNumberFormat="0" applyBorder="0" applyAlignment="0" applyProtection="0"/>
    <xf numFmtId="0" fontId="1" fillId="10" borderId="0" applyNumberFormat="0" applyBorder="0" applyAlignment="0" applyProtection="0"/>
    <xf numFmtId="0" fontId="1" fillId="10" borderId="0" applyNumberFormat="0" applyBorder="0" applyAlignment="0" applyProtection="0"/>
    <xf numFmtId="0" fontId="1" fillId="10" borderId="0" applyNumberFormat="0" applyBorder="0" applyAlignment="0" applyProtection="0"/>
    <xf numFmtId="0" fontId="1" fillId="10" borderId="0" applyNumberFormat="0" applyBorder="0" applyAlignment="0" applyProtection="0"/>
    <xf numFmtId="0" fontId="1" fillId="10" borderId="0" applyNumberFormat="0" applyBorder="0" applyAlignment="0" applyProtection="0"/>
    <xf numFmtId="0" fontId="1" fillId="10" borderId="0" applyNumberFormat="0" applyBorder="0" applyAlignment="0" applyProtection="0"/>
    <xf numFmtId="0" fontId="1" fillId="10" borderId="0" applyNumberFormat="0" applyBorder="0" applyAlignment="0" applyProtection="0"/>
    <xf numFmtId="0" fontId="1" fillId="10" borderId="0" applyNumberFormat="0" applyBorder="0" applyAlignment="0" applyProtection="0"/>
    <xf numFmtId="0" fontId="1" fillId="10" borderId="0" applyNumberFormat="0" applyBorder="0" applyAlignment="0" applyProtection="0"/>
    <xf numFmtId="0" fontId="1" fillId="10" borderId="0" applyNumberFormat="0" applyBorder="0" applyAlignment="0" applyProtection="0"/>
    <xf numFmtId="0" fontId="1" fillId="10" borderId="0" applyNumberFormat="0" applyBorder="0" applyAlignment="0" applyProtection="0"/>
    <xf numFmtId="0" fontId="1" fillId="10" borderId="0" applyNumberFormat="0" applyBorder="0" applyAlignment="0" applyProtection="0"/>
    <xf numFmtId="0" fontId="1" fillId="10" borderId="0" applyNumberFormat="0" applyBorder="0" applyAlignment="0" applyProtection="0"/>
    <xf numFmtId="0" fontId="1" fillId="10" borderId="0" applyNumberFormat="0" applyBorder="0" applyAlignment="0" applyProtection="0"/>
    <xf numFmtId="0" fontId="1" fillId="10" borderId="0" applyNumberFormat="0" applyBorder="0" applyAlignment="0" applyProtection="0"/>
    <xf numFmtId="0" fontId="1" fillId="10" borderId="0" applyNumberFormat="0" applyBorder="0" applyAlignment="0" applyProtection="0"/>
    <xf numFmtId="0" fontId="1" fillId="10" borderId="0" applyNumberFormat="0" applyBorder="0" applyAlignment="0" applyProtection="0"/>
    <xf numFmtId="0" fontId="1" fillId="10" borderId="0" applyNumberFormat="0" applyBorder="0" applyAlignment="0" applyProtection="0"/>
    <xf numFmtId="0" fontId="1" fillId="10" borderId="0" applyNumberFormat="0" applyBorder="0" applyAlignment="0" applyProtection="0"/>
    <xf numFmtId="0" fontId="1" fillId="10" borderId="0" applyNumberFormat="0" applyBorder="0" applyAlignment="0" applyProtection="0"/>
    <xf numFmtId="0" fontId="1" fillId="10" borderId="0" applyNumberFormat="0" applyBorder="0" applyAlignment="0" applyProtection="0"/>
    <xf numFmtId="0" fontId="1" fillId="10" borderId="0" applyNumberFormat="0" applyBorder="0" applyAlignment="0" applyProtection="0"/>
    <xf numFmtId="0" fontId="1" fillId="10" borderId="0" applyNumberFormat="0" applyBorder="0" applyAlignment="0" applyProtection="0"/>
    <xf numFmtId="0" fontId="1" fillId="10" borderId="0" applyNumberFormat="0" applyBorder="0" applyAlignment="0" applyProtection="0"/>
    <xf numFmtId="0" fontId="1" fillId="10" borderId="0" applyNumberFormat="0" applyBorder="0" applyAlignment="0" applyProtection="0"/>
    <xf numFmtId="0" fontId="1" fillId="10" borderId="0" applyNumberFormat="0" applyBorder="0" applyAlignment="0" applyProtection="0"/>
    <xf numFmtId="0" fontId="1" fillId="10" borderId="0" applyNumberFormat="0" applyBorder="0" applyAlignment="0" applyProtection="0"/>
    <xf numFmtId="0" fontId="1" fillId="10" borderId="0" applyNumberFormat="0" applyBorder="0" applyAlignment="0" applyProtection="0"/>
    <xf numFmtId="0" fontId="1" fillId="10" borderId="0" applyNumberFormat="0" applyBorder="0" applyAlignment="0" applyProtection="0"/>
    <xf numFmtId="0" fontId="1" fillId="10" borderId="0" applyNumberFormat="0" applyBorder="0" applyAlignment="0" applyProtection="0"/>
    <xf numFmtId="0" fontId="1" fillId="10" borderId="0" applyNumberFormat="0" applyBorder="0" applyAlignment="0" applyProtection="0"/>
    <xf numFmtId="0" fontId="1" fillId="10" borderId="0" applyNumberFormat="0" applyBorder="0" applyAlignment="0" applyProtection="0"/>
    <xf numFmtId="0" fontId="1" fillId="10" borderId="0" applyNumberFormat="0" applyBorder="0" applyAlignment="0" applyProtection="0"/>
    <xf numFmtId="0" fontId="56" fillId="40" borderId="0" applyNumberFormat="0" applyBorder="0" applyAlignment="0" applyProtection="0"/>
    <xf numFmtId="0" fontId="1" fillId="9" borderId="0" applyNumberFormat="0" applyBorder="0" applyAlignment="0" applyProtection="0"/>
    <xf numFmtId="0" fontId="1" fillId="9" borderId="0" applyNumberFormat="0" applyBorder="0" applyAlignment="0" applyProtection="0"/>
    <xf numFmtId="0" fontId="1" fillId="9" borderId="0" applyNumberFormat="0" applyBorder="0" applyAlignment="0" applyProtection="0"/>
    <xf numFmtId="0" fontId="1" fillId="9" borderId="0" applyNumberFormat="0" applyBorder="0" applyAlignment="0" applyProtection="0"/>
    <xf numFmtId="0" fontId="1" fillId="9" borderId="0" applyNumberFormat="0" applyBorder="0" applyAlignment="0" applyProtection="0"/>
    <xf numFmtId="0" fontId="1" fillId="9" borderId="0" applyNumberFormat="0" applyBorder="0" applyAlignment="0" applyProtection="0"/>
    <xf numFmtId="0" fontId="1" fillId="9" borderId="0" applyNumberFormat="0" applyBorder="0" applyAlignment="0" applyProtection="0"/>
    <xf numFmtId="0" fontId="1" fillId="9" borderId="0" applyNumberFormat="0" applyBorder="0" applyAlignment="0" applyProtection="0"/>
    <xf numFmtId="0" fontId="1" fillId="9" borderId="0" applyNumberFormat="0" applyBorder="0" applyAlignment="0" applyProtection="0"/>
    <xf numFmtId="0" fontId="1" fillId="9" borderId="0" applyNumberFormat="0" applyBorder="0" applyAlignment="0" applyProtection="0"/>
    <xf numFmtId="0" fontId="1" fillId="9" borderId="0" applyNumberFormat="0" applyBorder="0" applyAlignment="0" applyProtection="0"/>
    <xf numFmtId="0" fontId="1" fillId="7" borderId="0" applyNumberFormat="0" applyBorder="0" applyAlignment="0" applyProtection="0"/>
    <xf numFmtId="0" fontId="1" fillId="7" borderId="0" applyNumberFormat="0" applyBorder="0" applyAlignment="0" applyProtection="0"/>
    <xf numFmtId="0" fontId="1" fillId="7" borderId="0" applyNumberFormat="0" applyBorder="0" applyAlignment="0" applyProtection="0"/>
    <xf numFmtId="0" fontId="1" fillId="7" borderId="0" applyNumberFormat="0" applyBorder="0" applyAlignment="0" applyProtection="0"/>
    <xf numFmtId="0" fontId="1" fillId="7" borderId="0" applyNumberFormat="0" applyBorder="0" applyAlignment="0" applyProtection="0"/>
    <xf numFmtId="0" fontId="1" fillId="7" borderId="0" applyNumberFormat="0" applyBorder="0" applyAlignment="0" applyProtection="0"/>
    <xf numFmtId="0" fontId="1" fillId="7" borderId="0" applyNumberFormat="0" applyBorder="0" applyAlignment="0" applyProtection="0"/>
    <xf numFmtId="0" fontId="1" fillId="9" borderId="0" applyNumberFormat="0" applyBorder="0" applyAlignment="0" applyProtection="0"/>
    <xf numFmtId="0" fontId="1" fillId="7" borderId="0" applyNumberFormat="0" applyBorder="0" applyAlignment="0" applyProtection="0"/>
    <xf numFmtId="0" fontId="1" fillId="7" borderId="0" applyNumberFormat="0" applyBorder="0" applyAlignment="0" applyProtection="0"/>
    <xf numFmtId="0" fontId="1" fillId="7" borderId="0" applyNumberFormat="0" applyBorder="0" applyAlignment="0" applyProtection="0"/>
    <xf numFmtId="0" fontId="1" fillId="7" borderId="0" applyNumberFormat="0" applyBorder="0" applyAlignment="0" applyProtection="0"/>
    <xf numFmtId="0" fontId="1" fillId="7" borderId="0" applyNumberFormat="0" applyBorder="0" applyAlignment="0" applyProtection="0"/>
    <xf numFmtId="0" fontId="1" fillId="7" borderId="0" applyNumberFormat="0" applyBorder="0" applyAlignment="0" applyProtection="0"/>
    <xf numFmtId="0" fontId="1" fillId="7" borderId="0" applyNumberFormat="0" applyBorder="0" applyAlignment="0" applyProtection="0"/>
    <xf numFmtId="0" fontId="1" fillId="9" borderId="0" applyNumberFormat="0" applyBorder="0" applyAlignment="0" applyProtection="0"/>
    <xf numFmtId="0" fontId="1" fillId="9" borderId="0" applyNumberFormat="0" applyBorder="0" applyAlignment="0" applyProtection="0"/>
    <xf numFmtId="0" fontId="1" fillId="9" borderId="0" applyNumberFormat="0" applyBorder="0" applyAlignment="0" applyProtection="0"/>
    <xf numFmtId="0" fontId="1" fillId="9" borderId="0" applyNumberFormat="0" applyBorder="0" applyAlignment="0" applyProtection="0"/>
    <xf numFmtId="0" fontId="1" fillId="9" borderId="0" applyNumberFormat="0" applyBorder="0" applyAlignment="0" applyProtection="0"/>
    <xf numFmtId="0" fontId="1" fillId="9" borderId="0" applyNumberFormat="0" applyBorder="0" applyAlignment="0" applyProtection="0"/>
    <xf numFmtId="0" fontId="1" fillId="9" borderId="0" applyNumberFormat="0" applyBorder="0" applyAlignment="0" applyProtection="0"/>
    <xf numFmtId="0" fontId="1" fillId="9" borderId="0" applyNumberFormat="0" applyBorder="0" applyAlignment="0" applyProtection="0"/>
    <xf numFmtId="0" fontId="1" fillId="9" borderId="0" applyNumberFormat="0" applyBorder="0" applyAlignment="0" applyProtection="0"/>
    <xf numFmtId="0" fontId="1" fillId="9" borderId="0" applyNumberFormat="0" applyBorder="0" applyAlignment="0" applyProtection="0"/>
    <xf numFmtId="0" fontId="1" fillId="9" borderId="0" applyNumberFormat="0" applyBorder="0" applyAlignment="0" applyProtection="0"/>
    <xf numFmtId="0" fontId="1" fillId="9" borderId="0" applyNumberFormat="0" applyBorder="0" applyAlignment="0" applyProtection="0"/>
    <xf numFmtId="0" fontId="1" fillId="7" borderId="0" applyNumberFormat="0" applyBorder="0" applyAlignment="0" applyProtection="0"/>
    <xf numFmtId="0" fontId="1" fillId="9" borderId="0" applyNumberFormat="0" applyBorder="0" applyAlignment="0" applyProtection="0"/>
    <xf numFmtId="0" fontId="1" fillId="9" borderId="0" applyNumberFormat="0" applyBorder="0" applyAlignment="0" applyProtection="0"/>
    <xf numFmtId="0" fontId="1" fillId="9" borderId="0" applyNumberFormat="0" applyBorder="0" applyAlignment="0" applyProtection="0"/>
    <xf numFmtId="0" fontId="1" fillId="9" borderId="0" applyNumberFormat="0" applyBorder="0" applyAlignment="0" applyProtection="0"/>
    <xf numFmtId="0" fontId="1" fillId="9" borderId="0" applyNumberFormat="0" applyBorder="0" applyAlignment="0" applyProtection="0"/>
    <xf numFmtId="0" fontId="1" fillId="9" borderId="0" applyNumberFormat="0" applyBorder="0" applyAlignment="0" applyProtection="0"/>
    <xf numFmtId="0" fontId="1" fillId="9" borderId="0" applyNumberFormat="0" applyBorder="0" applyAlignment="0" applyProtection="0"/>
    <xf numFmtId="0" fontId="1" fillId="9" borderId="0" applyNumberFormat="0" applyBorder="0" applyAlignment="0" applyProtection="0"/>
    <xf numFmtId="0" fontId="1" fillId="9" borderId="0" applyNumberFormat="0" applyBorder="0" applyAlignment="0" applyProtection="0"/>
    <xf numFmtId="0" fontId="1" fillId="9" borderId="0" applyNumberFormat="0" applyBorder="0" applyAlignment="0" applyProtection="0"/>
    <xf numFmtId="0" fontId="1" fillId="9" borderId="0" applyNumberFormat="0" applyBorder="0" applyAlignment="0" applyProtection="0"/>
    <xf numFmtId="0" fontId="1" fillId="9" borderId="0" applyNumberFormat="0" applyBorder="0" applyAlignment="0" applyProtection="0"/>
    <xf numFmtId="0" fontId="1" fillId="7" borderId="0" applyNumberFormat="0" applyBorder="0" applyAlignment="0" applyProtection="0"/>
    <xf numFmtId="0" fontId="1" fillId="9" borderId="0" applyNumberFormat="0" applyBorder="0" applyAlignment="0" applyProtection="0"/>
    <xf numFmtId="0" fontId="1" fillId="9" borderId="0" applyNumberFormat="0" applyBorder="0" applyAlignment="0" applyProtection="0"/>
    <xf numFmtId="0" fontId="1" fillId="9" borderId="0" applyNumberFormat="0" applyBorder="0" applyAlignment="0" applyProtection="0"/>
    <xf numFmtId="0" fontId="1" fillId="9" borderId="0" applyNumberFormat="0" applyBorder="0" applyAlignment="0" applyProtection="0"/>
    <xf numFmtId="0" fontId="1" fillId="9" borderId="0" applyNumberFormat="0" applyBorder="0" applyAlignment="0" applyProtection="0"/>
    <xf numFmtId="0" fontId="56" fillId="40" borderId="0" applyNumberFormat="0" applyBorder="0" applyAlignment="0" applyProtection="0"/>
    <xf numFmtId="0" fontId="1" fillId="9" borderId="0" applyNumberFormat="0" applyBorder="0" applyAlignment="0" applyProtection="0"/>
    <xf numFmtId="0" fontId="1" fillId="7" borderId="0" applyNumberFormat="0" applyBorder="0" applyAlignment="0" applyProtection="0"/>
    <xf numFmtId="0" fontId="1" fillId="9" borderId="0" applyNumberFormat="0" applyBorder="0" applyAlignment="0" applyProtection="0"/>
    <xf numFmtId="0" fontId="1" fillId="9" borderId="0" applyNumberFormat="0" applyBorder="0" applyAlignment="0" applyProtection="0"/>
    <xf numFmtId="0" fontId="1" fillId="7" borderId="0" applyNumberFormat="0" applyBorder="0" applyAlignment="0" applyProtection="0"/>
    <xf numFmtId="0" fontId="1" fillId="9" borderId="0" applyNumberFormat="0" applyBorder="0" applyAlignment="0" applyProtection="0"/>
    <xf numFmtId="0" fontId="1" fillId="9" borderId="0" applyNumberFormat="0" applyBorder="0" applyAlignment="0" applyProtection="0"/>
    <xf numFmtId="0" fontId="1" fillId="7" borderId="0" applyNumberFormat="0" applyBorder="0" applyAlignment="0" applyProtection="0"/>
    <xf numFmtId="0" fontId="1" fillId="9" borderId="0" applyNumberFormat="0" applyBorder="0" applyAlignment="0" applyProtection="0"/>
    <xf numFmtId="0" fontId="1" fillId="9" borderId="0" applyNumberFormat="0" applyBorder="0" applyAlignment="0" applyProtection="0"/>
    <xf numFmtId="0" fontId="1" fillId="7" borderId="0" applyNumberFormat="0" applyBorder="0" applyAlignment="0" applyProtection="0"/>
    <xf numFmtId="0" fontId="1" fillId="9" borderId="0" applyNumberFormat="0" applyBorder="0" applyAlignment="0" applyProtection="0"/>
    <xf numFmtId="0" fontId="1" fillId="9" borderId="0" applyNumberFormat="0" applyBorder="0" applyAlignment="0" applyProtection="0"/>
    <xf numFmtId="0" fontId="1" fillId="2" borderId="0" applyNumberFormat="0" applyBorder="0" applyAlignment="0" applyProtection="0"/>
    <xf numFmtId="0" fontId="1" fillId="4" borderId="0" applyNumberFormat="0" applyBorder="0" applyAlignment="0" applyProtection="0"/>
    <xf numFmtId="0" fontId="1" fillId="6" borderId="0" applyNumberFormat="0" applyBorder="0" applyAlignment="0" applyProtection="0"/>
    <xf numFmtId="0" fontId="1" fillId="8" borderId="0" applyNumberFormat="0" applyBorder="0" applyAlignment="0" applyProtection="0"/>
    <xf numFmtId="0" fontId="1" fillId="10" borderId="0" applyNumberFormat="0" applyBorder="0" applyAlignment="0" applyProtection="0"/>
    <xf numFmtId="0" fontId="1" fillId="9" borderId="0" applyNumberFormat="0" applyBorder="0" applyAlignment="0" applyProtection="0"/>
    <xf numFmtId="49" fontId="22" fillId="0" borderId="1" applyNumberFormat="0" applyFont="0" applyFill="0" applyBorder="0" applyProtection="0">
      <alignment horizontal="left" vertical="center" indent="2"/>
    </xf>
    <xf numFmtId="49" fontId="22" fillId="0" borderId="1" applyNumberFormat="0" applyFont="0" applyFill="0" applyBorder="0" applyProtection="0">
      <alignment horizontal="left" vertical="center" indent="2"/>
    </xf>
    <xf numFmtId="0" fontId="4" fillId="0" borderId="0" applyNumberFormat="0" applyFont="0" applyFill="0" applyBorder="0" applyProtection="0">
      <alignment horizontal="left" vertical="center" indent="2"/>
    </xf>
    <xf numFmtId="0" fontId="56" fillId="41" borderId="0" applyNumberFormat="0" applyBorder="0" applyAlignment="0" applyProtection="0"/>
    <xf numFmtId="0" fontId="1" fillId="3" borderId="0" applyNumberFormat="0" applyBorder="0" applyAlignment="0" applyProtection="0"/>
    <xf numFmtId="0" fontId="1" fillId="3" borderId="0" applyNumberFormat="0" applyBorder="0" applyAlignment="0" applyProtection="0"/>
    <xf numFmtId="0" fontId="1" fillId="3" borderId="0" applyNumberFormat="0" applyBorder="0" applyAlignment="0" applyProtection="0"/>
    <xf numFmtId="0" fontId="1" fillId="3" borderId="0" applyNumberFormat="0" applyBorder="0" applyAlignment="0" applyProtection="0"/>
    <xf numFmtId="0" fontId="1" fillId="3" borderId="0" applyNumberFormat="0" applyBorder="0" applyAlignment="0" applyProtection="0"/>
    <xf numFmtId="0" fontId="1" fillId="3" borderId="0" applyNumberFormat="0" applyBorder="0" applyAlignment="0" applyProtection="0"/>
    <xf numFmtId="0" fontId="1" fillId="3" borderId="0" applyNumberFormat="0" applyBorder="0" applyAlignment="0" applyProtection="0"/>
    <xf numFmtId="0" fontId="1" fillId="3" borderId="0" applyNumberFormat="0" applyBorder="0" applyAlignment="0" applyProtection="0"/>
    <xf numFmtId="0" fontId="1" fillId="3" borderId="0" applyNumberFormat="0" applyBorder="0" applyAlignment="0" applyProtection="0"/>
    <xf numFmtId="0" fontId="1" fillId="3" borderId="0" applyNumberFormat="0" applyBorder="0" applyAlignment="0" applyProtection="0"/>
    <xf numFmtId="0" fontId="1" fillId="3" borderId="0" applyNumberFormat="0" applyBorder="0" applyAlignment="0" applyProtection="0"/>
    <xf numFmtId="0" fontId="1" fillId="10" borderId="0" applyNumberFormat="0" applyBorder="0" applyAlignment="0" applyProtection="0"/>
    <xf numFmtId="0" fontId="1" fillId="10" borderId="0" applyNumberFormat="0" applyBorder="0" applyAlignment="0" applyProtection="0"/>
    <xf numFmtId="0" fontId="1" fillId="10" borderId="0" applyNumberFormat="0" applyBorder="0" applyAlignment="0" applyProtection="0"/>
    <xf numFmtId="0" fontId="1" fillId="10" borderId="0" applyNumberFormat="0" applyBorder="0" applyAlignment="0" applyProtection="0"/>
    <xf numFmtId="0" fontId="1" fillId="10" borderId="0" applyNumberFormat="0" applyBorder="0" applyAlignment="0" applyProtection="0"/>
    <xf numFmtId="0" fontId="1" fillId="10" borderId="0" applyNumberFormat="0" applyBorder="0" applyAlignment="0" applyProtection="0"/>
    <xf numFmtId="0" fontId="1" fillId="10" borderId="0" applyNumberFormat="0" applyBorder="0" applyAlignment="0" applyProtection="0"/>
    <xf numFmtId="0" fontId="1" fillId="3" borderId="0" applyNumberFormat="0" applyBorder="0" applyAlignment="0" applyProtection="0"/>
    <xf numFmtId="0" fontId="1" fillId="10" borderId="0" applyNumberFormat="0" applyBorder="0" applyAlignment="0" applyProtection="0"/>
    <xf numFmtId="0" fontId="1" fillId="10" borderId="0" applyNumberFormat="0" applyBorder="0" applyAlignment="0" applyProtection="0"/>
    <xf numFmtId="0" fontId="1" fillId="10" borderId="0" applyNumberFormat="0" applyBorder="0" applyAlignment="0" applyProtection="0"/>
    <xf numFmtId="0" fontId="1" fillId="10" borderId="0" applyNumberFormat="0" applyBorder="0" applyAlignment="0" applyProtection="0"/>
    <xf numFmtId="0" fontId="1" fillId="10" borderId="0" applyNumberFormat="0" applyBorder="0" applyAlignment="0" applyProtection="0"/>
    <xf numFmtId="0" fontId="1" fillId="10" borderId="0" applyNumberFormat="0" applyBorder="0" applyAlignment="0" applyProtection="0"/>
    <xf numFmtId="0" fontId="1" fillId="10" borderId="0" applyNumberFormat="0" applyBorder="0" applyAlignment="0" applyProtection="0"/>
    <xf numFmtId="0" fontId="1" fillId="3" borderId="0" applyNumberFormat="0" applyBorder="0" applyAlignment="0" applyProtection="0"/>
    <xf numFmtId="0" fontId="1" fillId="3" borderId="0" applyNumberFormat="0" applyBorder="0" applyAlignment="0" applyProtection="0"/>
    <xf numFmtId="0" fontId="1" fillId="3" borderId="0" applyNumberFormat="0" applyBorder="0" applyAlignment="0" applyProtection="0"/>
    <xf numFmtId="0" fontId="1" fillId="3" borderId="0" applyNumberFormat="0" applyBorder="0" applyAlignment="0" applyProtection="0"/>
    <xf numFmtId="0" fontId="1" fillId="3" borderId="0" applyNumberFormat="0" applyBorder="0" applyAlignment="0" applyProtection="0"/>
    <xf numFmtId="0" fontId="1" fillId="3" borderId="0" applyNumberFormat="0" applyBorder="0" applyAlignment="0" applyProtection="0"/>
    <xf numFmtId="0" fontId="1" fillId="3" borderId="0" applyNumberFormat="0" applyBorder="0" applyAlignment="0" applyProtection="0"/>
    <xf numFmtId="0" fontId="1" fillId="3" borderId="0" applyNumberFormat="0" applyBorder="0" applyAlignment="0" applyProtection="0"/>
    <xf numFmtId="0" fontId="1" fillId="3" borderId="0" applyNumberFormat="0" applyBorder="0" applyAlignment="0" applyProtection="0"/>
    <xf numFmtId="0" fontId="1" fillId="3" borderId="0" applyNumberFormat="0" applyBorder="0" applyAlignment="0" applyProtection="0"/>
    <xf numFmtId="0" fontId="1" fillId="3" borderId="0" applyNumberFormat="0" applyBorder="0" applyAlignment="0" applyProtection="0"/>
    <xf numFmtId="0" fontId="1" fillId="3" borderId="0" applyNumberFormat="0" applyBorder="0" applyAlignment="0" applyProtection="0"/>
    <xf numFmtId="0" fontId="1" fillId="10" borderId="0" applyNumberFormat="0" applyBorder="0" applyAlignment="0" applyProtection="0"/>
    <xf numFmtId="0" fontId="1" fillId="3" borderId="0" applyNumberFormat="0" applyBorder="0" applyAlignment="0" applyProtection="0"/>
    <xf numFmtId="0" fontId="1" fillId="3" borderId="0" applyNumberFormat="0" applyBorder="0" applyAlignment="0" applyProtection="0"/>
    <xf numFmtId="0" fontId="1" fillId="3" borderId="0" applyNumberFormat="0" applyBorder="0" applyAlignment="0" applyProtection="0"/>
    <xf numFmtId="0" fontId="1" fillId="3" borderId="0" applyNumberFormat="0" applyBorder="0" applyAlignment="0" applyProtection="0"/>
    <xf numFmtId="0" fontId="1" fillId="3" borderId="0" applyNumberFormat="0" applyBorder="0" applyAlignment="0" applyProtection="0"/>
    <xf numFmtId="0" fontId="1" fillId="3" borderId="0" applyNumberFormat="0" applyBorder="0" applyAlignment="0" applyProtection="0"/>
    <xf numFmtId="0" fontId="1" fillId="3" borderId="0" applyNumberFormat="0" applyBorder="0" applyAlignment="0" applyProtection="0"/>
    <xf numFmtId="0" fontId="1" fillId="3" borderId="0" applyNumberFormat="0" applyBorder="0" applyAlignment="0" applyProtection="0"/>
    <xf numFmtId="0" fontId="1" fillId="3" borderId="0" applyNumberFormat="0" applyBorder="0" applyAlignment="0" applyProtection="0"/>
    <xf numFmtId="0" fontId="1" fillId="3" borderId="0" applyNumberFormat="0" applyBorder="0" applyAlignment="0" applyProtection="0"/>
    <xf numFmtId="0" fontId="1" fillId="3" borderId="0" applyNumberFormat="0" applyBorder="0" applyAlignment="0" applyProtection="0"/>
    <xf numFmtId="0" fontId="1" fillId="3" borderId="0" applyNumberFormat="0" applyBorder="0" applyAlignment="0" applyProtection="0"/>
    <xf numFmtId="0" fontId="1" fillId="10" borderId="0" applyNumberFormat="0" applyBorder="0" applyAlignment="0" applyProtection="0"/>
    <xf numFmtId="0" fontId="1" fillId="3" borderId="0" applyNumberFormat="0" applyBorder="0" applyAlignment="0" applyProtection="0"/>
    <xf numFmtId="0" fontId="1" fillId="3" borderId="0" applyNumberFormat="0" applyBorder="0" applyAlignment="0" applyProtection="0"/>
    <xf numFmtId="0" fontId="1" fillId="3" borderId="0" applyNumberFormat="0" applyBorder="0" applyAlignment="0" applyProtection="0"/>
    <xf numFmtId="0" fontId="1" fillId="3" borderId="0" applyNumberFormat="0" applyBorder="0" applyAlignment="0" applyProtection="0"/>
    <xf numFmtId="0" fontId="1" fillId="3" borderId="0" applyNumberFormat="0" applyBorder="0" applyAlignment="0" applyProtection="0"/>
    <xf numFmtId="0" fontId="1" fillId="3" borderId="0" applyNumberFormat="0" applyBorder="0" applyAlignment="0" applyProtection="0"/>
    <xf numFmtId="0" fontId="1" fillId="10" borderId="0" applyNumberFormat="0" applyBorder="0" applyAlignment="0" applyProtection="0"/>
    <xf numFmtId="0" fontId="1" fillId="3" borderId="0" applyNumberFormat="0" applyBorder="0" applyAlignment="0" applyProtection="0"/>
    <xf numFmtId="0" fontId="1" fillId="3" borderId="0" applyNumberFormat="0" applyBorder="0" applyAlignment="0" applyProtection="0"/>
    <xf numFmtId="0" fontId="1" fillId="10" borderId="0" applyNumberFormat="0" applyBorder="0" applyAlignment="0" applyProtection="0"/>
    <xf numFmtId="0" fontId="1" fillId="3" borderId="0" applyNumberFormat="0" applyBorder="0" applyAlignment="0" applyProtection="0"/>
    <xf numFmtId="0" fontId="1" fillId="3" borderId="0" applyNumberFormat="0" applyBorder="0" applyAlignment="0" applyProtection="0"/>
    <xf numFmtId="0" fontId="1" fillId="10" borderId="0" applyNumberFormat="0" applyBorder="0" applyAlignment="0" applyProtection="0"/>
    <xf numFmtId="0" fontId="1" fillId="3" borderId="0" applyNumberFormat="0" applyBorder="0" applyAlignment="0" applyProtection="0"/>
    <xf numFmtId="0" fontId="1" fillId="3" borderId="0" applyNumberFormat="0" applyBorder="0" applyAlignment="0" applyProtection="0"/>
    <xf numFmtId="0" fontId="1" fillId="10" borderId="0" applyNumberFormat="0" applyBorder="0" applyAlignment="0" applyProtection="0"/>
    <xf numFmtId="0" fontId="1" fillId="3" borderId="0" applyNumberFormat="0" applyBorder="0" applyAlignment="0" applyProtection="0"/>
    <xf numFmtId="0" fontId="1" fillId="3" borderId="0" applyNumberFormat="0" applyBorder="0" applyAlignment="0" applyProtection="0"/>
    <xf numFmtId="0" fontId="56" fillId="42" borderId="0" applyNumberFormat="0" applyBorder="0" applyAlignment="0" applyProtection="0"/>
    <xf numFmtId="0" fontId="1" fillId="5" borderId="0" applyNumberFormat="0" applyBorder="0" applyAlignment="0" applyProtection="0"/>
    <xf numFmtId="0" fontId="1" fillId="5" borderId="0" applyNumberFormat="0" applyBorder="0" applyAlignment="0" applyProtection="0"/>
    <xf numFmtId="0" fontId="1" fillId="5" borderId="0" applyNumberFormat="0" applyBorder="0" applyAlignment="0" applyProtection="0"/>
    <xf numFmtId="0" fontId="1" fillId="5" borderId="0" applyNumberFormat="0" applyBorder="0" applyAlignment="0" applyProtection="0"/>
    <xf numFmtId="0" fontId="1" fillId="5" borderId="0" applyNumberFormat="0" applyBorder="0" applyAlignment="0" applyProtection="0"/>
    <xf numFmtId="0" fontId="1" fillId="5" borderId="0" applyNumberFormat="0" applyBorder="0" applyAlignment="0" applyProtection="0"/>
    <xf numFmtId="0" fontId="1" fillId="5" borderId="0" applyNumberFormat="0" applyBorder="0" applyAlignment="0" applyProtection="0"/>
    <xf numFmtId="0" fontId="1" fillId="5" borderId="0" applyNumberFormat="0" applyBorder="0" applyAlignment="0" applyProtection="0"/>
    <xf numFmtId="0" fontId="1" fillId="5" borderId="0" applyNumberFormat="0" applyBorder="0" applyAlignment="0" applyProtection="0"/>
    <xf numFmtId="0" fontId="1" fillId="5" borderId="0" applyNumberFormat="0" applyBorder="0" applyAlignment="0" applyProtection="0"/>
    <xf numFmtId="0" fontId="1" fillId="5" borderId="0" applyNumberFormat="0" applyBorder="0" applyAlignment="0" applyProtection="0"/>
    <xf numFmtId="0" fontId="1" fillId="5" borderId="0" applyNumberFormat="0" applyBorder="0" applyAlignment="0" applyProtection="0"/>
    <xf numFmtId="0" fontId="1" fillId="5" borderId="0" applyNumberFormat="0" applyBorder="0" applyAlignment="0" applyProtection="0"/>
    <xf numFmtId="0" fontId="1" fillId="5" borderId="0" applyNumberFormat="0" applyBorder="0" applyAlignment="0" applyProtection="0"/>
    <xf numFmtId="0" fontId="1" fillId="5" borderId="0" applyNumberFormat="0" applyBorder="0" applyAlignment="0" applyProtection="0"/>
    <xf numFmtId="0" fontId="1" fillId="5" borderId="0" applyNumberFormat="0" applyBorder="0" applyAlignment="0" applyProtection="0"/>
    <xf numFmtId="0" fontId="1" fillId="5" borderId="0" applyNumberFormat="0" applyBorder="0" applyAlignment="0" applyProtection="0"/>
    <xf numFmtId="0" fontId="1" fillId="5" borderId="0" applyNumberFormat="0" applyBorder="0" applyAlignment="0" applyProtection="0"/>
    <xf numFmtId="0" fontId="1" fillId="5" borderId="0" applyNumberFormat="0" applyBorder="0" applyAlignment="0" applyProtection="0"/>
    <xf numFmtId="0" fontId="1" fillId="5" borderId="0" applyNumberFormat="0" applyBorder="0" applyAlignment="0" applyProtection="0"/>
    <xf numFmtId="0" fontId="1" fillId="5" borderId="0" applyNumberFormat="0" applyBorder="0" applyAlignment="0" applyProtection="0"/>
    <xf numFmtId="0" fontId="1" fillId="5" borderId="0" applyNumberFormat="0" applyBorder="0" applyAlignment="0" applyProtection="0"/>
    <xf numFmtId="0" fontId="1" fillId="5" borderId="0" applyNumberFormat="0" applyBorder="0" applyAlignment="0" applyProtection="0"/>
    <xf numFmtId="0" fontId="1" fillId="5" borderId="0" applyNumberFormat="0" applyBorder="0" applyAlignment="0" applyProtection="0"/>
    <xf numFmtId="0" fontId="1" fillId="5" borderId="0" applyNumberFormat="0" applyBorder="0" applyAlignment="0" applyProtection="0"/>
    <xf numFmtId="0" fontId="1" fillId="5" borderId="0" applyNumberFormat="0" applyBorder="0" applyAlignment="0" applyProtection="0"/>
    <xf numFmtId="0" fontId="1" fillId="5" borderId="0" applyNumberFormat="0" applyBorder="0" applyAlignment="0" applyProtection="0"/>
    <xf numFmtId="0" fontId="1" fillId="5" borderId="0" applyNumberFormat="0" applyBorder="0" applyAlignment="0" applyProtection="0"/>
    <xf numFmtId="0" fontId="1" fillId="5" borderId="0" applyNumberFormat="0" applyBorder="0" applyAlignment="0" applyProtection="0"/>
    <xf numFmtId="0" fontId="1" fillId="5" borderId="0" applyNumberFormat="0" applyBorder="0" applyAlignment="0" applyProtection="0"/>
    <xf numFmtId="0" fontId="1" fillId="5" borderId="0" applyNumberFormat="0" applyBorder="0" applyAlignment="0" applyProtection="0"/>
    <xf numFmtId="0" fontId="1" fillId="5" borderId="0" applyNumberFormat="0" applyBorder="0" applyAlignment="0" applyProtection="0"/>
    <xf numFmtId="0" fontId="1" fillId="5" borderId="0" applyNumberFormat="0" applyBorder="0" applyAlignment="0" applyProtection="0"/>
    <xf numFmtId="0" fontId="1" fillId="5" borderId="0" applyNumberFormat="0" applyBorder="0" applyAlignment="0" applyProtection="0"/>
    <xf numFmtId="0" fontId="1" fillId="5" borderId="0" applyNumberFormat="0" applyBorder="0" applyAlignment="0" applyProtection="0"/>
    <xf numFmtId="0" fontId="1" fillId="5" borderId="0" applyNumberFormat="0" applyBorder="0" applyAlignment="0" applyProtection="0"/>
    <xf numFmtId="0" fontId="1" fillId="5" borderId="0" applyNumberFormat="0" applyBorder="0" applyAlignment="0" applyProtection="0"/>
    <xf numFmtId="0" fontId="1" fillId="5" borderId="0" applyNumberFormat="0" applyBorder="0" applyAlignment="0" applyProtection="0"/>
    <xf numFmtId="0" fontId="1" fillId="5" borderId="0" applyNumberFormat="0" applyBorder="0" applyAlignment="0" applyProtection="0"/>
    <xf numFmtId="0" fontId="1" fillId="5" borderId="0" applyNumberFormat="0" applyBorder="0" applyAlignment="0" applyProtection="0"/>
    <xf numFmtId="0" fontId="1" fillId="5" borderId="0" applyNumberFormat="0" applyBorder="0" applyAlignment="0" applyProtection="0"/>
    <xf numFmtId="0" fontId="1" fillId="5" borderId="0" applyNumberFormat="0" applyBorder="0" applyAlignment="0" applyProtection="0"/>
    <xf numFmtId="0" fontId="1" fillId="5" borderId="0" applyNumberFormat="0" applyBorder="0" applyAlignment="0" applyProtection="0"/>
    <xf numFmtId="0" fontId="1" fillId="5" borderId="0" applyNumberFormat="0" applyBorder="0" applyAlignment="0" applyProtection="0"/>
    <xf numFmtId="0" fontId="1" fillId="5" borderId="0" applyNumberFormat="0" applyBorder="0" applyAlignment="0" applyProtection="0"/>
    <xf numFmtId="0" fontId="1" fillId="5" borderId="0" applyNumberFormat="0" applyBorder="0" applyAlignment="0" applyProtection="0"/>
    <xf numFmtId="0" fontId="1" fillId="5" borderId="0" applyNumberFormat="0" applyBorder="0" applyAlignment="0" applyProtection="0"/>
    <xf numFmtId="0" fontId="1" fillId="5" borderId="0" applyNumberFormat="0" applyBorder="0" applyAlignment="0" applyProtection="0"/>
    <xf numFmtId="0" fontId="1" fillId="5" borderId="0" applyNumberFormat="0" applyBorder="0" applyAlignment="0" applyProtection="0"/>
    <xf numFmtId="0" fontId="1" fillId="5" borderId="0" applyNumberFormat="0" applyBorder="0" applyAlignment="0" applyProtection="0"/>
    <xf numFmtId="0" fontId="1" fillId="5" borderId="0" applyNumberFormat="0" applyBorder="0" applyAlignment="0" applyProtection="0"/>
    <xf numFmtId="0" fontId="1" fillId="5" borderId="0" applyNumberFormat="0" applyBorder="0" applyAlignment="0" applyProtection="0"/>
    <xf numFmtId="0" fontId="1" fillId="5" borderId="0" applyNumberFormat="0" applyBorder="0" applyAlignment="0" applyProtection="0"/>
    <xf numFmtId="0" fontId="1" fillId="5" borderId="0" applyNumberFormat="0" applyBorder="0" applyAlignment="0" applyProtection="0"/>
    <xf numFmtId="0" fontId="1" fillId="5" borderId="0" applyNumberFormat="0" applyBorder="0" applyAlignment="0" applyProtection="0"/>
    <xf numFmtId="0" fontId="1" fillId="5" borderId="0" applyNumberFormat="0" applyBorder="0" applyAlignment="0" applyProtection="0"/>
    <xf numFmtId="0" fontId="1" fillId="5" borderId="0" applyNumberFormat="0" applyBorder="0" applyAlignment="0" applyProtection="0"/>
    <xf numFmtId="0" fontId="56" fillId="43" borderId="0" applyNumberFormat="0" applyBorder="0" applyAlignment="0" applyProtection="0"/>
    <xf numFmtId="0" fontId="1" fillId="11" borderId="0" applyNumberFormat="0" applyBorder="0" applyAlignment="0" applyProtection="0"/>
    <xf numFmtId="0" fontId="1" fillId="11" borderId="0" applyNumberFormat="0" applyBorder="0" applyAlignment="0" applyProtection="0"/>
    <xf numFmtId="0" fontId="1" fillId="11" borderId="0" applyNumberFormat="0" applyBorder="0" applyAlignment="0" applyProtection="0"/>
    <xf numFmtId="0" fontId="1" fillId="11" borderId="0" applyNumberFormat="0" applyBorder="0" applyAlignment="0" applyProtection="0"/>
    <xf numFmtId="0" fontId="1" fillId="11" borderId="0" applyNumberFormat="0" applyBorder="0" applyAlignment="0" applyProtection="0"/>
    <xf numFmtId="0" fontId="1" fillId="11" borderId="0" applyNumberFormat="0" applyBorder="0" applyAlignment="0" applyProtection="0"/>
    <xf numFmtId="0" fontId="1" fillId="11" borderId="0" applyNumberFormat="0" applyBorder="0" applyAlignment="0" applyProtection="0"/>
    <xf numFmtId="0" fontId="1" fillId="11" borderId="0" applyNumberFormat="0" applyBorder="0" applyAlignment="0" applyProtection="0"/>
    <xf numFmtId="0" fontId="1" fillId="11" borderId="0" applyNumberFormat="0" applyBorder="0" applyAlignment="0" applyProtection="0"/>
    <xf numFmtId="0" fontId="1" fillId="11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" fillId="12" borderId="0" applyNumberFormat="0" applyBorder="0" applyAlignment="0" applyProtection="0"/>
    <xf numFmtId="0" fontId="1" fillId="12" borderId="0" applyNumberFormat="0" applyBorder="0" applyAlignment="0" applyProtection="0"/>
    <xf numFmtId="0" fontId="1" fillId="12" borderId="0" applyNumberFormat="0" applyBorder="0" applyAlignment="0" applyProtection="0"/>
    <xf numFmtId="0" fontId="1" fillId="12" borderId="0" applyNumberFormat="0" applyBorder="0" applyAlignment="0" applyProtection="0"/>
    <xf numFmtId="0" fontId="1" fillId="12" borderId="0" applyNumberFormat="0" applyBorder="0" applyAlignment="0" applyProtection="0"/>
    <xf numFmtId="0" fontId="1" fillId="12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" fillId="12" borderId="0" applyNumberFormat="0" applyBorder="0" applyAlignment="0" applyProtection="0"/>
    <xf numFmtId="0" fontId="1" fillId="12" borderId="0" applyNumberFormat="0" applyBorder="0" applyAlignment="0" applyProtection="0"/>
    <xf numFmtId="0" fontId="1" fillId="12" borderId="0" applyNumberFormat="0" applyBorder="0" applyAlignment="0" applyProtection="0"/>
    <xf numFmtId="0" fontId="1" fillId="12" borderId="0" applyNumberFormat="0" applyBorder="0" applyAlignment="0" applyProtection="0"/>
    <xf numFmtId="0" fontId="1" fillId="12" borderId="0" applyNumberFormat="0" applyBorder="0" applyAlignment="0" applyProtection="0"/>
    <xf numFmtId="0" fontId="1" fillId="12" borderId="0" applyNumberFormat="0" applyBorder="0" applyAlignment="0" applyProtection="0"/>
    <xf numFmtId="0" fontId="1" fillId="11" borderId="0" applyNumberFormat="0" applyBorder="0" applyAlignment="0" applyProtection="0"/>
    <xf numFmtId="0" fontId="1" fillId="11" borderId="0" applyNumberFormat="0" applyBorder="0" applyAlignment="0" applyProtection="0"/>
    <xf numFmtId="0" fontId="1" fillId="11" borderId="0" applyNumberFormat="0" applyBorder="0" applyAlignment="0" applyProtection="0"/>
    <xf numFmtId="0" fontId="1" fillId="11" borderId="0" applyNumberFormat="0" applyBorder="0" applyAlignment="0" applyProtection="0"/>
    <xf numFmtId="0" fontId="1" fillId="11" borderId="0" applyNumberFormat="0" applyBorder="0" applyAlignment="0" applyProtection="0"/>
    <xf numFmtId="0" fontId="1" fillId="11" borderId="0" applyNumberFormat="0" applyBorder="0" applyAlignment="0" applyProtection="0"/>
    <xf numFmtId="0" fontId="1" fillId="11" borderId="0" applyNumberFormat="0" applyBorder="0" applyAlignment="0" applyProtection="0"/>
    <xf numFmtId="0" fontId="1" fillId="11" borderId="0" applyNumberFormat="0" applyBorder="0" applyAlignment="0" applyProtection="0"/>
    <xf numFmtId="0" fontId="1" fillId="11" borderId="0" applyNumberFormat="0" applyBorder="0" applyAlignment="0" applyProtection="0"/>
    <xf numFmtId="0" fontId="1" fillId="11" borderId="0" applyNumberFormat="0" applyBorder="0" applyAlignment="0" applyProtection="0"/>
    <xf numFmtId="0" fontId="1" fillId="11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" fillId="11" borderId="0" applyNumberFormat="0" applyBorder="0" applyAlignment="0" applyProtection="0"/>
    <xf numFmtId="0" fontId="1" fillId="11" borderId="0" applyNumberFormat="0" applyBorder="0" applyAlignment="0" applyProtection="0"/>
    <xf numFmtId="0" fontId="1" fillId="11" borderId="0" applyNumberFormat="0" applyBorder="0" applyAlignment="0" applyProtection="0"/>
    <xf numFmtId="0" fontId="1" fillId="11" borderId="0" applyNumberFormat="0" applyBorder="0" applyAlignment="0" applyProtection="0"/>
    <xf numFmtId="0" fontId="1" fillId="11" borderId="0" applyNumberFormat="0" applyBorder="0" applyAlignment="0" applyProtection="0"/>
    <xf numFmtId="0" fontId="1" fillId="11" borderId="0" applyNumberFormat="0" applyBorder="0" applyAlignment="0" applyProtection="0"/>
    <xf numFmtId="0" fontId="1" fillId="11" borderId="0" applyNumberFormat="0" applyBorder="0" applyAlignment="0" applyProtection="0"/>
    <xf numFmtId="0" fontId="1" fillId="11" borderId="0" applyNumberFormat="0" applyBorder="0" applyAlignment="0" applyProtection="0"/>
    <xf numFmtId="0" fontId="1" fillId="11" borderId="0" applyNumberFormat="0" applyBorder="0" applyAlignment="0" applyProtection="0"/>
    <xf numFmtId="0" fontId="1" fillId="11" borderId="0" applyNumberFormat="0" applyBorder="0" applyAlignment="0" applyProtection="0"/>
    <xf numFmtId="0" fontId="1" fillId="11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" fillId="11" borderId="0" applyNumberFormat="0" applyBorder="0" applyAlignment="0" applyProtection="0"/>
    <xf numFmtId="0" fontId="1" fillId="11" borderId="0" applyNumberFormat="0" applyBorder="0" applyAlignment="0" applyProtection="0"/>
    <xf numFmtId="0" fontId="1" fillId="11" borderId="0" applyNumberFormat="0" applyBorder="0" applyAlignment="0" applyProtection="0"/>
    <xf numFmtId="0" fontId="1" fillId="11" borderId="0" applyNumberFormat="0" applyBorder="0" applyAlignment="0" applyProtection="0"/>
    <xf numFmtId="0" fontId="1" fillId="11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" fillId="11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" fillId="11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" fillId="11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" fillId="11" borderId="0" applyNumberFormat="0" applyBorder="0" applyAlignment="0" applyProtection="0"/>
    <xf numFmtId="0" fontId="1" fillId="11" borderId="0" applyNumberFormat="0" applyBorder="0" applyAlignment="0" applyProtection="0"/>
    <xf numFmtId="0" fontId="56" fillId="44" borderId="0" applyNumberFormat="0" applyBorder="0" applyAlignment="0" applyProtection="0"/>
    <xf numFmtId="0" fontId="1" fillId="8" borderId="0" applyNumberFormat="0" applyBorder="0" applyAlignment="0" applyProtection="0"/>
    <xf numFmtId="0" fontId="1" fillId="8" borderId="0" applyNumberFormat="0" applyBorder="0" applyAlignment="0" applyProtection="0"/>
    <xf numFmtId="0" fontId="1" fillId="8" borderId="0" applyNumberFormat="0" applyBorder="0" applyAlignment="0" applyProtection="0"/>
    <xf numFmtId="0" fontId="1" fillId="8" borderId="0" applyNumberFormat="0" applyBorder="0" applyAlignment="0" applyProtection="0"/>
    <xf numFmtId="0" fontId="1" fillId="8" borderId="0" applyNumberFormat="0" applyBorder="0" applyAlignment="0" applyProtection="0"/>
    <xf numFmtId="0" fontId="1" fillId="8" borderId="0" applyNumberFormat="0" applyBorder="0" applyAlignment="0" applyProtection="0"/>
    <xf numFmtId="0" fontId="1" fillId="8" borderId="0" applyNumberFormat="0" applyBorder="0" applyAlignment="0" applyProtection="0"/>
    <xf numFmtId="0" fontId="1" fillId="8" borderId="0" applyNumberFormat="0" applyBorder="0" applyAlignment="0" applyProtection="0"/>
    <xf numFmtId="0" fontId="1" fillId="8" borderId="0" applyNumberFormat="0" applyBorder="0" applyAlignment="0" applyProtection="0"/>
    <xf numFmtId="0" fontId="1" fillId="8" borderId="0" applyNumberFormat="0" applyBorder="0" applyAlignment="0" applyProtection="0"/>
    <xf numFmtId="0" fontId="1" fillId="8" borderId="0" applyNumberFormat="0" applyBorder="0" applyAlignment="0" applyProtection="0"/>
    <xf numFmtId="0" fontId="1" fillId="4" borderId="0" applyNumberFormat="0" applyBorder="0" applyAlignment="0" applyProtection="0"/>
    <xf numFmtId="0" fontId="1" fillId="4" borderId="0" applyNumberFormat="0" applyBorder="0" applyAlignment="0" applyProtection="0"/>
    <xf numFmtId="0" fontId="1" fillId="4" borderId="0" applyNumberFormat="0" applyBorder="0" applyAlignment="0" applyProtection="0"/>
    <xf numFmtId="0" fontId="1" fillId="4" borderId="0" applyNumberFormat="0" applyBorder="0" applyAlignment="0" applyProtection="0"/>
    <xf numFmtId="0" fontId="1" fillId="4" borderId="0" applyNumberFormat="0" applyBorder="0" applyAlignment="0" applyProtection="0"/>
    <xf numFmtId="0" fontId="1" fillId="4" borderId="0" applyNumberFormat="0" applyBorder="0" applyAlignment="0" applyProtection="0"/>
    <xf numFmtId="0" fontId="1" fillId="4" borderId="0" applyNumberFormat="0" applyBorder="0" applyAlignment="0" applyProtection="0"/>
    <xf numFmtId="0" fontId="1" fillId="8" borderId="0" applyNumberFormat="0" applyBorder="0" applyAlignment="0" applyProtection="0"/>
    <xf numFmtId="0" fontId="1" fillId="4" borderId="0" applyNumberFormat="0" applyBorder="0" applyAlignment="0" applyProtection="0"/>
    <xf numFmtId="0" fontId="1" fillId="4" borderId="0" applyNumberFormat="0" applyBorder="0" applyAlignment="0" applyProtection="0"/>
    <xf numFmtId="0" fontId="1" fillId="4" borderId="0" applyNumberFormat="0" applyBorder="0" applyAlignment="0" applyProtection="0"/>
    <xf numFmtId="0" fontId="1" fillId="4" borderId="0" applyNumberFormat="0" applyBorder="0" applyAlignment="0" applyProtection="0"/>
    <xf numFmtId="0" fontId="1" fillId="4" borderId="0" applyNumberFormat="0" applyBorder="0" applyAlignment="0" applyProtection="0"/>
    <xf numFmtId="0" fontId="1" fillId="4" borderId="0" applyNumberFormat="0" applyBorder="0" applyAlignment="0" applyProtection="0"/>
    <xf numFmtId="0" fontId="1" fillId="4" borderId="0" applyNumberFormat="0" applyBorder="0" applyAlignment="0" applyProtection="0"/>
    <xf numFmtId="0" fontId="1" fillId="8" borderId="0" applyNumberFormat="0" applyBorder="0" applyAlignment="0" applyProtection="0"/>
    <xf numFmtId="0" fontId="1" fillId="8" borderId="0" applyNumberFormat="0" applyBorder="0" applyAlignment="0" applyProtection="0"/>
    <xf numFmtId="0" fontId="1" fillId="8" borderId="0" applyNumberFormat="0" applyBorder="0" applyAlignment="0" applyProtection="0"/>
    <xf numFmtId="0" fontId="1" fillId="8" borderId="0" applyNumberFormat="0" applyBorder="0" applyAlignment="0" applyProtection="0"/>
    <xf numFmtId="0" fontId="1" fillId="8" borderId="0" applyNumberFormat="0" applyBorder="0" applyAlignment="0" applyProtection="0"/>
    <xf numFmtId="0" fontId="1" fillId="8" borderId="0" applyNumberFormat="0" applyBorder="0" applyAlignment="0" applyProtection="0"/>
    <xf numFmtId="0" fontId="1" fillId="8" borderId="0" applyNumberFormat="0" applyBorder="0" applyAlignment="0" applyProtection="0"/>
    <xf numFmtId="0" fontId="1" fillId="8" borderId="0" applyNumberFormat="0" applyBorder="0" applyAlignment="0" applyProtection="0"/>
    <xf numFmtId="0" fontId="1" fillId="8" borderId="0" applyNumberFormat="0" applyBorder="0" applyAlignment="0" applyProtection="0"/>
    <xf numFmtId="0" fontId="1" fillId="8" borderId="0" applyNumberFormat="0" applyBorder="0" applyAlignment="0" applyProtection="0"/>
    <xf numFmtId="0" fontId="1" fillId="8" borderId="0" applyNumberFormat="0" applyBorder="0" applyAlignment="0" applyProtection="0"/>
    <xf numFmtId="0" fontId="1" fillId="8" borderId="0" applyNumberFormat="0" applyBorder="0" applyAlignment="0" applyProtection="0"/>
    <xf numFmtId="0" fontId="1" fillId="4" borderId="0" applyNumberFormat="0" applyBorder="0" applyAlignment="0" applyProtection="0"/>
    <xf numFmtId="0" fontId="1" fillId="8" borderId="0" applyNumberFormat="0" applyBorder="0" applyAlignment="0" applyProtection="0"/>
    <xf numFmtId="0" fontId="1" fillId="8" borderId="0" applyNumberFormat="0" applyBorder="0" applyAlignment="0" applyProtection="0"/>
    <xf numFmtId="0" fontId="1" fillId="8" borderId="0" applyNumberFormat="0" applyBorder="0" applyAlignment="0" applyProtection="0"/>
    <xf numFmtId="0" fontId="1" fillId="8" borderId="0" applyNumberFormat="0" applyBorder="0" applyAlignment="0" applyProtection="0"/>
    <xf numFmtId="0" fontId="1" fillId="8" borderId="0" applyNumberFormat="0" applyBorder="0" applyAlignment="0" applyProtection="0"/>
    <xf numFmtId="0" fontId="1" fillId="8" borderId="0" applyNumberFormat="0" applyBorder="0" applyAlignment="0" applyProtection="0"/>
    <xf numFmtId="0" fontId="1" fillId="8" borderId="0" applyNumberFormat="0" applyBorder="0" applyAlignment="0" applyProtection="0"/>
    <xf numFmtId="0" fontId="1" fillId="8" borderId="0" applyNumberFormat="0" applyBorder="0" applyAlignment="0" applyProtection="0"/>
    <xf numFmtId="0" fontId="1" fillId="8" borderId="0" applyNumberFormat="0" applyBorder="0" applyAlignment="0" applyProtection="0"/>
    <xf numFmtId="0" fontId="1" fillId="8" borderId="0" applyNumberFormat="0" applyBorder="0" applyAlignment="0" applyProtection="0"/>
    <xf numFmtId="0" fontId="1" fillId="8" borderId="0" applyNumberFormat="0" applyBorder="0" applyAlignment="0" applyProtection="0"/>
    <xf numFmtId="0" fontId="1" fillId="8" borderId="0" applyNumberFormat="0" applyBorder="0" applyAlignment="0" applyProtection="0"/>
    <xf numFmtId="0" fontId="1" fillId="4" borderId="0" applyNumberFormat="0" applyBorder="0" applyAlignment="0" applyProtection="0"/>
    <xf numFmtId="0" fontId="1" fillId="8" borderId="0" applyNumberFormat="0" applyBorder="0" applyAlignment="0" applyProtection="0"/>
    <xf numFmtId="0" fontId="1" fillId="8" borderId="0" applyNumberFormat="0" applyBorder="0" applyAlignment="0" applyProtection="0"/>
    <xf numFmtId="0" fontId="1" fillId="8" borderId="0" applyNumberFormat="0" applyBorder="0" applyAlignment="0" applyProtection="0"/>
    <xf numFmtId="0" fontId="1" fillId="8" borderId="0" applyNumberFormat="0" applyBorder="0" applyAlignment="0" applyProtection="0"/>
    <xf numFmtId="0" fontId="1" fillId="8" borderId="0" applyNumberFormat="0" applyBorder="0" applyAlignment="0" applyProtection="0"/>
    <xf numFmtId="0" fontId="1" fillId="8" borderId="0" applyNumberFormat="0" applyBorder="0" applyAlignment="0" applyProtection="0"/>
    <xf numFmtId="0" fontId="1" fillId="4" borderId="0" applyNumberFormat="0" applyBorder="0" applyAlignment="0" applyProtection="0"/>
    <xf numFmtId="0" fontId="1" fillId="8" borderId="0" applyNumberFormat="0" applyBorder="0" applyAlignment="0" applyProtection="0"/>
    <xf numFmtId="0" fontId="1" fillId="8" borderId="0" applyNumberFormat="0" applyBorder="0" applyAlignment="0" applyProtection="0"/>
    <xf numFmtId="0" fontId="1" fillId="4" borderId="0" applyNumberFormat="0" applyBorder="0" applyAlignment="0" applyProtection="0"/>
    <xf numFmtId="0" fontId="1" fillId="8" borderId="0" applyNumberFormat="0" applyBorder="0" applyAlignment="0" applyProtection="0"/>
    <xf numFmtId="0" fontId="1" fillId="8" borderId="0" applyNumberFormat="0" applyBorder="0" applyAlignment="0" applyProtection="0"/>
    <xf numFmtId="0" fontId="1" fillId="4" borderId="0" applyNumberFormat="0" applyBorder="0" applyAlignment="0" applyProtection="0"/>
    <xf numFmtId="0" fontId="1" fillId="8" borderId="0" applyNumberFormat="0" applyBorder="0" applyAlignment="0" applyProtection="0"/>
    <xf numFmtId="0" fontId="1" fillId="8" borderId="0" applyNumberFormat="0" applyBorder="0" applyAlignment="0" applyProtection="0"/>
    <xf numFmtId="0" fontId="1" fillId="4" borderId="0" applyNumberFormat="0" applyBorder="0" applyAlignment="0" applyProtection="0"/>
    <xf numFmtId="0" fontId="1" fillId="8" borderId="0" applyNumberFormat="0" applyBorder="0" applyAlignment="0" applyProtection="0"/>
    <xf numFmtId="0" fontId="1" fillId="8" borderId="0" applyNumberFormat="0" applyBorder="0" applyAlignment="0" applyProtection="0"/>
    <xf numFmtId="0" fontId="56" fillId="45" borderId="0" applyNumberFormat="0" applyBorder="0" applyAlignment="0" applyProtection="0"/>
    <xf numFmtId="0" fontId="1" fillId="3" borderId="0" applyNumberFormat="0" applyBorder="0" applyAlignment="0" applyProtection="0"/>
    <xf numFmtId="0" fontId="1" fillId="3" borderId="0" applyNumberFormat="0" applyBorder="0" applyAlignment="0" applyProtection="0"/>
    <xf numFmtId="0" fontId="1" fillId="3" borderId="0" applyNumberFormat="0" applyBorder="0" applyAlignment="0" applyProtection="0"/>
    <xf numFmtId="0" fontId="1" fillId="3" borderId="0" applyNumberFormat="0" applyBorder="0" applyAlignment="0" applyProtection="0"/>
    <xf numFmtId="0" fontId="1" fillId="3" borderId="0" applyNumberFormat="0" applyBorder="0" applyAlignment="0" applyProtection="0"/>
    <xf numFmtId="0" fontId="1" fillId="3" borderId="0" applyNumberFormat="0" applyBorder="0" applyAlignment="0" applyProtection="0"/>
    <xf numFmtId="0" fontId="1" fillId="3" borderId="0" applyNumberFormat="0" applyBorder="0" applyAlignment="0" applyProtection="0"/>
    <xf numFmtId="0" fontId="1" fillId="3" borderId="0" applyNumberFormat="0" applyBorder="0" applyAlignment="0" applyProtection="0"/>
    <xf numFmtId="0" fontId="1" fillId="3" borderId="0" applyNumberFormat="0" applyBorder="0" applyAlignment="0" applyProtection="0"/>
    <xf numFmtId="0" fontId="1" fillId="3" borderId="0" applyNumberFormat="0" applyBorder="0" applyAlignment="0" applyProtection="0"/>
    <xf numFmtId="0" fontId="1" fillId="3" borderId="0" applyNumberFormat="0" applyBorder="0" applyAlignment="0" applyProtection="0"/>
    <xf numFmtId="0" fontId="1" fillId="10" borderId="0" applyNumberFormat="0" applyBorder="0" applyAlignment="0" applyProtection="0"/>
    <xf numFmtId="0" fontId="1" fillId="10" borderId="0" applyNumberFormat="0" applyBorder="0" applyAlignment="0" applyProtection="0"/>
    <xf numFmtId="0" fontId="1" fillId="10" borderId="0" applyNumberFormat="0" applyBorder="0" applyAlignment="0" applyProtection="0"/>
    <xf numFmtId="0" fontId="1" fillId="10" borderId="0" applyNumberFormat="0" applyBorder="0" applyAlignment="0" applyProtection="0"/>
    <xf numFmtId="0" fontId="1" fillId="10" borderId="0" applyNumberFormat="0" applyBorder="0" applyAlignment="0" applyProtection="0"/>
    <xf numFmtId="0" fontId="1" fillId="10" borderId="0" applyNumberFormat="0" applyBorder="0" applyAlignment="0" applyProtection="0"/>
    <xf numFmtId="0" fontId="1" fillId="10" borderId="0" applyNumberFormat="0" applyBorder="0" applyAlignment="0" applyProtection="0"/>
    <xf numFmtId="0" fontId="1" fillId="3" borderId="0" applyNumberFormat="0" applyBorder="0" applyAlignment="0" applyProtection="0"/>
    <xf numFmtId="0" fontId="1" fillId="10" borderId="0" applyNumberFormat="0" applyBorder="0" applyAlignment="0" applyProtection="0"/>
    <xf numFmtId="0" fontId="1" fillId="10" borderId="0" applyNumberFormat="0" applyBorder="0" applyAlignment="0" applyProtection="0"/>
    <xf numFmtId="0" fontId="1" fillId="10" borderId="0" applyNumberFormat="0" applyBorder="0" applyAlignment="0" applyProtection="0"/>
    <xf numFmtId="0" fontId="1" fillId="10" borderId="0" applyNumberFormat="0" applyBorder="0" applyAlignment="0" applyProtection="0"/>
    <xf numFmtId="0" fontId="1" fillId="10" borderId="0" applyNumberFormat="0" applyBorder="0" applyAlignment="0" applyProtection="0"/>
    <xf numFmtId="0" fontId="1" fillId="10" borderId="0" applyNumberFormat="0" applyBorder="0" applyAlignment="0" applyProtection="0"/>
    <xf numFmtId="0" fontId="1" fillId="10" borderId="0" applyNumberFormat="0" applyBorder="0" applyAlignment="0" applyProtection="0"/>
    <xf numFmtId="0" fontId="1" fillId="3" borderId="0" applyNumberFormat="0" applyBorder="0" applyAlignment="0" applyProtection="0"/>
    <xf numFmtId="0" fontId="1" fillId="3" borderId="0" applyNumberFormat="0" applyBorder="0" applyAlignment="0" applyProtection="0"/>
    <xf numFmtId="0" fontId="1" fillId="3" borderId="0" applyNumberFormat="0" applyBorder="0" applyAlignment="0" applyProtection="0"/>
    <xf numFmtId="0" fontId="1" fillId="3" borderId="0" applyNumberFormat="0" applyBorder="0" applyAlignment="0" applyProtection="0"/>
    <xf numFmtId="0" fontId="1" fillId="3" borderId="0" applyNumberFormat="0" applyBorder="0" applyAlignment="0" applyProtection="0"/>
    <xf numFmtId="0" fontId="1" fillId="3" borderId="0" applyNumberFormat="0" applyBorder="0" applyAlignment="0" applyProtection="0"/>
    <xf numFmtId="0" fontId="1" fillId="3" borderId="0" applyNumberFormat="0" applyBorder="0" applyAlignment="0" applyProtection="0"/>
    <xf numFmtId="0" fontId="1" fillId="3" borderId="0" applyNumberFormat="0" applyBorder="0" applyAlignment="0" applyProtection="0"/>
    <xf numFmtId="0" fontId="1" fillId="3" borderId="0" applyNumberFormat="0" applyBorder="0" applyAlignment="0" applyProtection="0"/>
    <xf numFmtId="0" fontId="1" fillId="3" borderId="0" applyNumberFormat="0" applyBorder="0" applyAlignment="0" applyProtection="0"/>
    <xf numFmtId="0" fontId="1" fillId="3" borderId="0" applyNumberFormat="0" applyBorder="0" applyAlignment="0" applyProtection="0"/>
    <xf numFmtId="0" fontId="1" fillId="3" borderId="0" applyNumberFormat="0" applyBorder="0" applyAlignment="0" applyProtection="0"/>
    <xf numFmtId="0" fontId="1" fillId="10" borderId="0" applyNumberFormat="0" applyBorder="0" applyAlignment="0" applyProtection="0"/>
    <xf numFmtId="0" fontId="1" fillId="3" borderId="0" applyNumberFormat="0" applyBorder="0" applyAlignment="0" applyProtection="0"/>
    <xf numFmtId="0" fontId="1" fillId="3" borderId="0" applyNumberFormat="0" applyBorder="0" applyAlignment="0" applyProtection="0"/>
    <xf numFmtId="0" fontId="1" fillId="3" borderId="0" applyNumberFormat="0" applyBorder="0" applyAlignment="0" applyProtection="0"/>
    <xf numFmtId="0" fontId="1" fillId="3" borderId="0" applyNumberFormat="0" applyBorder="0" applyAlignment="0" applyProtection="0"/>
    <xf numFmtId="0" fontId="1" fillId="3" borderId="0" applyNumberFormat="0" applyBorder="0" applyAlignment="0" applyProtection="0"/>
    <xf numFmtId="0" fontId="1" fillId="3" borderId="0" applyNumberFormat="0" applyBorder="0" applyAlignment="0" applyProtection="0"/>
    <xf numFmtId="0" fontId="1" fillId="3" borderId="0" applyNumberFormat="0" applyBorder="0" applyAlignment="0" applyProtection="0"/>
    <xf numFmtId="0" fontId="1" fillId="3" borderId="0" applyNumberFormat="0" applyBorder="0" applyAlignment="0" applyProtection="0"/>
    <xf numFmtId="0" fontId="1" fillId="3" borderId="0" applyNumberFormat="0" applyBorder="0" applyAlignment="0" applyProtection="0"/>
    <xf numFmtId="0" fontId="1" fillId="3" borderId="0" applyNumberFormat="0" applyBorder="0" applyAlignment="0" applyProtection="0"/>
    <xf numFmtId="0" fontId="1" fillId="3" borderId="0" applyNumberFormat="0" applyBorder="0" applyAlignment="0" applyProtection="0"/>
    <xf numFmtId="0" fontId="1" fillId="3" borderId="0" applyNumberFormat="0" applyBorder="0" applyAlignment="0" applyProtection="0"/>
    <xf numFmtId="0" fontId="1" fillId="10" borderId="0" applyNumberFormat="0" applyBorder="0" applyAlignment="0" applyProtection="0"/>
    <xf numFmtId="0" fontId="1" fillId="3" borderId="0" applyNumberFormat="0" applyBorder="0" applyAlignment="0" applyProtection="0"/>
    <xf numFmtId="0" fontId="1" fillId="3" borderId="0" applyNumberFormat="0" applyBorder="0" applyAlignment="0" applyProtection="0"/>
    <xf numFmtId="0" fontId="1" fillId="3" borderId="0" applyNumberFormat="0" applyBorder="0" applyAlignment="0" applyProtection="0"/>
    <xf numFmtId="0" fontId="1" fillId="3" borderId="0" applyNumberFormat="0" applyBorder="0" applyAlignment="0" applyProtection="0"/>
    <xf numFmtId="0" fontId="1" fillId="3" borderId="0" applyNumberFormat="0" applyBorder="0" applyAlignment="0" applyProtection="0"/>
    <xf numFmtId="0" fontId="1" fillId="3" borderId="0" applyNumberFormat="0" applyBorder="0" applyAlignment="0" applyProtection="0"/>
    <xf numFmtId="0" fontId="1" fillId="10" borderId="0" applyNumberFormat="0" applyBorder="0" applyAlignment="0" applyProtection="0"/>
    <xf numFmtId="0" fontId="1" fillId="3" borderId="0" applyNumberFormat="0" applyBorder="0" applyAlignment="0" applyProtection="0"/>
    <xf numFmtId="0" fontId="1" fillId="3" borderId="0" applyNumberFormat="0" applyBorder="0" applyAlignment="0" applyProtection="0"/>
    <xf numFmtId="0" fontId="1" fillId="10" borderId="0" applyNumberFormat="0" applyBorder="0" applyAlignment="0" applyProtection="0"/>
    <xf numFmtId="0" fontId="1" fillId="3" borderId="0" applyNumberFormat="0" applyBorder="0" applyAlignment="0" applyProtection="0"/>
    <xf numFmtId="0" fontId="1" fillId="3" borderId="0" applyNumberFormat="0" applyBorder="0" applyAlignment="0" applyProtection="0"/>
    <xf numFmtId="0" fontId="1" fillId="10" borderId="0" applyNumberFormat="0" applyBorder="0" applyAlignment="0" applyProtection="0"/>
    <xf numFmtId="0" fontId="1" fillId="3" borderId="0" applyNumberFormat="0" applyBorder="0" applyAlignment="0" applyProtection="0"/>
    <xf numFmtId="0" fontId="1" fillId="3" borderId="0" applyNumberFormat="0" applyBorder="0" applyAlignment="0" applyProtection="0"/>
    <xf numFmtId="0" fontId="1" fillId="10" borderId="0" applyNumberFormat="0" applyBorder="0" applyAlignment="0" applyProtection="0"/>
    <xf numFmtId="0" fontId="1" fillId="3" borderId="0" applyNumberFormat="0" applyBorder="0" applyAlignment="0" applyProtection="0"/>
    <xf numFmtId="0" fontId="1" fillId="3" borderId="0" applyNumberFormat="0" applyBorder="0" applyAlignment="0" applyProtection="0"/>
    <xf numFmtId="0" fontId="56" fillId="46" borderId="0" applyNumberFormat="0" applyBorder="0" applyAlignment="0" applyProtection="0"/>
    <xf numFmtId="0" fontId="1" fillId="13" borderId="0" applyNumberFormat="0" applyBorder="0" applyAlignment="0" applyProtection="0"/>
    <xf numFmtId="0" fontId="1" fillId="13" borderId="0" applyNumberFormat="0" applyBorder="0" applyAlignment="0" applyProtection="0"/>
    <xf numFmtId="0" fontId="1" fillId="13" borderId="0" applyNumberFormat="0" applyBorder="0" applyAlignment="0" applyProtection="0"/>
    <xf numFmtId="0" fontId="1" fillId="13" borderId="0" applyNumberFormat="0" applyBorder="0" applyAlignment="0" applyProtection="0"/>
    <xf numFmtId="0" fontId="1" fillId="13" borderId="0" applyNumberFormat="0" applyBorder="0" applyAlignment="0" applyProtection="0"/>
    <xf numFmtId="0" fontId="1" fillId="13" borderId="0" applyNumberFormat="0" applyBorder="0" applyAlignment="0" applyProtection="0"/>
    <xf numFmtId="0" fontId="1" fillId="13" borderId="0" applyNumberFormat="0" applyBorder="0" applyAlignment="0" applyProtection="0"/>
    <xf numFmtId="0" fontId="1" fillId="13" borderId="0" applyNumberFormat="0" applyBorder="0" applyAlignment="0" applyProtection="0"/>
    <xf numFmtId="0" fontId="1" fillId="13" borderId="0" applyNumberFormat="0" applyBorder="0" applyAlignment="0" applyProtection="0"/>
    <xf numFmtId="0" fontId="1" fillId="13" borderId="0" applyNumberFormat="0" applyBorder="0" applyAlignment="0" applyProtection="0"/>
    <xf numFmtId="0" fontId="1" fillId="13" borderId="0" applyNumberFormat="0" applyBorder="0" applyAlignment="0" applyProtection="0"/>
    <xf numFmtId="0" fontId="1" fillId="7" borderId="0" applyNumberFormat="0" applyBorder="0" applyAlignment="0" applyProtection="0"/>
    <xf numFmtId="0" fontId="1" fillId="7" borderId="0" applyNumberFormat="0" applyBorder="0" applyAlignment="0" applyProtection="0"/>
    <xf numFmtId="0" fontId="1" fillId="7" borderId="0" applyNumberFormat="0" applyBorder="0" applyAlignment="0" applyProtection="0"/>
    <xf numFmtId="0" fontId="1" fillId="7" borderId="0" applyNumberFormat="0" applyBorder="0" applyAlignment="0" applyProtection="0"/>
    <xf numFmtId="0" fontId="1" fillId="7" borderId="0" applyNumberFormat="0" applyBorder="0" applyAlignment="0" applyProtection="0"/>
    <xf numFmtId="0" fontId="1" fillId="7" borderId="0" applyNumberFormat="0" applyBorder="0" applyAlignment="0" applyProtection="0"/>
    <xf numFmtId="0" fontId="1" fillId="7" borderId="0" applyNumberFormat="0" applyBorder="0" applyAlignment="0" applyProtection="0"/>
    <xf numFmtId="0" fontId="1" fillId="13" borderId="0" applyNumberFormat="0" applyBorder="0" applyAlignment="0" applyProtection="0"/>
    <xf numFmtId="0" fontId="1" fillId="7" borderId="0" applyNumberFormat="0" applyBorder="0" applyAlignment="0" applyProtection="0"/>
    <xf numFmtId="0" fontId="1" fillId="7" borderId="0" applyNumberFormat="0" applyBorder="0" applyAlignment="0" applyProtection="0"/>
    <xf numFmtId="0" fontId="1" fillId="7" borderId="0" applyNumberFormat="0" applyBorder="0" applyAlignment="0" applyProtection="0"/>
    <xf numFmtId="0" fontId="1" fillId="7" borderId="0" applyNumberFormat="0" applyBorder="0" applyAlignment="0" applyProtection="0"/>
    <xf numFmtId="0" fontId="1" fillId="7" borderId="0" applyNumberFormat="0" applyBorder="0" applyAlignment="0" applyProtection="0"/>
    <xf numFmtId="0" fontId="1" fillId="7" borderId="0" applyNumberFormat="0" applyBorder="0" applyAlignment="0" applyProtection="0"/>
    <xf numFmtId="0" fontId="1" fillId="7" borderId="0" applyNumberFormat="0" applyBorder="0" applyAlignment="0" applyProtection="0"/>
    <xf numFmtId="0" fontId="1" fillId="13" borderId="0" applyNumberFormat="0" applyBorder="0" applyAlignment="0" applyProtection="0"/>
    <xf numFmtId="0" fontId="1" fillId="13" borderId="0" applyNumberFormat="0" applyBorder="0" applyAlignment="0" applyProtection="0"/>
    <xf numFmtId="0" fontId="1" fillId="13" borderId="0" applyNumberFormat="0" applyBorder="0" applyAlignment="0" applyProtection="0"/>
    <xf numFmtId="0" fontId="1" fillId="13" borderId="0" applyNumberFormat="0" applyBorder="0" applyAlignment="0" applyProtection="0"/>
    <xf numFmtId="0" fontId="1" fillId="13" borderId="0" applyNumberFormat="0" applyBorder="0" applyAlignment="0" applyProtection="0"/>
    <xf numFmtId="0" fontId="1" fillId="13" borderId="0" applyNumberFormat="0" applyBorder="0" applyAlignment="0" applyProtection="0"/>
    <xf numFmtId="0" fontId="1" fillId="13" borderId="0" applyNumberFormat="0" applyBorder="0" applyAlignment="0" applyProtection="0"/>
    <xf numFmtId="0" fontId="1" fillId="13" borderId="0" applyNumberFormat="0" applyBorder="0" applyAlignment="0" applyProtection="0"/>
    <xf numFmtId="0" fontId="1" fillId="13" borderId="0" applyNumberFormat="0" applyBorder="0" applyAlignment="0" applyProtection="0"/>
    <xf numFmtId="0" fontId="1" fillId="13" borderId="0" applyNumberFormat="0" applyBorder="0" applyAlignment="0" applyProtection="0"/>
    <xf numFmtId="0" fontId="1" fillId="13" borderId="0" applyNumberFormat="0" applyBorder="0" applyAlignment="0" applyProtection="0"/>
    <xf numFmtId="0" fontId="1" fillId="13" borderId="0" applyNumberFormat="0" applyBorder="0" applyAlignment="0" applyProtection="0"/>
    <xf numFmtId="0" fontId="1" fillId="7" borderId="0" applyNumberFormat="0" applyBorder="0" applyAlignment="0" applyProtection="0"/>
    <xf numFmtId="0" fontId="1" fillId="13" borderId="0" applyNumberFormat="0" applyBorder="0" applyAlignment="0" applyProtection="0"/>
    <xf numFmtId="0" fontId="1" fillId="13" borderId="0" applyNumberFormat="0" applyBorder="0" applyAlignment="0" applyProtection="0"/>
    <xf numFmtId="0" fontId="1" fillId="13" borderId="0" applyNumberFormat="0" applyBorder="0" applyAlignment="0" applyProtection="0"/>
    <xf numFmtId="0" fontId="1" fillId="13" borderId="0" applyNumberFormat="0" applyBorder="0" applyAlignment="0" applyProtection="0"/>
    <xf numFmtId="0" fontId="1" fillId="13" borderId="0" applyNumberFormat="0" applyBorder="0" applyAlignment="0" applyProtection="0"/>
    <xf numFmtId="0" fontId="1" fillId="13" borderId="0" applyNumberFormat="0" applyBorder="0" applyAlignment="0" applyProtection="0"/>
    <xf numFmtId="0" fontId="1" fillId="13" borderId="0" applyNumberFormat="0" applyBorder="0" applyAlignment="0" applyProtection="0"/>
    <xf numFmtId="0" fontId="1" fillId="13" borderId="0" applyNumberFormat="0" applyBorder="0" applyAlignment="0" applyProtection="0"/>
    <xf numFmtId="0" fontId="1" fillId="13" borderId="0" applyNumberFormat="0" applyBorder="0" applyAlignment="0" applyProtection="0"/>
    <xf numFmtId="0" fontId="1" fillId="13" borderId="0" applyNumberFormat="0" applyBorder="0" applyAlignment="0" applyProtection="0"/>
    <xf numFmtId="0" fontId="1" fillId="13" borderId="0" applyNumberFormat="0" applyBorder="0" applyAlignment="0" applyProtection="0"/>
    <xf numFmtId="0" fontId="1" fillId="13" borderId="0" applyNumberFormat="0" applyBorder="0" applyAlignment="0" applyProtection="0"/>
    <xf numFmtId="0" fontId="1" fillId="7" borderId="0" applyNumberFormat="0" applyBorder="0" applyAlignment="0" applyProtection="0"/>
    <xf numFmtId="0" fontId="1" fillId="13" borderId="0" applyNumberFormat="0" applyBorder="0" applyAlignment="0" applyProtection="0"/>
    <xf numFmtId="0" fontId="1" fillId="13" borderId="0" applyNumberFormat="0" applyBorder="0" applyAlignment="0" applyProtection="0"/>
    <xf numFmtId="0" fontId="1" fillId="13" borderId="0" applyNumberFormat="0" applyBorder="0" applyAlignment="0" applyProtection="0"/>
    <xf numFmtId="0" fontId="1" fillId="13" borderId="0" applyNumberFormat="0" applyBorder="0" applyAlignment="0" applyProtection="0"/>
    <xf numFmtId="0" fontId="1" fillId="13" borderId="0" applyNumberFormat="0" applyBorder="0" applyAlignment="0" applyProtection="0"/>
    <xf numFmtId="0" fontId="1" fillId="13" borderId="0" applyNumberFormat="0" applyBorder="0" applyAlignment="0" applyProtection="0"/>
    <xf numFmtId="0" fontId="1" fillId="7" borderId="0" applyNumberFormat="0" applyBorder="0" applyAlignment="0" applyProtection="0"/>
    <xf numFmtId="0" fontId="1" fillId="13" borderId="0" applyNumberFormat="0" applyBorder="0" applyAlignment="0" applyProtection="0"/>
    <xf numFmtId="0" fontId="1" fillId="13" borderId="0" applyNumberFormat="0" applyBorder="0" applyAlignment="0" applyProtection="0"/>
    <xf numFmtId="0" fontId="1" fillId="7" borderId="0" applyNumberFormat="0" applyBorder="0" applyAlignment="0" applyProtection="0"/>
    <xf numFmtId="0" fontId="1" fillId="13" borderId="0" applyNumberFormat="0" applyBorder="0" applyAlignment="0" applyProtection="0"/>
    <xf numFmtId="0" fontId="1" fillId="13" borderId="0" applyNumberFormat="0" applyBorder="0" applyAlignment="0" applyProtection="0"/>
    <xf numFmtId="0" fontId="1" fillId="7" borderId="0" applyNumberFormat="0" applyBorder="0" applyAlignment="0" applyProtection="0"/>
    <xf numFmtId="0" fontId="1" fillId="13" borderId="0" applyNumberFormat="0" applyBorder="0" applyAlignment="0" applyProtection="0"/>
    <xf numFmtId="0" fontId="1" fillId="13" borderId="0" applyNumberFormat="0" applyBorder="0" applyAlignment="0" applyProtection="0"/>
    <xf numFmtId="0" fontId="1" fillId="7" borderId="0" applyNumberFormat="0" applyBorder="0" applyAlignment="0" applyProtection="0"/>
    <xf numFmtId="0" fontId="1" fillId="13" borderId="0" applyNumberFormat="0" applyBorder="0" applyAlignment="0" applyProtection="0"/>
    <xf numFmtId="0" fontId="1" fillId="13" borderId="0" applyNumberFormat="0" applyBorder="0" applyAlignment="0" applyProtection="0"/>
    <xf numFmtId="0" fontId="1" fillId="3" borderId="0" applyNumberFormat="0" applyBorder="0" applyAlignment="0" applyProtection="0"/>
    <xf numFmtId="0" fontId="1" fillId="5" borderId="0" applyNumberFormat="0" applyBorder="0" applyAlignment="0" applyProtection="0"/>
    <xf numFmtId="0" fontId="1" fillId="11" borderId="0" applyNumberFormat="0" applyBorder="0" applyAlignment="0" applyProtection="0"/>
    <xf numFmtId="0" fontId="1" fillId="8" borderId="0" applyNumberFormat="0" applyBorder="0" applyAlignment="0" applyProtection="0"/>
    <xf numFmtId="0" fontId="1" fillId="3" borderId="0" applyNumberFormat="0" applyBorder="0" applyAlignment="0" applyProtection="0"/>
    <xf numFmtId="0" fontId="1" fillId="13" borderId="0" applyNumberFormat="0" applyBorder="0" applyAlignment="0" applyProtection="0"/>
    <xf numFmtId="0" fontId="4" fillId="0" borderId="0" applyNumberFormat="0" applyFont="0" applyFill="0" applyBorder="0" applyProtection="0">
      <alignment horizontal="left" vertical="center" indent="5"/>
    </xf>
    <xf numFmtId="49" fontId="22" fillId="0" borderId="2" applyNumberFormat="0" applyFont="0" applyFill="0" applyBorder="0" applyProtection="0">
      <alignment horizontal="left" vertical="center" indent="5"/>
    </xf>
    <xf numFmtId="0" fontId="4" fillId="0" borderId="0" applyNumberFormat="0" applyFont="0" applyFill="0" applyBorder="0" applyProtection="0">
      <alignment horizontal="left" vertical="center" indent="5"/>
    </xf>
    <xf numFmtId="0" fontId="57" fillId="47" borderId="0" applyNumberFormat="0" applyBorder="0" applyAlignment="0" applyProtection="0"/>
    <xf numFmtId="0" fontId="5" fillId="14" borderId="0" applyNumberFormat="0" applyBorder="0" applyAlignment="0" applyProtection="0"/>
    <xf numFmtId="0" fontId="5" fillId="14" borderId="0" applyNumberFormat="0" applyBorder="0" applyAlignment="0" applyProtection="0"/>
    <xf numFmtId="0" fontId="5" fillId="14" borderId="0" applyNumberFormat="0" applyBorder="0" applyAlignment="0" applyProtection="0"/>
    <xf numFmtId="0" fontId="5" fillId="14" borderId="0" applyNumberFormat="0" applyBorder="0" applyAlignment="0" applyProtection="0"/>
    <xf numFmtId="0" fontId="5" fillId="14" borderId="0" applyNumberFormat="0" applyBorder="0" applyAlignment="0" applyProtection="0"/>
    <xf numFmtId="0" fontId="5" fillId="14" borderId="0" applyNumberFormat="0" applyBorder="0" applyAlignment="0" applyProtection="0"/>
    <xf numFmtId="0" fontId="5" fillId="14" borderId="0" applyNumberFormat="0" applyBorder="0" applyAlignment="0" applyProtection="0"/>
    <xf numFmtId="0" fontId="5" fillId="14" borderId="0" applyNumberFormat="0" applyBorder="0" applyAlignment="0" applyProtection="0"/>
    <xf numFmtId="0" fontId="5" fillId="14" borderId="0" applyNumberFormat="0" applyBorder="0" applyAlignment="0" applyProtection="0"/>
    <xf numFmtId="0" fontId="5" fillId="14" borderId="0" applyNumberFormat="0" applyBorder="0" applyAlignment="0" applyProtection="0"/>
    <xf numFmtId="0" fontId="5" fillId="14" borderId="0" applyNumberFormat="0" applyBorder="0" applyAlignment="0" applyProtection="0"/>
    <xf numFmtId="0" fontId="5" fillId="10" borderId="0" applyNumberFormat="0" applyBorder="0" applyAlignment="0" applyProtection="0"/>
    <xf numFmtId="0" fontId="5" fillId="10" borderId="0" applyNumberFormat="0" applyBorder="0" applyAlignment="0" applyProtection="0"/>
    <xf numFmtId="0" fontId="5" fillId="14" borderId="0" applyNumberFormat="0" applyBorder="0" applyAlignment="0" applyProtection="0"/>
    <xf numFmtId="0" fontId="5" fillId="10" borderId="0" applyNumberFormat="0" applyBorder="0" applyAlignment="0" applyProtection="0"/>
    <xf numFmtId="0" fontId="5" fillId="10" borderId="0" applyNumberFormat="0" applyBorder="0" applyAlignment="0" applyProtection="0"/>
    <xf numFmtId="0" fontId="5" fillId="10" borderId="0" applyNumberFormat="0" applyBorder="0" applyAlignment="0" applyProtection="0"/>
    <xf numFmtId="0" fontId="5" fillId="10" borderId="0" applyNumberFormat="0" applyBorder="0" applyAlignment="0" applyProtection="0"/>
    <xf numFmtId="0" fontId="5" fillId="10" borderId="0" applyNumberFormat="0" applyBorder="0" applyAlignment="0" applyProtection="0"/>
    <xf numFmtId="0" fontId="5" fillId="10" borderId="0" applyNumberFormat="0" applyBorder="0" applyAlignment="0" applyProtection="0"/>
    <xf numFmtId="0" fontId="5" fillId="10" borderId="0" applyNumberFormat="0" applyBorder="0" applyAlignment="0" applyProtection="0"/>
    <xf numFmtId="0" fontId="5" fillId="14" borderId="0" applyNumberFormat="0" applyBorder="0" applyAlignment="0" applyProtection="0"/>
    <xf numFmtId="0" fontId="5" fillId="14" borderId="0" applyNumberFormat="0" applyBorder="0" applyAlignment="0" applyProtection="0"/>
    <xf numFmtId="0" fontId="5" fillId="14" borderId="0" applyNumberFormat="0" applyBorder="0" applyAlignment="0" applyProtection="0"/>
    <xf numFmtId="0" fontId="5" fillId="14" borderId="0" applyNumberFormat="0" applyBorder="0" applyAlignment="0" applyProtection="0"/>
    <xf numFmtId="0" fontId="5" fillId="14" borderId="0" applyNumberFormat="0" applyBorder="0" applyAlignment="0" applyProtection="0"/>
    <xf numFmtId="0" fontId="5" fillId="14" borderId="0" applyNumberFormat="0" applyBorder="0" applyAlignment="0" applyProtection="0"/>
    <xf numFmtId="0" fontId="5" fillId="14" borderId="0" applyNumberFormat="0" applyBorder="0" applyAlignment="0" applyProtection="0"/>
    <xf numFmtId="0" fontId="5" fillId="14" borderId="0" applyNumberFormat="0" applyBorder="0" applyAlignment="0" applyProtection="0"/>
    <xf numFmtId="0" fontId="5" fillId="14" borderId="0" applyNumberFormat="0" applyBorder="0" applyAlignment="0" applyProtection="0"/>
    <xf numFmtId="0" fontId="5" fillId="14" borderId="0" applyNumberFormat="0" applyBorder="0" applyAlignment="0" applyProtection="0"/>
    <xf numFmtId="0" fontId="5" fillId="14" borderId="0" applyNumberFormat="0" applyBorder="0" applyAlignment="0" applyProtection="0"/>
    <xf numFmtId="0" fontId="5" fillId="14" borderId="0" applyNumberFormat="0" applyBorder="0" applyAlignment="0" applyProtection="0"/>
    <xf numFmtId="0" fontId="5" fillId="10" borderId="0" applyNumberFormat="0" applyBorder="0" applyAlignment="0" applyProtection="0"/>
    <xf numFmtId="0" fontId="5" fillId="14" borderId="0" applyNumberFormat="0" applyBorder="0" applyAlignment="0" applyProtection="0"/>
    <xf numFmtId="0" fontId="5" fillId="14" borderId="0" applyNumberFormat="0" applyBorder="0" applyAlignment="0" applyProtection="0"/>
    <xf numFmtId="0" fontId="5" fillId="14" borderId="0" applyNumberFormat="0" applyBorder="0" applyAlignment="0" applyProtection="0"/>
    <xf numFmtId="0" fontId="5" fillId="14" borderId="0" applyNumberFormat="0" applyBorder="0" applyAlignment="0" applyProtection="0"/>
    <xf numFmtId="0" fontId="5" fillId="14" borderId="0" applyNumberFormat="0" applyBorder="0" applyAlignment="0" applyProtection="0"/>
    <xf numFmtId="0" fontId="5" fillId="14" borderId="0" applyNumberFormat="0" applyBorder="0" applyAlignment="0" applyProtection="0"/>
    <xf numFmtId="0" fontId="5" fillId="14" borderId="0" applyNumberFormat="0" applyBorder="0" applyAlignment="0" applyProtection="0"/>
    <xf numFmtId="0" fontId="5" fillId="14" borderId="0" applyNumberFormat="0" applyBorder="0" applyAlignment="0" applyProtection="0"/>
    <xf numFmtId="0" fontId="5" fillId="14" borderId="0" applyNumberFormat="0" applyBorder="0" applyAlignment="0" applyProtection="0"/>
    <xf numFmtId="0" fontId="5" fillId="14" borderId="0" applyNumberFormat="0" applyBorder="0" applyAlignment="0" applyProtection="0"/>
    <xf numFmtId="0" fontId="5" fillId="14" borderId="0" applyNumberFormat="0" applyBorder="0" applyAlignment="0" applyProtection="0"/>
    <xf numFmtId="0" fontId="5" fillId="14" borderId="0" applyNumberFormat="0" applyBorder="0" applyAlignment="0" applyProtection="0"/>
    <xf numFmtId="0" fontId="5" fillId="14" borderId="0" applyNumberFormat="0" applyBorder="0" applyAlignment="0" applyProtection="0"/>
    <xf numFmtId="0" fontId="5" fillId="14" borderId="0" applyNumberFormat="0" applyBorder="0" applyAlignment="0" applyProtection="0"/>
    <xf numFmtId="0" fontId="5" fillId="14" borderId="0" applyNumberFormat="0" applyBorder="0" applyAlignment="0" applyProtection="0"/>
    <xf numFmtId="0" fontId="5" fillId="14" borderId="0" applyNumberFormat="0" applyBorder="0" applyAlignment="0" applyProtection="0"/>
    <xf numFmtId="0" fontId="5" fillId="14" borderId="0" applyNumberFormat="0" applyBorder="0" applyAlignment="0" applyProtection="0"/>
    <xf numFmtId="0" fontId="5" fillId="14" borderId="0" applyNumberFormat="0" applyBorder="0" applyAlignment="0" applyProtection="0"/>
    <xf numFmtId="0" fontId="5" fillId="14" borderId="0" applyNumberFormat="0" applyBorder="0" applyAlignment="0" applyProtection="0"/>
    <xf numFmtId="0" fontId="5" fillId="14" borderId="0" applyNumberFormat="0" applyBorder="0" applyAlignment="0" applyProtection="0"/>
    <xf numFmtId="0" fontId="5" fillId="14" borderId="0" applyNumberFormat="0" applyBorder="0" applyAlignment="0" applyProtection="0"/>
    <xf numFmtId="0" fontId="57" fillId="48" borderId="0" applyNumberFormat="0" applyBorder="0" applyAlignment="0" applyProtection="0"/>
    <xf numFmtId="0" fontId="5" fillId="5" borderId="0" applyNumberFormat="0" applyBorder="0" applyAlignment="0" applyProtection="0"/>
    <xf numFmtId="0" fontId="5" fillId="5" borderId="0" applyNumberFormat="0" applyBorder="0" applyAlignment="0" applyProtection="0"/>
    <xf numFmtId="0" fontId="5" fillId="5" borderId="0" applyNumberFormat="0" applyBorder="0" applyAlignment="0" applyProtection="0"/>
    <xf numFmtId="0" fontId="5" fillId="5" borderId="0" applyNumberFormat="0" applyBorder="0" applyAlignment="0" applyProtection="0"/>
    <xf numFmtId="0" fontId="5" fillId="5" borderId="0" applyNumberFormat="0" applyBorder="0" applyAlignment="0" applyProtection="0"/>
    <xf numFmtId="0" fontId="5" fillId="5" borderId="0" applyNumberFormat="0" applyBorder="0" applyAlignment="0" applyProtection="0"/>
    <xf numFmtId="0" fontId="5" fillId="5" borderId="0" applyNumberFormat="0" applyBorder="0" applyAlignment="0" applyProtection="0"/>
    <xf numFmtId="0" fontId="5" fillId="5" borderId="0" applyNumberFormat="0" applyBorder="0" applyAlignment="0" applyProtection="0"/>
    <xf numFmtId="0" fontId="5" fillId="5" borderId="0" applyNumberFormat="0" applyBorder="0" applyAlignment="0" applyProtection="0"/>
    <xf numFmtId="0" fontId="5" fillId="5" borderId="0" applyNumberFormat="0" applyBorder="0" applyAlignment="0" applyProtection="0"/>
    <xf numFmtId="0" fontId="5" fillId="5" borderId="0" applyNumberFormat="0" applyBorder="0" applyAlignment="0" applyProtection="0"/>
    <xf numFmtId="0" fontId="5" fillId="15" borderId="0" applyNumberFormat="0" applyBorder="0" applyAlignment="0" applyProtection="0"/>
    <xf numFmtId="0" fontId="5" fillId="15" borderId="0" applyNumberFormat="0" applyBorder="0" applyAlignment="0" applyProtection="0"/>
    <xf numFmtId="0" fontId="5" fillId="5" borderId="0" applyNumberFormat="0" applyBorder="0" applyAlignment="0" applyProtection="0"/>
    <xf numFmtId="0" fontId="5" fillId="15" borderId="0" applyNumberFormat="0" applyBorder="0" applyAlignment="0" applyProtection="0"/>
    <xf numFmtId="0" fontId="5" fillId="15" borderId="0" applyNumberFormat="0" applyBorder="0" applyAlignment="0" applyProtection="0"/>
    <xf numFmtId="0" fontId="5" fillId="15" borderId="0" applyNumberFormat="0" applyBorder="0" applyAlignment="0" applyProtection="0"/>
    <xf numFmtId="0" fontId="5" fillId="15" borderId="0" applyNumberFormat="0" applyBorder="0" applyAlignment="0" applyProtection="0"/>
    <xf numFmtId="0" fontId="5" fillId="15" borderId="0" applyNumberFormat="0" applyBorder="0" applyAlignment="0" applyProtection="0"/>
    <xf numFmtId="0" fontId="5" fillId="15" borderId="0" applyNumberFormat="0" applyBorder="0" applyAlignment="0" applyProtection="0"/>
    <xf numFmtId="0" fontId="5" fillId="15" borderId="0" applyNumberFormat="0" applyBorder="0" applyAlignment="0" applyProtection="0"/>
    <xf numFmtId="0" fontId="5" fillId="5" borderId="0" applyNumberFormat="0" applyBorder="0" applyAlignment="0" applyProtection="0"/>
    <xf numFmtId="0" fontId="5" fillId="5" borderId="0" applyNumberFormat="0" applyBorder="0" applyAlignment="0" applyProtection="0"/>
    <xf numFmtId="0" fontId="5" fillId="5" borderId="0" applyNumberFormat="0" applyBorder="0" applyAlignment="0" applyProtection="0"/>
    <xf numFmtId="0" fontId="5" fillId="5" borderId="0" applyNumberFormat="0" applyBorder="0" applyAlignment="0" applyProtection="0"/>
    <xf numFmtId="0" fontId="5" fillId="5" borderId="0" applyNumberFormat="0" applyBorder="0" applyAlignment="0" applyProtection="0"/>
    <xf numFmtId="0" fontId="5" fillId="5" borderId="0" applyNumberFormat="0" applyBorder="0" applyAlignment="0" applyProtection="0"/>
    <xf numFmtId="0" fontId="5" fillId="5" borderId="0" applyNumberFormat="0" applyBorder="0" applyAlignment="0" applyProtection="0"/>
    <xf numFmtId="0" fontId="5" fillId="5" borderId="0" applyNumberFormat="0" applyBorder="0" applyAlignment="0" applyProtection="0"/>
    <xf numFmtId="0" fontId="5" fillId="5" borderId="0" applyNumberFormat="0" applyBorder="0" applyAlignment="0" applyProtection="0"/>
    <xf numFmtId="0" fontId="5" fillId="5" borderId="0" applyNumberFormat="0" applyBorder="0" applyAlignment="0" applyProtection="0"/>
    <xf numFmtId="0" fontId="5" fillId="5" borderId="0" applyNumberFormat="0" applyBorder="0" applyAlignment="0" applyProtection="0"/>
    <xf numFmtId="0" fontId="5" fillId="5" borderId="0" applyNumberFormat="0" applyBorder="0" applyAlignment="0" applyProtection="0"/>
    <xf numFmtId="0" fontId="5" fillId="15" borderId="0" applyNumberFormat="0" applyBorder="0" applyAlignment="0" applyProtection="0"/>
    <xf numFmtId="0" fontId="5" fillId="5" borderId="0" applyNumberFormat="0" applyBorder="0" applyAlignment="0" applyProtection="0"/>
    <xf numFmtId="0" fontId="5" fillId="5" borderId="0" applyNumberFormat="0" applyBorder="0" applyAlignment="0" applyProtection="0"/>
    <xf numFmtId="0" fontId="5" fillId="5" borderId="0" applyNumberFormat="0" applyBorder="0" applyAlignment="0" applyProtection="0"/>
    <xf numFmtId="0" fontId="5" fillId="5" borderId="0" applyNumberFormat="0" applyBorder="0" applyAlignment="0" applyProtection="0"/>
    <xf numFmtId="0" fontId="5" fillId="5" borderId="0" applyNumberFormat="0" applyBorder="0" applyAlignment="0" applyProtection="0"/>
    <xf numFmtId="0" fontId="5" fillId="5" borderId="0" applyNumberFormat="0" applyBorder="0" applyAlignment="0" applyProtection="0"/>
    <xf numFmtId="0" fontId="5" fillId="5" borderId="0" applyNumberFormat="0" applyBorder="0" applyAlignment="0" applyProtection="0"/>
    <xf numFmtId="0" fontId="5" fillId="5" borderId="0" applyNumberFormat="0" applyBorder="0" applyAlignment="0" applyProtection="0"/>
    <xf numFmtId="0" fontId="5" fillId="5" borderId="0" applyNumberFormat="0" applyBorder="0" applyAlignment="0" applyProtection="0"/>
    <xf numFmtId="0" fontId="5" fillId="5" borderId="0" applyNumberFormat="0" applyBorder="0" applyAlignment="0" applyProtection="0"/>
    <xf numFmtId="0" fontId="5" fillId="5" borderId="0" applyNumberFormat="0" applyBorder="0" applyAlignment="0" applyProtection="0"/>
    <xf numFmtId="0" fontId="5" fillId="5" borderId="0" applyNumberFormat="0" applyBorder="0" applyAlignment="0" applyProtection="0"/>
    <xf numFmtId="0" fontId="5" fillId="5" borderId="0" applyNumberFormat="0" applyBorder="0" applyAlignment="0" applyProtection="0"/>
    <xf numFmtId="0" fontId="5" fillId="5" borderId="0" applyNumberFormat="0" applyBorder="0" applyAlignment="0" applyProtection="0"/>
    <xf numFmtId="0" fontId="5" fillId="5" borderId="0" applyNumberFormat="0" applyBorder="0" applyAlignment="0" applyProtection="0"/>
    <xf numFmtId="0" fontId="5" fillId="5" borderId="0" applyNumberFormat="0" applyBorder="0" applyAlignment="0" applyProtection="0"/>
    <xf numFmtId="0" fontId="5" fillId="5" borderId="0" applyNumberFormat="0" applyBorder="0" applyAlignment="0" applyProtection="0"/>
    <xf numFmtId="0" fontId="5" fillId="5" borderId="0" applyNumberFormat="0" applyBorder="0" applyAlignment="0" applyProtection="0"/>
    <xf numFmtId="0" fontId="5" fillId="5" borderId="0" applyNumberFormat="0" applyBorder="0" applyAlignment="0" applyProtection="0"/>
    <xf numFmtId="0" fontId="5" fillId="5" borderId="0" applyNumberFormat="0" applyBorder="0" applyAlignment="0" applyProtection="0"/>
    <xf numFmtId="0" fontId="5" fillId="5" borderId="0" applyNumberFormat="0" applyBorder="0" applyAlignment="0" applyProtection="0"/>
    <xf numFmtId="0" fontId="57" fillId="49" borderId="0" applyNumberFormat="0" applyBorder="0" applyAlignment="0" applyProtection="0"/>
    <xf numFmtId="0" fontId="5" fillId="11" borderId="0" applyNumberFormat="0" applyBorder="0" applyAlignment="0" applyProtection="0"/>
    <xf numFmtId="0" fontId="5" fillId="11" borderId="0" applyNumberFormat="0" applyBorder="0" applyAlignment="0" applyProtection="0"/>
    <xf numFmtId="0" fontId="5" fillId="11" borderId="0" applyNumberFormat="0" applyBorder="0" applyAlignment="0" applyProtection="0"/>
    <xf numFmtId="0" fontId="5" fillId="11" borderId="0" applyNumberFormat="0" applyBorder="0" applyAlignment="0" applyProtection="0"/>
    <xf numFmtId="0" fontId="5" fillId="11" borderId="0" applyNumberFormat="0" applyBorder="0" applyAlignment="0" applyProtection="0"/>
    <xf numFmtId="0" fontId="5" fillId="11" borderId="0" applyNumberFormat="0" applyBorder="0" applyAlignment="0" applyProtection="0"/>
    <xf numFmtId="0" fontId="5" fillId="11" borderId="0" applyNumberFormat="0" applyBorder="0" applyAlignment="0" applyProtection="0"/>
    <xf numFmtId="0" fontId="5" fillId="11" borderId="0" applyNumberFormat="0" applyBorder="0" applyAlignment="0" applyProtection="0"/>
    <xf numFmtId="0" fontId="5" fillId="11" borderId="0" applyNumberFormat="0" applyBorder="0" applyAlignment="0" applyProtection="0"/>
    <xf numFmtId="0" fontId="5" fillId="11" borderId="0" applyNumberFormat="0" applyBorder="0" applyAlignment="0" applyProtection="0"/>
    <xf numFmtId="0" fontId="5" fillId="11" borderId="0" applyNumberFormat="0" applyBorder="0" applyAlignment="0" applyProtection="0"/>
    <xf numFmtId="0" fontId="5" fillId="13" borderId="0" applyNumberFormat="0" applyBorder="0" applyAlignment="0" applyProtection="0"/>
    <xf numFmtId="0" fontId="5" fillId="13" borderId="0" applyNumberFormat="0" applyBorder="0" applyAlignment="0" applyProtection="0"/>
    <xf numFmtId="0" fontId="5" fillId="11" borderId="0" applyNumberFormat="0" applyBorder="0" applyAlignment="0" applyProtection="0"/>
    <xf numFmtId="0" fontId="5" fillId="13" borderId="0" applyNumberFormat="0" applyBorder="0" applyAlignment="0" applyProtection="0"/>
    <xf numFmtId="0" fontId="5" fillId="13" borderId="0" applyNumberFormat="0" applyBorder="0" applyAlignment="0" applyProtection="0"/>
    <xf numFmtId="0" fontId="5" fillId="13" borderId="0" applyNumberFormat="0" applyBorder="0" applyAlignment="0" applyProtection="0"/>
    <xf numFmtId="0" fontId="5" fillId="13" borderId="0" applyNumberFormat="0" applyBorder="0" applyAlignment="0" applyProtection="0"/>
    <xf numFmtId="0" fontId="5" fillId="13" borderId="0" applyNumberFormat="0" applyBorder="0" applyAlignment="0" applyProtection="0"/>
    <xf numFmtId="0" fontId="5" fillId="13" borderId="0" applyNumberFormat="0" applyBorder="0" applyAlignment="0" applyProtection="0"/>
    <xf numFmtId="0" fontId="5" fillId="13" borderId="0" applyNumberFormat="0" applyBorder="0" applyAlignment="0" applyProtection="0"/>
    <xf numFmtId="0" fontId="5" fillId="11" borderId="0" applyNumberFormat="0" applyBorder="0" applyAlignment="0" applyProtection="0"/>
    <xf numFmtId="0" fontId="5" fillId="11" borderId="0" applyNumberFormat="0" applyBorder="0" applyAlignment="0" applyProtection="0"/>
    <xf numFmtId="0" fontId="5" fillId="11" borderId="0" applyNumberFormat="0" applyBorder="0" applyAlignment="0" applyProtection="0"/>
    <xf numFmtId="0" fontId="5" fillId="11" borderId="0" applyNumberFormat="0" applyBorder="0" applyAlignment="0" applyProtection="0"/>
    <xf numFmtId="0" fontId="5" fillId="11" borderId="0" applyNumberFormat="0" applyBorder="0" applyAlignment="0" applyProtection="0"/>
    <xf numFmtId="0" fontId="5" fillId="11" borderId="0" applyNumberFormat="0" applyBorder="0" applyAlignment="0" applyProtection="0"/>
    <xf numFmtId="0" fontId="5" fillId="11" borderId="0" applyNumberFormat="0" applyBorder="0" applyAlignment="0" applyProtection="0"/>
    <xf numFmtId="0" fontId="5" fillId="11" borderId="0" applyNumberFormat="0" applyBorder="0" applyAlignment="0" applyProtection="0"/>
    <xf numFmtId="0" fontId="5" fillId="11" borderId="0" applyNumberFormat="0" applyBorder="0" applyAlignment="0" applyProtection="0"/>
    <xf numFmtId="0" fontId="5" fillId="11" borderId="0" applyNumberFormat="0" applyBorder="0" applyAlignment="0" applyProtection="0"/>
    <xf numFmtId="0" fontId="5" fillId="11" borderId="0" applyNumberFormat="0" applyBorder="0" applyAlignment="0" applyProtection="0"/>
    <xf numFmtId="0" fontId="5" fillId="11" borderId="0" applyNumberFormat="0" applyBorder="0" applyAlignment="0" applyProtection="0"/>
    <xf numFmtId="0" fontId="5" fillId="13" borderId="0" applyNumberFormat="0" applyBorder="0" applyAlignment="0" applyProtection="0"/>
    <xf numFmtId="0" fontId="5" fillId="11" borderId="0" applyNumberFormat="0" applyBorder="0" applyAlignment="0" applyProtection="0"/>
    <xf numFmtId="0" fontId="5" fillId="11" borderId="0" applyNumberFormat="0" applyBorder="0" applyAlignment="0" applyProtection="0"/>
    <xf numFmtId="0" fontId="5" fillId="11" borderId="0" applyNumberFormat="0" applyBorder="0" applyAlignment="0" applyProtection="0"/>
    <xf numFmtId="0" fontId="5" fillId="11" borderId="0" applyNumberFormat="0" applyBorder="0" applyAlignment="0" applyProtection="0"/>
    <xf numFmtId="0" fontId="5" fillId="11" borderId="0" applyNumberFormat="0" applyBorder="0" applyAlignment="0" applyProtection="0"/>
    <xf numFmtId="0" fontId="5" fillId="11" borderId="0" applyNumberFormat="0" applyBorder="0" applyAlignment="0" applyProtection="0"/>
    <xf numFmtId="0" fontId="5" fillId="11" borderId="0" applyNumberFormat="0" applyBorder="0" applyAlignment="0" applyProtection="0"/>
    <xf numFmtId="0" fontId="5" fillId="11" borderId="0" applyNumberFormat="0" applyBorder="0" applyAlignment="0" applyProtection="0"/>
    <xf numFmtId="0" fontId="5" fillId="11" borderId="0" applyNumberFormat="0" applyBorder="0" applyAlignment="0" applyProtection="0"/>
    <xf numFmtId="0" fontId="5" fillId="11" borderId="0" applyNumberFormat="0" applyBorder="0" applyAlignment="0" applyProtection="0"/>
    <xf numFmtId="0" fontId="5" fillId="11" borderId="0" applyNumberFormat="0" applyBorder="0" applyAlignment="0" applyProtection="0"/>
    <xf numFmtId="0" fontId="5" fillId="11" borderId="0" applyNumberFormat="0" applyBorder="0" applyAlignment="0" applyProtection="0"/>
    <xf numFmtId="0" fontId="5" fillId="11" borderId="0" applyNumberFormat="0" applyBorder="0" applyAlignment="0" applyProtection="0"/>
    <xf numFmtId="0" fontId="5" fillId="11" borderId="0" applyNumberFormat="0" applyBorder="0" applyAlignment="0" applyProtection="0"/>
    <xf numFmtId="0" fontId="5" fillId="11" borderId="0" applyNumberFormat="0" applyBorder="0" applyAlignment="0" applyProtection="0"/>
    <xf numFmtId="0" fontId="5" fillId="11" borderId="0" applyNumberFormat="0" applyBorder="0" applyAlignment="0" applyProtection="0"/>
    <xf numFmtId="0" fontId="5" fillId="11" borderId="0" applyNumberFormat="0" applyBorder="0" applyAlignment="0" applyProtection="0"/>
    <xf numFmtId="0" fontId="5" fillId="11" borderId="0" applyNumberFormat="0" applyBorder="0" applyAlignment="0" applyProtection="0"/>
    <xf numFmtId="0" fontId="5" fillId="11" borderId="0" applyNumberFormat="0" applyBorder="0" applyAlignment="0" applyProtection="0"/>
    <xf numFmtId="0" fontId="5" fillId="11" borderId="0" applyNumberFormat="0" applyBorder="0" applyAlignment="0" applyProtection="0"/>
    <xf numFmtId="0" fontId="5" fillId="11" borderId="0" applyNumberFormat="0" applyBorder="0" applyAlignment="0" applyProtection="0"/>
    <xf numFmtId="0" fontId="57" fillId="50" borderId="0" applyNumberFormat="0" applyBorder="0" applyAlignment="0" applyProtection="0"/>
    <xf numFmtId="0" fontId="5" fillId="16" borderId="0" applyNumberFormat="0" applyBorder="0" applyAlignment="0" applyProtection="0"/>
    <xf numFmtId="0" fontId="5" fillId="16" borderId="0" applyNumberFormat="0" applyBorder="0" applyAlignment="0" applyProtection="0"/>
    <xf numFmtId="0" fontId="5" fillId="16" borderId="0" applyNumberFormat="0" applyBorder="0" applyAlignment="0" applyProtection="0"/>
    <xf numFmtId="0" fontId="5" fillId="16" borderId="0" applyNumberFormat="0" applyBorder="0" applyAlignment="0" applyProtection="0"/>
    <xf numFmtId="0" fontId="5" fillId="16" borderId="0" applyNumberFormat="0" applyBorder="0" applyAlignment="0" applyProtection="0"/>
    <xf numFmtId="0" fontId="5" fillId="16" borderId="0" applyNumberFormat="0" applyBorder="0" applyAlignment="0" applyProtection="0"/>
    <xf numFmtId="0" fontId="5" fillId="16" borderId="0" applyNumberFormat="0" applyBorder="0" applyAlignment="0" applyProtection="0"/>
    <xf numFmtId="0" fontId="5" fillId="16" borderId="0" applyNumberFormat="0" applyBorder="0" applyAlignment="0" applyProtection="0"/>
    <xf numFmtId="0" fontId="5" fillId="16" borderId="0" applyNumberFormat="0" applyBorder="0" applyAlignment="0" applyProtection="0"/>
    <xf numFmtId="0" fontId="5" fillId="16" borderId="0" applyNumberFormat="0" applyBorder="0" applyAlignment="0" applyProtection="0"/>
    <xf numFmtId="0" fontId="5" fillId="16" borderId="0" applyNumberFormat="0" applyBorder="0" applyAlignment="0" applyProtection="0"/>
    <xf numFmtId="0" fontId="5" fillId="4" borderId="0" applyNumberFormat="0" applyBorder="0" applyAlignment="0" applyProtection="0"/>
    <xf numFmtId="0" fontId="5" fillId="4" borderId="0" applyNumberFormat="0" applyBorder="0" applyAlignment="0" applyProtection="0"/>
    <xf numFmtId="0" fontId="5" fillId="16" borderId="0" applyNumberFormat="0" applyBorder="0" applyAlignment="0" applyProtection="0"/>
    <xf numFmtId="0" fontId="5" fillId="4" borderId="0" applyNumberFormat="0" applyBorder="0" applyAlignment="0" applyProtection="0"/>
    <xf numFmtId="0" fontId="5" fillId="4" borderId="0" applyNumberFormat="0" applyBorder="0" applyAlignment="0" applyProtection="0"/>
    <xf numFmtId="0" fontId="5" fillId="4" borderId="0" applyNumberFormat="0" applyBorder="0" applyAlignment="0" applyProtection="0"/>
    <xf numFmtId="0" fontId="5" fillId="4" borderId="0" applyNumberFormat="0" applyBorder="0" applyAlignment="0" applyProtection="0"/>
    <xf numFmtId="0" fontId="5" fillId="4" borderId="0" applyNumberFormat="0" applyBorder="0" applyAlignment="0" applyProtection="0"/>
    <xf numFmtId="0" fontId="5" fillId="4" borderId="0" applyNumberFormat="0" applyBorder="0" applyAlignment="0" applyProtection="0"/>
    <xf numFmtId="0" fontId="5" fillId="4" borderId="0" applyNumberFormat="0" applyBorder="0" applyAlignment="0" applyProtection="0"/>
    <xf numFmtId="0" fontId="5" fillId="16" borderId="0" applyNumberFormat="0" applyBorder="0" applyAlignment="0" applyProtection="0"/>
    <xf numFmtId="0" fontId="5" fillId="16" borderId="0" applyNumberFormat="0" applyBorder="0" applyAlignment="0" applyProtection="0"/>
    <xf numFmtId="0" fontId="5" fillId="16" borderId="0" applyNumberFormat="0" applyBorder="0" applyAlignment="0" applyProtection="0"/>
    <xf numFmtId="0" fontId="5" fillId="16" borderId="0" applyNumberFormat="0" applyBorder="0" applyAlignment="0" applyProtection="0"/>
    <xf numFmtId="0" fontId="5" fillId="16" borderId="0" applyNumberFormat="0" applyBorder="0" applyAlignment="0" applyProtection="0"/>
    <xf numFmtId="0" fontId="5" fillId="16" borderId="0" applyNumberFormat="0" applyBorder="0" applyAlignment="0" applyProtection="0"/>
    <xf numFmtId="0" fontId="5" fillId="16" borderId="0" applyNumberFormat="0" applyBorder="0" applyAlignment="0" applyProtection="0"/>
    <xf numFmtId="0" fontId="5" fillId="16" borderId="0" applyNumberFormat="0" applyBorder="0" applyAlignment="0" applyProtection="0"/>
    <xf numFmtId="0" fontId="5" fillId="16" borderId="0" applyNumberFormat="0" applyBorder="0" applyAlignment="0" applyProtection="0"/>
    <xf numFmtId="0" fontId="5" fillId="16" borderId="0" applyNumberFormat="0" applyBorder="0" applyAlignment="0" applyProtection="0"/>
    <xf numFmtId="0" fontId="5" fillId="16" borderId="0" applyNumberFormat="0" applyBorder="0" applyAlignment="0" applyProtection="0"/>
    <xf numFmtId="0" fontId="5" fillId="16" borderId="0" applyNumberFormat="0" applyBorder="0" applyAlignment="0" applyProtection="0"/>
    <xf numFmtId="0" fontId="5" fillId="4" borderId="0" applyNumberFormat="0" applyBorder="0" applyAlignment="0" applyProtection="0"/>
    <xf numFmtId="0" fontId="5" fillId="16" borderId="0" applyNumberFormat="0" applyBorder="0" applyAlignment="0" applyProtection="0"/>
    <xf numFmtId="0" fontId="5" fillId="16" borderId="0" applyNumberFormat="0" applyBorder="0" applyAlignment="0" applyProtection="0"/>
    <xf numFmtId="0" fontId="5" fillId="16" borderId="0" applyNumberFormat="0" applyBorder="0" applyAlignment="0" applyProtection="0"/>
    <xf numFmtId="0" fontId="5" fillId="16" borderId="0" applyNumberFormat="0" applyBorder="0" applyAlignment="0" applyProtection="0"/>
    <xf numFmtId="0" fontId="5" fillId="16" borderId="0" applyNumberFormat="0" applyBorder="0" applyAlignment="0" applyProtection="0"/>
    <xf numFmtId="0" fontId="5" fillId="16" borderId="0" applyNumberFormat="0" applyBorder="0" applyAlignment="0" applyProtection="0"/>
    <xf numFmtId="0" fontId="5" fillId="16" borderId="0" applyNumberFormat="0" applyBorder="0" applyAlignment="0" applyProtection="0"/>
    <xf numFmtId="0" fontId="5" fillId="16" borderId="0" applyNumberFormat="0" applyBorder="0" applyAlignment="0" applyProtection="0"/>
    <xf numFmtId="0" fontId="5" fillId="16" borderId="0" applyNumberFormat="0" applyBorder="0" applyAlignment="0" applyProtection="0"/>
    <xf numFmtId="0" fontId="5" fillId="16" borderId="0" applyNumberFormat="0" applyBorder="0" applyAlignment="0" applyProtection="0"/>
    <xf numFmtId="0" fontId="5" fillId="16" borderId="0" applyNumberFormat="0" applyBorder="0" applyAlignment="0" applyProtection="0"/>
    <xf numFmtId="0" fontId="5" fillId="16" borderId="0" applyNumberFormat="0" applyBorder="0" applyAlignment="0" applyProtection="0"/>
    <xf numFmtId="0" fontId="5" fillId="16" borderId="0" applyNumberFormat="0" applyBorder="0" applyAlignment="0" applyProtection="0"/>
    <xf numFmtId="0" fontId="5" fillId="16" borderId="0" applyNumberFormat="0" applyBorder="0" applyAlignment="0" applyProtection="0"/>
    <xf numFmtId="0" fontId="5" fillId="16" borderId="0" applyNumberFormat="0" applyBorder="0" applyAlignment="0" applyProtection="0"/>
    <xf numFmtId="0" fontId="5" fillId="16" borderId="0" applyNumberFormat="0" applyBorder="0" applyAlignment="0" applyProtection="0"/>
    <xf numFmtId="0" fontId="5" fillId="16" borderId="0" applyNumberFormat="0" applyBorder="0" applyAlignment="0" applyProtection="0"/>
    <xf numFmtId="0" fontId="5" fillId="16" borderId="0" applyNumberFormat="0" applyBorder="0" applyAlignment="0" applyProtection="0"/>
    <xf numFmtId="0" fontId="5" fillId="16" borderId="0" applyNumberFormat="0" applyBorder="0" applyAlignment="0" applyProtection="0"/>
    <xf numFmtId="0" fontId="5" fillId="16" borderId="0" applyNumberFormat="0" applyBorder="0" applyAlignment="0" applyProtection="0"/>
    <xf numFmtId="0" fontId="5" fillId="16" borderId="0" applyNumberFormat="0" applyBorder="0" applyAlignment="0" applyProtection="0"/>
    <xf numFmtId="0" fontId="57" fillId="51" borderId="0" applyNumberFormat="0" applyBorder="0" applyAlignment="0" applyProtection="0"/>
    <xf numFmtId="0" fontId="5" fillId="17" borderId="0" applyNumberFormat="0" applyBorder="0" applyAlignment="0" applyProtection="0"/>
    <xf numFmtId="0" fontId="5" fillId="17" borderId="0" applyNumberFormat="0" applyBorder="0" applyAlignment="0" applyProtection="0"/>
    <xf numFmtId="0" fontId="5" fillId="17" borderId="0" applyNumberFormat="0" applyBorder="0" applyAlignment="0" applyProtection="0"/>
    <xf numFmtId="0" fontId="5" fillId="17" borderId="0" applyNumberFormat="0" applyBorder="0" applyAlignment="0" applyProtection="0"/>
    <xf numFmtId="0" fontId="5" fillId="17" borderId="0" applyNumberFormat="0" applyBorder="0" applyAlignment="0" applyProtection="0"/>
    <xf numFmtId="0" fontId="5" fillId="17" borderId="0" applyNumberFormat="0" applyBorder="0" applyAlignment="0" applyProtection="0"/>
    <xf numFmtId="0" fontId="5" fillId="17" borderId="0" applyNumberFormat="0" applyBorder="0" applyAlignment="0" applyProtection="0"/>
    <xf numFmtId="0" fontId="5" fillId="17" borderId="0" applyNumberFormat="0" applyBorder="0" applyAlignment="0" applyProtection="0"/>
    <xf numFmtId="0" fontId="5" fillId="17" borderId="0" applyNumberFormat="0" applyBorder="0" applyAlignment="0" applyProtection="0"/>
    <xf numFmtId="0" fontId="5" fillId="17" borderId="0" applyNumberFormat="0" applyBorder="0" applyAlignment="0" applyProtection="0"/>
    <xf numFmtId="0" fontId="5" fillId="17" borderId="0" applyNumberFormat="0" applyBorder="0" applyAlignment="0" applyProtection="0"/>
    <xf numFmtId="0" fontId="5" fillId="10" borderId="0" applyNumberFormat="0" applyBorder="0" applyAlignment="0" applyProtection="0"/>
    <xf numFmtId="0" fontId="5" fillId="10" borderId="0" applyNumberFormat="0" applyBorder="0" applyAlignment="0" applyProtection="0"/>
    <xf numFmtId="0" fontId="5" fillId="17" borderId="0" applyNumberFormat="0" applyBorder="0" applyAlignment="0" applyProtection="0"/>
    <xf numFmtId="0" fontId="5" fillId="10" borderId="0" applyNumberFormat="0" applyBorder="0" applyAlignment="0" applyProtection="0"/>
    <xf numFmtId="0" fontId="5" fillId="10" borderId="0" applyNumberFormat="0" applyBorder="0" applyAlignment="0" applyProtection="0"/>
    <xf numFmtId="0" fontId="5" fillId="10" borderId="0" applyNumberFormat="0" applyBorder="0" applyAlignment="0" applyProtection="0"/>
    <xf numFmtId="0" fontId="5" fillId="10" borderId="0" applyNumberFormat="0" applyBorder="0" applyAlignment="0" applyProtection="0"/>
    <xf numFmtId="0" fontId="5" fillId="10" borderId="0" applyNumberFormat="0" applyBorder="0" applyAlignment="0" applyProtection="0"/>
    <xf numFmtId="0" fontId="5" fillId="10" borderId="0" applyNumberFormat="0" applyBorder="0" applyAlignment="0" applyProtection="0"/>
    <xf numFmtId="0" fontId="5" fillId="10" borderId="0" applyNumberFormat="0" applyBorder="0" applyAlignment="0" applyProtection="0"/>
    <xf numFmtId="0" fontId="5" fillId="17" borderId="0" applyNumberFormat="0" applyBorder="0" applyAlignment="0" applyProtection="0"/>
    <xf numFmtId="0" fontId="5" fillId="17" borderId="0" applyNumberFormat="0" applyBorder="0" applyAlignment="0" applyProtection="0"/>
    <xf numFmtId="0" fontId="5" fillId="17" borderId="0" applyNumberFormat="0" applyBorder="0" applyAlignment="0" applyProtection="0"/>
    <xf numFmtId="0" fontId="5" fillId="17" borderId="0" applyNumberFormat="0" applyBorder="0" applyAlignment="0" applyProtection="0"/>
    <xf numFmtId="0" fontId="5" fillId="17" borderId="0" applyNumberFormat="0" applyBorder="0" applyAlignment="0" applyProtection="0"/>
    <xf numFmtId="0" fontId="5" fillId="17" borderId="0" applyNumberFormat="0" applyBorder="0" applyAlignment="0" applyProtection="0"/>
    <xf numFmtId="0" fontId="5" fillId="17" borderId="0" applyNumberFormat="0" applyBorder="0" applyAlignment="0" applyProtection="0"/>
    <xf numFmtId="0" fontId="5" fillId="17" borderId="0" applyNumberFormat="0" applyBorder="0" applyAlignment="0" applyProtection="0"/>
    <xf numFmtId="0" fontId="5" fillId="17" borderId="0" applyNumberFormat="0" applyBorder="0" applyAlignment="0" applyProtection="0"/>
    <xf numFmtId="0" fontId="5" fillId="17" borderId="0" applyNumberFormat="0" applyBorder="0" applyAlignment="0" applyProtection="0"/>
    <xf numFmtId="0" fontId="5" fillId="17" borderId="0" applyNumberFormat="0" applyBorder="0" applyAlignment="0" applyProtection="0"/>
    <xf numFmtId="0" fontId="5" fillId="17" borderId="0" applyNumberFormat="0" applyBorder="0" applyAlignment="0" applyProtection="0"/>
    <xf numFmtId="0" fontId="5" fillId="10" borderId="0" applyNumberFormat="0" applyBorder="0" applyAlignment="0" applyProtection="0"/>
    <xf numFmtId="0" fontId="5" fillId="17" borderId="0" applyNumberFormat="0" applyBorder="0" applyAlignment="0" applyProtection="0"/>
    <xf numFmtId="0" fontId="5" fillId="17" borderId="0" applyNumberFormat="0" applyBorder="0" applyAlignment="0" applyProtection="0"/>
    <xf numFmtId="0" fontId="5" fillId="17" borderId="0" applyNumberFormat="0" applyBorder="0" applyAlignment="0" applyProtection="0"/>
    <xf numFmtId="0" fontId="5" fillId="17" borderId="0" applyNumberFormat="0" applyBorder="0" applyAlignment="0" applyProtection="0"/>
    <xf numFmtId="0" fontId="5" fillId="17" borderId="0" applyNumberFormat="0" applyBorder="0" applyAlignment="0" applyProtection="0"/>
    <xf numFmtId="0" fontId="5" fillId="17" borderId="0" applyNumberFormat="0" applyBorder="0" applyAlignment="0" applyProtection="0"/>
    <xf numFmtId="0" fontId="5" fillId="17" borderId="0" applyNumberFormat="0" applyBorder="0" applyAlignment="0" applyProtection="0"/>
    <xf numFmtId="0" fontId="5" fillId="17" borderId="0" applyNumberFormat="0" applyBorder="0" applyAlignment="0" applyProtection="0"/>
    <xf numFmtId="0" fontId="5" fillId="17" borderId="0" applyNumberFormat="0" applyBorder="0" applyAlignment="0" applyProtection="0"/>
    <xf numFmtId="0" fontId="5" fillId="17" borderId="0" applyNumberFormat="0" applyBorder="0" applyAlignment="0" applyProtection="0"/>
    <xf numFmtId="0" fontId="5" fillId="17" borderId="0" applyNumberFormat="0" applyBorder="0" applyAlignment="0" applyProtection="0"/>
    <xf numFmtId="0" fontId="5" fillId="17" borderId="0" applyNumberFormat="0" applyBorder="0" applyAlignment="0" applyProtection="0"/>
    <xf numFmtId="0" fontId="5" fillId="17" borderId="0" applyNumberFormat="0" applyBorder="0" applyAlignment="0" applyProtection="0"/>
    <xf numFmtId="0" fontId="5" fillId="17" borderId="0" applyNumberFormat="0" applyBorder="0" applyAlignment="0" applyProtection="0"/>
    <xf numFmtId="0" fontId="5" fillId="17" borderId="0" applyNumberFormat="0" applyBorder="0" applyAlignment="0" applyProtection="0"/>
    <xf numFmtId="0" fontId="5" fillId="17" borderId="0" applyNumberFormat="0" applyBorder="0" applyAlignment="0" applyProtection="0"/>
    <xf numFmtId="0" fontId="5" fillId="17" borderId="0" applyNumberFormat="0" applyBorder="0" applyAlignment="0" applyProtection="0"/>
    <xf numFmtId="0" fontId="5" fillId="17" borderId="0" applyNumberFormat="0" applyBorder="0" applyAlignment="0" applyProtection="0"/>
    <xf numFmtId="0" fontId="5" fillId="17" borderId="0" applyNumberFormat="0" applyBorder="0" applyAlignment="0" applyProtection="0"/>
    <xf numFmtId="0" fontId="5" fillId="17" borderId="0" applyNumberFormat="0" applyBorder="0" applyAlignment="0" applyProtection="0"/>
    <xf numFmtId="0" fontId="5" fillId="17" borderId="0" applyNumberFormat="0" applyBorder="0" applyAlignment="0" applyProtection="0"/>
    <xf numFmtId="0" fontId="57" fillId="52" borderId="0" applyNumberFormat="0" applyBorder="0" applyAlignment="0" applyProtection="0"/>
    <xf numFmtId="0" fontId="5" fillId="18" borderId="0" applyNumberFormat="0" applyBorder="0" applyAlignment="0" applyProtection="0"/>
    <xf numFmtId="0" fontId="5" fillId="18" borderId="0" applyNumberFormat="0" applyBorder="0" applyAlignment="0" applyProtection="0"/>
    <xf numFmtId="0" fontId="5" fillId="18" borderId="0" applyNumberFormat="0" applyBorder="0" applyAlignment="0" applyProtection="0"/>
    <xf numFmtId="0" fontId="5" fillId="18" borderId="0" applyNumberFormat="0" applyBorder="0" applyAlignment="0" applyProtection="0"/>
    <xf numFmtId="0" fontId="5" fillId="18" borderId="0" applyNumberFormat="0" applyBorder="0" applyAlignment="0" applyProtection="0"/>
    <xf numFmtId="0" fontId="5" fillId="18" borderId="0" applyNumberFormat="0" applyBorder="0" applyAlignment="0" applyProtection="0"/>
    <xf numFmtId="0" fontId="5" fillId="18" borderId="0" applyNumberFormat="0" applyBorder="0" applyAlignment="0" applyProtection="0"/>
    <xf numFmtId="0" fontId="5" fillId="18" borderId="0" applyNumberFormat="0" applyBorder="0" applyAlignment="0" applyProtection="0"/>
    <xf numFmtId="0" fontId="5" fillId="18" borderId="0" applyNumberFormat="0" applyBorder="0" applyAlignment="0" applyProtection="0"/>
    <xf numFmtId="0" fontId="5" fillId="18" borderId="0" applyNumberFormat="0" applyBorder="0" applyAlignment="0" applyProtection="0"/>
    <xf numFmtId="0" fontId="5" fillId="18" borderId="0" applyNumberFormat="0" applyBorder="0" applyAlignment="0" applyProtection="0"/>
    <xf numFmtId="0" fontId="5" fillId="5" borderId="0" applyNumberFormat="0" applyBorder="0" applyAlignment="0" applyProtection="0"/>
    <xf numFmtId="0" fontId="5" fillId="5" borderId="0" applyNumberFormat="0" applyBorder="0" applyAlignment="0" applyProtection="0"/>
    <xf numFmtId="0" fontId="5" fillId="18" borderId="0" applyNumberFormat="0" applyBorder="0" applyAlignment="0" applyProtection="0"/>
    <xf numFmtId="0" fontId="5" fillId="5" borderId="0" applyNumberFormat="0" applyBorder="0" applyAlignment="0" applyProtection="0"/>
    <xf numFmtId="0" fontId="5" fillId="5" borderId="0" applyNumberFormat="0" applyBorder="0" applyAlignment="0" applyProtection="0"/>
    <xf numFmtId="0" fontId="5" fillId="5" borderId="0" applyNumberFormat="0" applyBorder="0" applyAlignment="0" applyProtection="0"/>
    <xf numFmtId="0" fontId="5" fillId="5" borderId="0" applyNumberFormat="0" applyBorder="0" applyAlignment="0" applyProtection="0"/>
    <xf numFmtId="0" fontId="5" fillId="5" borderId="0" applyNumberFormat="0" applyBorder="0" applyAlignment="0" applyProtection="0"/>
    <xf numFmtId="0" fontId="5" fillId="5" borderId="0" applyNumberFormat="0" applyBorder="0" applyAlignment="0" applyProtection="0"/>
    <xf numFmtId="0" fontId="5" fillId="5" borderId="0" applyNumberFormat="0" applyBorder="0" applyAlignment="0" applyProtection="0"/>
    <xf numFmtId="0" fontId="5" fillId="18" borderId="0" applyNumberFormat="0" applyBorder="0" applyAlignment="0" applyProtection="0"/>
    <xf numFmtId="0" fontId="5" fillId="18" borderId="0" applyNumberFormat="0" applyBorder="0" applyAlignment="0" applyProtection="0"/>
    <xf numFmtId="0" fontId="5" fillId="18" borderId="0" applyNumberFormat="0" applyBorder="0" applyAlignment="0" applyProtection="0"/>
    <xf numFmtId="0" fontId="5" fillId="18" borderId="0" applyNumberFormat="0" applyBorder="0" applyAlignment="0" applyProtection="0"/>
    <xf numFmtId="0" fontId="5" fillId="18" borderId="0" applyNumberFormat="0" applyBorder="0" applyAlignment="0" applyProtection="0"/>
    <xf numFmtId="0" fontId="5" fillId="18" borderId="0" applyNumberFormat="0" applyBorder="0" applyAlignment="0" applyProtection="0"/>
    <xf numFmtId="0" fontId="5" fillId="18" borderId="0" applyNumberFormat="0" applyBorder="0" applyAlignment="0" applyProtection="0"/>
    <xf numFmtId="0" fontId="5" fillId="18" borderId="0" applyNumberFormat="0" applyBorder="0" applyAlignment="0" applyProtection="0"/>
    <xf numFmtId="0" fontId="5" fillId="18" borderId="0" applyNumberFormat="0" applyBorder="0" applyAlignment="0" applyProtection="0"/>
    <xf numFmtId="0" fontId="5" fillId="18" borderId="0" applyNumberFormat="0" applyBorder="0" applyAlignment="0" applyProtection="0"/>
    <xf numFmtId="0" fontId="5" fillId="18" borderId="0" applyNumberFormat="0" applyBorder="0" applyAlignment="0" applyProtection="0"/>
    <xf numFmtId="0" fontId="5" fillId="18" borderId="0" applyNumberFormat="0" applyBorder="0" applyAlignment="0" applyProtection="0"/>
    <xf numFmtId="0" fontId="5" fillId="5" borderId="0" applyNumberFormat="0" applyBorder="0" applyAlignment="0" applyProtection="0"/>
    <xf numFmtId="0" fontId="5" fillId="18" borderId="0" applyNumberFormat="0" applyBorder="0" applyAlignment="0" applyProtection="0"/>
    <xf numFmtId="0" fontId="5" fillId="18" borderId="0" applyNumberFormat="0" applyBorder="0" applyAlignment="0" applyProtection="0"/>
    <xf numFmtId="0" fontId="5" fillId="18" borderId="0" applyNumberFormat="0" applyBorder="0" applyAlignment="0" applyProtection="0"/>
    <xf numFmtId="0" fontId="5" fillId="18" borderId="0" applyNumberFormat="0" applyBorder="0" applyAlignment="0" applyProtection="0"/>
    <xf numFmtId="0" fontId="5" fillId="18" borderId="0" applyNumberFormat="0" applyBorder="0" applyAlignment="0" applyProtection="0"/>
    <xf numFmtId="0" fontId="5" fillId="18" borderId="0" applyNumberFormat="0" applyBorder="0" applyAlignment="0" applyProtection="0"/>
    <xf numFmtId="0" fontId="5" fillId="18" borderId="0" applyNumberFormat="0" applyBorder="0" applyAlignment="0" applyProtection="0"/>
    <xf numFmtId="0" fontId="5" fillId="18" borderId="0" applyNumberFormat="0" applyBorder="0" applyAlignment="0" applyProtection="0"/>
    <xf numFmtId="0" fontId="5" fillId="18" borderId="0" applyNumberFormat="0" applyBorder="0" applyAlignment="0" applyProtection="0"/>
    <xf numFmtId="0" fontId="5" fillId="18" borderId="0" applyNumberFormat="0" applyBorder="0" applyAlignment="0" applyProtection="0"/>
    <xf numFmtId="0" fontId="5" fillId="18" borderId="0" applyNumberFormat="0" applyBorder="0" applyAlignment="0" applyProtection="0"/>
    <xf numFmtId="0" fontId="5" fillId="18" borderId="0" applyNumberFormat="0" applyBorder="0" applyAlignment="0" applyProtection="0"/>
    <xf numFmtId="0" fontId="5" fillId="18" borderId="0" applyNumberFormat="0" applyBorder="0" applyAlignment="0" applyProtection="0"/>
    <xf numFmtId="0" fontId="5" fillId="18" borderId="0" applyNumberFormat="0" applyBorder="0" applyAlignment="0" applyProtection="0"/>
    <xf numFmtId="0" fontId="5" fillId="18" borderId="0" applyNumberFormat="0" applyBorder="0" applyAlignment="0" applyProtection="0"/>
    <xf numFmtId="0" fontId="5" fillId="18" borderId="0" applyNumberFormat="0" applyBorder="0" applyAlignment="0" applyProtection="0"/>
    <xf numFmtId="0" fontId="5" fillId="18" borderId="0" applyNumberFormat="0" applyBorder="0" applyAlignment="0" applyProtection="0"/>
    <xf numFmtId="0" fontId="5" fillId="18" borderId="0" applyNumberFormat="0" applyBorder="0" applyAlignment="0" applyProtection="0"/>
    <xf numFmtId="0" fontId="5" fillId="18" borderId="0" applyNumberFormat="0" applyBorder="0" applyAlignment="0" applyProtection="0"/>
    <xf numFmtId="0" fontId="5" fillId="18" borderId="0" applyNumberFormat="0" applyBorder="0" applyAlignment="0" applyProtection="0"/>
    <xf numFmtId="0" fontId="5" fillId="18" borderId="0" applyNumberFormat="0" applyBorder="0" applyAlignment="0" applyProtection="0"/>
    <xf numFmtId="0" fontId="5" fillId="14" borderId="0" applyNumberFormat="0" applyBorder="0" applyAlignment="0" applyProtection="0"/>
    <xf numFmtId="0" fontId="5" fillId="5" borderId="0" applyNumberFormat="0" applyBorder="0" applyAlignment="0" applyProtection="0"/>
    <xf numFmtId="0" fontId="5" fillId="11" borderId="0" applyNumberFormat="0" applyBorder="0" applyAlignment="0" applyProtection="0"/>
    <xf numFmtId="0" fontId="5" fillId="16" borderId="0" applyNumberFormat="0" applyBorder="0" applyAlignment="0" applyProtection="0"/>
    <xf numFmtId="0" fontId="5" fillId="17" borderId="0" applyNumberFormat="0" applyBorder="0" applyAlignment="0" applyProtection="0"/>
    <xf numFmtId="0" fontId="5" fillId="18" borderId="0" applyNumberFormat="0" applyBorder="0" applyAlignment="0" applyProtection="0"/>
    <xf numFmtId="0" fontId="5" fillId="16" borderId="0" applyNumberFormat="0" applyBorder="0" applyAlignment="0" applyProtection="0"/>
    <xf numFmtId="0" fontId="57" fillId="53" borderId="0" applyNumberFormat="0" applyBorder="0" applyAlignment="0" applyProtection="0"/>
    <xf numFmtId="0" fontId="5" fillId="19" borderId="0" applyNumberFormat="0" applyBorder="0" applyAlignment="0" applyProtection="0"/>
    <xf numFmtId="0" fontId="5" fillId="19" borderId="0" applyNumberFormat="0" applyBorder="0" applyAlignment="0" applyProtection="0"/>
    <xf numFmtId="0" fontId="5" fillId="19" borderId="0" applyNumberFormat="0" applyBorder="0" applyAlignment="0" applyProtection="0"/>
    <xf numFmtId="0" fontId="5" fillId="19" borderId="0" applyNumberFormat="0" applyBorder="0" applyAlignment="0" applyProtection="0"/>
    <xf numFmtId="0" fontId="5" fillId="19" borderId="0" applyNumberFormat="0" applyBorder="0" applyAlignment="0" applyProtection="0"/>
    <xf numFmtId="0" fontId="5" fillId="19" borderId="0" applyNumberFormat="0" applyBorder="0" applyAlignment="0" applyProtection="0"/>
    <xf numFmtId="0" fontId="5" fillId="19" borderId="0" applyNumberFormat="0" applyBorder="0" applyAlignment="0" applyProtection="0"/>
    <xf numFmtId="0" fontId="5" fillId="19" borderId="0" applyNumberFormat="0" applyBorder="0" applyAlignment="0" applyProtection="0"/>
    <xf numFmtId="0" fontId="5" fillId="19" borderId="0" applyNumberFormat="0" applyBorder="0" applyAlignment="0" applyProtection="0"/>
    <xf numFmtId="0" fontId="5" fillId="19" borderId="0" applyNumberFormat="0" applyBorder="0" applyAlignment="0" applyProtection="0"/>
    <xf numFmtId="0" fontId="5" fillId="19" borderId="0" applyNumberFormat="0" applyBorder="0" applyAlignment="0" applyProtection="0"/>
    <xf numFmtId="0" fontId="5" fillId="20" borderId="0" applyNumberFormat="0" applyBorder="0" applyAlignment="0" applyProtection="0"/>
    <xf numFmtId="0" fontId="5" fillId="20" borderId="0" applyNumberFormat="0" applyBorder="0" applyAlignment="0" applyProtection="0"/>
    <xf numFmtId="0" fontId="5" fillId="19" borderId="0" applyNumberFormat="0" applyBorder="0" applyAlignment="0" applyProtection="0"/>
    <xf numFmtId="0" fontId="5" fillId="20" borderId="0" applyNumberFormat="0" applyBorder="0" applyAlignment="0" applyProtection="0"/>
    <xf numFmtId="0" fontId="5" fillId="20" borderId="0" applyNumberFormat="0" applyBorder="0" applyAlignment="0" applyProtection="0"/>
    <xf numFmtId="0" fontId="5" fillId="20" borderId="0" applyNumberFormat="0" applyBorder="0" applyAlignment="0" applyProtection="0"/>
    <xf numFmtId="0" fontId="5" fillId="20" borderId="0" applyNumberFormat="0" applyBorder="0" applyAlignment="0" applyProtection="0"/>
    <xf numFmtId="0" fontId="5" fillId="20" borderId="0" applyNumberFormat="0" applyBorder="0" applyAlignment="0" applyProtection="0"/>
    <xf numFmtId="0" fontId="5" fillId="20" borderId="0" applyNumberFormat="0" applyBorder="0" applyAlignment="0" applyProtection="0"/>
    <xf numFmtId="0" fontId="5" fillId="20" borderId="0" applyNumberFormat="0" applyBorder="0" applyAlignment="0" applyProtection="0"/>
    <xf numFmtId="0" fontId="5" fillId="19" borderId="0" applyNumberFormat="0" applyBorder="0" applyAlignment="0" applyProtection="0"/>
    <xf numFmtId="0" fontId="5" fillId="19" borderId="0" applyNumberFormat="0" applyBorder="0" applyAlignment="0" applyProtection="0"/>
    <xf numFmtId="0" fontId="5" fillId="19" borderId="0" applyNumberFormat="0" applyBorder="0" applyAlignment="0" applyProtection="0"/>
    <xf numFmtId="0" fontId="5" fillId="19" borderId="0" applyNumberFormat="0" applyBorder="0" applyAlignment="0" applyProtection="0"/>
    <xf numFmtId="0" fontId="5" fillId="19" borderId="0" applyNumberFormat="0" applyBorder="0" applyAlignment="0" applyProtection="0"/>
    <xf numFmtId="0" fontId="5" fillId="19" borderId="0" applyNumberFormat="0" applyBorder="0" applyAlignment="0" applyProtection="0"/>
    <xf numFmtId="0" fontId="5" fillId="19" borderId="0" applyNumberFormat="0" applyBorder="0" applyAlignment="0" applyProtection="0"/>
    <xf numFmtId="0" fontId="5" fillId="19" borderId="0" applyNumberFormat="0" applyBorder="0" applyAlignment="0" applyProtection="0"/>
    <xf numFmtId="0" fontId="5" fillId="19" borderId="0" applyNumberFormat="0" applyBorder="0" applyAlignment="0" applyProtection="0"/>
    <xf numFmtId="0" fontId="5" fillId="19" borderId="0" applyNumberFormat="0" applyBorder="0" applyAlignment="0" applyProtection="0"/>
    <xf numFmtId="0" fontId="5" fillId="19" borderId="0" applyNumberFormat="0" applyBorder="0" applyAlignment="0" applyProtection="0"/>
    <xf numFmtId="0" fontId="5" fillId="19" borderId="0" applyNumberFormat="0" applyBorder="0" applyAlignment="0" applyProtection="0"/>
    <xf numFmtId="0" fontId="5" fillId="20" borderId="0" applyNumberFormat="0" applyBorder="0" applyAlignment="0" applyProtection="0"/>
    <xf numFmtId="0" fontId="5" fillId="19" borderId="0" applyNumberFormat="0" applyBorder="0" applyAlignment="0" applyProtection="0"/>
    <xf numFmtId="0" fontId="5" fillId="19" borderId="0" applyNumberFormat="0" applyBorder="0" applyAlignment="0" applyProtection="0"/>
    <xf numFmtId="0" fontId="5" fillId="19" borderId="0" applyNumberFormat="0" applyBorder="0" applyAlignment="0" applyProtection="0"/>
    <xf numFmtId="0" fontId="5" fillId="19" borderId="0" applyNumberFormat="0" applyBorder="0" applyAlignment="0" applyProtection="0"/>
    <xf numFmtId="0" fontId="5" fillId="19" borderId="0" applyNumberFormat="0" applyBorder="0" applyAlignment="0" applyProtection="0"/>
    <xf numFmtId="0" fontId="5" fillId="19" borderId="0" applyNumberFormat="0" applyBorder="0" applyAlignment="0" applyProtection="0"/>
    <xf numFmtId="0" fontId="5" fillId="19" borderId="0" applyNumberFormat="0" applyBorder="0" applyAlignment="0" applyProtection="0"/>
    <xf numFmtId="0" fontId="5" fillId="19" borderId="0" applyNumberFormat="0" applyBorder="0" applyAlignment="0" applyProtection="0"/>
    <xf numFmtId="0" fontId="5" fillId="19" borderId="0" applyNumberFormat="0" applyBorder="0" applyAlignment="0" applyProtection="0"/>
    <xf numFmtId="0" fontId="5" fillId="19" borderId="0" applyNumberFormat="0" applyBorder="0" applyAlignment="0" applyProtection="0"/>
    <xf numFmtId="0" fontId="5" fillId="19" borderId="0" applyNumberFormat="0" applyBorder="0" applyAlignment="0" applyProtection="0"/>
    <xf numFmtId="0" fontId="5" fillId="19" borderId="0" applyNumberFormat="0" applyBorder="0" applyAlignment="0" applyProtection="0"/>
    <xf numFmtId="0" fontId="5" fillId="19" borderId="0" applyNumberFormat="0" applyBorder="0" applyAlignment="0" applyProtection="0"/>
    <xf numFmtId="0" fontId="5" fillId="19" borderId="0" applyNumberFormat="0" applyBorder="0" applyAlignment="0" applyProtection="0"/>
    <xf numFmtId="0" fontId="5" fillId="19" borderId="0" applyNumberFormat="0" applyBorder="0" applyAlignment="0" applyProtection="0"/>
    <xf numFmtId="0" fontId="5" fillId="19" borderId="0" applyNumberFormat="0" applyBorder="0" applyAlignment="0" applyProtection="0"/>
    <xf numFmtId="0" fontId="5" fillId="19" borderId="0" applyNumberFormat="0" applyBorder="0" applyAlignment="0" applyProtection="0"/>
    <xf numFmtId="0" fontId="5" fillId="19" borderId="0" applyNumberFormat="0" applyBorder="0" applyAlignment="0" applyProtection="0"/>
    <xf numFmtId="0" fontId="5" fillId="19" borderId="0" applyNumberFormat="0" applyBorder="0" applyAlignment="0" applyProtection="0"/>
    <xf numFmtId="0" fontId="5" fillId="19" borderId="0" applyNumberFormat="0" applyBorder="0" applyAlignment="0" applyProtection="0"/>
    <xf numFmtId="0" fontId="5" fillId="19" borderId="0" applyNumberFormat="0" applyBorder="0" applyAlignment="0" applyProtection="0"/>
    <xf numFmtId="0" fontId="57" fillId="54" borderId="0" applyNumberFormat="0" applyBorder="0" applyAlignment="0" applyProtection="0"/>
    <xf numFmtId="0" fontId="5" fillId="21" borderId="0" applyNumberFormat="0" applyBorder="0" applyAlignment="0" applyProtection="0"/>
    <xf numFmtId="0" fontId="5" fillId="21" borderId="0" applyNumberFormat="0" applyBorder="0" applyAlignment="0" applyProtection="0"/>
    <xf numFmtId="0" fontId="5" fillId="21" borderId="0" applyNumberFormat="0" applyBorder="0" applyAlignment="0" applyProtection="0"/>
    <xf numFmtId="0" fontId="5" fillId="21" borderId="0" applyNumberFormat="0" applyBorder="0" applyAlignment="0" applyProtection="0"/>
    <xf numFmtId="0" fontId="5" fillId="21" borderId="0" applyNumberFormat="0" applyBorder="0" applyAlignment="0" applyProtection="0"/>
    <xf numFmtId="0" fontId="5" fillId="21" borderId="0" applyNumberFormat="0" applyBorder="0" applyAlignment="0" applyProtection="0"/>
    <xf numFmtId="0" fontId="5" fillId="21" borderId="0" applyNumberFormat="0" applyBorder="0" applyAlignment="0" applyProtection="0"/>
    <xf numFmtId="0" fontId="5" fillId="21" borderId="0" applyNumberFormat="0" applyBorder="0" applyAlignment="0" applyProtection="0"/>
    <xf numFmtId="0" fontId="5" fillId="21" borderId="0" applyNumberFormat="0" applyBorder="0" applyAlignment="0" applyProtection="0"/>
    <xf numFmtId="0" fontId="5" fillId="21" borderId="0" applyNumberFormat="0" applyBorder="0" applyAlignment="0" applyProtection="0"/>
    <xf numFmtId="0" fontId="5" fillId="21" borderId="0" applyNumberFormat="0" applyBorder="0" applyAlignment="0" applyProtection="0"/>
    <xf numFmtId="0" fontId="5" fillId="15" borderId="0" applyNumberFormat="0" applyBorder="0" applyAlignment="0" applyProtection="0"/>
    <xf numFmtId="0" fontId="5" fillId="15" borderId="0" applyNumberFormat="0" applyBorder="0" applyAlignment="0" applyProtection="0"/>
    <xf numFmtId="0" fontId="5" fillId="21" borderId="0" applyNumberFormat="0" applyBorder="0" applyAlignment="0" applyProtection="0"/>
    <xf numFmtId="0" fontId="5" fillId="15" borderId="0" applyNumberFormat="0" applyBorder="0" applyAlignment="0" applyProtection="0"/>
    <xf numFmtId="0" fontId="5" fillId="15" borderId="0" applyNumberFormat="0" applyBorder="0" applyAlignment="0" applyProtection="0"/>
    <xf numFmtId="0" fontId="5" fillId="15" borderId="0" applyNumberFormat="0" applyBorder="0" applyAlignment="0" applyProtection="0"/>
    <xf numFmtId="0" fontId="5" fillId="15" borderId="0" applyNumberFormat="0" applyBorder="0" applyAlignment="0" applyProtection="0"/>
    <xf numFmtId="0" fontId="5" fillId="15" borderId="0" applyNumberFormat="0" applyBorder="0" applyAlignment="0" applyProtection="0"/>
    <xf numFmtId="0" fontId="5" fillId="15" borderId="0" applyNumberFormat="0" applyBorder="0" applyAlignment="0" applyProtection="0"/>
    <xf numFmtId="0" fontId="5" fillId="15" borderId="0" applyNumberFormat="0" applyBorder="0" applyAlignment="0" applyProtection="0"/>
    <xf numFmtId="0" fontId="5" fillId="21" borderId="0" applyNumberFormat="0" applyBorder="0" applyAlignment="0" applyProtection="0"/>
    <xf numFmtId="0" fontId="5" fillId="21" borderId="0" applyNumberFormat="0" applyBorder="0" applyAlignment="0" applyProtection="0"/>
    <xf numFmtId="0" fontId="5" fillId="21" borderId="0" applyNumberFormat="0" applyBorder="0" applyAlignment="0" applyProtection="0"/>
    <xf numFmtId="0" fontId="5" fillId="21" borderId="0" applyNumberFormat="0" applyBorder="0" applyAlignment="0" applyProtection="0"/>
    <xf numFmtId="0" fontId="5" fillId="21" borderId="0" applyNumberFormat="0" applyBorder="0" applyAlignment="0" applyProtection="0"/>
    <xf numFmtId="0" fontId="5" fillId="21" borderId="0" applyNumberFormat="0" applyBorder="0" applyAlignment="0" applyProtection="0"/>
    <xf numFmtId="0" fontId="5" fillId="21" borderId="0" applyNumberFormat="0" applyBorder="0" applyAlignment="0" applyProtection="0"/>
    <xf numFmtId="0" fontId="5" fillId="21" borderId="0" applyNumberFormat="0" applyBorder="0" applyAlignment="0" applyProtection="0"/>
    <xf numFmtId="0" fontId="5" fillId="21" borderId="0" applyNumberFormat="0" applyBorder="0" applyAlignment="0" applyProtection="0"/>
    <xf numFmtId="0" fontId="5" fillId="21" borderId="0" applyNumberFormat="0" applyBorder="0" applyAlignment="0" applyProtection="0"/>
    <xf numFmtId="0" fontId="5" fillId="21" borderId="0" applyNumberFormat="0" applyBorder="0" applyAlignment="0" applyProtection="0"/>
    <xf numFmtId="0" fontId="5" fillId="21" borderId="0" applyNumberFormat="0" applyBorder="0" applyAlignment="0" applyProtection="0"/>
    <xf numFmtId="0" fontId="5" fillId="15" borderId="0" applyNumberFormat="0" applyBorder="0" applyAlignment="0" applyProtection="0"/>
    <xf numFmtId="0" fontId="5" fillId="21" borderId="0" applyNumberFormat="0" applyBorder="0" applyAlignment="0" applyProtection="0"/>
    <xf numFmtId="0" fontId="5" fillId="21" borderId="0" applyNumberFormat="0" applyBorder="0" applyAlignment="0" applyProtection="0"/>
    <xf numFmtId="0" fontId="5" fillId="21" borderId="0" applyNumberFormat="0" applyBorder="0" applyAlignment="0" applyProtection="0"/>
    <xf numFmtId="0" fontId="5" fillId="21" borderId="0" applyNumberFormat="0" applyBorder="0" applyAlignment="0" applyProtection="0"/>
    <xf numFmtId="0" fontId="5" fillId="21" borderId="0" applyNumberFormat="0" applyBorder="0" applyAlignment="0" applyProtection="0"/>
    <xf numFmtId="0" fontId="5" fillId="21" borderId="0" applyNumberFormat="0" applyBorder="0" applyAlignment="0" applyProtection="0"/>
    <xf numFmtId="0" fontId="5" fillId="21" borderId="0" applyNumberFormat="0" applyBorder="0" applyAlignment="0" applyProtection="0"/>
    <xf numFmtId="0" fontId="5" fillId="21" borderId="0" applyNumberFormat="0" applyBorder="0" applyAlignment="0" applyProtection="0"/>
    <xf numFmtId="0" fontId="5" fillId="21" borderId="0" applyNumberFormat="0" applyBorder="0" applyAlignment="0" applyProtection="0"/>
    <xf numFmtId="0" fontId="5" fillId="21" borderId="0" applyNumberFormat="0" applyBorder="0" applyAlignment="0" applyProtection="0"/>
    <xf numFmtId="0" fontId="5" fillId="21" borderId="0" applyNumberFormat="0" applyBorder="0" applyAlignment="0" applyProtection="0"/>
    <xf numFmtId="0" fontId="5" fillId="21" borderId="0" applyNumberFormat="0" applyBorder="0" applyAlignment="0" applyProtection="0"/>
    <xf numFmtId="0" fontId="5" fillId="21" borderId="0" applyNumberFormat="0" applyBorder="0" applyAlignment="0" applyProtection="0"/>
    <xf numFmtId="0" fontId="5" fillId="21" borderId="0" applyNumberFormat="0" applyBorder="0" applyAlignment="0" applyProtection="0"/>
    <xf numFmtId="0" fontId="5" fillId="21" borderId="0" applyNumberFormat="0" applyBorder="0" applyAlignment="0" applyProtection="0"/>
    <xf numFmtId="0" fontId="5" fillId="21" borderId="0" applyNumberFormat="0" applyBorder="0" applyAlignment="0" applyProtection="0"/>
    <xf numFmtId="0" fontId="5" fillId="21" borderId="0" applyNumberFormat="0" applyBorder="0" applyAlignment="0" applyProtection="0"/>
    <xf numFmtId="0" fontId="5" fillId="21" borderId="0" applyNumberFormat="0" applyBorder="0" applyAlignment="0" applyProtection="0"/>
    <xf numFmtId="0" fontId="5" fillId="21" borderId="0" applyNumberFormat="0" applyBorder="0" applyAlignment="0" applyProtection="0"/>
    <xf numFmtId="0" fontId="5" fillId="21" borderId="0" applyNumberFormat="0" applyBorder="0" applyAlignment="0" applyProtection="0"/>
    <xf numFmtId="0" fontId="5" fillId="21" borderId="0" applyNumberFormat="0" applyBorder="0" applyAlignment="0" applyProtection="0"/>
    <xf numFmtId="0" fontId="57" fillId="55" borderId="0" applyNumberFormat="0" applyBorder="0" applyAlignment="0" applyProtection="0"/>
    <xf numFmtId="0" fontId="5" fillId="22" borderId="0" applyNumberFormat="0" applyBorder="0" applyAlignment="0" applyProtection="0"/>
    <xf numFmtId="0" fontId="5" fillId="22" borderId="0" applyNumberFormat="0" applyBorder="0" applyAlignment="0" applyProtection="0"/>
    <xf numFmtId="0" fontId="5" fillId="22" borderId="0" applyNumberFormat="0" applyBorder="0" applyAlignment="0" applyProtection="0"/>
    <xf numFmtId="0" fontId="5" fillId="22" borderId="0" applyNumberFormat="0" applyBorder="0" applyAlignment="0" applyProtection="0"/>
    <xf numFmtId="0" fontId="5" fillId="22" borderId="0" applyNumberFormat="0" applyBorder="0" applyAlignment="0" applyProtection="0"/>
    <xf numFmtId="0" fontId="5" fillId="22" borderId="0" applyNumberFormat="0" applyBorder="0" applyAlignment="0" applyProtection="0"/>
    <xf numFmtId="0" fontId="5" fillId="22" borderId="0" applyNumberFormat="0" applyBorder="0" applyAlignment="0" applyProtection="0"/>
    <xf numFmtId="0" fontId="5" fillId="22" borderId="0" applyNumberFormat="0" applyBorder="0" applyAlignment="0" applyProtection="0"/>
    <xf numFmtId="0" fontId="5" fillId="22" borderId="0" applyNumberFormat="0" applyBorder="0" applyAlignment="0" applyProtection="0"/>
    <xf numFmtId="0" fontId="5" fillId="22" borderId="0" applyNumberFormat="0" applyBorder="0" applyAlignment="0" applyProtection="0"/>
    <xf numFmtId="0" fontId="5" fillId="22" borderId="0" applyNumberFormat="0" applyBorder="0" applyAlignment="0" applyProtection="0"/>
    <xf numFmtId="0" fontId="5" fillId="13" borderId="0" applyNumberFormat="0" applyBorder="0" applyAlignment="0" applyProtection="0"/>
    <xf numFmtId="0" fontId="5" fillId="13" borderId="0" applyNumberFormat="0" applyBorder="0" applyAlignment="0" applyProtection="0"/>
    <xf numFmtId="0" fontId="5" fillId="22" borderId="0" applyNumberFormat="0" applyBorder="0" applyAlignment="0" applyProtection="0"/>
    <xf numFmtId="0" fontId="5" fillId="13" borderId="0" applyNumberFormat="0" applyBorder="0" applyAlignment="0" applyProtection="0"/>
    <xf numFmtId="0" fontId="5" fillId="13" borderId="0" applyNumberFormat="0" applyBorder="0" applyAlignment="0" applyProtection="0"/>
    <xf numFmtId="0" fontId="5" fillId="13" borderId="0" applyNumberFormat="0" applyBorder="0" applyAlignment="0" applyProtection="0"/>
    <xf numFmtId="0" fontId="5" fillId="13" borderId="0" applyNumberFormat="0" applyBorder="0" applyAlignment="0" applyProtection="0"/>
    <xf numFmtId="0" fontId="5" fillId="13" borderId="0" applyNumberFormat="0" applyBorder="0" applyAlignment="0" applyProtection="0"/>
    <xf numFmtId="0" fontId="5" fillId="13" borderId="0" applyNumberFormat="0" applyBorder="0" applyAlignment="0" applyProtection="0"/>
    <xf numFmtId="0" fontId="5" fillId="13" borderId="0" applyNumberFormat="0" applyBorder="0" applyAlignment="0" applyProtection="0"/>
    <xf numFmtId="0" fontId="5" fillId="22" borderId="0" applyNumberFormat="0" applyBorder="0" applyAlignment="0" applyProtection="0"/>
    <xf numFmtId="0" fontId="5" fillId="22" borderId="0" applyNumberFormat="0" applyBorder="0" applyAlignment="0" applyProtection="0"/>
    <xf numFmtId="0" fontId="5" fillId="22" borderId="0" applyNumberFormat="0" applyBorder="0" applyAlignment="0" applyProtection="0"/>
    <xf numFmtId="0" fontId="5" fillId="22" borderId="0" applyNumberFormat="0" applyBorder="0" applyAlignment="0" applyProtection="0"/>
    <xf numFmtId="0" fontId="5" fillId="22" borderId="0" applyNumberFormat="0" applyBorder="0" applyAlignment="0" applyProtection="0"/>
    <xf numFmtId="0" fontId="5" fillId="22" borderId="0" applyNumberFormat="0" applyBorder="0" applyAlignment="0" applyProtection="0"/>
    <xf numFmtId="0" fontId="5" fillId="22" borderId="0" applyNumberFormat="0" applyBorder="0" applyAlignment="0" applyProtection="0"/>
    <xf numFmtId="0" fontId="5" fillId="22" borderId="0" applyNumberFormat="0" applyBorder="0" applyAlignment="0" applyProtection="0"/>
    <xf numFmtId="0" fontId="5" fillId="22" borderId="0" applyNumberFormat="0" applyBorder="0" applyAlignment="0" applyProtection="0"/>
    <xf numFmtId="0" fontId="5" fillId="22" borderId="0" applyNumberFormat="0" applyBorder="0" applyAlignment="0" applyProtection="0"/>
    <xf numFmtId="0" fontId="5" fillId="22" borderId="0" applyNumberFormat="0" applyBorder="0" applyAlignment="0" applyProtection="0"/>
    <xf numFmtId="0" fontId="5" fillId="22" borderId="0" applyNumberFormat="0" applyBorder="0" applyAlignment="0" applyProtection="0"/>
    <xf numFmtId="0" fontId="5" fillId="13" borderId="0" applyNumberFormat="0" applyBorder="0" applyAlignment="0" applyProtection="0"/>
    <xf numFmtId="0" fontId="5" fillId="22" borderId="0" applyNumberFormat="0" applyBorder="0" applyAlignment="0" applyProtection="0"/>
    <xf numFmtId="0" fontId="5" fillId="22" borderId="0" applyNumberFormat="0" applyBorder="0" applyAlignment="0" applyProtection="0"/>
    <xf numFmtId="0" fontId="5" fillId="22" borderId="0" applyNumberFormat="0" applyBorder="0" applyAlignment="0" applyProtection="0"/>
    <xf numFmtId="0" fontId="5" fillId="22" borderId="0" applyNumberFormat="0" applyBorder="0" applyAlignment="0" applyProtection="0"/>
    <xf numFmtId="0" fontId="5" fillId="22" borderId="0" applyNumberFormat="0" applyBorder="0" applyAlignment="0" applyProtection="0"/>
    <xf numFmtId="0" fontId="5" fillId="22" borderId="0" applyNumberFormat="0" applyBorder="0" applyAlignment="0" applyProtection="0"/>
    <xf numFmtId="0" fontId="5" fillId="22" borderId="0" applyNumberFormat="0" applyBorder="0" applyAlignment="0" applyProtection="0"/>
    <xf numFmtId="0" fontId="5" fillId="22" borderId="0" applyNumberFormat="0" applyBorder="0" applyAlignment="0" applyProtection="0"/>
    <xf numFmtId="0" fontId="5" fillId="22" borderId="0" applyNumberFormat="0" applyBorder="0" applyAlignment="0" applyProtection="0"/>
    <xf numFmtId="0" fontId="5" fillId="22" borderId="0" applyNumberFormat="0" applyBorder="0" applyAlignment="0" applyProtection="0"/>
    <xf numFmtId="0" fontId="5" fillId="22" borderId="0" applyNumberFormat="0" applyBorder="0" applyAlignment="0" applyProtection="0"/>
    <xf numFmtId="0" fontId="5" fillId="22" borderId="0" applyNumberFormat="0" applyBorder="0" applyAlignment="0" applyProtection="0"/>
    <xf numFmtId="0" fontId="5" fillId="22" borderId="0" applyNumberFormat="0" applyBorder="0" applyAlignment="0" applyProtection="0"/>
    <xf numFmtId="0" fontId="5" fillId="22" borderId="0" applyNumberFormat="0" applyBorder="0" applyAlignment="0" applyProtection="0"/>
    <xf numFmtId="0" fontId="5" fillId="22" borderId="0" applyNumberFormat="0" applyBorder="0" applyAlignment="0" applyProtection="0"/>
    <xf numFmtId="0" fontId="5" fillId="22" borderId="0" applyNumberFormat="0" applyBorder="0" applyAlignment="0" applyProtection="0"/>
    <xf numFmtId="0" fontId="5" fillId="22" borderId="0" applyNumberFormat="0" applyBorder="0" applyAlignment="0" applyProtection="0"/>
    <xf numFmtId="0" fontId="5" fillId="22" borderId="0" applyNumberFormat="0" applyBorder="0" applyAlignment="0" applyProtection="0"/>
    <xf numFmtId="0" fontId="5" fillId="22" borderId="0" applyNumberFormat="0" applyBorder="0" applyAlignment="0" applyProtection="0"/>
    <xf numFmtId="0" fontId="5" fillId="22" borderId="0" applyNumberFormat="0" applyBorder="0" applyAlignment="0" applyProtection="0"/>
    <xf numFmtId="0" fontId="5" fillId="22" borderId="0" applyNumberFormat="0" applyBorder="0" applyAlignment="0" applyProtection="0"/>
    <xf numFmtId="0" fontId="57" fillId="56" borderId="0" applyNumberFormat="0" applyBorder="0" applyAlignment="0" applyProtection="0"/>
    <xf numFmtId="0" fontId="5" fillId="16" borderId="0" applyNumberFormat="0" applyBorder="0" applyAlignment="0" applyProtection="0"/>
    <xf numFmtId="0" fontId="5" fillId="16" borderId="0" applyNumberFormat="0" applyBorder="0" applyAlignment="0" applyProtection="0"/>
    <xf numFmtId="0" fontId="5" fillId="16" borderId="0" applyNumberFormat="0" applyBorder="0" applyAlignment="0" applyProtection="0"/>
    <xf numFmtId="0" fontId="5" fillId="16" borderId="0" applyNumberFormat="0" applyBorder="0" applyAlignment="0" applyProtection="0"/>
    <xf numFmtId="0" fontId="5" fillId="16" borderId="0" applyNumberFormat="0" applyBorder="0" applyAlignment="0" applyProtection="0"/>
    <xf numFmtId="0" fontId="5" fillId="16" borderId="0" applyNumberFormat="0" applyBorder="0" applyAlignment="0" applyProtection="0"/>
    <xf numFmtId="0" fontId="5" fillId="16" borderId="0" applyNumberFormat="0" applyBorder="0" applyAlignment="0" applyProtection="0"/>
    <xf numFmtId="0" fontId="5" fillId="16" borderId="0" applyNumberFormat="0" applyBorder="0" applyAlignment="0" applyProtection="0"/>
    <xf numFmtId="0" fontId="5" fillId="16" borderId="0" applyNumberFormat="0" applyBorder="0" applyAlignment="0" applyProtection="0"/>
    <xf numFmtId="0" fontId="5" fillId="16" borderId="0" applyNumberFormat="0" applyBorder="0" applyAlignment="0" applyProtection="0"/>
    <xf numFmtId="0" fontId="5" fillId="16" borderId="0" applyNumberFormat="0" applyBorder="0" applyAlignment="0" applyProtection="0"/>
    <xf numFmtId="0" fontId="5" fillId="23" borderId="0" applyNumberFormat="0" applyBorder="0" applyAlignment="0" applyProtection="0"/>
    <xf numFmtId="0" fontId="5" fillId="23" borderId="0" applyNumberFormat="0" applyBorder="0" applyAlignment="0" applyProtection="0"/>
    <xf numFmtId="0" fontId="5" fillId="16" borderId="0" applyNumberFormat="0" applyBorder="0" applyAlignment="0" applyProtection="0"/>
    <xf numFmtId="0" fontId="5" fillId="23" borderId="0" applyNumberFormat="0" applyBorder="0" applyAlignment="0" applyProtection="0"/>
    <xf numFmtId="0" fontId="5" fillId="23" borderId="0" applyNumberFormat="0" applyBorder="0" applyAlignment="0" applyProtection="0"/>
    <xf numFmtId="0" fontId="5" fillId="23" borderId="0" applyNumberFormat="0" applyBorder="0" applyAlignment="0" applyProtection="0"/>
    <xf numFmtId="0" fontId="5" fillId="23" borderId="0" applyNumberFormat="0" applyBorder="0" applyAlignment="0" applyProtection="0"/>
    <xf numFmtId="0" fontId="5" fillId="23" borderId="0" applyNumberFormat="0" applyBorder="0" applyAlignment="0" applyProtection="0"/>
    <xf numFmtId="0" fontId="5" fillId="23" borderId="0" applyNumberFormat="0" applyBorder="0" applyAlignment="0" applyProtection="0"/>
    <xf numFmtId="0" fontId="5" fillId="23" borderId="0" applyNumberFormat="0" applyBorder="0" applyAlignment="0" applyProtection="0"/>
    <xf numFmtId="0" fontId="5" fillId="16" borderId="0" applyNumberFormat="0" applyBorder="0" applyAlignment="0" applyProtection="0"/>
    <xf numFmtId="0" fontId="5" fillId="16" borderId="0" applyNumberFormat="0" applyBorder="0" applyAlignment="0" applyProtection="0"/>
    <xf numFmtId="0" fontId="5" fillId="16" borderId="0" applyNumberFormat="0" applyBorder="0" applyAlignment="0" applyProtection="0"/>
    <xf numFmtId="0" fontId="5" fillId="16" borderId="0" applyNumberFormat="0" applyBorder="0" applyAlignment="0" applyProtection="0"/>
    <xf numFmtId="0" fontId="5" fillId="16" borderId="0" applyNumberFormat="0" applyBorder="0" applyAlignment="0" applyProtection="0"/>
    <xf numFmtId="0" fontId="5" fillId="16" borderId="0" applyNumberFormat="0" applyBorder="0" applyAlignment="0" applyProtection="0"/>
    <xf numFmtId="0" fontId="5" fillId="16" borderId="0" applyNumberFormat="0" applyBorder="0" applyAlignment="0" applyProtection="0"/>
    <xf numFmtId="0" fontId="5" fillId="16" borderId="0" applyNumberFormat="0" applyBorder="0" applyAlignment="0" applyProtection="0"/>
    <xf numFmtId="0" fontId="5" fillId="16" borderId="0" applyNumberFormat="0" applyBorder="0" applyAlignment="0" applyProtection="0"/>
    <xf numFmtId="0" fontId="5" fillId="16" borderId="0" applyNumberFormat="0" applyBorder="0" applyAlignment="0" applyProtection="0"/>
    <xf numFmtId="0" fontId="5" fillId="16" borderId="0" applyNumberFormat="0" applyBorder="0" applyAlignment="0" applyProtection="0"/>
    <xf numFmtId="0" fontId="5" fillId="16" borderId="0" applyNumberFormat="0" applyBorder="0" applyAlignment="0" applyProtection="0"/>
    <xf numFmtId="0" fontId="5" fillId="23" borderId="0" applyNumberFormat="0" applyBorder="0" applyAlignment="0" applyProtection="0"/>
    <xf numFmtId="0" fontId="5" fillId="16" borderId="0" applyNumberFormat="0" applyBorder="0" applyAlignment="0" applyProtection="0"/>
    <xf numFmtId="0" fontId="5" fillId="16" borderId="0" applyNumberFormat="0" applyBorder="0" applyAlignment="0" applyProtection="0"/>
    <xf numFmtId="0" fontId="5" fillId="16" borderId="0" applyNumberFormat="0" applyBorder="0" applyAlignment="0" applyProtection="0"/>
    <xf numFmtId="0" fontId="5" fillId="16" borderId="0" applyNumberFormat="0" applyBorder="0" applyAlignment="0" applyProtection="0"/>
    <xf numFmtId="0" fontId="5" fillId="16" borderId="0" applyNumberFormat="0" applyBorder="0" applyAlignment="0" applyProtection="0"/>
    <xf numFmtId="0" fontId="5" fillId="16" borderId="0" applyNumberFormat="0" applyBorder="0" applyAlignment="0" applyProtection="0"/>
    <xf numFmtId="0" fontId="5" fillId="16" borderId="0" applyNumberFormat="0" applyBorder="0" applyAlignment="0" applyProtection="0"/>
    <xf numFmtId="0" fontId="5" fillId="16" borderId="0" applyNumberFormat="0" applyBorder="0" applyAlignment="0" applyProtection="0"/>
    <xf numFmtId="0" fontId="5" fillId="16" borderId="0" applyNumberFormat="0" applyBorder="0" applyAlignment="0" applyProtection="0"/>
    <xf numFmtId="0" fontId="5" fillId="16" borderId="0" applyNumberFormat="0" applyBorder="0" applyAlignment="0" applyProtection="0"/>
    <xf numFmtId="0" fontId="5" fillId="16" borderId="0" applyNumberFormat="0" applyBorder="0" applyAlignment="0" applyProtection="0"/>
    <xf numFmtId="0" fontId="5" fillId="16" borderId="0" applyNumberFormat="0" applyBorder="0" applyAlignment="0" applyProtection="0"/>
    <xf numFmtId="0" fontId="5" fillId="16" borderId="0" applyNumberFormat="0" applyBorder="0" applyAlignment="0" applyProtection="0"/>
    <xf numFmtId="0" fontId="5" fillId="16" borderId="0" applyNumberFormat="0" applyBorder="0" applyAlignment="0" applyProtection="0"/>
    <xf numFmtId="0" fontId="5" fillId="16" borderId="0" applyNumberFormat="0" applyBorder="0" applyAlignment="0" applyProtection="0"/>
    <xf numFmtId="0" fontId="5" fillId="16" borderId="0" applyNumberFormat="0" applyBorder="0" applyAlignment="0" applyProtection="0"/>
    <xf numFmtId="0" fontId="5" fillId="16" borderId="0" applyNumberFormat="0" applyBorder="0" applyAlignment="0" applyProtection="0"/>
    <xf numFmtId="0" fontId="5" fillId="16" borderId="0" applyNumberFormat="0" applyBorder="0" applyAlignment="0" applyProtection="0"/>
    <xf numFmtId="0" fontId="5" fillId="16" borderId="0" applyNumberFormat="0" applyBorder="0" applyAlignment="0" applyProtection="0"/>
    <xf numFmtId="0" fontId="5" fillId="16" borderId="0" applyNumberFormat="0" applyBorder="0" applyAlignment="0" applyProtection="0"/>
    <xf numFmtId="0" fontId="5" fillId="16" borderId="0" applyNumberFormat="0" applyBorder="0" applyAlignment="0" applyProtection="0"/>
    <xf numFmtId="0" fontId="57" fillId="57" borderId="0" applyNumberFormat="0" applyBorder="0" applyAlignment="0" applyProtection="0"/>
    <xf numFmtId="0" fontId="5" fillId="17" borderId="0" applyNumberFormat="0" applyBorder="0" applyAlignment="0" applyProtection="0"/>
    <xf numFmtId="0" fontId="5" fillId="17" borderId="0" applyNumberFormat="0" applyBorder="0" applyAlignment="0" applyProtection="0"/>
    <xf numFmtId="0" fontId="5" fillId="17" borderId="0" applyNumberFormat="0" applyBorder="0" applyAlignment="0" applyProtection="0"/>
    <xf numFmtId="0" fontId="5" fillId="17" borderId="0" applyNumberFormat="0" applyBorder="0" applyAlignment="0" applyProtection="0"/>
    <xf numFmtId="0" fontId="5" fillId="17" borderId="0" applyNumberFormat="0" applyBorder="0" applyAlignment="0" applyProtection="0"/>
    <xf numFmtId="0" fontId="5" fillId="17" borderId="0" applyNumberFormat="0" applyBorder="0" applyAlignment="0" applyProtection="0"/>
    <xf numFmtId="0" fontId="5" fillId="17" borderId="0" applyNumberFormat="0" applyBorder="0" applyAlignment="0" applyProtection="0"/>
    <xf numFmtId="0" fontId="5" fillId="17" borderId="0" applyNumberFormat="0" applyBorder="0" applyAlignment="0" applyProtection="0"/>
    <xf numFmtId="0" fontId="5" fillId="17" borderId="0" applyNumberFormat="0" applyBorder="0" applyAlignment="0" applyProtection="0"/>
    <xf numFmtId="0" fontId="5" fillId="17" borderId="0" applyNumberFormat="0" applyBorder="0" applyAlignment="0" applyProtection="0"/>
    <xf numFmtId="0" fontId="5" fillId="17" borderId="0" applyNumberFormat="0" applyBorder="0" applyAlignment="0" applyProtection="0"/>
    <xf numFmtId="0" fontId="5" fillId="17" borderId="0" applyNumberFormat="0" applyBorder="0" applyAlignment="0" applyProtection="0"/>
    <xf numFmtId="0" fontId="5" fillId="17" borderId="0" applyNumberFormat="0" applyBorder="0" applyAlignment="0" applyProtection="0"/>
    <xf numFmtId="0" fontId="5" fillId="17" borderId="0" applyNumberFormat="0" applyBorder="0" applyAlignment="0" applyProtection="0"/>
    <xf numFmtId="0" fontId="5" fillId="17" borderId="0" applyNumberFormat="0" applyBorder="0" applyAlignment="0" applyProtection="0"/>
    <xf numFmtId="0" fontId="5" fillId="17" borderId="0" applyNumberFormat="0" applyBorder="0" applyAlignment="0" applyProtection="0"/>
    <xf numFmtId="0" fontId="5" fillId="17" borderId="0" applyNumberFormat="0" applyBorder="0" applyAlignment="0" applyProtection="0"/>
    <xf numFmtId="0" fontId="5" fillId="17" borderId="0" applyNumberFormat="0" applyBorder="0" applyAlignment="0" applyProtection="0"/>
    <xf numFmtId="0" fontId="5" fillId="17" borderId="0" applyNumberFormat="0" applyBorder="0" applyAlignment="0" applyProtection="0"/>
    <xf numFmtId="0" fontId="5" fillId="17" borderId="0" applyNumberFormat="0" applyBorder="0" applyAlignment="0" applyProtection="0"/>
    <xf numFmtId="0" fontId="5" fillId="17" borderId="0" applyNumberFormat="0" applyBorder="0" applyAlignment="0" applyProtection="0"/>
    <xf numFmtId="0" fontId="5" fillId="17" borderId="0" applyNumberFormat="0" applyBorder="0" applyAlignment="0" applyProtection="0"/>
    <xf numFmtId="0" fontId="5" fillId="17" borderId="0" applyNumberFormat="0" applyBorder="0" applyAlignment="0" applyProtection="0"/>
    <xf numFmtId="0" fontId="5" fillId="17" borderId="0" applyNumberFormat="0" applyBorder="0" applyAlignment="0" applyProtection="0"/>
    <xf numFmtId="0" fontId="5" fillId="17" borderId="0" applyNumberFormat="0" applyBorder="0" applyAlignment="0" applyProtection="0"/>
    <xf numFmtId="0" fontId="5" fillId="17" borderId="0" applyNumberFormat="0" applyBorder="0" applyAlignment="0" applyProtection="0"/>
    <xf numFmtId="0" fontId="5" fillId="17" borderId="0" applyNumberFormat="0" applyBorder="0" applyAlignment="0" applyProtection="0"/>
    <xf numFmtId="0" fontId="5" fillId="17" borderId="0" applyNumberFormat="0" applyBorder="0" applyAlignment="0" applyProtection="0"/>
    <xf numFmtId="0" fontId="5" fillId="17" borderId="0" applyNumberFormat="0" applyBorder="0" applyAlignment="0" applyProtection="0"/>
    <xf numFmtId="0" fontId="5" fillId="17" borderId="0" applyNumberFormat="0" applyBorder="0" applyAlignment="0" applyProtection="0"/>
    <xf numFmtId="0" fontId="5" fillId="17" borderId="0" applyNumberFormat="0" applyBorder="0" applyAlignment="0" applyProtection="0"/>
    <xf numFmtId="0" fontId="5" fillId="17" borderId="0" applyNumberFormat="0" applyBorder="0" applyAlignment="0" applyProtection="0"/>
    <xf numFmtId="0" fontId="5" fillId="17" borderId="0" applyNumberFormat="0" applyBorder="0" applyAlignment="0" applyProtection="0"/>
    <xf numFmtId="0" fontId="5" fillId="17" borderId="0" applyNumberFormat="0" applyBorder="0" applyAlignment="0" applyProtection="0"/>
    <xf numFmtId="0" fontId="5" fillId="17" borderId="0" applyNumberFormat="0" applyBorder="0" applyAlignment="0" applyProtection="0"/>
    <xf numFmtId="0" fontId="5" fillId="17" borderId="0" applyNumberFormat="0" applyBorder="0" applyAlignment="0" applyProtection="0"/>
    <xf numFmtId="0" fontId="5" fillId="17" borderId="0" applyNumberFormat="0" applyBorder="0" applyAlignment="0" applyProtection="0"/>
    <xf numFmtId="0" fontId="5" fillId="17" borderId="0" applyNumberFormat="0" applyBorder="0" applyAlignment="0" applyProtection="0"/>
    <xf numFmtId="0" fontId="5" fillId="17" borderId="0" applyNumberFormat="0" applyBorder="0" applyAlignment="0" applyProtection="0"/>
    <xf numFmtId="0" fontId="5" fillId="17" borderId="0" applyNumberFormat="0" applyBorder="0" applyAlignment="0" applyProtection="0"/>
    <xf numFmtId="0" fontId="5" fillId="17" borderId="0" applyNumberFormat="0" applyBorder="0" applyAlignment="0" applyProtection="0"/>
    <xf numFmtId="0" fontId="5" fillId="17" borderId="0" applyNumberFormat="0" applyBorder="0" applyAlignment="0" applyProtection="0"/>
    <xf numFmtId="0" fontId="5" fillId="17" borderId="0" applyNumberFormat="0" applyBorder="0" applyAlignment="0" applyProtection="0"/>
    <xf numFmtId="0" fontId="5" fillId="17" borderId="0" applyNumberFormat="0" applyBorder="0" applyAlignment="0" applyProtection="0"/>
    <xf numFmtId="0" fontId="5" fillId="17" borderId="0" applyNumberFormat="0" applyBorder="0" applyAlignment="0" applyProtection="0"/>
    <xf numFmtId="0" fontId="5" fillId="17" borderId="0" applyNumberFormat="0" applyBorder="0" applyAlignment="0" applyProtection="0"/>
    <xf numFmtId="0" fontId="5" fillId="17" borderId="0" applyNumberFormat="0" applyBorder="0" applyAlignment="0" applyProtection="0"/>
    <xf numFmtId="0" fontId="5" fillId="17" borderId="0" applyNumberFormat="0" applyBorder="0" applyAlignment="0" applyProtection="0"/>
    <xf numFmtId="0" fontId="5" fillId="17" borderId="0" applyNumberFormat="0" applyBorder="0" applyAlignment="0" applyProtection="0"/>
    <xf numFmtId="0" fontId="5" fillId="17" borderId="0" applyNumberFormat="0" applyBorder="0" applyAlignment="0" applyProtection="0"/>
    <xf numFmtId="0" fontId="5" fillId="17" borderId="0" applyNumberFormat="0" applyBorder="0" applyAlignment="0" applyProtection="0"/>
    <xf numFmtId="0" fontId="5" fillId="17" borderId="0" applyNumberFormat="0" applyBorder="0" applyAlignment="0" applyProtection="0"/>
    <xf numFmtId="0" fontId="57" fillId="58" borderId="0" applyNumberFormat="0" applyBorder="0" applyAlignment="0" applyProtection="0"/>
    <xf numFmtId="0" fontId="5" fillId="15" borderId="0" applyNumberFormat="0" applyBorder="0" applyAlignment="0" applyProtection="0"/>
    <xf numFmtId="0" fontId="5" fillId="15" borderId="0" applyNumberFormat="0" applyBorder="0" applyAlignment="0" applyProtection="0"/>
    <xf numFmtId="0" fontId="5" fillId="15" borderId="0" applyNumberFormat="0" applyBorder="0" applyAlignment="0" applyProtection="0"/>
    <xf numFmtId="0" fontId="5" fillId="15" borderId="0" applyNumberFormat="0" applyBorder="0" applyAlignment="0" applyProtection="0"/>
    <xf numFmtId="0" fontId="5" fillId="15" borderId="0" applyNumberFormat="0" applyBorder="0" applyAlignment="0" applyProtection="0"/>
    <xf numFmtId="0" fontId="5" fillId="15" borderId="0" applyNumberFormat="0" applyBorder="0" applyAlignment="0" applyProtection="0"/>
    <xf numFmtId="0" fontId="5" fillId="15" borderId="0" applyNumberFormat="0" applyBorder="0" applyAlignment="0" applyProtection="0"/>
    <xf numFmtId="0" fontId="5" fillId="15" borderId="0" applyNumberFormat="0" applyBorder="0" applyAlignment="0" applyProtection="0"/>
    <xf numFmtId="0" fontId="5" fillId="15" borderId="0" applyNumberFormat="0" applyBorder="0" applyAlignment="0" applyProtection="0"/>
    <xf numFmtId="0" fontId="5" fillId="15" borderId="0" applyNumberFormat="0" applyBorder="0" applyAlignment="0" applyProtection="0"/>
    <xf numFmtId="0" fontId="5" fillId="15" borderId="0" applyNumberFormat="0" applyBorder="0" applyAlignment="0" applyProtection="0"/>
    <xf numFmtId="0" fontId="5" fillId="21" borderId="0" applyNumberFormat="0" applyBorder="0" applyAlignment="0" applyProtection="0"/>
    <xf numFmtId="0" fontId="5" fillId="21" borderId="0" applyNumberFormat="0" applyBorder="0" applyAlignment="0" applyProtection="0"/>
    <xf numFmtId="0" fontId="5" fillId="15" borderId="0" applyNumberFormat="0" applyBorder="0" applyAlignment="0" applyProtection="0"/>
    <xf numFmtId="0" fontId="5" fillId="21" borderId="0" applyNumberFormat="0" applyBorder="0" applyAlignment="0" applyProtection="0"/>
    <xf numFmtId="0" fontId="5" fillId="21" borderId="0" applyNumberFormat="0" applyBorder="0" applyAlignment="0" applyProtection="0"/>
    <xf numFmtId="0" fontId="5" fillId="21" borderId="0" applyNumberFormat="0" applyBorder="0" applyAlignment="0" applyProtection="0"/>
    <xf numFmtId="0" fontId="5" fillId="21" borderId="0" applyNumberFormat="0" applyBorder="0" applyAlignment="0" applyProtection="0"/>
    <xf numFmtId="0" fontId="5" fillId="21" borderId="0" applyNumberFormat="0" applyBorder="0" applyAlignment="0" applyProtection="0"/>
    <xf numFmtId="0" fontId="5" fillId="21" borderId="0" applyNumberFormat="0" applyBorder="0" applyAlignment="0" applyProtection="0"/>
    <xf numFmtId="0" fontId="5" fillId="21" borderId="0" applyNumberFormat="0" applyBorder="0" applyAlignment="0" applyProtection="0"/>
    <xf numFmtId="0" fontId="5" fillId="15" borderId="0" applyNumberFormat="0" applyBorder="0" applyAlignment="0" applyProtection="0"/>
    <xf numFmtId="0" fontId="5" fillId="15" borderId="0" applyNumberFormat="0" applyBorder="0" applyAlignment="0" applyProtection="0"/>
    <xf numFmtId="0" fontId="5" fillId="15" borderId="0" applyNumberFormat="0" applyBorder="0" applyAlignment="0" applyProtection="0"/>
    <xf numFmtId="0" fontId="5" fillId="15" borderId="0" applyNumberFormat="0" applyBorder="0" applyAlignment="0" applyProtection="0"/>
    <xf numFmtId="0" fontId="5" fillId="15" borderId="0" applyNumberFormat="0" applyBorder="0" applyAlignment="0" applyProtection="0"/>
    <xf numFmtId="0" fontId="5" fillId="15" borderId="0" applyNumberFormat="0" applyBorder="0" applyAlignment="0" applyProtection="0"/>
    <xf numFmtId="0" fontId="5" fillId="15" borderId="0" applyNumberFormat="0" applyBorder="0" applyAlignment="0" applyProtection="0"/>
    <xf numFmtId="0" fontId="5" fillId="15" borderId="0" applyNumberFormat="0" applyBorder="0" applyAlignment="0" applyProtection="0"/>
    <xf numFmtId="0" fontId="5" fillId="15" borderId="0" applyNumberFormat="0" applyBorder="0" applyAlignment="0" applyProtection="0"/>
    <xf numFmtId="0" fontId="5" fillId="15" borderId="0" applyNumberFormat="0" applyBorder="0" applyAlignment="0" applyProtection="0"/>
    <xf numFmtId="0" fontId="5" fillId="15" borderId="0" applyNumberFormat="0" applyBorder="0" applyAlignment="0" applyProtection="0"/>
    <xf numFmtId="0" fontId="5" fillId="15" borderId="0" applyNumberFormat="0" applyBorder="0" applyAlignment="0" applyProtection="0"/>
    <xf numFmtId="0" fontId="5" fillId="21" borderId="0" applyNumberFormat="0" applyBorder="0" applyAlignment="0" applyProtection="0"/>
    <xf numFmtId="0" fontId="5" fillId="15" borderId="0" applyNumberFormat="0" applyBorder="0" applyAlignment="0" applyProtection="0"/>
    <xf numFmtId="0" fontId="5" fillId="15" borderId="0" applyNumberFormat="0" applyBorder="0" applyAlignment="0" applyProtection="0"/>
    <xf numFmtId="0" fontId="5" fillId="15" borderId="0" applyNumberFormat="0" applyBorder="0" applyAlignment="0" applyProtection="0"/>
    <xf numFmtId="0" fontId="5" fillId="15" borderId="0" applyNumberFormat="0" applyBorder="0" applyAlignment="0" applyProtection="0"/>
    <xf numFmtId="0" fontId="5" fillId="15" borderId="0" applyNumberFormat="0" applyBorder="0" applyAlignment="0" applyProtection="0"/>
    <xf numFmtId="0" fontId="5" fillId="15" borderId="0" applyNumberFormat="0" applyBorder="0" applyAlignment="0" applyProtection="0"/>
    <xf numFmtId="0" fontId="5" fillId="15" borderId="0" applyNumberFormat="0" applyBorder="0" applyAlignment="0" applyProtection="0"/>
    <xf numFmtId="0" fontId="5" fillId="15" borderId="0" applyNumberFormat="0" applyBorder="0" applyAlignment="0" applyProtection="0"/>
    <xf numFmtId="0" fontId="5" fillId="15" borderId="0" applyNumberFormat="0" applyBorder="0" applyAlignment="0" applyProtection="0"/>
    <xf numFmtId="0" fontId="5" fillId="15" borderId="0" applyNumberFormat="0" applyBorder="0" applyAlignment="0" applyProtection="0"/>
    <xf numFmtId="0" fontId="5" fillId="15" borderId="0" applyNumberFormat="0" applyBorder="0" applyAlignment="0" applyProtection="0"/>
    <xf numFmtId="0" fontId="5" fillId="15" borderId="0" applyNumberFormat="0" applyBorder="0" applyAlignment="0" applyProtection="0"/>
    <xf numFmtId="0" fontId="5" fillId="15" borderId="0" applyNumberFormat="0" applyBorder="0" applyAlignment="0" applyProtection="0"/>
    <xf numFmtId="0" fontId="5" fillId="15" borderId="0" applyNumberFormat="0" applyBorder="0" applyAlignment="0" applyProtection="0"/>
    <xf numFmtId="0" fontId="5" fillId="15" borderId="0" applyNumberFormat="0" applyBorder="0" applyAlignment="0" applyProtection="0"/>
    <xf numFmtId="0" fontId="5" fillId="15" borderId="0" applyNumberFormat="0" applyBorder="0" applyAlignment="0" applyProtection="0"/>
    <xf numFmtId="0" fontId="5" fillId="15" borderId="0" applyNumberFormat="0" applyBorder="0" applyAlignment="0" applyProtection="0"/>
    <xf numFmtId="0" fontId="5" fillId="15" borderId="0" applyNumberFormat="0" applyBorder="0" applyAlignment="0" applyProtection="0"/>
    <xf numFmtId="0" fontId="5" fillId="15" borderId="0" applyNumberFormat="0" applyBorder="0" applyAlignment="0" applyProtection="0"/>
    <xf numFmtId="0" fontId="5" fillId="15" borderId="0" applyNumberFormat="0" applyBorder="0" applyAlignment="0" applyProtection="0"/>
    <xf numFmtId="0" fontId="5" fillId="15" borderId="0" applyNumberFormat="0" applyBorder="0" applyAlignment="0" applyProtection="0"/>
    <xf numFmtId="0" fontId="23" fillId="24" borderId="0" applyBorder="0" applyAlignment="0"/>
    <xf numFmtId="4" fontId="23" fillId="24" borderId="0" applyBorder="0" applyAlignment="0"/>
    <xf numFmtId="0" fontId="22" fillId="24" borderId="0" applyBorder="0">
      <alignment horizontal="right" vertical="center"/>
    </xf>
    <xf numFmtId="4" fontId="22" fillId="24" borderId="0" applyBorder="0">
      <alignment horizontal="right" vertical="center"/>
    </xf>
    <xf numFmtId="0" fontId="22" fillId="24" borderId="1">
      <alignment horizontal="right" vertical="center"/>
    </xf>
    <xf numFmtId="0" fontId="22" fillId="25" borderId="0" applyBorder="0">
      <alignment horizontal="right" vertical="center"/>
    </xf>
    <xf numFmtId="0" fontId="22" fillId="25" borderId="0" applyBorder="0">
      <alignment horizontal="right" vertical="center"/>
    </xf>
    <xf numFmtId="4" fontId="22" fillId="25" borderId="0" applyBorder="0">
      <alignment horizontal="right" vertical="center"/>
    </xf>
    <xf numFmtId="0" fontId="22" fillId="25" borderId="0" applyBorder="0">
      <alignment horizontal="right" vertical="center"/>
    </xf>
    <xf numFmtId="0" fontId="22" fillId="25" borderId="0" applyBorder="0">
      <alignment horizontal="right" vertical="center"/>
    </xf>
    <xf numFmtId="4" fontId="22" fillId="25" borderId="0" applyBorder="0">
      <alignment horizontal="right" vertical="center"/>
    </xf>
    <xf numFmtId="0" fontId="24" fillId="25" borderId="1">
      <alignment horizontal="right" vertical="center"/>
    </xf>
    <xf numFmtId="4" fontId="24" fillId="25" borderId="1">
      <alignment horizontal="right" vertical="center"/>
    </xf>
    <xf numFmtId="0" fontId="24" fillId="25" borderId="3">
      <alignment horizontal="right" vertical="center"/>
    </xf>
    <xf numFmtId="0" fontId="25" fillId="25" borderId="1">
      <alignment horizontal="right" vertical="center"/>
    </xf>
    <xf numFmtId="4" fontId="25" fillId="25" borderId="1">
      <alignment horizontal="right" vertical="center"/>
    </xf>
    <xf numFmtId="0" fontId="24" fillId="26" borderId="1">
      <alignment horizontal="right" vertical="center"/>
    </xf>
    <xf numFmtId="4" fontId="24" fillId="26" borderId="1">
      <alignment horizontal="right" vertical="center"/>
    </xf>
    <xf numFmtId="0" fontId="24" fillId="26" borderId="3">
      <alignment horizontal="right" vertical="center"/>
    </xf>
    <xf numFmtId="0" fontId="24" fillId="26" borderId="1">
      <alignment horizontal="right" vertical="center"/>
    </xf>
    <xf numFmtId="4" fontId="24" fillId="26" borderId="1">
      <alignment horizontal="right" vertical="center"/>
    </xf>
    <xf numFmtId="0" fontId="24" fillId="26" borderId="4">
      <alignment horizontal="right" vertical="center"/>
    </xf>
    <xf numFmtId="0" fontId="24" fillId="26" borderId="2">
      <alignment horizontal="right" vertical="center"/>
    </xf>
    <xf numFmtId="4" fontId="24" fillId="26" borderId="2">
      <alignment horizontal="right" vertical="center"/>
    </xf>
    <xf numFmtId="0" fontId="24" fillId="26" borderId="5">
      <alignment horizontal="right" vertical="center"/>
    </xf>
    <xf numFmtId="4" fontId="24" fillId="26" borderId="5">
      <alignment horizontal="right" vertical="center"/>
    </xf>
    <xf numFmtId="0" fontId="5" fillId="19" borderId="0" applyNumberFormat="0" applyBorder="0" applyAlignment="0" applyProtection="0"/>
    <xf numFmtId="0" fontId="5" fillId="21" borderId="0" applyNumberFormat="0" applyBorder="0" applyAlignment="0" applyProtection="0"/>
    <xf numFmtId="0" fontId="5" fillId="22" borderId="0" applyNumberFormat="0" applyBorder="0" applyAlignment="0" applyProtection="0"/>
    <xf numFmtId="0" fontId="5" fillId="16" borderId="0" applyNumberFormat="0" applyBorder="0" applyAlignment="0" applyProtection="0"/>
    <xf numFmtId="0" fontId="5" fillId="17" borderId="0" applyNumberFormat="0" applyBorder="0" applyAlignment="0" applyProtection="0"/>
    <xf numFmtId="0" fontId="5" fillId="15" borderId="0" applyNumberFormat="0" applyBorder="0" applyAlignment="0" applyProtection="0"/>
    <xf numFmtId="0" fontId="17" fillId="27" borderId="6" applyNumberFormat="0" applyAlignment="0" applyProtection="0"/>
    <xf numFmtId="0" fontId="58" fillId="59" borderId="0" applyNumberFormat="0" applyBorder="0" applyAlignment="0" applyProtection="0"/>
    <xf numFmtId="0" fontId="6" fillId="4" borderId="0" applyNumberFormat="0" applyBorder="0" applyAlignment="0" applyProtection="0"/>
    <xf numFmtId="0" fontId="6" fillId="4" borderId="0" applyNumberFormat="0" applyBorder="0" applyAlignment="0" applyProtection="0"/>
    <xf numFmtId="0" fontId="6" fillId="4" borderId="0" applyNumberFormat="0" applyBorder="0" applyAlignment="0" applyProtection="0"/>
    <xf numFmtId="0" fontId="6" fillId="4" borderId="0" applyNumberFormat="0" applyBorder="0" applyAlignment="0" applyProtection="0"/>
    <xf numFmtId="0" fontId="6" fillId="4" borderId="0" applyNumberFormat="0" applyBorder="0" applyAlignment="0" applyProtection="0"/>
    <xf numFmtId="0" fontId="6" fillId="4" borderId="0" applyNumberFormat="0" applyBorder="0" applyAlignment="0" applyProtection="0"/>
    <xf numFmtId="0" fontId="6" fillId="4" borderId="0" applyNumberFormat="0" applyBorder="0" applyAlignment="0" applyProtection="0"/>
    <xf numFmtId="0" fontId="6" fillId="4" borderId="0" applyNumberFormat="0" applyBorder="0" applyAlignment="0" applyProtection="0"/>
    <xf numFmtId="0" fontId="6" fillId="4" borderId="0" applyNumberFormat="0" applyBorder="0" applyAlignment="0" applyProtection="0"/>
    <xf numFmtId="0" fontId="6" fillId="4" borderId="0" applyNumberFormat="0" applyBorder="0" applyAlignment="0" applyProtection="0"/>
    <xf numFmtId="0" fontId="6" fillId="4" borderId="0" applyNumberFormat="0" applyBorder="0" applyAlignment="0" applyProtection="0"/>
    <xf numFmtId="0" fontId="6" fillId="8" borderId="0" applyNumberFormat="0" applyBorder="0" applyAlignment="0" applyProtection="0"/>
    <xf numFmtId="0" fontId="6" fillId="8" borderId="0" applyNumberFormat="0" applyBorder="0" applyAlignment="0" applyProtection="0"/>
    <xf numFmtId="0" fontId="6" fillId="4" borderId="0" applyNumberFormat="0" applyBorder="0" applyAlignment="0" applyProtection="0"/>
    <xf numFmtId="0" fontId="6" fillId="8" borderId="0" applyNumberFormat="0" applyBorder="0" applyAlignment="0" applyProtection="0"/>
    <xf numFmtId="0" fontId="6" fillId="8" borderId="0" applyNumberFormat="0" applyBorder="0" applyAlignment="0" applyProtection="0"/>
    <xf numFmtId="0" fontId="6" fillId="8" borderId="0" applyNumberFormat="0" applyBorder="0" applyAlignment="0" applyProtection="0"/>
    <xf numFmtId="0" fontId="6" fillId="8" borderId="0" applyNumberFormat="0" applyBorder="0" applyAlignment="0" applyProtection="0"/>
    <xf numFmtId="0" fontId="6" fillId="8" borderId="0" applyNumberFormat="0" applyBorder="0" applyAlignment="0" applyProtection="0"/>
    <xf numFmtId="0" fontId="6" fillId="8" borderId="0" applyNumberFormat="0" applyBorder="0" applyAlignment="0" applyProtection="0"/>
    <xf numFmtId="0" fontId="6" fillId="8" borderId="0" applyNumberFormat="0" applyBorder="0" applyAlignment="0" applyProtection="0"/>
    <xf numFmtId="0" fontId="6" fillId="4" borderId="0" applyNumberFormat="0" applyBorder="0" applyAlignment="0" applyProtection="0"/>
    <xf numFmtId="0" fontId="6" fillId="4" borderId="0" applyNumberFormat="0" applyBorder="0" applyAlignment="0" applyProtection="0"/>
    <xf numFmtId="0" fontId="6" fillId="4" borderId="0" applyNumberFormat="0" applyBorder="0" applyAlignment="0" applyProtection="0"/>
    <xf numFmtId="0" fontId="6" fillId="4" borderId="0" applyNumberFormat="0" applyBorder="0" applyAlignment="0" applyProtection="0"/>
    <xf numFmtId="0" fontId="6" fillId="4" borderId="0" applyNumberFormat="0" applyBorder="0" applyAlignment="0" applyProtection="0"/>
    <xf numFmtId="0" fontId="6" fillId="4" borderId="0" applyNumberFormat="0" applyBorder="0" applyAlignment="0" applyProtection="0"/>
    <xf numFmtId="0" fontId="6" fillId="4" borderId="0" applyNumberFormat="0" applyBorder="0" applyAlignment="0" applyProtection="0"/>
    <xf numFmtId="0" fontId="6" fillId="4" borderId="0" applyNumberFormat="0" applyBorder="0" applyAlignment="0" applyProtection="0"/>
    <xf numFmtId="0" fontId="6" fillId="4" borderId="0" applyNumberFormat="0" applyBorder="0" applyAlignment="0" applyProtection="0"/>
    <xf numFmtId="0" fontId="6" fillId="4" borderId="0" applyNumberFormat="0" applyBorder="0" applyAlignment="0" applyProtection="0"/>
    <xf numFmtId="0" fontId="6" fillId="4" borderId="0" applyNumberFormat="0" applyBorder="0" applyAlignment="0" applyProtection="0"/>
    <xf numFmtId="0" fontId="6" fillId="4" borderId="0" applyNumberFormat="0" applyBorder="0" applyAlignment="0" applyProtection="0"/>
    <xf numFmtId="0" fontId="6" fillId="8" borderId="0" applyNumberFormat="0" applyBorder="0" applyAlignment="0" applyProtection="0"/>
    <xf numFmtId="0" fontId="6" fillId="4" borderId="0" applyNumberFormat="0" applyBorder="0" applyAlignment="0" applyProtection="0"/>
    <xf numFmtId="0" fontId="6" fillId="4" borderId="0" applyNumberFormat="0" applyBorder="0" applyAlignment="0" applyProtection="0"/>
    <xf numFmtId="0" fontId="6" fillId="4" borderId="0" applyNumberFormat="0" applyBorder="0" applyAlignment="0" applyProtection="0"/>
    <xf numFmtId="0" fontId="6" fillId="4" borderId="0" applyNumberFormat="0" applyBorder="0" applyAlignment="0" applyProtection="0"/>
    <xf numFmtId="0" fontId="6" fillId="4" borderId="0" applyNumberFormat="0" applyBorder="0" applyAlignment="0" applyProtection="0"/>
    <xf numFmtId="0" fontId="6" fillId="4" borderId="0" applyNumberFormat="0" applyBorder="0" applyAlignment="0" applyProtection="0"/>
    <xf numFmtId="0" fontId="6" fillId="4" borderId="0" applyNumberFormat="0" applyBorder="0" applyAlignment="0" applyProtection="0"/>
    <xf numFmtId="0" fontId="6" fillId="4" borderId="0" applyNumberFormat="0" applyBorder="0" applyAlignment="0" applyProtection="0"/>
    <xf numFmtId="0" fontId="6" fillId="4" borderId="0" applyNumberFormat="0" applyBorder="0" applyAlignment="0" applyProtection="0"/>
    <xf numFmtId="0" fontId="6" fillId="4" borderId="0" applyNumberFormat="0" applyBorder="0" applyAlignment="0" applyProtection="0"/>
    <xf numFmtId="0" fontId="6" fillId="4" borderId="0" applyNumberFormat="0" applyBorder="0" applyAlignment="0" applyProtection="0"/>
    <xf numFmtId="0" fontId="6" fillId="4" borderId="0" applyNumberFormat="0" applyBorder="0" applyAlignment="0" applyProtection="0"/>
    <xf numFmtId="0" fontId="6" fillId="4" borderId="0" applyNumberFormat="0" applyBorder="0" applyAlignment="0" applyProtection="0"/>
    <xf numFmtId="0" fontId="6" fillId="4" borderId="0" applyNumberFormat="0" applyBorder="0" applyAlignment="0" applyProtection="0"/>
    <xf numFmtId="0" fontId="6" fillId="4" borderId="0" applyNumberFormat="0" applyBorder="0" applyAlignment="0" applyProtection="0"/>
    <xf numFmtId="0" fontId="6" fillId="4" borderId="0" applyNumberFormat="0" applyBorder="0" applyAlignment="0" applyProtection="0"/>
    <xf numFmtId="0" fontId="58" fillId="59" borderId="0" applyNumberFormat="0" applyBorder="0" applyAlignment="0" applyProtection="0"/>
    <xf numFmtId="0" fontId="6" fillId="4" borderId="0" applyNumberFormat="0" applyBorder="0" applyAlignment="0" applyProtection="0"/>
    <xf numFmtId="0" fontId="6" fillId="4" borderId="0" applyNumberFormat="0" applyBorder="0" applyAlignment="0" applyProtection="0"/>
    <xf numFmtId="0" fontId="6" fillId="4" borderId="0" applyNumberFormat="0" applyBorder="0" applyAlignment="0" applyProtection="0"/>
    <xf numFmtId="0" fontId="6" fillId="4" borderId="0" applyNumberFormat="0" applyBorder="0" applyAlignment="0" applyProtection="0"/>
    <xf numFmtId="0" fontId="6" fillId="4" borderId="0" applyNumberFormat="0" applyBorder="0" applyAlignment="0" applyProtection="0"/>
    <xf numFmtId="0" fontId="7" fillId="27" borderId="7" applyNumberFormat="0" applyAlignment="0" applyProtection="0"/>
    <xf numFmtId="4" fontId="23" fillId="0" borderId="8" applyFill="0" applyBorder="0" applyProtection="0">
      <alignment horizontal="right" vertical="center"/>
    </xf>
    <xf numFmtId="0" fontId="59" fillId="60" borderId="24" applyNumberFormat="0" applyAlignment="0" applyProtection="0"/>
    <xf numFmtId="0" fontId="7" fillId="27" borderId="7" applyNumberFormat="0" applyAlignment="0" applyProtection="0"/>
    <xf numFmtId="0" fontId="7" fillId="27" borderId="7" applyNumberFormat="0" applyAlignment="0" applyProtection="0"/>
    <xf numFmtId="0" fontId="7" fillId="27" borderId="7" applyNumberFormat="0" applyAlignment="0" applyProtection="0"/>
    <xf numFmtId="0" fontId="7" fillId="27" borderId="7" applyNumberFormat="0" applyAlignment="0" applyProtection="0"/>
    <xf numFmtId="0" fontId="7" fillId="27" borderId="7" applyNumberFormat="0" applyAlignment="0" applyProtection="0"/>
    <xf numFmtId="0" fontId="7" fillId="27" borderId="7" applyNumberFormat="0" applyAlignment="0" applyProtection="0"/>
    <xf numFmtId="0" fontId="7" fillId="27" borderId="7" applyNumberFormat="0" applyAlignment="0" applyProtection="0"/>
    <xf numFmtId="0" fontId="7" fillId="27" borderId="7" applyNumberFormat="0" applyAlignment="0" applyProtection="0"/>
    <xf numFmtId="0" fontId="7" fillId="27" borderId="7" applyNumberFormat="0" applyAlignment="0" applyProtection="0"/>
    <xf numFmtId="0" fontId="7" fillId="27" borderId="7" applyNumberFormat="0" applyAlignment="0" applyProtection="0"/>
    <xf numFmtId="0" fontId="7" fillId="27" borderId="7" applyNumberFormat="0" applyAlignment="0" applyProtection="0"/>
    <xf numFmtId="0" fontId="26" fillId="28" borderId="7" applyNumberFormat="0" applyAlignment="0" applyProtection="0"/>
    <xf numFmtId="0" fontId="26" fillId="28" borderId="7" applyNumberFormat="0" applyAlignment="0" applyProtection="0"/>
    <xf numFmtId="0" fontId="7" fillId="27" borderId="7" applyNumberFormat="0" applyAlignment="0" applyProtection="0"/>
    <xf numFmtId="0" fontId="26" fillId="28" borderId="7" applyNumberFormat="0" applyAlignment="0" applyProtection="0"/>
    <xf numFmtId="0" fontId="26" fillId="28" borderId="7" applyNumberFormat="0" applyAlignment="0" applyProtection="0"/>
    <xf numFmtId="0" fontId="26" fillId="28" borderId="7" applyNumberFormat="0" applyAlignment="0" applyProtection="0"/>
    <xf numFmtId="0" fontId="26" fillId="28" borderId="7" applyNumberFormat="0" applyAlignment="0" applyProtection="0"/>
    <xf numFmtId="0" fontId="26" fillId="28" borderId="7" applyNumberFormat="0" applyAlignment="0" applyProtection="0"/>
    <xf numFmtId="0" fontId="26" fillId="28" borderId="7" applyNumberFormat="0" applyAlignment="0" applyProtection="0"/>
    <xf numFmtId="0" fontId="26" fillId="28" borderId="7" applyNumberFormat="0" applyAlignment="0" applyProtection="0"/>
    <xf numFmtId="0" fontId="7" fillId="27" borderId="7" applyNumberFormat="0" applyAlignment="0" applyProtection="0"/>
    <xf numFmtId="0" fontId="7" fillId="27" borderId="7" applyNumberFormat="0" applyAlignment="0" applyProtection="0"/>
    <xf numFmtId="0" fontId="7" fillId="27" borderId="7" applyNumberFormat="0" applyAlignment="0" applyProtection="0"/>
    <xf numFmtId="0" fontId="7" fillId="27" borderId="7" applyNumberFormat="0" applyAlignment="0" applyProtection="0"/>
    <xf numFmtId="0" fontId="7" fillId="27" borderId="7" applyNumberFormat="0" applyAlignment="0" applyProtection="0"/>
    <xf numFmtId="0" fontId="7" fillId="27" borderId="7" applyNumberFormat="0" applyAlignment="0" applyProtection="0"/>
    <xf numFmtId="0" fontId="7" fillId="27" borderId="7" applyNumberFormat="0" applyAlignment="0" applyProtection="0"/>
    <xf numFmtId="0" fontId="7" fillId="27" borderId="7" applyNumberFormat="0" applyAlignment="0" applyProtection="0"/>
    <xf numFmtId="0" fontId="7" fillId="27" borderId="7" applyNumberFormat="0" applyAlignment="0" applyProtection="0"/>
    <xf numFmtId="0" fontId="7" fillId="27" borderId="7" applyNumberFormat="0" applyAlignment="0" applyProtection="0"/>
    <xf numFmtId="0" fontId="7" fillId="27" borderId="7" applyNumberFormat="0" applyAlignment="0" applyProtection="0"/>
    <xf numFmtId="0" fontId="7" fillId="27" borderId="7" applyNumberFormat="0" applyAlignment="0" applyProtection="0"/>
    <xf numFmtId="0" fontId="26" fillId="28" borderId="7" applyNumberFormat="0" applyAlignment="0" applyProtection="0"/>
    <xf numFmtId="0" fontId="7" fillId="27" borderId="7" applyNumberFormat="0" applyAlignment="0" applyProtection="0"/>
    <xf numFmtId="0" fontId="7" fillId="27" borderId="7" applyNumberFormat="0" applyAlignment="0" applyProtection="0"/>
    <xf numFmtId="0" fontId="7" fillId="27" borderId="7" applyNumberFormat="0" applyAlignment="0" applyProtection="0"/>
    <xf numFmtId="0" fontId="7" fillId="27" borderId="7" applyNumberFormat="0" applyAlignment="0" applyProtection="0"/>
    <xf numFmtId="0" fontId="7" fillId="27" borderId="7" applyNumberFormat="0" applyAlignment="0" applyProtection="0"/>
    <xf numFmtId="0" fontId="7" fillId="27" borderId="7" applyNumberFormat="0" applyAlignment="0" applyProtection="0"/>
    <xf numFmtId="0" fontId="7" fillId="27" borderId="7" applyNumberFormat="0" applyAlignment="0" applyProtection="0"/>
    <xf numFmtId="0" fontId="7" fillId="27" borderId="7" applyNumberFormat="0" applyAlignment="0" applyProtection="0"/>
    <xf numFmtId="0" fontId="7" fillId="27" borderId="7" applyNumberFormat="0" applyAlignment="0" applyProtection="0"/>
    <xf numFmtId="0" fontId="7" fillId="27" borderId="7" applyNumberFormat="0" applyAlignment="0" applyProtection="0"/>
    <xf numFmtId="0" fontId="7" fillId="27" borderId="7" applyNumberFormat="0" applyAlignment="0" applyProtection="0"/>
    <xf numFmtId="0" fontId="7" fillId="27" borderId="7" applyNumberFormat="0" applyAlignment="0" applyProtection="0"/>
    <xf numFmtId="0" fontId="7" fillId="27" borderId="7" applyNumberFormat="0" applyAlignment="0" applyProtection="0"/>
    <xf numFmtId="0" fontId="7" fillId="27" borderId="7" applyNumberFormat="0" applyAlignment="0" applyProtection="0"/>
    <xf numFmtId="0" fontId="7" fillId="27" borderId="7" applyNumberFormat="0" applyAlignment="0" applyProtection="0"/>
    <xf numFmtId="0" fontId="7" fillId="27" borderId="7" applyNumberFormat="0" applyAlignment="0" applyProtection="0"/>
    <xf numFmtId="0" fontId="7" fillId="27" borderId="7" applyNumberFormat="0" applyAlignment="0" applyProtection="0"/>
    <xf numFmtId="0" fontId="7" fillId="27" borderId="7" applyNumberFormat="0" applyAlignment="0" applyProtection="0"/>
    <xf numFmtId="0" fontId="7" fillId="27" borderId="7" applyNumberFormat="0" applyAlignment="0" applyProtection="0"/>
    <xf numFmtId="0" fontId="7" fillId="27" borderId="7" applyNumberFormat="0" applyAlignment="0" applyProtection="0"/>
    <xf numFmtId="0" fontId="7" fillId="27" borderId="7" applyNumberFormat="0" applyAlignment="0" applyProtection="0"/>
    <xf numFmtId="0" fontId="60" fillId="61" borderId="25" applyNumberFormat="0" applyAlignment="0" applyProtection="0"/>
    <xf numFmtId="0" fontId="8" fillId="29" borderId="9" applyNumberFormat="0" applyAlignment="0" applyProtection="0"/>
    <xf numFmtId="0" fontId="8" fillId="29" borderId="9" applyNumberFormat="0" applyAlignment="0" applyProtection="0"/>
    <xf numFmtId="0" fontId="8" fillId="29" borderId="9" applyNumberFormat="0" applyAlignment="0" applyProtection="0"/>
    <xf numFmtId="0" fontId="8" fillId="29" borderId="9" applyNumberFormat="0" applyAlignment="0" applyProtection="0"/>
    <xf numFmtId="0" fontId="8" fillId="29" borderId="9" applyNumberFormat="0" applyAlignment="0" applyProtection="0"/>
    <xf numFmtId="0" fontId="8" fillId="29" borderId="9" applyNumberFormat="0" applyAlignment="0" applyProtection="0"/>
    <xf numFmtId="0" fontId="8" fillId="29" borderId="9" applyNumberFormat="0" applyAlignment="0" applyProtection="0"/>
    <xf numFmtId="0" fontId="8" fillId="29" borderId="9" applyNumberFormat="0" applyAlignment="0" applyProtection="0"/>
    <xf numFmtId="0" fontId="8" fillId="29" borderId="9" applyNumberFormat="0" applyAlignment="0" applyProtection="0"/>
    <xf numFmtId="0" fontId="8" fillId="29" borderId="9" applyNumberFormat="0" applyAlignment="0" applyProtection="0"/>
    <xf numFmtId="0" fontId="8" fillId="29" borderId="9" applyNumberFormat="0" applyAlignment="0" applyProtection="0"/>
    <xf numFmtId="0" fontId="8" fillId="29" borderId="9" applyNumberFormat="0" applyAlignment="0" applyProtection="0"/>
    <xf numFmtId="0" fontId="8" fillId="29" borderId="9" applyNumberFormat="0" applyAlignment="0" applyProtection="0"/>
    <xf numFmtId="0" fontId="8" fillId="29" borderId="9" applyNumberFormat="0" applyAlignment="0" applyProtection="0"/>
    <xf numFmtId="0" fontId="8" fillId="29" borderId="9" applyNumberFormat="0" applyAlignment="0" applyProtection="0"/>
    <xf numFmtId="0" fontId="8" fillId="29" borderId="9" applyNumberFormat="0" applyAlignment="0" applyProtection="0"/>
    <xf numFmtId="0" fontId="8" fillId="29" borderId="9" applyNumberFormat="0" applyAlignment="0" applyProtection="0"/>
    <xf numFmtId="0" fontId="8" fillId="29" borderId="9" applyNumberFormat="0" applyAlignment="0" applyProtection="0"/>
    <xf numFmtId="0" fontId="8" fillId="29" borderId="9" applyNumberFormat="0" applyAlignment="0" applyProtection="0"/>
    <xf numFmtId="0" fontId="8" fillId="29" borderId="9" applyNumberFormat="0" applyAlignment="0" applyProtection="0"/>
    <xf numFmtId="0" fontId="8" fillId="29" borderId="9" applyNumberFormat="0" applyAlignment="0" applyProtection="0"/>
    <xf numFmtId="0" fontId="8" fillId="29" borderId="9" applyNumberFormat="0" applyAlignment="0" applyProtection="0"/>
    <xf numFmtId="0" fontId="8" fillId="29" borderId="9" applyNumberFormat="0" applyAlignment="0" applyProtection="0"/>
    <xf numFmtId="0" fontId="8" fillId="29" borderId="9" applyNumberFormat="0" applyAlignment="0" applyProtection="0"/>
    <xf numFmtId="0" fontId="8" fillId="29" borderId="9" applyNumberFormat="0" applyAlignment="0" applyProtection="0"/>
    <xf numFmtId="0" fontId="8" fillId="29" borderId="9" applyNumberFormat="0" applyAlignment="0" applyProtection="0"/>
    <xf numFmtId="0" fontId="8" fillId="29" borderId="9" applyNumberFormat="0" applyAlignment="0" applyProtection="0"/>
    <xf numFmtId="0" fontId="8" fillId="29" borderId="9" applyNumberFormat="0" applyAlignment="0" applyProtection="0"/>
    <xf numFmtId="0" fontId="8" fillId="29" borderId="9" applyNumberFormat="0" applyAlignment="0" applyProtection="0"/>
    <xf numFmtId="0" fontId="8" fillId="29" borderId="9" applyNumberFormat="0" applyAlignment="0" applyProtection="0"/>
    <xf numFmtId="0" fontId="8" fillId="29" borderId="9" applyNumberFormat="0" applyAlignment="0" applyProtection="0"/>
    <xf numFmtId="0" fontId="8" fillId="29" borderId="9" applyNumberFormat="0" applyAlignment="0" applyProtection="0"/>
    <xf numFmtId="0" fontId="8" fillId="29" borderId="9" applyNumberFormat="0" applyAlignment="0" applyProtection="0"/>
    <xf numFmtId="0" fontId="8" fillId="29" borderId="9" applyNumberFormat="0" applyAlignment="0" applyProtection="0"/>
    <xf numFmtId="0" fontId="8" fillId="29" borderId="9" applyNumberFormat="0" applyAlignment="0" applyProtection="0"/>
    <xf numFmtId="0" fontId="8" fillId="29" borderId="9" applyNumberFormat="0" applyAlignment="0" applyProtection="0"/>
    <xf numFmtId="0" fontId="8" fillId="29" borderId="9" applyNumberFormat="0" applyAlignment="0" applyProtection="0"/>
    <xf numFmtId="0" fontId="8" fillId="29" borderId="9" applyNumberFormat="0" applyAlignment="0" applyProtection="0"/>
    <xf numFmtId="0" fontId="8" fillId="29" borderId="9" applyNumberFormat="0" applyAlignment="0" applyProtection="0"/>
    <xf numFmtId="0" fontId="8" fillId="29" borderId="9" applyNumberFormat="0" applyAlignment="0" applyProtection="0"/>
    <xf numFmtId="0" fontId="8" fillId="29" borderId="9" applyNumberFormat="0" applyAlignment="0" applyProtection="0"/>
    <xf numFmtId="0" fontId="8" fillId="29" borderId="9" applyNumberFormat="0" applyAlignment="0" applyProtection="0"/>
    <xf numFmtId="0" fontId="8" fillId="29" borderId="9" applyNumberFormat="0" applyAlignment="0" applyProtection="0"/>
    <xf numFmtId="0" fontId="8" fillId="29" borderId="9" applyNumberFormat="0" applyAlignment="0" applyProtection="0"/>
    <xf numFmtId="0" fontId="8" fillId="29" borderId="9" applyNumberFormat="0" applyAlignment="0" applyProtection="0"/>
    <xf numFmtId="0" fontId="8" fillId="29" borderId="9" applyNumberFormat="0" applyAlignment="0" applyProtection="0"/>
    <xf numFmtId="0" fontId="8" fillId="29" borderId="9" applyNumberFormat="0" applyAlignment="0" applyProtection="0"/>
    <xf numFmtId="0" fontId="8" fillId="29" borderId="9" applyNumberFormat="0" applyAlignment="0" applyProtection="0"/>
    <xf numFmtId="0" fontId="8" fillId="29" borderId="9" applyNumberFormat="0" applyAlignment="0" applyProtection="0"/>
    <xf numFmtId="0" fontId="8" fillId="29" borderId="9" applyNumberFormat="0" applyAlignment="0" applyProtection="0"/>
    <xf numFmtId="0" fontId="8" fillId="29" borderId="9" applyNumberFormat="0" applyAlignment="0" applyProtection="0"/>
    <xf numFmtId="0" fontId="8" fillId="29" borderId="9" applyNumberFormat="0" applyAlignment="0" applyProtection="0"/>
    <xf numFmtId="49" fontId="4" fillId="24" borderId="10">
      <alignment vertical="top" wrapText="1"/>
    </xf>
    <xf numFmtId="41" fontId="4" fillId="0" borderId="0" applyFont="0" applyFill="0" applyBorder="0" applyAlignment="0" applyProtection="0"/>
    <xf numFmtId="41" fontId="4" fillId="0" borderId="0" applyFont="0" applyFill="0" applyBorder="0" applyAlignment="0" applyProtection="0"/>
    <xf numFmtId="41" fontId="4" fillId="0" borderId="0" applyFont="0" applyFill="0" applyBorder="0" applyAlignment="0" applyProtection="0"/>
    <xf numFmtId="41" fontId="4" fillId="0" borderId="0" applyFont="0" applyFill="0" applyBorder="0" applyAlignment="0" applyProtection="0"/>
    <xf numFmtId="41" fontId="4" fillId="0" borderId="0" applyFont="0" applyFill="0" applyBorder="0" applyAlignment="0" applyProtection="0"/>
    <xf numFmtId="41" fontId="4" fillId="0" borderId="0" applyFont="0" applyFill="0" applyBorder="0" applyAlignment="0" applyProtection="0"/>
    <xf numFmtId="41" fontId="4" fillId="0" borderId="0" applyFont="0" applyFill="0" applyBorder="0" applyAlignment="0" applyProtection="0"/>
    <xf numFmtId="41" fontId="4" fillId="0" borderId="0" applyFont="0" applyFill="0" applyBorder="0" applyAlignment="0" applyProtection="0"/>
    <xf numFmtId="41" fontId="4" fillId="0" borderId="0" applyFont="0" applyFill="0" applyBorder="0" applyAlignment="0" applyProtection="0"/>
    <xf numFmtId="164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164" fontId="4" fillId="0" borderId="0" applyFont="0" applyFill="0" applyBorder="0" applyAlignment="0" applyProtection="0"/>
    <xf numFmtId="164" fontId="4" fillId="0" borderId="0" applyFont="0" applyFill="0" applyBorder="0" applyAlignment="0" applyProtection="0"/>
    <xf numFmtId="164" fontId="4" fillId="0" borderId="0" applyFont="0" applyFill="0" applyBorder="0" applyAlignment="0" applyProtection="0"/>
    <xf numFmtId="167" fontId="4" fillId="0" borderId="0" applyFont="0" applyFill="0" applyBorder="0" applyAlignment="0" applyProtection="0"/>
    <xf numFmtId="164" fontId="4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43" fontId="4" fillId="0" borderId="0" applyFont="0" applyFill="0" applyBorder="0" applyAlignment="0" applyProtection="0"/>
    <xf numFmtId="168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164" fontId="1" fillId="0" borderId="0" applyFont="0" applyFill="0" applyBorder="0" applyAlignment="0" applyProtection="0"/>
    <xf numFmtId="168" fontId="4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4" fillId="0" borderId="0" applyFont="0" applyFill="0" applyBorder="0" applyAlignment="0" applyProtection="0"/>
    <xf numFmtId="168" fontId="4" fillId="0" borderId="0" applyFont="0" applyFill="0" applyBorder="0" applyAlignment="0" applyProtection="0"/>
    <xf numFmtId="164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168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168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168" fontId="4" fillId="0" borderId="0" applyFont="0" applyFill="0" applyBorder="0" applyAlignment="0" applyProtection="0"/>
    <xf numFmtId="164" fontId="1" fillId="0" borderId="0" applyFont="0" applyFill="0" applyBorder="0" applyAlignment="0" applyProtection="0"/>
    <xf numFmtId="168" fontId="4" fillId="0" borderId="0" applyFont="0" applyFill="0" applyBorder="0" applyAlignment="0" applyProtection="0"/>
    <xf numFmtId="164" fontId="4" fillId="0" borderId="0" applyFont="0" applyFill="0" applyBorder="0" applyAlignment="0" applyProtection="0"/>
    <xf numFmtId="164" fontId="4" fillId="0" borderId="0" applyFont="0" applyFill="0" applyBorder="0" applyAlignment="0" applyProtection="0"/>
    <xf numFmtId="164" fontId="4" fillId="0" borderId="0" applyFont="0" applyFill="0" applyBorder="0" applyAlignment="0" applyProtection="0"/>
    <xf numFmtId="164" fontId="4" fillId="0" borderId="0" applyFont="0" applyFill="0" applyBorder="0" applyAlignment="0" applyProtection="0"/>
    <xf numFmtId="164" fontId="4" fillId="0" borderId="0" applyFont="0" applyFill="0" applyBorder="0" applyAlignment="0" applyProtection="0"/>
    <xf numFmtId="164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164" fontId="4" fillId="0" borderId="0" applyFont="0" applyFill="0" applyBorder="0" applyAlignment="0" applyProtection="0"/>
    <xf numFmtId="164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168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164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164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164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164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168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164" fontId="4" fillId="0" borderId="0" applyFont="0" applyFill="0" applyBorder="0" applyAlignment="0" applyProtection="0"/>
    <xf numFmtId="164" fontId="4" fillId="0" borderId="0" applyFont="0" applyFill="0" applyBorder="0" applyAlignment="0" applyProtection="0"/>
    <xf numFmtId="164" fontId="4" fillId="0" borderId="0" applyFont="0" applyFill="0" applyBorder="0" applyAlignment="0" applyProtection="0"/>
    <xf numFmtId="164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164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164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168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164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164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164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168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164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168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168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168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164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164" fontId="4" fillId="0" borderId="0" applyFont="0" applyFill="0" applyBorder="0" applyAlignment="0" applyProtection="0"/>
    <xf numFmtId="168" fontId="4" fillId="0" borderId="0" applyFont="0" applyFill="0" applyBorder="0" applyAlignment="0" applyProtection="0"/>
    <xf numFmtId="164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168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167" fontId="4" fillId="0" borderId="0" applyFont="0" applyFill="0" applyBorder="0" applyAlignment="0" applyProtection="0"/>
    <xf numFmtId="164" fontId="4" fillId="0" borderId="0" applyFont="0" applyFill="0" applyBorder="0" applyAlignment="0" applyProtection="0"/>
    <xf numFmtId="164" fontId="1" fillId="0" borderId="0" applyFont="0" applyFill="0" applyBorder="0" applyAlignment="0" applyProtection="0"/>
    <xf numFmtId="43" fontId="4" fillId="0" borderId="0" applyFont="0" applyFill="0" applyBorder="0" applyAlignment="0" applyProtection="0"/>
    <xf numFmtId="164" fontId="27" fillId="0" borderId="0" applyFont="0" applyFill="0" applyBorder="0" applyAlignment="0" applyProtection="0"/>
    <xf numFmtId="164" fontId="4" fillId="0" borderId="0" applyFont="0" applyFill="0" applyBorder="0" applyAlignment="0" applyProtection="0"/>
    <xf numFmtId="164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164" fontId="27" fillId="0" borderId="0" applyFont="0" applyFill="0" applyBorder="0" applyAlignment="0" applyProtection="0"/>
    <xf numFmtId="164" fontId="27" fillId="0" borderId="0" applyFont="0" applyFill="0" applyBorder="0" applyAlignment="0" applyProtection="0"/>
    <xf numFmtId="164" fontId="1" fillId="0" borderId="0" applyFont="0" applyFill="0" applyBorder="0" applyAlignment="0" applyProtection="0"/>
    <xf numFmtId="43" fontId="4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164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164" fontId="27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167" fontId="4" fillId="0" borderId="0" applyFont="0" applyFill="0" applyBorder="0" applyAlignment="0" applyProtection="0"/>
    <xf numFmtId="43" fontId="27" fillId="0" borderId="0" applyFont="0" applyFill="0" applyBorder="0" applyAlignment="0" applyProtection="0"/>
    <xf numFmtId="167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167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27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167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0" fontId="28" fillId="0" borderId="0" applyFont="0" applyFill="0" applyBorder="0" applyAlignment="0" applyProtection="0"/>
    <xf numFmtId="43" fontId="4" fillId="0" borderId="0" applyFont="0" applyFill="0" applyBorder="0" applyAlignment="0" applyProtection="0"/>
    <xf numFmtId="164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164" fontId="4" fillId="0" borderId="0" applyFont="0" applyFill="0" applyBorder="0" applyAlignment="0" applyProtection="0"/>
    <xf numFmtId="164" fontId="4" fillId="0" borderId="0" applyFont="0" applyFill="0" applyBorder="0" applyAlignment="0" applyProtection="0"/>
    <xf numFmtId="164" fontId="4" fillId="0" borderId="0" applyFont="0" applyFill="0" applyBorder="0" applyAlignment="0" applyProtection="0"/>
    <xf numFmtId="164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164" fontId="4" fillId="0" borderId="0" applyFont="0" applyFill="0" applyBorder="0" applyAlignment="0" applyProtection="0"/>
    <xf numFmtId="164" fontId="4" fillId="0" borderId="0" applyFont="0" applyFill="0" applyBorder="0" applyAlignment="0" applyProtection="0"/>
    <xf numFmtId="164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0" fontId="28" fillId="0" borderId="0" applyFont="0" applyFill="0" applyBorder="0" applyAlignment="0" applyProtection="0"/>
    <xf numFmtId="164" fontId="4" fillId="0" borderId="0" applyFont="0" applyFill="0" applyBorder="0" applyAlignment="0" applyProtection="0"/>
    <xf numFmtId="164" fontId="4" fillId="0" borderId="0" applyFont="0" applyFill="0" applyBorder="0" applyAlignment="0" applyProtection="0"/>
    <xf numFmtId="164" fontId="4" fillId="0" borderId="0" applyFont="0" applyFill="0" applyBorder="0" applyAlignment="0" applyProtection="0"/>
    <xf numFmtId="164" fontId="4" fillId="0" borderId="0" applyFont="0" applyFill="0" applyBorder="0" applyAlignment="0" applyProtection="0"/>
    <xf numFmtId="164" fontId="4" fillId="0" borderId="0" applyFont="0" applyFill="0" applyBorder="0" applyAlignment="0" applyProtection="0"/>
    <xf numFmtId="164" fontId="4" fillId="0" borderId="0" applyFont="0" applyFill="0" applyBorder="0" applyAlignment="0" applyProtection="0"/>
    <xf numFmtId="164" fontId="4" fillId="0" borderId="0" applyFont="0" applyFill="0" applyBorder="0" applyAlignment="0" applyProtection="0"/>
    <xf numFmtId="164" fontId="4" fillId="0" borderId="0" applyFont="0" applyFill="0" applyBorder="0" applyAlignment="0" applyProtection="0"/>
    <xf numFmtId="164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0" fontId="24" fillId="0" borderId="0" applyNumberFormat="0">
      <alignment horizontal="right"/>
    </xf>
    <xf numFmtId="166" fontId="4" fillId="0" borderId="0" applyFont="0" applyFill="0" applyBorder="0" applyAlignment="0" applyProtection="0"/>
    <xf numFmtId="169" fontId="4" fillId="0" borderId="0" applyFont="0" applyFill="0" applyBorder="0" applyAlignment="0" applyProtection="0"/>
    <xf numFmtId="0" fontId="22" fillId="26" borderId="11">
      <alignment horizontal="left" vertical="center" wrapText="1" indent="2"/>
    </xf>
    <xf numFmtId="0" fontId="22" fillId="0" borderId="11">
      <alignment horizontal="left" vertical="center" wrapText="1" indent="2"/>
    </xf>
    <xf numFmtId="0" fontId="22" fillId="25" borderId="2">
      <alignment horizontal="left" vertical="center"/>
    </xf>
    <xf numFmtId="0" fontId="24" fillId="0" borderId="12">
      <alignment horizontal="left" vertical="top" wrapText="1"/>
    </xf>
    <xf numFmtId="3" fontId="29" fillId="0" borderId="10">
      <alignment horizontal="right" vertical="top"/>
    </xf>
    <xf numFmtId="0" fontId="14" fillId="9" borderId="7" applyNumberFormat="0" applyAlignment="0" applyProtection="0"/>
    <xf numFmtId="0" fontId="30" fillId="0" borderId="13"/>
    <xf numFmtId="0" fontId="3" fillId="30" borderId="1">
      <alignment horizontal="centerContinuous" vertical="top" wrapText="1"/>
    </xf>
    <xf numFmtId="0" fontId="31" fillId="0" borderId="0">
      <alignment vertical="top" wrapText="1"/>
    </xf>
    <xf numFmtId="0" fontId="2" fillId="0" borderId="14" applyNumberFormat="0" applyFill="0" applyAlignment="0" applyProtection="0"/>
    <xf numFmtId="0" fontId="9" fillId="0" borderId="0" applyNumberFormat="0" applyFill="0" applyBorder="0" applyAlignment="0" applyProtection="0"/>
    <xf numFmtId="0" fontId="32" fillId="0" borderId="0">
      <alignment vertical="top"/>
    </xf>
    <xf numFmtId="170" fontId="4" fillId="0" borderId="0" applyFont="0" applyFill="0" applyBorder="0" applyAlignment="0" applyProtection="0"/>
    <xf numFmtId="170" fontId="4" fillId="0" borderId="0" applyFont="0" applyFill="0" applyBorder="0" applyAlignment="0" applyProtection="0"/>
    <xf numFmtId="170" fontId="4" fillId="0" borderId="0" applyFont="0" applyFill="0" applyBorder="0" applyAlignment="0" applyProtection="0"/>
    <xf numFmtId="170" fontId="4" fillId="0" borderId="0" applyFont="0" applyFill="0" applyBorder="0" applyAlignment="0" applyProtection="0"/>
    <xf numFmtId="170" fontId="4" fillId="0" borderId="0" applyFont="0" applyFill="0" applyBorder="0" applyAlignment="0" applyProtection="0"/>
    <xf numFmtId="170" fontId="4" fillId="0" borderId="0" applyFont="0" applyFill="0" applyBorder="0" applyAlignment="0" applyProtection="0"/>
    <xf numFmtId="170" fontId="4" fillId="0" borderId="0" applyFont="0" applyFill="0" applyBorder="0" applyAlignment="0" applyProtection="0"/>
    <xf numFmtId="170" fontId="4" fillId="0" borderId="0" applyFont="0" applyFill="0" applyBorder="0" applyAlignment="0" applyProtection="0"/>
    <xf numFmtId="170" fontId="4" fillId="0" borderId="0" applyFont="0" applyFill="0" applyBorder="0" applyAlignment="0" applyProtection="0"/>
    <xf numFmtId="170" fontId="4" fillId="0" borderId="0" applyFont="0" applyFill="0" applyBorder="0" applyAlignment="0" applyProtection="0"/>
    <xf numFmtId="170" fontId="4" fillId="0" borderId="0" applyFont="0" applyFill="0" applyBorder="0" applyAlignment="0" applyProtection="0"/>
    <xf numFmtId="170" fontId="4" fillId="0" borderId="0" applyFont="0" applyFill="0" applyBorder="0" applyAlignment="0" applyProtection="0"/>
    <xf numFmtId="170" fontId="4" fillId="0" borderId="0" applyFont="0" applyFill="0" applyBorder="0" applyAlignment="0" applyProtection="0"/>
    <xf numFmtId="170" fontId="4" fillId="0" borderId="0" applyFont="0" applyFill="0" applyBorder="0" applyAlignment="0" applyProtection="0"/>
    <xf numFmtId="170" fontId="4" fillId="0" borderId="0" applyFont="0" applyFill="0" applyBorder="0" applyAlignment="0" applyProtection="0"/>
    <xf numFmtId="171" fontId="4" fillId="0" borderId="0" applyFont="0" applyFill="0" applyBorder="0" applyAlignment="0" applyProtection="0"/>
    <xf numFmtId="171" fontId="4" fillId="0" borderId="0" applyFont="0" applyFill="0" applyBorder="0" applyAlignment="0" applyProtection="0"/>
    <xf numFmtId="171" fontId="4" fillId="0" borderId="0" applyFont="0" applyFill="0" applyBorder="0" applyAlignment="0" applyProtection="0"/>
    <xf numFmtId="170" fontId="4" fillId="0" borderId="0" applyFont="0" applyFill="0" applyBorder="0" applyAlignment="0" applyProtection="0"/>
    <xf numFmtId="171" fontId="4" fillId="0" borderId="0" applyFont="0" applyFill="0" applyBorder="0" applyAlignment="0" applyProtection="0"/>
    <xf numFmtId="170" fontId="4" fillId="0" borderId="0" applyFont="0" applyFill="0" applyBorder="0" applyAlignment="0" applyProtection="0"/>
    <xf numFmtId="172" fontId="4" fillId="0" borderId="0" applyFont="0" applyFill="0" applyBorder="0" applyAlignment="0" applyProtection="0"/>
    <xf numFmtId="173" fontId="4" fillId="0" borderId="0" applyFont="0" applyFill="0" applyBorder="0" applyAlignment="0" applyProtection="0"/>
    <xf numFmtId="170" fontId="4" fillId="0" borderId="0" applyFont="0" applyFill="0" applyBorder="0" applyAlignment="0" applyProtection="0"/>
    <xf numFmtId="170" fontId="4" fillId="0" borderId="0" applyFont="0" applyFill="0" applyBorder="0" applyAlignment="0" applyProtection="0"/>
    <xf numFmtId="173" fontId="4" fillId="0" borderId="0" applyFont="0" applyFill="0" applyBorder="0" applyAlignment="0" applyProtection="0"/>
    <xf numFmtId="174" fontId="27" fillId="0" borderId="0" applyFont="0" applyFill="0" applyBorder="0" applyAlignment="0" applyProtection="0"/>
    <xf numFmtId="170" fontId="4" fillId="0" borderId="0" applyFont="0" applyFill="0" applyBorder="0" applyAlignment="0" applyProtection="0"/>
    <xf numFmtId="170" fontId="4" fillId="0" borderId="0" applyFont="0" applyFill="0" applyBorder="0" applyAlignment="0" applyProtection="0"/>
    <xf numFmtId="170" fontId="4" fillId="0" borderId="0" applyFont="0" applyFill="0" applyBorder="0" applyAlignment="0" applyProtection="0"/>
    <xf numFmtId="170" fontId="4" fillId="0" borderId="0" applyFont="0" applyFill="0" applyBorder="0" applyAlignment="0" applyProtection="0"/>
    <xf numFmtId="170" fontId="4" fillId="0" borderId="0" applyFont="0" applyFill="0" applyBorder="0" applyAlignment="0" applyProtection="0"/>
    <xf numFmtId="170" fontId="4" fillId="0" borderId="0" applyFont="0" applyFill="0" applyBorder="0" applyAlignment="0" applyProtection="0"/>
    <xf numFmtId="170" fontId="4" fillId="0" borderId="0" applyFont="0" applyFill="0" applyBorder="0" applyAlignment="0" applyProtection="0"/>
    <xf numFmtId="170" fontId="4" fillId="0" borderId="0" applyFont="0" applyFill="0" applyBorder="0" applyAlignment="0" applyProtection="0"/>
    <xf numFmtId="170" fontId="4" fillId="0" borderId="0" applyFont="0" applyFill="0" applyBorder="0" applyAlignment="0" applyProtection="0"/>
    <xf numFmtId="170" fontId="4" fillId="0" borderId="0" applyFont="0" applyFill="0" applyBorder="0" applyAlignment="0" applyProtection="0"/>
    <xf numFmtId="173" fontId="4" fillId="0" borderId="0" applyFont="0" applyFill="0" applyBorder="0" applyAlignment="0" applyProtection="0"/>
    <xf numFmtId="170" fontId="4" fillId="0" borderId="0" applyFont="0" applyFill="0" applyBorder="0" applyAlignment="0" applyProtection="0"/>
    <xf numFmtId="171" fontId="4" fillId="0" borderId="0" applyFont="0" applyFill="0" applyBorder="0" applyAlignment="0" applyProtection="0"/>
    <xf numFmtId="170" fontId="4" fillId="0" borderId="0" applyFont="0" applyFill="0" applyBorder="0" applyAlignment="0" applyProtection="0"/>
    <xf numFmtId="175" fontId="4" fillId="0" borderId="0" applyFont="0" applyFill="0" applyBorder="0" applyAlignment="0" applyProtection="0"/>
    <xf numFmtId="175" fontId="4" fillId="0" borderId="0" applyFont="0" applyFill="0" applyBorder="0" applyAlignment="0" applyProtection="0"/>
    <xf numFmtId="175" fontId="4" fillId="0" borderId="0" applyFont="0" applyFill="0" applyBorder="0" applyAlignment="0" applyProtection="0"/>
    <xf numFmtId="175" fontId="4" fillId="0" borderId="0" applyFont="0" applyFill="0" applyBorder="0" applyAlignment="0" applyProtection="0"/>
    <xf numFmtId="175" fontId="4" fillId="0" borderId="0" applyFont="0" applyFill="0" applyBorder="0" applyAlignment="0" applyProtection="0"/>
    <xf numFmtId="175" fontId="4" fillId="0" borderId="0" applyFont="0" applyFill="0" applyBorder="0" applyAlignment="0" applyProtection="0"/>
    <xf numFmtId="175" fontId="4" fillId="0" borderId="0" applyFont="0" applyFill="0" applyBorder="0" applyAlignment="0" applyProtection="0"/>
    <xf numFmtId="173" fontId="4" fillId="0" borderId="0" applyFont="0" applyFill="0" applyBorder="0" applyAlignment="0" applyProtection="0"/>
    <xf numFmtId="175" fontId="4" fillId="0" borderId="0" applyFont="0" applyFill="0" applyBorder="0" applyAlignment="0" applyProtection="0"/>
    <xf numFmtId="173" fontId="4" fillId="0" borderId="0" applyFont="0" applyFill="0" applyBorder="0" applyAlignment="0" applyProtection="0"/>
    <xf numFmtId="176" fontId="4" fillId="0" borderId="0" applyFont="0" applyFill="0" applyBorder="0" applyAlignment="0" applyProtection="0"/>
    <xf numFmtId="170" fontId="4" fillId="0" borderId="0" applyFont="0" applyFill="0" applyBorder="0" applyAlignment="0" applyProtection="0"/>
    <xf numFmtId="170" fontId="4" fillId="0" borderId="0" applyFont="0" applyFill="0" applyBorder="0" applyAlignment="0" applyProtection="0"/>
    <xf numFmtId="170" fontId="4" fillId="0" borderId="0" applyFont="0" applyFill="0" applyBorder="0" applyAlignment="0" applyProtection="0"/>
    <xf numFmtId="170" fontId="4" fillId="0" borderId="0" applyFont="0" applyFill="0" applyBorder="0" applyAlignment="0" applyProtection="0"/>
    <xf numFmtId="170" fontId="4" fillId="0" borderId="0" applyFont="0" applyFill="0" applyBorder="0" applyAlignment="0" applyProtection="0"/>
    <xf numFmtId="170" fontId="4" fillId="0" borderId="0" applyFont="0" applyFill="0" applyBorder="0" applyAlignment="0" applyProtection="0"/>
    <xf numFmtId="170" fontId="4" fillId="0" borderId="0" applyFont="0" applyFill="0" applyBorder="0" applyAlignment="0" applyProtection="0"/>
    <xf numFmtId="170" fontId="4" fillId="0" borderId="0" applyFont="0" applyFill="0" applyBorder="0" applyAlignment="0" applyProtection="0"/>
    <xf numFmtId="170" fontId="4" fillId="0" borderId="0" applyFont="0" applyFill="0" applyBorder="0" applyAlignment="0" applyProtection="0"/>
    <xf numFmtId="170" fontId="4" fillId="0" borderId="0" applyFont="0" applyFill="0" applyBorder="0" applyAlignment="0" applyProtection="0"/>
    <xf numFmtId="170" fontId="4" fillId="0" borderId="0" applyFont="0" applyFill="0" applyBorder="0" applyAlignment="0" applyProtection="0"/>
    <xf numFmtId="170" fontId="4" fillId="0" borderId="0" applyFont="0" applyFill="0" applyBorder="0" applyAlignment="0" applyProtection="0"/>
    <xf numFmtId="170" fontId="4" fillId="0" borderId="0" applyFont="0" applyFill="0" applyBorder="0" applyAlignment="0" applyProtection="0"/>
    <xf numFmtId="173" fontId="4" fillId="0" borderId="0" applyFont="0" applyFill="0" applyBorder="0" applyAlignment="0" applyProtection="0"/>
    <xf numFmtId="170" fontId="4" fillId="0" borderId="0" applyFont="0" applyFill="0" applyBorder="0" applyAlignment="0" applyProtection="0"/>
    <xf numFmtId="170" fontId="4" fillId="0" borderId="0" applyFont="0" applyFill="0" applyBorder="0" applyAlignment="0" applyProtection="0"/>
    <xf numFmtId="170" fontId="4" fillId="0" borderId="0" applyFont="0" applyFill="0" applyBorder="0" applyAlignment="0" applyProtection="0"/>
    <xf numFmtId="170" fontId="4" fillId="0" borderId="0" applyFont="0" applyFill="0" applyBorder="0" applyAlignment="0" applyProtection="0"/>
    <xf numFmtId="170" fontId="4" fillId="0" borderId="0" applyFont="0" applyFill="0" applyBorder="0" applyAlignment="0" applyProtection="0"/>
    <xf numFmtId="170" fontId="4" fillId="0" borderId="0" applyFont="0" applyFill="0" applyBorder="0" applyAlignment="0" applyProtection="0"/>
    <xf numFmtId="170" fontId="4" fillId="0" borderId="0" applyFont="0" applyFill="0" applyBorder="0" applyAlignment="0" applyProtection="0"/>
    <xf numFmtId="173" fontId="4" fillId="0" borderId="0" applyFont="0" applyFill="0" applyBorder="0" applyAlignment="0" applyProtection="0"/>
    <xf numFmtId="170" fontId="4" fillId="0" borderId="0" applyFont="0" applyFill="0" applyBorder="0" applyAlignment="0" applyProtection="0"/>
    <xf numFmtId="170" fontId="4" fillId="0" borderId="0" applyFont="0" applyFill="0" applyBorder="0" applyAlignment="0" applyProtection="0"/>
    <xf numFmtId="170" fontId="4" fillId="0" borderId="0" applyFont="0" applyFill="0" applyBorder="0" applyAlignment="0" applyProtection="0"/>
    <xf numFmtId="170" fontId="4" fillId="0" borderId="0" applyFont="0" applyFill="0" applyBorder="0" applyAlignment="0" applyProtection="0"/>
    <xf numFmtId="170" fontId="4" fillId="0" borderId="0" applyFont="0" applyFill="0" applyBorder="0" applyAlignment="0" applyProtection="0"/>
    <xf numFmtId="170" fontId="4" fillId="0" borderId="0" applyFont="0" applyFill="0" applyBorder="0" applyAlignment="0" applyProtection="0"/>
    <xf numFmtId="170" fontId="4" fillId="0" borderId="0" applyFont="0" applyFill="0" applyBorder="0" applyAlignment="0" applyProtection="0"/>
    <xf numFmtId="170" fontId="4" fillId="0" borderId="0" applyFont="0" applyFill="0" applyBorder="0" applyAlignment="0" applyProtection="0"/>
    <xf numFmtId="170" fontId="4" fillId="0" borderId="0" applyFont="0" applyFill="0" applyBorder="0" applyAlignment="0" applyProtection="0"/>
    <xf numFmtId="170" fontId="4" fillId="0" borderId="0" applyFont="0" applyFill="0" applyBorder="0" applyAlignment="0" applyProtection="0"/>
    <xf numFmtId="170" fontId="4" fillId="0" borderId="0" applyFont="0" applyFill="0" applyBorder="0" applyAlignment="0" applyProtection="0"/>
    <xf numFmtId="170" fontId="4" fillId="0" borderId="0" applyFont="0" applyFill="0" applyBorder="0" applyAlignment="0" applyProtection="0"/>
    <xf numFmtId="170" fontId="4" fillId="0" borderId="0" applyFont="0" applyFill="0" applyBorder="0" applyAlignment="0" applyProtection="0"/>
    <xf numFmtId="170" fontId="4" fillId="0" borderId="0" applyFont="0" applyFill="0" applyBorder="0" applyAlignment="0" applyProtection="0"/>
    <xf numFmtId="170" fontId="4" fillId="0" borderId="0" applyFont="0" applyFill="0" applyBorder="0" applyAlignment="0" applyProtection="0"/>
    <xf numFmtId="170" fontId="4" fillId="0" borderId="0" applyFont="0" applyFill="0" applyBorder="0" applyAlignment="0" applyProtection="0"/>
    <xf numFmtId="170" fontId="4" fillId="0" borderId="0" applyFont="0" applyFill="0" applyBorder="0" applyAlignment="0" applyProtection="0"/>
    <xf numFmtId="170" fontId="4" fillId="0" borderId="0" applyFont="0" applyFill="0" applyBorder="0" applyAlignment="0" applyProtection="0"/>
    <xf numFmtId="170" fontId="4" fillId="0" borderId="0" applyFont="0" applyFill="0" applyBorder="0" applyAlignment="0" applyProtection="0"/>
    <xf numFmtId="170" fontId="4" fillId="0" borderId="0" applyFont="0" applyFill="0" applyBorder="0" applyAlignment="0" applyProtection="0"/>
    <xf numFmtId="170" fontId="4" fillId="0" borderId="0" applyFont="0" applyFill="0" applyBorder="0" applyAlignment="0" applyProtection="0"/>
    <xf numFmtId="170" fontId="4" fillId="0" borderId="0" applyFont="0" applyFill="0" applyBorder="0" applyAlignment="0" applyProtection="0"/>
    <xf numFmtId="170" fontId="4" fillId="0" borderId="0" applyFont="0" applyFill="0" applyBorder="0" applyAlignment="0" applyProtection="0"/>
    <xf numFmtId="170" fontId="4" fillId="0" borderId="0" applyFont="0" applyFill="0" applyBorder="0" applyAlignment="0" applyProtection="0"/>
    <xf numFmtId="170" fontId="4" fillId="0" borderId="0" applyFont="0" applyFill="0" applyBorder="0" applyAlignment="0" applyProtection="0"/>
    <xf numFmtId="170" fontId="4" fillId="0" borderId="0" applyFont="0" applyFill="0" applyBorder="0" applyAlignment="0" applyProtection="0"/>
    <xf numFmtId="170" fontId="4" fillId="0" borderId="0" applyFont="0" applyFill="0" applyBorder="0" applyAlignment="0" applyProtection="0"/>
    <xf numFmtId="170" fontId="4" fillId="0" borderId="0" applyFont="0" applyFill="0" applyBorder="0" applyAlignment="0" applyProtection="0"/>
    <xf numFmtId="170" fontId="4" fillId="0" borderId="0" applyFont="0" applyFill="0" applyBorder="0" applyAlignment="0" applyProtection="0"/>
    <xf numFmtId="170" fontId="4" fillId="0" borderId="0" applyFont="0" applyFill="0" applyBorder="0" applyAlignment="0" applyProtection="0"/>
    <xf numFmtId="170" fontId="4" fillId="0" borderId="0" applyFont="0" applyFill="0" applyBorder="0" applyAlignment="0" applyProtection="0"/>
    <xf numFmtId="170" fontId="4" fillId="0" borderId="0" applyFont="0" applyFill="0" applyBorder="0" applyAlignment="0" applyProtection="0"/>
    <xf numFmtId="172" fontId="4" fillId="0" borderId="0" applyFont="0" applyFill="0" applyBorder="0" applyAlignment="0" applyProtection="0"/>
    <xf numFmtId="170" fontId="4" fillId="0" borderId="0" applyFont="0" applyFill="0" applyBorder="0" applyAlignment="0" applyProtection="0"/>
    <xf numFmtId="174" fontId="27" fillId="0" borderId="0" applyFont="0" applyFill="0" applyBorder="0" applyAlignment="0" applyProtection="0"/>
    <xf numFmtId="170" fontId="4" fillId="0" borderId="0" applyFont="0" applyFill="0" applyBorder="0" applyAlignment="0" applyProtection="0"/>
    <xf numFmtId="170" fontId="4" fillId="0" borderId="0" applyFont="0" applyFill="0" applyBorder="0" applyAlignment="0" applyProtection="0"/>
    <xf numFmtId="175" fontId="4" fillId="0" borderId="0" applyFont="0" applyFill="0" applyBorder="0" applyAlignment="0" applyProtection="0"/>
    <xf numFmtId="170" fontId="4" fillId="0" borderId="0" applyFont="0" applyFill="0" applyBorder="0" applyAlignment="0" applyProtection="0"/>
    <xf numFmtId="173" fontId="4" fillId="0" borderId="0" applyFont="0" applyFill="0" applyBorder="0" applyAlignment="0" applyProtection="0"/>
    <xf numFmtId="174" fontId="27" fillId="0" borderId="0" applyFont="0" applyFill="0" applyBorder="0" applyAlignment="0" applyProtection="0"/>
    <xf numFmtId="173" fontId="4" fillId="0" borderId="0" applyFont="0" applyFill="0" applyBorder="0" applyAlignment="0" applyProtection="0"/>
    <xf numFmtId="170" fontId="4" fillId="0" borderId="0" applyFont="0" applyFill="0" applyBorder="0" applyAlignment="0" applyProtection="0"/>
    <xf numFmtId="170" fontId="4" fillId="0" borderId="0" applyFont="0" applyFill="0" applyBorder="0" applyAlignment="0" applyProtection="0"/>
    <xf numFmtId="170" fontId="4" fillId="0" borderId="0" applyFont="0" applyFill="0" applyBorder="0" applyAlignment="0" applyProtection="0"/>
    <xf numFmtId="173" fontId="4" fillId="0" borderId="0" applyFont="0" applyFill="0" applyBorder="0" applyAlignment="0" applyProtection="0"/>
    <xf numFmtId="170" fontId="4" fillId="0" borderId="0" applyFont="0" applyFill="0" applyBorder="0" applyAlignment="0" applyProtection="0"/>
    <xf numFmtId="170" fontId="4" fillId="0" borderId="0" applyFont="0" applyFill="0" applyBorder="0" applyAlignment="0" applyProtection="0"/>
    <xf numFmtId="170" fontId="4" fillId="0" borderId="0" applyFont="0" applyFill="0" applyBorder="0" applyAlignment="0" applyProtection="0"/>
    <xf numFmtId="170" fontId="4" fillId="0" borderId="0" applyFont="0" applyFill="0" applyBorder="0" applyAlignment="0" applyProtection="0"/>
    <xf numFmtId="175" fontId="4" fillId="0" borderId="0" applyFont="0" applyFill="0" applyBorder="0" applyAlignment="0" applyProtection="0"/>
    <xf numFmtId="0" fontId="61" fillId="0" borderId="0" applyNumberFormat="0" applyFill="0" applyBorder="0" applyAlignment="0" applyProtection="0"/>
    <xf numFmtId="0" fontId="9" fillId="0" borderId="0" applyNumberFormat="0" applyFill="0" applyBorder="0" applyAlignment="0" applyProtection="0"/>
    <xf numFmtId="0" fontId="9" fillId="0" borderId="0" applyNumberFormat="0" applyFill="0" applyBorder="0" applyAlignment="0" applyProtection="0"/>
    <xf numFmtId="0" fontId="9" fillId="0" borderId="0" applyNumberFormat="0" applyFill="0" applyBorder="0" applyAlignment="0" applyProtection="0"/>
    <xf numFmtId="0" fontId="9" fillId="0" borderId="0" applyNumberFormat="0" applyFill="0" applyBorder="0" applyAlignment="0" applyProtection="0"/>
    <xf numFmtId="0" fontId="9" fillId="0" borderId="0" applyNumberFormat="0" applyFill="0" applyBorder="0" applyAlignment="0" applyProtection="0"/>
    <xf numFmtId="0" fontId="9" fillId="0" borderId="0" applyNumberFormat="0" applyFill="0" applyBorder="0" applyAlignment="0" applyProtection="0"/>
    <xf numFmtId="0" fontId="9" fillId="0" borderId="0" applyNumberFormat="0" applyFill="0" applyBorder="0" applyAlignment="0" applyProtection="0"/>
    <xf numFmtId="0" fontId="9" fillId="0" borderId="0" applyNumberFormat="0" applyFill="0" applyBorder="0" applyAlignment="0" applyProtection="0"/>
    <xf numFmtId="0" fontId="9" fillId="0" borderId="0" applyNumberFormat="0" applyFill="0" applyBorder="0" applyAlignment="0" applyProtection="0"/>
    <xf numFmtId="0" fontId="9" fillId="0" borderId="0" applyNumberFormat="0" applyFill="0" applyBorder="0" applyAlignment="0" applyProtection="0"/>
    <xf numFmtId="0" fontId="9" fillId="0" borderId="0" applyNumberFormat="0" applyFill="0" applyBorder="0" applyAlignment="0" applyProtection="0"/>
    <xf numFmtId="0" fontId="9" fillId="0" borderId="0" applyNumberFormat="0" applyFill="0" applyBorder="0" applyAlignment="0" applyProtection="0"/>
    <xf numFmtId="0" fontId="9" fillId="0" borderId="0" applyNumberFormat="0" applyFill="0" applyBorder="0" applyAlignment="0" applyProtection="0"/>
    <xf numFmtId="0" fontId="9" fillId="0" borderId="0" applyNumberFormat="0" applyFill="0" applyBorder="0" applyAlignment="0" applyProtection="0"/>
    <xf numFmtId="0" fontId="9" fillId="0" borderId="0" applyNumberFormat="0" applyFill="0" applyBorder="0" applyAlignment="0" applyProtection="0"/>
    <xf numFmtId="0" fontId="9" fillId="0" borderId="0" applyNumberFormat="0" applyFill="0" applyBorder="0" applyAlignment="0" applyProtection="0"/>
    <xf numFmtId="0" fontId="9" fillId="0" borderId="0" applyNumberFormat="0" applyFill="0" applyBorder="0" applyAlignment="0" applyProtection="0"/>
    <xf numFmtId="0" fontId="9" fillId="0" borderId="0" applyNumberFormat="0" applyFill="0" applyBorder="0" applyAlignment="0" applyProtection="0"/>
    <xf numFmtId="0" fontId="9" fillId="0" borderId="0" applyNumberFormat="0" applyFill="0" applyBorder="0" applyAlignment="0" applyProtection="0"/>
    <xf numFmtId="0" fontId="9" fillId="0" borderId="0" applyNumberFormat="0" applyFill="0" applyBorder="0" applyAlignment="0" applyProtection="0"/>
    <xf numFmtId="0" fontId="9" fillId="0" borderId="0" applyNumberFormat="0" applyFill="0" applyBorder="0" applyAlignment="0" applyProtection="0"/>
    <xf numFmtId="0" fontId="9" fillId="0" borderId="0" applyNumberFormat="0" applyFill="0" applyBorder="0" applyAlignment="0" applyProtection="0"/>
    <xf numFmtId="0" fontId="9" fillId="0" borderId="0" applyNumberFormat="0" applyFill="0" applyBorder="0" applyAlignment="0" applyProtection="0"/>
    <xf numFmtId="0" fontId="9" fillId="0" borderId="0" applyNumberFormat="0" applyFill="0" applyBorder="0" applyAlignment="0" applyProtection="0"/>
    <xf numFmtId="0" fontId="9" fillId="0" borderId="0" applyNumberFormat="0" applyFill="0" applyBorder="0" applyAlignment="0" applyProtection="0"/>
    <xf numFmtId="0" fontId="9" fillId="0" borderId="0" applyNumberFormat="0" applyFill="0" applyBorder="0" applyAlignment="0" applyProtection="0"/>
    <xf numFmtId="0" fontId="9" fillId="0" borderId="0" applyNumberFormat="0" applyFill="0" applyBorder="0" applyAlignment="0" applyProtection="0"/>
    <xf numFmtId="0" fontId="9" fillId="0" borderId="0" applyNumberFormat="0" applyFill="0" applyBorder="0" applyAlignment="0" applyProtection="0"/>
    <xf numFmtId="0" fontId="9" fillId="0" borderId="0" applyNumberFormat="0" applyFill="0" applyBorder="0" applyAlignment="0" applyProtection="0"/>
    <xf numFmtId="0" fontId="9" fillId="0" borderId="0" applyNumberFormat="0" applyFill="0" applyBorder="0" applyAlignment="0" applyProtection="0"/>
    <xf numFmtId="0" fontId="9" fillId="0" borderId="0" applyNumberFormat="0" applyFill="0" applyBorder="0" applyAlignment="0" applyProtection="0"/>
    <xf numFmtId="0" fontId="9" fillId="0" borderId="0" applyNumberFormat="0" applyFill="0" applyBorder="0" applyAlignment="0" applyProtection="0"/>
    <xf numFmtId="0" fontId="9" fillId="0" borderId="0" applyNumberFormat="0" applyFill="0" applyBorder="0" applyAlignment="0" applyProtection="0"/>
    <xf numFmtId="0" fontId="9" fillId="0" borderId="0" applyNumberFormat="0" applyFill="0" applyBorder="0" applyAlignment="0" applyProtection="0"/>
    <xf numFmtId="0" fontId="9" fillId="0" borderId="0" applyNumberFormat="0" applyFill="0" applyBorder="0" applyAlignment="0" applyProtection="0"/>
    <xf numFmtId="0" fontId="9" fillId="0" borderId="0" applyNumberFormat="0" applyFill="0" applyBorder="0" applyAlignment="0" applyProtection="0"/>
    <xf numFmtId="0" fontId="9" fillId="0" borderId="0" applyNumberFormat="0" applyFill="0" applyBorder="0" applyAlignment="0" applyProtection="0"/>
    <xf numFmtId="0" fontId="9" fillId="0" borderId="0" applyNumberFormat="0" applyFill="0" applyBorder="0" applyAlignment="0" applyProtection="0"/>
    <xf numFmtId="0" fontId="9" fillId="0" borderId="0" applyNumberFormat="0" applyFill="0" applyBorder="0" applyAlignment="0" applyProtection="0"/>
    <xf numFmtId="0" fontId="9" fillId="0" borderId="0" applyNumberFormat="0" applyFill="0" applyBorder="0" applyAlignment="0" applyProtection="0"/>
    <xf numFmtId="0" fontId="9" fillId="0" borderId="0" applyNumberFormat="0" applyFill="0" applyBorder="0" applyAlignment="0" applyProtection="0"/>
    <xf numFmtId="0" fontId="9" fillId="0" borderId="0" applyNumberFormat="0" applyFill="0" applyBorder="0" applyAlignment="0" applyProtection="0"/>
    <xf numFmtId="0" fontId="9" fillId="0" borderId="0" applyNumberFormat="0" applyFill="0" applyBorder="0" applyAlignment="0" applyProtection="0"/>
    <xf numFmtId="0" fontId="9" fillId="0" borderId="0" applyNumberFormat="0" applyFill="0" applyBorder="0" applyAlignment="0" applyProtection="0"/>
    <xf numFmtId="0" fontId="9" fillId="0" borderId="0" applyNumberFormat="0" applyFill="0" applyBorder="0" applyAlignment="0" applyProtection="0"/>
    <xf numFmtId="0" fontId="9" fillId="0" borderId="0" applyNumberFormat="0" applyFill="0" applyBorder="0" applyAlignment="0" applyProtection="0"/>
    <xf numFmtId="0" fontId="9" fillId="0" borderId="0" applyNumberFormat="0" applyFill="0" applyBorder="0" applyAlignment="0" applyProtection="0"/>
    <xf numFmtId="0" fontId="9" fillId="0" borderId="0" applyNumberFormat="0" applyFill="0" applyBorder="0" applyAlignment="0" applyProtection="0"/>
    <xf numFmtId="0" fontId="9" fillId="0" borderId="0" applyNumberFormat="0" applyFill="0" applyBorder="0" applyAlignment="0" applyProtection="0"/>
    <xf numFmtId="0" fontId="9" fillId="0" borderId="0" applyNumberFormat="0" applyFill="0" applyBorder="0" applyAlignment="0" applyProtection="0"/>
    <xf numFmtId="0" fontId="9" fillId="0" borderId="0" applyNumberFormat="0" applyFill="0" applyBorder="0" applyAlignment="0" applyProtection="0"/>
    <xf numFmtId="0" fontId="9" fillId="0" borderId="0" applyNumberFormat="0" applyFill="0" applyBorder="0" applyAlignment="0" applyProtection="0"/>
    <xf numFmtId="11" fontId="4" fillId="0" borderId="0" applyFont="0" applyFill="0" applyBorder="0" applyAlignment="0" applyProtection="0"/>
    <xf numFmtId="11" fontId="4" fillId="0" borderId="0" applyFont="0" applyFill="0" applyBorder="0" applyAlignment="0" applyProtection="0"/>
    <xf numFmtId="11" fontId="4" fillId="0" borderId="0" applyFont="0" applyFill="0" applyBorder="0" applyAlignment="0" applyProtection="0"/>
    <xf numFmtId="11" fontId="27" fillId="0" borderId="0" applyFont="0" applyFill="0" applyBorder="0" applyAlignment="0" applyProtection="0"/>
    <xf numFmtId="11" fontId="4" fillId="0" borderId="0" applyFont="0" applyFill="0" applyBorder="0" applyAlignment="0" applyProtection="0"/>
    <xf numFmtId="11" fontId="27" fillId="0" borderId="0" applyFont="0" applyFill="0" applyBorder="0" applyAlignment="0" applyProtection="0"/>
    <xf numFmtId="0" fontId="62" fillId="62" borderId="0" applyNumberFormat="0" applyBorder="0" applyAlignment="0" applyProtection="0"/>
    <xf numFmtId="0" fontId="10" fillId="6" borderId="0" applyNumberFormat="0" applyBorder="0" applyAlignment="0" applyProtection="0"/>
    <xf numFmtId="0" fontId="10" fillId="6" borderId="0" applyNumberFormat="0" applyBorder="0" applyAlignment="0" applyProtection="0"/>
    <xf numFmtId="0" fontId="10" fillId="6" borderId="0" applyNumberFormat="0" applyBorder="0" applyAlignment="0" applyProtection="0"/>
    <xf numFmtId="0" fontId="10" fillId="6" borderId="0" applyNumberFormat="0" applyBorder="0" applyAlignment="0" applyProtection="0"/>
    <xf numFmtId="0" fontId="10" fillId="6" borderId="0" applyNumberFormat="0" applyBorder="0" applyAlignment="0" applyProtection="0"/>
    <xf numFmtId="0" fontId="10" fillId="6" borderId="0" applyNumberFormat="0" applyBorder="0" applyAlignment="0" applyProtection="0"/>
    <xf numFmtId="0" fontId="10" fillId="6" borderId="0" applyNumberFormat="0" applyBorder="0" applyAlignment="0" applyProtection="0"/>
    <xf numFmtId="0" fontId="10" fillId="6" borderId="0" applyNumberFormat="0" applyBorder="0" applyAlignment="0" applyProtection="0"/>
    <xf numFmtId="0" fontId="10" fillId="6" borderId="0" applyNumberFormat="0" applyBorder="0" applyAlignment="0" applyProtection="0"/>
    <xf numFmtId="0" fontId="10" fillId="6" borderId="0" applyNumberFormat="0" applyBorder="0" applyAlignment="0" applyProtection="0"/>
    <xf numFmtId="0" fontId="10" fillId="6" borderId="0" applyNumberFormat="0" applyBorder="0" applyAlignment="0" applyProtection="0"/>
    <xf numFmtId="0" fontId="10" fillId="10" borderId="0" applyNumberFormat="0" applyBorder="0" applyAlignment="0" applyProtection="0"/>
    <xf numFmtId="0" fontId="10" fillId="6" borderId="0" applyNumberFormat="0" applyBorder="0" applyAlignment="0" applyProtection="0"/>
    <xf numFmtId="0" fontId="10" fillId="10" borderId="0" applyNumberFormat="0" applyBorder="0" applyAlignment="0" applyProtection="0"/>
    <xf numFmtId="0" fontId="10" fillId="6" borderId="0" applyNumberFormat="0" applyBorder="0" applyAlignment="0" applyProtection="0"/>
    <xf numFmtId="0" fontId="63" fillId="62" borderId="0" applyNumberFormat="0" applyBorder="0" applyAlignment="0" applyProtection="0"/>
    <xf numFmtId="0" fontId="10" fillId="10" borderId="0" applyNumberFormat="0" applyBorder="0" applyAlignment="0" applyProtection="0"/>
    <xf numFmtId="0" fontId="63" fillId="62" borderId="0" applyNumberFormat="0" applyBorder="0" applyAlignment="0" applyProtection="0"/>
    <xf numFmtId="0" fontId="10" fillId="10" borderId="0" applyNumberFormat="0" applyBorder="0" applyAlignment="0" applyProtection="0"/>
    <xf numFmtId="0" fontId="10" fillId="10" borderId="0" applyNumberFormat="0" applyBorder="0" applyAlignment="0" applyProtection="0"/>
    <xf numFmtId="0" fontId="10" fillId="10" borderId="0" applyNumberFormat="0" applyBorder="0" applyAlignment="0" applyProtection="0"/>
    <xf numFmtId="0" fontId="10" fillId="10" borderId="0" applyNumberFormat="0" applyBorder="0" applyAlignment="0" applyProtection="0"/>
    <xf numFmtId="0" fontId="10" fillId="10" borderId="0" applyNumberFormat="0" applyBorder="0" applyAlignment="0" applyProtection="0"/>
    <xf numFmtId="0" fontId="10" fillId="10" borderId="0" applyNumberFormat="0" applyBorder="0" applyAlignment="0" applyProtection="0"/>
    <xf numFmtId="0" fontId="10" fillId="6" borderId="0" applyNumberFormat="0" applyBorder="0" applyAlignment="0" applyProtection="0"/>
    <xf numFmtId="0" fontId="10" fillId="6" borderId="0" applyNumberFormat="0" applyBorder="0" applyAlignment="0" applyProtection="0"/>
    <xf numFmtId="0" fontId="10" fillId="6" borderId="0" applyNumberFormat="0" applyBorder="0" applyAlignment="0" applyProtection="0"/>
    <xf numFmtId="0" fontId="10" fillId="6" borderId="0" applyNumberFormat="0" applyBorder="0" applyAlignment="0" applyProtection="0"/>
    <xf numFmtId="0" fontId="10" fillId="6" borderId="0" applyNumberFormat="0" applyBorder="0" applyAlignment="0" applyProtection="0"/>
    <xf numFmtId="0" fontId="10" fillId="6" borderId="0" applyNumberFormat="0" applyBorder="0" applyAlignment="0" applyProtection="0"/>
    <xf numFmtId="0" fontId="10" fillId="6" borderId="0" applyNumberFormat="0" applyBorder="0" applyAlignment="0" applyProtection="0"/>
    <xf numFmtId="0" fontId="10" fillId="6" borderId="0" applyNumberFormat="0" applyBorder="0" applyAlignment="0" applyProtection="0"/>
    <xf numFmtId="0" fontId="10" fillId="6" borderId="0" applyNumberFormat="0" applyBorder="0" applyAlignment="0" applyProtection="0"/>
    <xf numFmtId="0" fontId="10" fillId="6" borderId="0" applyNumberFormat="0" applyBorder="0" applyAlignment="0" applyProtection="0"/>
    <xf numFmtId="0" fontId="10" fillId="6" borderId="0" applyNumberFormat="0" applyBorder="0" applyAlignment="0" applyProtection="0"/>
    <xf numFmtId="0" fontId="10" fillId="6" borderId="0" applyNumberFormat="0" applyBorder="0" applyAlignment="0" applyProtection="0"/>
    <xf numFmtId="0" fontId="10" fillId="10" borderId="0" applyNumberFormat="0" applyBorder="0" applyAlignment="0" applyProtection="0"/>
    <xf numFmtId="0" fontId="10" fillId="6" borderId="0" applyNumberFormat="0" applyBorder="0" applyAlignment="0" applyProtection="0"/>
    <xf numFmtId="0" fontId="10" fillId="6" borderId="0" applyNumberFormat="0" applyBorder="0" applyAlignment="0" applyProtection="0"/>
    <xf numFmtId="0" fontId="10" fillId="6" borderId="0" applyNumberFormat="0" applyBorder="0" applyAlignment="0" applyProtection="0"/>
    <xf numFmtId="0" fontId="10" fillId="6" borderId="0" applyNumberFormat="0" applyBorder="0" applyAlignment="0" applyProtection="0"/>
    <xf numFmtId="0" fontId="10" fillId="6" borderId="0" applyNumberFormat="0" applyBorder="0" applyAlignment="0" applyProtection="0"/>
    <xf numFmtId="0" fontId="10" fillId="6" borderId="0" applyNumberFormat="0" applyBorder="0" applyAlignment="0" applyProtection="0"/>
    <xf numFmtId="0" fontId="10" fillId="6" borderId="0" applyNumberFormat="0" applyBorder="0" applyAlignment="0" applyProtection="0"/>
    <xf numFmtId="0" fontId="10" fillId="6" borderId="0" applyNumberFormat="0" applyBorder="0" applyAlignment="0" applyProtection="0"/>
    <xf numFmtId="0" fontId="10" fillId="6" borderId="0" applyNumberFormat="0" applyBorder="0" applyAlignment="0" applyProtection="0"/>
    <xf numFmtId="0" fontId="10" fillId="6" borderId="0" applyNumberFormat="0" applyBorder="0" applyAlignment="0" applyProtection="0"/>
    <xf numFmtId="0" fontId="10" fillId="6" borderId="0" applyNumberFormat="0" applyBorder="0" applyAlignment="0" applyProtection="0"/>
    <xf numFmtId="0" fontId="10" fillId="6" borderId="0" applyNumberFormat="0" applyBorder="0" applyAlignment="0" applyProtection="0"/>
    <xf numFmtId="0" fontId="10" fillId="6" borderId="0" applyNumberFormat="0" applyBorder="0" applyAlignment="0" applyProtection="0"/>
    <xf numFmtId="0" fontId="10" fillId="6" borderId="0" applyNumberFormat="0" applyBorder="0" applyAlignment="0" applyProtection="0"/>
    <xf numFmtId="0" fontId="62" fillId="62" borderId="0" applyNumberFormat="0" applyBorder="0" applyAlignment="0" applyProtection="0"/>
    <xf numFmtId="0" fontId="10" fillId="6" borderId="0" applyNumberFormat="0" applyBorder="0" applyAlignment="0" applyProtection="0"/>
    <xf numFmtId="0" fontId="10" fillId="6" borderId="0" applyNumberFormat="0" applyBorder="0" applyAlignment="0" applyProtection="0"/>
    <xf numFmtId="0" fontId="10" fillId="6" borderId="0" applyNumberFormat="0" applyBorder="0" applyAlignment="0" applyProtection="0"/>
    <xf numFmtId="0" fontId="10" fillId="6" borderId="0" applyNumberFormat="0" applyBorder="0" applyAlignment="0" applyProtection="0"/>
    <xf numFmtId="0" fontId="10" fillId="6" borderId="0" applyNumberFormat="0" applyBorder="0" applyAlignment="0" applyProtection="0"/>
    <xf numFmtId="0" fontId="10" fillId="6" borderId="0" applyNumberFormat="0" applyBorder="0" applyAlignment="0" applyProtection="0"/>
    <xf numFmtId="0" fontId="64" fillId="0" borderId="26" applyNumberFormat="0" applyFill="0" applyAlignment="0" applyProtection="0"/>
    <xf numFmtId="0" fontId="11" fillId="0" borderId="15" applyNumberFormat="0" applyFill="0" applyAlignment="0" applyProtection="0"/>
    <xf numFmtId="0" fontId="11" fillId="0" borderId="15" applyNumberFormat="0" applyFill="0" applyAlignment="0" applyProtection="0"/>
    <xf numFmtId="0" fontId="11" fillId="0" borderId="15" applyNumberFormat="0" applyFill="0" applyAlignment="0" applyProtection="0"/>
    <xf numFmtId="0" fontId="11" fillId="0" borderId="15" applyNumberFormat="0" applyFill="0" applyAlignment="0" applyProtection="0"/>
    <xf numFmtId="0" fontId="11" fillId="0" borderId="15" applyNumberFormat="0" applyFill="0" applyAlignment="0" applyProtection="0"/>
    <xf numFmtId="0" fontId="11" fillId="0" borderId="15" applyNumberFormat="0" applyFill="0" applyAlignment="0" applyProtection="0"/>
    <xf numFmtId="0" fontId="11" fillId="0" borderId="15" applyNumberFormat="0" applyFill="0" applyAlignment="0" applyProtection="0"/>
    <xf numFmtId="0" fontId="11" fillId="0" borderId="15" applyNumberFormat="0" applyFill="0" applyAlignment="0" applyProtection="0"/>
    <xf numFmtId="0" fontId="11" fillId="0" borderId="15" applyNumberFormat="0" applyFill="0" applyAlignment="0" applyProtection="0"/>
    <xf numFmtId="0" fontId="11" fillId="0" borderId="15" applyNumberFormat="0" applyFill="0" applyAlignment="0" applyProtection="0"/>
    <xf numFmtId="0" fontId="11" fillId="0" borderId="15" applyNumberFormat="0" applyFill="0" applyAlignment="0" applyProtection="0"/>
    <xf numFmtId="0" fontId="33" fillId="0" borderId="16" applyNumberFormat="0" applyFill="0" applyAlignment="0" applyProtection="0"/>
    <xf numFmtId="0" fontId="33" fillId="0" borderId="16" applyNumberFormat="0" applyFill="0" applyAlignment="0" applyProtection="0"/>
    <xf numFmtId="0" fontId="11" fillId="0" borderId="15" applyNumberFormat="0" applyFill="0" applyAlignment="0" applyProtection="0"/>
    <xf numFmtId="0" fontId="33" fillId="0" borderId="16" applyNumberFormat="0" applyFill="0" applyAlignment="0" applyProtection="0"/>
    <xf numFmtId="0" fontId="33" fillId="0" borderId="16" applyNumberFormat="0" applyFill="0" applyAlignment="0" applyProtection="0"/>
    <xf numFmtId="0" fontId="33" fillId="0" borderId="16" applyNumberFormat="0" applyFill="0" applyAlignment="0" applyProtection="0"/>
    <xf numFmtId="0" fontId="33" fillId="0" borderId="16" applyNumberFormat="0" applyFill="0" applyAlignment="0" applyProtection="0"/>
    <xf numFmtId="0" fontId="33" fillId="0" borderId="16" applyNumberFormat="0" applyFill="0" applyAlignment="0" applyProtection="0"/>
    <xf numFmtId="0" fontId="33" fillId="0" borderId="16" applyNumberFormat="0" applyFill="0" applyAlignment="0" applyProtection="0"/>
    <xf numFmtId="0" fontId="33" fillId="0" borderId="16" applyNumberFormat="0" applyFill="0" applyAlignment="0" applyProtection="0"/>
    <xf numFmtId="0" fontId="11" fillId="0" borderId="15" applyNumberFormat="0" applyFill="0" applyAlignment="0" applyProtection="0"/>
    <xf numFmtId="0" fontId="11" fillId="0" borderId="15" applyNumberFormat="0" applyFill="0" applyAlignment="0" applyProtection="0"/>
    <xf numFmtId="0" fontId="11" fillId="0" borderId="15" applyNumberFormat="0" applyFill="0" applyAlignment="0" applyProtection="0"/>
    <xf numFmtId="0" fontId="11" fillId="0" borderId="15" applyNumberFormat="0" applyFill="0" applyAlignment="0" applyProtection="0"/>
    <xf numFmtId="0" fontId="11" fillId="0" borderId="15" applyNumberFormat="0" applyFill="0" applyAlignment="0" applyProtection="0"/>
    <xf numFmtId="0" fontId="11" fillId="0" borderId="15" applyNumberFormat="0" applyFill="0" applyAlignment="0" applyProtection="0"/>
    <xf numFmtId="0" fontId="11" fillId="0" borderId="15" applyNumberFormat="0" applyFill="0" applyAlignment="0" applyProtection="0"/>
    <xf numFmtId="0" fontId="11" fillId="0" borderId="15" applyNumberFormat="0" applyFill="0" applyAlignment="0" applyProtection="0"/>
    <xf numFmtId="0" fontId="11" fillId="0" borderId="15" applyNumberFormat="0" applyFill="0" applyAlignment="0" applyProtection="0"/>
    <xf numFmtId="0" fontId="11" fillId="0" borderId="15" applyNumberFormat="0" applyFill="0" applyAlignment="0" applyProtection="0"/>
    <xf numFmtId="0" fontId="11" fillId="0" borderId="15" applyNumberFormat="0" applyFill="0" applyAlignment="0" applyProtection="0"/>
    <xf numFmtId="0" fontId="11" fillId="0" borderId="15" applyNumberFormat="0" applyFill="0" applyAlignment="0" applyProtection="0"/>
    <xf numFmtId="0" fontId="33" fillId="0" borderId="16" applyNumberFormat="0" applyFill="0" applyAlignment="0" applyProtection="0"/>
    <xf numFmtId="0" fontId="11" fillId="0" borderId="15" applyNumberFormat="0" applyFill="0" applyAlignment="0" applyProtection="0"/>
    <xf numFmtId="0" fontId="11" fillId="0" borderId="15" applyNumberFormat="0" applyFill="0" applyAlignment="0" applyProtection="0"/>
    <xf numFmtId="0" fontId="11" fillId="0" borderId="15" applyNumberFormat="0" applyFill="0" applyAlignment="0" applyProtection="0"/>
    <xf numFmtId="0" fontId="11" fillId="0" borderId="15" applyNumberFormat="0" applyFill="0" applyAlignment="0" applyProtection="0"/>
    <xf numFmtId="0" fontId="11" fillId="0" borderId="15" applyNumberFormat="0" applyFill="0" applyAlignment="0" applyProtection="0"/>
    <xf numFmtId="0" fontId="11" fillId="0" borderId="15" applyNumberFormat="0" applyFill="0" applyAlignment="0" applyProtection="0"/>
    <xf numFmtId="0" fontId="11" fillId="0" borderId="15" applyNumberFormat="0" applyFill="0" applyAlignment="0" applyProtection="0"/>
    <xf numFmtId="0" fontId="11" fillId="0" borderId="15" applyNumberFormat="0" applyFill="0" applyAlignment="0" applyProtection="0"/>
    <xf numFmtId="0" fontId="11" fillId="0" borderId="15" applyNumberFormat="0" applyFill="0" applyAlignment="0" applyProtection="0"/>
    <xf numFmtId="0" fontId="11" fillId="0" borderId="15" applyNumberFormat="0" applyFill="0" applyAlignment="0" applyProtection="0"/>
    <xf numFmtId="0" fontId="11" fillId="0" borderId="15" applyNumberFormat="0" applyFill="0" applyAlignment="0" applyProtection="0"/>
    <xf numFmtId="0" fontId="11" fillId="0" borderId="15" applyNumberFormat="0" applyFill="0" applyAlignment="0" applyProtection="0"/>
    <xf numFmtId="0" fontId="11" fillId="0" borderId="15" applyNumberFormat="0" applyFill="0" applyAlignment="0" applyProtection="0"/>
    <xf numFmtId="0" fontId="11" fillId="0" borderId="15" applyNumberFormat="0" applyFill="0" applyAlignment="0" applyProtection="0"/>
    <xf numFmtId="0" fontId="11" fillId="0" borderId="15" applyNumberFormat="0" applyFill="0" applyAlignment="0" applyProtection="0"/>
    <xf numFmtId="0" fontId="11" fillId="0" borderId="15" applyNumberFormat="0" applyFill="0" applyAlignment="0" applyProtection="0"/>
    <xf numFmtId="0" fontId="11" fillId="0" borderId="15" applyNumberFormat="0" applyFill="0" applyAlignment="0" applyProtection="0"/>
    <xf numFmtId="0" fontId="11" fillId="0" borderId="15" applyNumberFormat="0" applyFill="0" applyAlignment="0" applyProtection="0"/>
    <xf numFmtId="0" fontId="11" fillId="0" borderId="15" applyNumberFormat="0" applyFill="0" applyAlignment="0" applyProtection="0"/>
    <xf numFmtId="0" fontId="65" fillId="0" borderId="27" applyNumberFormat="0" applyFill="0" applyAlignment="0" applyProtection="0"/>
    <xf numFmtId="0" fontId="12" fillId="0" borderId="17" applyNumberFormat="0" applyFill="0" applyAlignment="0" applyProtection="0"/>
    <xf numFmtId="0" fontId="12" fillId="0" borderId="17" applyNumberFormat="0" applyFill="0" applyAlignment="0" applyProtection="0"/>
    <xf numFmtId="0" fontId="12" fillId="0" borderId="17" applyNumberFormat="0" applyFill="0" applyAlignment="0" applyProtection="0"/>
    <xf numFmtId="0" fontId="12" fillId="0" borderId="17" applyNumberFormat="0" applyFill="0" applyAlignment="0" applyProtection="0"/>
    <xf numFmtId="0" fontId="12" fillId="0" borderId="17" applyNumberFormat="0" applyFill="0" applyAlignment="0" applyProtection="0"/>
    <xf numFmtId="0" fontId="12" fillId="0" borderId="17" applyNumberFormat="0" applyFill="0" applyAlignment="0" applyProtection="0"/>
    <xf numFmtId="0" fontId="12" fillId="0" borderId="17" applyNumberFormat="0" applyFill="0" applyAlignment="0" applyProtection="0"/>
    <xf numFmtId="0" fontId="12" fillId="0" borderId="17" applyNumberFormat="0" applyFill="0" applyAlignment="0" applyProtection="0"/>
    <xf numFmtId="0" fontId="12" fillId="0" borderId="17" applyNumberFormat="0" applyFill="0" applyAlignment="0" applyProtection="0"/>
    <xf numFmtId="0" fontId="12" fillId="0" borderId="17" applyNumberFormat="0" applyFill="0" applyAlignment="0" applyProtection="0"/>
    <xf numFmtId="0" fontId="12" fillId="0" borderId="17" applyNumberFormat="0" applyFill="0" applyAlignment="0" applyProtection="0"/>
    <xf numFmtId="0" fontId="34" fillId="0" borderId="18" applyNumberFormat="0" applyFill="0" applyAlignment="0" applyProtection="0"/>
    <xf numFmtId="0" fontId="34" fillId="0" borderId="18" applyNumberFormat="0" applyFill="0" applyAlignment="0" applyProtection="0"/>
    <xf numFmtId="0" fontId="12" fillId="0" borderId="17" applyNumberFormat="0" applyFill="0" applyAlignment="0" applyProtection="0"/>
    <xf numFmtId="0" fontId="34" fillId="0" borderId="18" applyNumberFormat="0" applyFill="0" applyAlignment="0" applyProtection="0"/>
    <xf numFmtId="0" fontId="34" fillId="0" borderId="18" applyNumberFormat="0" applyFill="0" applyAlignment="0" applyProtection="0"/>
    <xf numFmtId="0" fontId="34" fillId="0" borderId="18" applyNumberFormat="0" applyFill="0" applyAlignment="0" applyProtection="0"/>
    <xf numFmtId="0" fontId="34" fillId="0" borderId="18" applyNumberFormat="0" applyFill="0" applyAlignment="0" applyProtection="0"/>
    <xf numFmtId="0" fontId="34" fillId="0" borderId="18" applyNumberFormat="0" applyFill="0" applyAlignment="0" applyProtection="0"/>
    <xf numFmtId="0" fontId="34" fillId="0" borderId="18" applyNumberFormat="0" applyFill="0" applyAlignment="0" applyProtection="0"/>
    <xf numFmtId="0" fontId="34" fillId="0" borderId="18" applyNumberFormat="0" applyFill="0" applyAlignment="0" applyProtection="0"/>
    <xf numFmtId="0" fontId="12" fillId="0" borderId="17" applyNumberFormat="0" applyFill="0" applyAlignment="0" applyProtection="0"/>
    <xf numFmtId="0" fontId="12" fillId="0" borderId="17" applyNumberFormat="0" applyFill="0" applyAlignment="0" applyProtection="0"/>
    <xf numFmtId="0" fontId="12" fillId="0" borderId="17" applyNumberFormat="0" applyFill="0" applyAlignment="0" applyProtection="0"/>
    <xf numFmtId="0" fontId="12" fillId="0" borderId="17" applyNumberFormat="0" applyFill="0" applyAlignment="0" applyProtection="0"/>
    <xf numFmtId="0" fontId="12" fillId="0" borderId="17" applyNumberFormat="0" applyFill="0" applyAlignment="0" applyProtection="0"/>
    <xf numFmtId="0" fontId="12" fillId="0" borderId="17" applyNumberFormat="0" applyFill="0" applyAlignment="0" applyProtection="0"/>
    <xf numFmtId="0" fontId="12" fillId="0" borderId="17" applyNumberFormat="0" applyFill="0" applyAlignment="0" applyProtection="0"/>
    <xf numFmtId="0" fontId="12" fillId="0" borderId="17" applyNumberFormat="0" applyFill="0" applyAlignment="0" applyProtection="0"/>
    <xf numFmtId="0" fontId="12" fillId="0" borderId="17" applyNumberFormat="0" applyFill="0" applyAlignment="0" applyProtection="0"/>
    <xf numFmtId="0" fontId="12" fillId="0" borderId="17" applyNumberFormat="0" applyFill="0" applyAlignment="0" applyProtection="0"/>
    <xf numFmtId="0" fontId="12" fillId="0" borderId="17" applyNumberFormat="0" applyFill="0" applyAlignment="0" applyProtection="0"/>
    <xf numFmtId="0" fontId="12" fillId="0" borderId="17" applyNumberFormat="0" applyFill="0" applyAlignment="0" applyProtection="0"/>
    <xf numFmtId="0" fontId="34" fillId="0" borderId="18" applyNumberFormat="0" applyFill="0" applyAlignment="0" applyProtection="0"/>
    <xf numFmtId="0" fontId="12" fillId="0" borderId="17" applyNumberFormat="0" applyFill="0" applyAlignment="0" applyProtection="0"/>
    <xf numFmtId="0" fontId="12" fillId="0" borderId="17" applyNumberFormat="0" applyFill="0" applyAlignment="0" applyProtection="0"/>
    <xf numFmtId="0" fontId="12" fillId="0" borderId="17" applyNumberFormat="0" applyFill="0" applyAlignment="0" applyProtection="0"/>
    <xf numFmtId="0" fontId="12" fillId="0" borderId="17" applyNumberFormat="0" applyFill="0" applyAlignment="0" applyProtection="0"/>
    <xf numFmtId="0" fontId="12" fillId="0" borderId="17" applyNumberFormat="0" applyFill="0" applyAlignment="0" applyProtection="0"/>
    <xf numFmtId="0" fontId="12" fillId="0" borderId="17" applyNumberFormat="0" applyFill="0" applyAlignment="0" applyProtection="0"/>
    <xf numFmtId="0" fontId="12" fillId="0" borderId="17" applyNumberFormat="0" applyFill="0" applyAlignment="0" applyProtection="0"/>
    <xf numFmtId="0" fontId="12" fillId="0" borderId="17" applyNumberFormat="0" applyFill="0" applyAlignment="0" applyProtection="0"/>
    <xf numFmtId="0" fontId="12" fillId="0" borderId="17" applyNumberFormat="0" applyFill="0" applyAlignment="0" applyProtection="0"/>
    <xf numFmtId="0" fontId="12" fillId="0" borderId="17" applyNumberFormat="0" applyFill="0" applyAlignment="0" applyProtection="0"/>
    <xf numFmtId="0" fontId="12" fillId="0" borderId="17" applyNumberFormat="0" applyFill="0" applyAlignment="0" applyProtection="0"/>
    <xf numFmtId="0" fontId="12" fillId="0" borderId="17" applyNumberFormat="0" applyFill="0" applyAlignment="0" applyProtection="0"/>
    <xf numFmtId="0" fontId="12" fillId="0" borderId="17" applyNumberFormat="0" applyFill="0" applyAlignment="0" applyProtection="0"/>
    <xf numFmtId="0" fontId="12" fillId="0" borderId="17" applyNumberFormat="0" applyFill="0" applyAlignment="0" applyProtection="0"/>
    <xf numFmtId="0" fontId="12" fillId="0" borderId="17" applyNumberFormat="0" applyFill="0" applyAlignment="0" applyProtection="0"/>
    <xf numFmtId="0" fontId="12" fillId="0" borderId="17" applyNumberFormat="0" applyFill="0" applyAlignment="0" applyProtection="0"/>
    <xf numFmtId="0" fontId="12" fillId="0" borderId="17" applyNumberFormat="0" applyFill="0" applyAlignment="0" applyProtection="0"/>
    <xf numFmtId="0" fontId="12" fillId="0" borderId="17" applyNumberFormat="0" applyFill="0" applyAlignment="0" applyProtection="0"/>
    <xf numFmtId="0" fontId="12" fillId="0" borderId="17" applyNumberFormat="0" applyFill="0" applyAlignment="0" applyProtection="0"/>
    <xf numFmtId="0" fontId="66" fillId="0" borderId="28" applyNumberFormat="0" applyFill="0" applyAlignment="0" applyProtection="0"/>
    <xf numFmtId="0" fontId="13" fillId="0" borderId="19" applyNumberFormat="0" applyFill="0" applyAlignment="0" applyProtection="0"/>
    <xf numFmtId="0" fontId="13" fillId="0" borderId="19" applyNumberFormat="0" applyFill="0" applyAlignment="0" applyProtection="0"/>
    <xf numFmtId="0" fontId="13" fillId="0" borderId="19" applyNumberFormat="0" applyFill="0" applyAlignment="0" applyProtection="0"/>
    <xf numFmtId="0" fontId="13" fillId="0" borderId="19" applyNumberFormat="0" applyFill="0" applyAlignment="0" applyProtection="0"/>
    <xf numFmtId="0" fontId="13" fillId="0" borderId="19" applyNumberFormat="0" applyFill="0" applyAlignment="0" applyProtection="0"/>
    <xf numFmtId="0" fontId="13" fillId="0" borderId="19" applyNumberFormat="0" applyFill="0" applyAlignment="0" applyProtection="0"/>
    <xf numFmtId="0" fontId="13" fillId="0" borderId="19" applyNumberFormat="0" applyFill="0" applyAlignment="0" applyProtection="0"/>
    <xf numFmtId="0" fontId="13" fillId="0" borderId="19" applyNumberFormat="0" applyFill="0" applyAlignment="0" applyProtection="0"/>
    <xf numFmtId="0" fontId="13" fillId="0" borderId="19" applyNumberFormat="0" applyFill="0" applyAlignment="0" applyProtection="0"/>
    <xf numFmtId="0" fontId="13" fillId="0" borderId="19" applyNumberFormat="0" applyFill="0" applyAlignment="0" applyProtection="0"/>
    <xf numFmtId="0" fontId="13" fillId="0" borderId="19" applyNumberFormat="0" applyFill="0" applyAlignment="0" applyProtection="0"/>
    <xf numFmtId="0" fontId="35" fillId="0" borderId="20" applyNumberFormat="0" applyFill="0" applyAlignment="0" applyProtection="0"/>
    <xf numFmtId="0" fontId="35" fillId="0" borderId="20" applyNumberFormat="0" applyFill="0" applyAlignment="0" applyProtection="0"/>
    <xf numFmtId="0" fontId="13" fillId="0" borderId="19" applyNumberFormat="0" applyFill="0" applyAlignment="0" applyProtection="0"/>
    <xf numFmtId="0" fontId="35" fillId="0" borderId="20" applyNumberFormat="0" applyFill="0" applyAlignment="0" applyProtection="0"/>
    <xf numFmtId="0" fontId="35" fillId="0" borderId="20" applyNumberFormat="0" applyFill="0" applyAlignment="0" applyProtection="0"/>
    <xf numFmtId="0" fontId="35" fillId="0" borderId="20" applyNumberFormat="0" applyFill="0" applyAlignment="0" applyProtection="0"/>
    <xf numFmtId="0" fontId="35" fillId="0" borderId="20" applyNumberFormat="0" applyFill="0" applyAlignment="0" applyProtection="0"/>
    <xf numFmtId="0" fontId="35" fillId="0" borderId="20" applyNumberFormat="0" applyFill="0" applyAlignment="0" applyProtection="0"/>
    <xf numFmtId="0" fontId="35" fillId="0" borderId="20" applyNumberFormat="0" applyFill="0" applyAlignment="0" applyProtection="0"/>
    <xf numFmtId="0" fontId="35" fillId="0" borderId="20" applyNumberFormat="0" applyFill="0" applyAlignment="0" applyProtection="0"/>
    <xf numFmtId="0" fontId="13" fillId="0" borderId="19" applyNumberFormat="0" applyFill="0" applyAlignment="0" applyProtection="0"/>
    <xf numFmtId="0" fontId="13" fillId="0" borderId="19" applyNumberFormat="0" applyFill="0" applyAlignment="0" applyProtection="0"/>
    <xf numFmtId="0" fontId="13" fillId="0" borderId="19" applyNumberFormat="0" applyFill="0" applyAlignment="0" applyProtection="0"/>
    <xf numFmtId="0" fontId="13" fillId="0" borderId="19" applyNumberFormat="0" applyFill="0" applyAlignment="0" applyProtection="0"/>
    <xf numFmtId="0" fontId="13" fillId="0" borderId="19" applyNumberFormat="0" applyFill="0" applyAlignment="0" applyProtection="0"/>
    <xf numFmtId="0" fontId="13" fillId="0" borderId="19" applyNumberFormat="0" applyFill="0" applyAlignment="0" applyProtection="0"/>
    <xf numFmtId="0" fontId="13" fillId="0" borderId="19" applyNumberFormat="0" applyFill="0" applyAlignment="0" applyProtection="0"/>
    <xf numFmtId="0" fontId="13" fillId="0" borderId="19" applyNumberFormat="0" applyFill="0" applyAlignment="0" applyProtection="0"/>
    <xf numFmtId="0" fontId="13" fillId="0" borderId="19" applyNumberFormat="0" applyFill="0" applyAlignment="0" applyProtection="0"/>
    <xf numFmtId="0" fontId="13" fillId="0" borderId="19" applyNumberFormat="0" applyFill="0" applyAlignment="0" applyProtection="0"/>
    <xf numFmtId="0" fontId="13" fillId="0" borderId="19" applyNumberFormat="0" applyFill="0" applyAlignment="0" applyProtection="0"/>
    <xf numFmtId="0" fontId="13" fillId="0" borderId="19" applyNumberFormat="0" applyFill="0" applyAlignment="0" applyProtection="0"/>
    <xf numFmtId="0" fontId="35" fillId="0" borderId="20" applyNumberFormat="0" applyFill="0" applyAlignment="0" applyProtection="0"/>
    <xf numFmtId="0" fontId="13" fillId="0" borderId="19" applyNumberFormat="0" applyFill="0" applyAlignment="0" applyProtection="0"/>
    <xf numFmtId="0" fontId="13" fillId="0" borderId="19" applyNumberFormat="0" applyFill="0" applyAlignment="0" applyProtection="0"/>
    <xf numFmtId="0" fontId="13" fillId="0" borderId="19" applyNumberFormat="0" applyFill="0" applyAlignment="0" applyProtection="0"/>
    <xf numFmtId="0" fontId="13" fillId="0" borderId="19" applyNumberFormat="0" applyFill="0" applyAlignment="0" applyProtection="0"/>
    <xf numFmtId="0" fontId="13" fillId="0" borderId="19" applyNumberFormat="0" applyFill="0" applyAlignment="0" applyProtection="0"/>
    <xf numFmtId="0" fontId="13" fillId="0" borderId="19" applyNumberFormat="0" applyFill="0" applyAlignment="0" applyProtection="0"/>
    <xf numFmtId="0" fontId="13" fillId="0" borderId="19" applyNumberFormat="0" applyFill="0" applyAlignment="0" applyProtection="0"/>
    <xf numFmtId="0" fontId="13" fillId="0" borderId="19" applyNumberFormat="0" applyFill="0" applyAlignment="0" applyProtection="0"/>
    <xf numFmtId="0" fontId="13" fillId="0" borderId="19" applyNumberFormat="0" applyFill="0" applyAlignment="0" applyProtection="0"/>
    <xf numFmtId="0" fontId="13" fillId="0" borderId="19" applyNumberFormat="0" applyFill="0" applyAlignment="0" applyProtection="0"/>
    <xf numFmtId="0" fontId="13" fillId="0" borderId="19" applyNumberFormat="0" applyFill="0" applyAlignment="0" applyProtection="0"/>
    <xf numFmtId="0" fontId="13" fillId="0" borderId="19" applyNumberFormat="0" applyFill="0" applyAlignment="0" applyProtection="0"/>
    <xf numFmtId="0" fontId="13" fillId="0" borderId="19" applyNumberFormat="0" applyFill="0" applyAlignment="0" applyProtection="0"/>
    <xf numFmtId="0" fontId="13" fillId="0" borderId="19" applyNumberFormat="0" applyFill="0" applyAlignment="0" applyProtection="0"/>
    <xf numFmtId="0" fontId="13" fillId="0" borderId="19" applyNumberFormat="0" applyFill="0" applyAlignment="0" applyProtection="0"/>
    <xf numFmtId="0" fontId="13" fillId="0" borderId="19" applyNumberFormat="0" applyFill="0" applyAlignment="0" applyProtection="0"/>
    <xf numFmtId="0" fontId="13" fillId="0" borderId="19" applyNumberFormat="0" applyFill="0" applyAlignment="0" applyProtection="0"/>
    <xf numFmtId="0" fontId="13" fillId="0" borderId="19" applyNumberFormat="0" applyFill="0" applyAlignment="0" applyProtection="0"/>
    <xf numFmtId="0" fontId="13" fillId="0" borderId="19" applyNumberFormat="0" applyFill="0" applyAlignment="0" applyProtection="0"/>
    <xf numFmtId="0" fontId="66" fillId="0" borderId="0" applyNumberFormat="0" applyFill="0" applyBorder="0" applyAlignment="0" applyProtection="0"/>
    <xf numFmtId="0" fontId="13" fillId="0" borderId="0" applyNumberFormat="0" applyFill="0" applyBorder="0" applyAlignment="0" applyProtection="0"/>
    <xf numFmtId="0" fontId="13" fillId="0" borderId="0" applyNumberFormat="0" applyFill="0" applyBorder="0" applyAlignment="0" applyProtection="0"/>
    <xf numFmtId="0" fontId="13" fillId="0" borderId="0" applyNumberFormat="0" applyFill="0" applyBorder="0" applyAlignment="0" applyProtection="0"/>
    <xf numFmtId="0" fontId="13" fillId="0" borderId="0" applyNumberFormat="0" applyFill="0" applyBorder="0" applyAlignment="0" applyProtection="0"/>
    <xf numFmtId="0" fontId="13" fillId="0" borderId="0" applyNumberFormat="0" applyFill="0" applyBorder="0" applyAlignment="0" applyProtection="0"/>
    <xf numFmtId="0" fontId="13" fillId="0" borderId="0" applyNumberFormat="0" applyFill="0" applyBorder="0" applyAlignment="0" applyProtection="0"/>
    <xf numFmtId="0" fontId="13" fillId="0" borderId="0" applyNumberFormat="0" applyFill="0" applyBorder="0" applyAlignment="0" applyProtection="0"/>
    <xf numFmtId="0" fontId="13" fillId="0" borderId="0" applyNumberFormat="0" applyFill="0" applyBorder="0" applyAlignment="0" applyProtection="0"/>
    <xf numFmtId="0" fontId="13" fillId="0" borderId="0" applyNumberFormat="0" applyFill="0" applyBorder="0" applyAlignment="0" applyProtection="0"/>
    <xf numFmtId="0" fontId="13" fillId="0" borderId="0" applyNumberFormat="0" applyFill="0" applyBorder="0" applyAlignment="0" applyProtection="0"/>
    <xf numFmtId="0" fontId="13" fillId="0" borderId="0" applyNumberFormat="0" applyFill="0" applyBorder="0" applyAlignment="0" applyProtection="0"/>
    <xf numFmtId="0" fontId="35" fillId="0" borderId="0" applyNumberFormat="0" applyFill="0" applyBorder="0" applyAlignment="0" applyProtection="0"/>
    <xf numFmtId="0" fontId="35" fillId="0" borderId="0" applyNumberFormat="0" applyFill="0" applyBorder="0" applyAlignment="0" applyProtection="0"/>
    <xf numFmtId="0" fontId="13" fillId="0" borderId="0" applyNumberFormat="0" applyFill="0" applyBorder="0" applyAlignment="0" applyProtection="0"/>
    <xf numFmtId="0" fontId="35" fillId="0" borderId="0" applyNumberFormat="0" applyFill="0" applyBorder="0" applyAlignment="0" applyProtection="0"/>
    <xf numFmtId="0" fontId="35" fillId="0" borderId="0" applyNumberFormat="0" applyFill="0" applyBorder="0" applyAlignment="0" applyProtection="0"/>
    <xf numFmtId="0" fontId="35" fillId="0" borderId="0" applyNumberFormat="0" applyFill="0" applyBorder="0" applyAlignment="0" applyProtection="0"/>
    <xf numFmtId="0" fontId="35" fillId="0" borderId="0" applyNumberFormat="0" applyFill="0" applyBorder="0" applyAlignment="0" applyProtection="0"/>
    <xf numFmtId="0" fontId="35" fillId="0" borderId="0" applyNumberFormat="0" applyFill="0" applyBorder="0" applyAlignment="0" applyProtection="0"/>
    <xf numFmtId="0" fontId="35" fillId="0" borderId="0" applyNumberFormat="0" applyFill="0" applyBorder="0" applyAlignment="0" applyProtection="0"/>
    <xf numFmtId="0" fontId="35" fillId="0" borderId="0" applyNumberFormat="0" applyFill="0" applyBorder="0" applyAlignment="0" applyProtection="0"/>
    <xf numFmtId="0" fontId="13" fillId="0" borderId="0" applyNumberFormat="0" applyFill="0" applyBorder="0" applyAlignment="0" applyProtection="0"/>
    <xf numFmtId="0" fontId="13" fillId="0" borderId="0" applyNumberFormat="0" applyFill="0" applyBorder="0" applyAlignment="0" applyProtection="0"/>
    <xf numFmtId="0" fontId="13" fillId="0" borderId="0" applyNumberFormat="0" applyFill="0" applyBorder="0" applyAlignment="0" applyProtection="0"/>
    <xf numFmtId="0" fontId="13" fillId="0" borderId="0" applyNumberFormat="0" applyFill="0" applyBorder="0" applyAlignment="0" applyProtection="0"/>
    <xf numFmtId="0" fontId="13" fillId="0" borderId="0" applyNumberFormat="0" applyFill="0" applyBorder="0" applyAlignment="0" applyProtection="0"/>
    <xf numFmtId="0" fontId="13" fillId="0" borderId="0" applyNumberFormat="0" applyFill="0" applyBorder="0" applyAlignment="0" applyProtection="0"/>
    <xf numFmtId="0" fontId="13" fillId="0" borderId="0" applyNumberFormat="0" applyFill="0" applyBorder="0" applyAlignment="0" applyProtection="0"/>
    <xf numFmtId="0" fontId="13" fillId="0" borderId="0" applyNumberFormat="0" applyFill="0" applyBorder="0" applyAlignment="0" applyProtection="0"/>
    <xf numFmtId="0" fontId="13" fillId="0" borderId="0" applyNumberFormat="0" applyFill="0" applyBorder="0" applyAlignment="0" applyProtection="0"/>
    <xf numFmtId="0" fontId="13" fillId="0" borderId="0" applyNumberFormat="0" applyFill="0" applyBorder="0" applyAlignment="0" applyProtection="0"/>
    <xf numFmtId="0" fontId="13" fillId="0" borderId="0" applyNumberFormat="0" applyFill="0" applyBorder="0" applyAlignment="0" applyProtection="0"/>
    <xf numFmtId="0" fontId="13" fillId="0" borderId="0" applyNumberFormat="0" applyFill="0" applyBorder="0" applyAlignment="0" applyProtection="0"/>
    <xf numFmtId="0" fontId="35" fillId="0" borderId="0" applyNumberFormat="0" applyFill="0" applyBorder="0" applyAlignment="0" applyProtection="0"/>
    <xf numFmtId="0" fontId="13" fillId="0" borderId="0" applyNumberFormat="0" applyFill="0" applyBorder="0" applyAlignment="0" applyProtection="0"/>
    <xf numFmtId="0" fontId="13" fillId="0" borderId="0" applyNumberFormat="0" applyFill="0" applyBorder="0" applyAlignment="0" applyProtection="0"/>
    <xf numFmtId="0" fontId="13" fillId="0" borderId="0" applyNumberFormat="0" applyFill="0" applyBorder="0" applyAlignment="0" applyProtection="0"/>
    <xf numFmtId="0" fontId="13" fillId="0" borderId="0" applyNumberFormat="0" applyFill="0" applyBorder="0" applyAlignment="0" applyProtection="0"/>
    <xf numFmtId="0" fontId="13" fillId="0" borderId="0" applyNumberFormat="0" applyFill="0" applyBorder="0" applyAlignment="0" applyProtection="0"/>
    <xf numFmtId="0" fontId="13" fillId="0" borderId="0" applyNumberFormat="0" applyFill="0" applyBorder="0" applyAlignment="0" applyProtection="0"/>
    <xf numFmtId="0" fontId="13" fillId="0" borderId="0" applyNumberFormat="0" applyFill="0" applyBorder="0" applyAlignment="0" applyProtection="0"/>
    <xf numFmtId="0" fontId="13" fillId="0" borderId="0" applyNumberFormat="0" applyFill="0" applyBorder="0" applyAlignment="0" applyProtection="0"/>
    <xf numFmtId="0" fontId="13" fillId="0" borderId="0" applyNumberFormat="0" applyFill="0" applyBorder="0" applyAlignment="0" applyProtection="0"/>
    <xf numFmtId="0" fontId="13" fillId="0" borderId="0" applyNumberFormat="0" applyFill="0" applyBorder="0" applyAlignment="0" applyProtection="0"/>
    <xf numFmtId="0" fontId="13" fillId="0" borderId="0" applyNumberFormat="0" applyFill="0" applyBorder="0" applyAlignment="0" applyProtection="0"/>
    <xf numFmtId="0" fontId="13" fillId="0" borderId="0" applyNumberFormat="0" applyFill="0" applyBorder="0" applyAlignment="0" applyProtection="0"/>
    <xf numFmtId="0" fontId="13" fillId="0" borderId="0" applyNumberFormat="0" applyFill="0" applyBorder="0" applyAlignment="0" applyProtection="0"/>
    <xf numFmtId="0" fontId="13" fillId="0" borderId="0" applyNumberFormat="0" applyFill="0" applyBorder="0" applyAlignment="0" applyProtection="0"/>
    <xf numFmtId="0" fontId="13" fillId="0" borderId="0" applyNumberFormat="0" applyFill="0" applyBorder="0" applyAlignment="0" applyProtection="0"/>
    <xf numFmtId="0" fontId="13" fillId="0" borderId="0" applyNumberFormat="0" applyFill="0" applyBorder="0" applyAlignment="0" applyProtection="0"/>
    <xf numFmtId="0" fontId="13" fillId="0" borderId="0" applyNumberFormat="0" applyFill="0" applyBorder="0" applyAlignment="0" applyProtection="0"/>
    <xf numFmtId="0" fontId="13" fillId="0" borderId="0" applyNumberFormat="0" applyFill="0" applyBorder="0" applyAlignment="0" applyProtection="0"/>
    <xf numFmtId="0" fontId="13" fillId="0" borderId="0" applyNumberFormat="0" applyFill="0" applyBorder="0" applyAlignment="0" applyProtection="0"/>
    <xf numFmtId="0" fontId="36" fillId="0" borderId="0" applyNumberFormat="0" applyFill="0" applyBorder="0" applyAlignment="0" applyProtection="0"/>
    <xf numFmtId="0" fontId="37" fillId="0" borderId="0" applyNumberFormat="0" applyFill="0" applyBorder="0" applyAlignment="0" applyProtection="0">
      <alignment vertical="top"/>
      <protection locked="0"/>
    </xf>
    <xf numFmtId="0" fontId="67" fillId="0" borderId="0" applyNumberFormat="0" applyFill="0" applyBorder="0" applyAlignment="0" applyProtection="0">
      <alignment vertical="top"/>
      <protection locked="0"/>
    </xf>
    <xf numFmtId="0" fontId="67" fillId="0" borderId="0" applyNumberFormat="0" applyFill="0" applyBorder="0" applyAlignment="0" applyProtection="0">
      <alignment vertical="top"/>
      <protection locked="0"/>
    </xf>
    <xf numFmtId="0" fontId="68" fillId="0" borderId="0" applyNumberFormat="0" applyFill="0" applyBorder="0" applyAlignment="0" applyProtection="0"/>
    <xf numFmtId="0" fontId="69" fillId="63" borderId="24" applyNumberFormat="0" applyAlignment="0" applyProtection="0"/>
    <xf numFmtId="0" fontId="14" fillId="9" borderId="7" applyNumberFormat="0" applyAlignment="0" applyProtection="0"/>
    <xf numFmtId="0" fontId="14" fillId="9" borderId="7" applyNumberFormat="0" applyAlignment="0" applyProtection="0"/>
    <xf numFmtId="0" fontId="14" fillId="9" borderId="7" applyNumberFormat="0" applyAlignment="0" applyProtection="0"/>
    <xf numFmtId="0" fontId="14" fillId="9" borderId="7" applyNumberFormat="0" applyAlignment="0" applyProtection="0"/>
    <xf numFmtId="0" fontId="14" fillId="9" borderId="7" applyNumberFormat="0" applyAlignment="0" applyProtection="0"/>
    <xf numFmtId="0" fontId="14" fillId="9" borderId="7" applyNumberFormat="0" applyAlignment="0" applyProtection="0"/>
    <xf numFmtId="0" fontId="14" fillId="9" borderId="7" applyNumberFormat="0" applyAlignment="0" applyProtection="0"/>
    <xf numFmtId="0" fontId="14" fillId="9" borderId="7" applyNumberFormat="0" applyAlignment="0" applyProtection="0"/>
    <xf numFmtId="0" fontId="14" fillId="9" borderId="7" applyNumberFormat="0" applyAlignment="0" applyProtection="0"/>
    <xf numFmtId="0" fontId="14" fillId="9" borderId="7" applyNumberFormat="0" applyAlignment="0" applyProtection="0"/>
    <xf numFmtId="0" fontId="14" fillId="9" borderId="7" applyNumberFormat="0" applyAlignment="0" applyProtection="0"/>
    <xf numFmtId="0" fontId="14" fillId="12" borderId="7" applyNumberFormat="0" applyAlignment="0" applyProtection="0"/>
    <xf numFmtId="0" fontId="14" fillId="9" borderId="7" applyNumberFormat="0" applyAlignment="0" applyProtection="0"/>
    <xf numFmtId="0" fontId="14" fillId="12" borderId="7" applyNumberFormat="0" applyAlignment="0" applyProtection="0"/>
    <xf numFmtId="0" fontId="14" fillId="9" borderId="7" applyNumberFormat="0" applyAlignment="0" applyProtection="0"/>
    <xf numFmtId="0" fontId="70" fillId="63" borderId="24" applyNumberFormat="0" applyAlignment="0" applyProtection="0"/>
    <xf numFmtId="0" fontId="14" fillId="12" borderId="7" applyNumberFormat="0" applyAlignment="0" applyProtection="0"/>
    <xf numFmtId="0" fontId="70" fillId="63" borderId="24" applyNumberFormat="0" applyAlignment="0" applyProtection="0"/>
    <xf numFmtId="0" fontId="14" fillId="12" borderId="7" applyNumberFormat="0" applyAlignment="0" applyProtection="0"/>
    <xf numFmtId="0" fontId="14" fillId="12" borderId="7" applyNumberFormat="0" applyAlignment="0" applyProtection="0"/>
    <xf numFmtId="0" fontId="14" fillId="12" borderId="7" applyNumberFormat="0" applyAlignment="0" applyProtection="0"/>
    <xf numFmtId="0" fontId="14" fillId="12" borderId="7" applyNumberFormat="0" applyAlignment="0" applyProtection="0"/>
    <xf numFmtId="0" fontId="14" fillId="12" borderId="7" applyNumberFormat="0" applyAlignment="0" applyProtection="0"/>
    <xf numFmtId="0" fontId="14" fillId="12" borderId="7" applyNumberFormat="0" applyAlignment="0" applyProtection="0"/>
    <xf numFmtId="0" fontId="14" fillId="9" borderId="7" applyNumberFormat="0" applyAlignment="0" applyProtection="0"/>
    <xf numFmtId="0" fontId="14" fillId="9" borderId="7" applyNumberFormat="0" applyAlignment="0" applyProtection="0"/>
    <xf numFmtId="0" fontId="14" fillId="9" borderId="7" applyNumberFormat="0" applyAlignment="0" applyProtection="0"/>
    <xf numFmtId="0" fontId="14" fillId="9" borderId="7" applyNumberFormat="0" applyAlignment="0" applyProtection="0"/>
    <xf numFmtId="0" fontId="14" fillId="9" borderId="7" applyNumberFormat="0" applyAlignment="0" applyProtection="0"/>
    <xf numFmtId="0" fontId="14" fillId="9" borderId="7" applyNumberFormat="0" applyAlignment="0" applyProtection="0"/>
    <xf numFmtId="0" fontId="14" fillId="9" borderId="7" applyNumberFormat="0" applyAlignment="0" applyProtection="0"/>
    <xf numFmtId="0" fontId="14" fillId="9" borderId="7" applyNumberFormat="0" applyAlignment="0" applyProtection="0"/>
    <xf numFmtId="0" fontId="14" fillId="9" borderId="7" applyNumberFormat="0" applyAlignment="0" applyProtection="0"/>
    <xf numFmtId="0" fontId="14" fillId="9" borderId="7" applyNumberFormat="0" applyAlignment="0" applyProtection="0"/>
    <xf numFmtId="0" fontId="14" fillId="9" borderId="7" applyNumberFormat="0" applyAlignment="0" applyProtection="0"/>
    <xf numFmtId="0" fontId="14" fillId="9" borderId="7" applyNumberFormat="0" applyAlignment="0" applyProtection="0"/>
    <xf numFmtId="0" fontId="14" fillId="9" borderId="7" applyNumberFormat="0" applyAlignment="0" applyProtection="0"/>
    <xf numFmtId="0" fontId="14" fillId="9" borderId="7" applyNumberFormat="0" applyAlignment="0" applyProtection="0"/>
    <xf numFmtId="0" fontId="14" fillId="12" borderId="7" applyNumberFormat="0" applyAlignment="0" applyProtection="0"/>
    <xf numFmtId="0" fontId="14" fillId="9" borderId="7" applyNumberFormat="0" applyAlignment="0" applyProtection="0"/>
    <xf numFmtId="0" fontId="14" fillId="9" borderId="7" applyNumberFormat="0" applyAlignment="0" applyProtection="0"/>
    <xf numFmtId="0" fontId="14" fillId="9" borderId="7" applyNumberFormat="0" applyAlignment="0" applyProtection="0"/>
    <xf numFmtId="0" fontId="14" fillId="9" borderId="7" applyNumberFormat="0" applyAlignment="0" applyProtection="0"/>
    <xf numFmtId="0" fontId="14" fillId="9" borderId="7" applyNumberFormat="0" applyAlignment="0" applyProtection="0"/>
    <xf numFmtId="0" fontId="14" fillId="9" borderId="7" applyNumberFormat="0" applyAlignment="0" applyProtection="0"/>
    <xf numFmtId="0" fontId="14" fillId="9" borderId="7" applyNumberFormat="0" applyAlignment="0" applyProtection="0"/>
    <xf numFmtId="0" fontId="14" fillId="9" borderId="7" applyNumberFormat="0" applyAlignment="0" applyProtection="0"/>
    <xf numFmtId="0" fontId="14" fillId="9" borderId="7" applyNumberFormat="0" applyAlignment="0" applyProtection="0"/>
    <xf numFmtId="0" fontId="14" fillId="9" borderId="7" applyNumberFormat="0" applyAlignment="0" applyProtection="0"/>
    <xf numFmtId="0" fontId="14" fillId="9" borderId="7" applyNumberFormat="0" applyAlignment="0" applyProtection="0"/>
    <xf numFmtId="0" fontId="14" fillId="9" borderId="7" applyNumberFormat="0" applyAlignment="0" applyProtection="0"/>
    <xf numFmtId="0" fontId="14" fillId="9" borderId="7" applyNumberFormat="0" applyAlignment="0" applyProtection="0"/>
    <xf numFmtId="0" fontId="14" fillId="9" borderId="7" applyNumberFormat="0" applyAlignment="0" applyProtection="0"/>
    <xf numFmtId="0" fontId="14" fillId="9" borderId="7" applyNumberFormat="0" applyAlignment="0" applyProtection="0"/>
    <xf numFmtId="0" fontId="14" fillId="9" borderId="7" applyNumberFormat="0" applyAlignment="0" applyProtection="0"/>
    <xf numFmtId="0" fontId="14" fillId="9" borderId="7" applyNumberFormat="0" applyAlignment="0" applyProtection="0"/>
    <xf numFmtId="0" fontId="14" fillId="9" borderId="7" applyNumberFormat="0" applyAlignment="0" applyProtection="0"/>
    <xf numFmtId="0" fontId="14" fillId="9" borderId="7" applyNumberFormat="0" applyAlignment="0" applyProtection="0"/>
    <xf numFmtId="0" fontId="14" fillId="9" borderId="7" applyNumberFormat="0" applyAlignment="0" applyProtection="0"/>
    <xf numFmtId="4" fontId="22" fillId="0" borderId="0" applyBorder="0">
      <alignment horizontal="right" vertical="center"/>
    </xf>
    <xf numFmtId="0" fontId="22" fillId="0" borderId="1">
      <alignment horizontal="right" vertical="center"/>
    </xf>
    <xf numFmtId="4" fontId="22" fillId="0" borderId="1">
      <alignment horizontal="right" vertical="center"/>
    </xf>
    <xf numFmtId="0" fontId="22" fillId="0" borderId="3">
      <alignment horizontal="right" vertical="center"/>
    </xf>
    <xf numFmtId="1" fontId="38" fillId="25" borderId="0" applyBorder="0">
      <alignment horizontal="right" vertical="center"/>
    </xf>
    <xf numFmtId="0" fontId="4" fillId="31" borderId="1"/>
    <xf numFmtId="0" fontId="36" fillId="0" borderId="0"/>
    <xf numFmtId="0" fontId="71" fillId="0" borderId="29" applyNumberFormat="0" applyFill="0" applyAlignment="0" applyProtection="0"/>
    <xf numFmtId="0" fontId="15" fillId="0" borderId="21" applyNumberFormat="0" applyFill="0" applyAlignment="0" applyProtection="0"/>
    <xf numFmtId="0" fontId="15" fillId="0" borderId="21" applyNumberFormat="0" applyFill="0" applyAlignment="0" applyProtection="0"/>
    <xf numFmtId="0" fontId="15" fillId="0" borderId="21" applyNumberFormat="0" applyFill="0" applyAlignment="0" applyProtection="0"/>
    <xf numFmtId="0" fontId="15" fillId="0" borderId="21" applyNumberFormat="0" applyFill="0" applyAlignment="0" applyProtection="0"/>
    <xf numFmtId="0" fontId="15" fillId="0" borderId="21" applyNumberFormat="0" applyFill="0" applyAlignment="0" applyProtection="0"/>
    <xf numFmtId="0" fontId="15" fillId="0" borderId="21" applyNumberFormat="0" applyFill="0" applyAlignment="0" applyProtection="0"/>
    <xf numFmtId="0" fontId="15" fillId="0" borderId="21" applyNumberFormat="0" applyFill="0" applyAlignment="0" applyProtection="0"/>
    <xf numFmtId="0" fontId="15" fillId="0" borderId="21" applyNumberFormat="0" applyFill="0" applyAlignment="0" applyProtection="0"/>
    <xf numFmtId="0" fontId="15" fillId="0" borderId="21" applyNumberFormat="0" applyFill="0" applyAlignment="0" applyProtection="0"/>
    <xf numFmtId="0" fontId="15" fillId="0" borderId="21" applyNumberFormat="0" applyFill="0" applyAlignment="0" applyProtection="0"/>
    <xf numFmtId="0" fontId="15" fillId="0" borderId="21" applyNumberFormat="0" applyFill="0" applyAlignment="0" applyProtection="0"/>
    <xf numFmtId="0" fontId="18" fillId="0" borderId="22" applyNumberFormat="0" applyFill="0" applyAlignment="0" applyProtection="0"/>
    <xf numFmtId="0" fontId="18" fillId="0" borderId="22" applyNumberFormat="0" applyFill="0" applyAlignment="0" applyProtection="0"/>
    <xf numFmtId="0" fontId="15" fillId="0" borderId="21" applyNumberFormat="0" applyFill="0" applyAlignment="0" applyProtection="0"/>
    <xf numFmtId="0" fontId="18" fillId="0" borderId="22" applyNumberFormat="0" applyFill="0" applyAlignment="0" applyProtection="0"/>
    <xf numFmtId="0" fontId="18" fillId="0" borderId="22" applyNumberFormat="0" applyFill="0" applyAlignment="0" applyProtection="0"/>
    <xf numFmtId="0" fontId="18" fillId="0" borderId="22" applyNumberFormat="0" applyFill="0" applyAlignment="0" applyProtection="0"/>
    <xf numFmtId="0" fontId="18" fillId="0" borderId="22" applyNumberFormat="0" applyFill="0" applyAlignment="0" applyProtection="0"/>
    <xf numFmtId="0" fontId="18" fillId="0" borderId="22" applyNumberFormat="0" applyFill="0" applyAlignment="0" applyProtection="0"/>
    <xf numFmtId="0" fontId="18" fillId="0" borderId="22" applyNumberFormat="0" applyFill="0" applyAlignment="0" applyProtection="0"/>
    <xf numFmtId="0" fontId="18" fillId="0" borderId="22" applyNumberFormat="0" applyFill="0" applyAlignment="0" applyProtection="0"/>
    <xf numFmtId="0" fontId="15" fillId="0" borderId="21" applyNumberFormat="0" applyFill="0" applyAlignment="0" applyProtection="0"/>
    <xf numFmtId="0" fontId="15" fillId="0" borderId="21" applyNumberFormat="0" applyFill="0" applyAlignment="0" applyProtection="0"/>
    <xf numFmtId="0" fontId="15" fillId="0" borderId="21" applyNumberFormat="0" applyFill="0" applyAlignment="0" applyProtection="0"/>
    <xf numFmtId="0" fontId="15" fillId="0" borderId="21" applyNumberFormat="0" applyFill="0" applyAlignment="0" applyProtection="0"/>
    <xf numFmtId="0" fontId="15" fillId="0" borderId="21" applyNumberFormat="0" applyFill="0" applyAlignment="0" applyProtection="0"/>
    <xf numFmtId="0" fontId="15" fillId="0" borderId="21" applyNumberFormat="0" applyFill="0" applyAlignment="0" applyProtection="0"/>
    <xf numFmtId="0" fontId="15" fillId="0" borderId="21" applyNumberFormat="0" applyFill="0" applyAlignment="0" applyProtection="0"/>
    <xf numFmtId="0" fontId="15" fillId="0" borderId="21" applyNumberFormat="0" applyFill="0" applyAlignment="0" applyProtection="0"/>
    <xf numFmtId="0" fontId="15" fillId="0" borderId="21" applyNumberFormat="0" applyFill="0" applyAlignment="0" applyProtection="0"/>
    <xf numFmtId="0" fontId="15" fillId="0" borderId="21" applyNumberFormat="0" applyFill="0" applyAlignment="0" applyProtection="0"/>
    <xf numFmtId="0" fontId="15" fillId="0" borderId="21" applyNumberFormat="0" applyFill="0" applyAlignment="0" applyProtection="0"/>
    <xf numFmtId="0" fontId="15" fillId="0" borderId="21" applyNumberFormat="0" applyFill="0" applyAlignment="0" applyProtection="0"/>
    <xf numFmtId="0" fontId="18" fillId="0" borderId="22" applyNumberFormat="0" applyFill="0" applyAlignment="0" applyProtection="0"/>
    <xf numFmtId="0" fontId="15" fillId="0" borderId="21" applyNumberFormat="0" applyFill="0" applyAlignment="0" applyProtection="0"/>
    <xf numFmtId="0" fontId="15" fillId="0" borderId="21" applyNumberFormat="0" applyFill="0" applyAlignment="0" applyProtection="0"/>
    <xf numFmtId="0" fontId="15" fillId="0" borderId="21" applyNumberFormat="0" applyFill="0" applyAlignment="0" applyProtection="0"/>
    <xf numFmtId="0" fontId="15" fillId="0" borderId="21" applyNumberFormat="0" applyFill="0" applyAlignment="0" applyProtection="0"/>
    <xf numFmtId="0" fontId="15" fillId="0" borderId="21" applyNumberFormat="0" applyFill="0" applyAlignment="0" applyProtection="0"/>
    <xf numFmtId="0" fontId="15" fillId="0" borderId="21" applyNumberFormat="0" applyFill="0" applyAlignment="0" applyProtection="0"/>
    <xf numFmtId="0" fontId="15" fillId="0" borderId="21" applyNumberFormat="0" applyFill="0" applyAlignment="0" applyProtection="0"/>
    <xf numFmtId="0" fontId="15" fillId="0" borderId="21" applyNumberFormat="0" applyFill="0" applyAlignment="0" applyProtection="0"/>
    <xf numFmtId="0" fontId="15" fillId="0" borderId="21" applyNumberFormat="0" applyFill="0" applyAlignment="0" applyProtection="0"/>
    <xf numFmtId="0" fontId="15" fillId="0" borderId="21" applyNumberFormat="0" applyFill="0" applyAlignment="0" applyProtection="0"/>
    <xf numFmtId="0" fontId="15" fillId="0" borderId="21" applyNumberFormat="0" applyFill="0" applyAlignment="0" applyProtection="0"/>
    <xf numFmtId="0" fontId="15" fillId="0" borderId="21" applyNumberFormat="0" applyFill="0" applyAlignment="0" applyProtection="0"/>
    <xf numFmtId="0" fontId="15" fillId="0" borderId="21" applyNumberFormat="0" applyFill="0" applyAlignment="0" applyProtection="0"/>
    <xf numFmtId="0" fontId="15" fillId="0" borderId="21" applyNumberFormat="0" applyFill="0" applyAlignment="0" applyProtection="0"/>
    <xf numFmtId="0" fontId="15" fillId="0" borderId="21" applyNumberFormat="0" applyFill="0" applyAlignment="0" applyProtection="0"/>
    <xf numFmtId="0" fontId="15" fillId="0" borderId="21" applyNumberFormat="0" applyFill="0" applyAlignment="0" applyProtection="0"/>
    <xf numFmtId="0" fontId="15" fillId="0" borderId="21" applyNumberFormat="0" applyFill="0" applyAlignment="0" applyProtection="0"/>
    <xf numFmtId="0" fontId="15" fillId="0" borderId="21" applyNumberFormat="0" applyFill="0" applyAlignment="0" applyProtection="0"/>
    <xf numFmtId="0" fontId="15" fillId="0" borderId="21" applyNumberFormat="0" applyFill="0" applyAlignment="0" applyProtection="0"/>
    <xf numFmtId="167" fontId="4" fillId="0" borderId="0" applyFont="0" applyFill="0" applyBorder="0" applyAlignment="0" applyProtection="0"/>
    <xf numFmtId="0" fontId="72" fillId="64" borderId="0" applyNumberFormat="0" applyBorder="0" applyAlignment="0" applyProtection="0"/>
    <xf numFmtId="0" fontId="16" fillId="12" borderId="0" applyNumberFormat="0" applyBorder="0" applyAlignment="0" applyProtection="0"/>
    <xf numFmtId="0" fontId="16" fillId="12" borderId="0" applyNumberFormat="0" applyBorder="0" applyAlignment="0" applyProtection="0"/>
    <xf numFmtId="0" fontId="16" fillId="12" borderId="0" applyNumberFormat="0" applyBorder="0" applyAlignment="0" applyProtection="0"/>
    <xf numFmtId="0" fontId="16" fillId="12" borderId="0" applyNumberFormat="0" applyBorder="0" applyAlignment="0" applyProtection="0"/>
    <xf numFmtId="0" fontId="16" fillId="12" borderId="0" applyNumberFormat="0" applyBorder="0" applyAlignment="0" applyProtection="0"/>
    <xf numFmtId="0" fontId="16" fillId="12" borderId="0" applyNumberFormat="0" applyBorder="0" applyAlignment="0" applyProtection="0"/>
    <xf numFmtId="0" fontId="16" fillId="12" borderId="0" applyNumberFormat="0" applyBorder="0" applyAlignment="0" applyProtection="0"/>
    <xf numFmtId="0" fontId="16" fillId="12" borderId="0" applyNumberFormat="0" applyBorder="0" applyAlignment="0" applyProtection="0"/>
    <xf numFmtId="0" fontId="16" fillId="12" borderId="0" applyNumberFormat="0" applyBorder="0" applyAlignment="0" applyProtection="0"/>
    <xf numFmtId="0" fontId="16" fillId="12" borderId="0" applyNumberFormat="0" applyBorder="0" applyAlignment="0" applyProtection="0"/>
    <xf numFmtId="0" fontId="16" fillId="12" borderId="0" applyNumberFormat="0" applyBorder="0" applyAlignment="0" applyProtection="0"/>
    <xf numFmtId="0" fontId="39" fillId="12" borderId="0" applyNumberFormat="0" applyBorder="0" applyAlignment="0" applyProtection="0"/>
    <xf numFmtId="0" fontId="39" fillId="12" borderId="0" applyNumberFormat="0" applyBorder="0" applyAlignment="0" applyProtection="0"/>
    <xf numFmtId="0" fontId="16" fillId="12" borderId="0" applyNumberFormat="0" applyBorder="0" applyAlignment="0" applyProtection="0"/>
    <xf numFmtId="0" fontId="39" fillId="12" borderId="0" applyNumberFormat="0" applyBorder="0" applyAlignment="0" applyProtection="0"/>
    <xf numFmtId="0" fontId="39" fillId="12" borderId="0" applyNumberFormat="0" applyBorder="0" applyAlignment="0" applyProtection="0"/>
    <xf numFmtId="0" fontId="39" fillId="12" borderId="0" applyNumberFormat="0" applyBorder="0" applyAlignment="0" applyProtection="0"/>
    <xf numFmtId="0" fontId="39" fillId="12" borderId="0" applyNumberFormat="0" applyBorder="0" applyAlignment="0" applyProtection="0"/>
    <xf numFmtId="0" fontId="39" fillId="12" borderId="0" applyNumberFormat="0" applyBorder="0" applyAlignment="0" applyProtection="0"/>
    <xf numFmtId="0" fontId="39" fillId="12" borderId="0" applyNumberFormat="0" applyBorder="0" applyAlignment="0" applyProtection="0"/>
    <xf numFmtId="0" fontId="39" fillId="12" borderId="0" applyNumberFormat="0" applyBorder="0" applyAlignment="0" applyProtection="0"/>
    <xf numFmtId="0" fontId="16" fillId="12" borderId="0" applyNumberFormat="0" applyBorder="0" applyAlignment="0" applyProtection="0"/>
    <xf numFmtId="0" fontId="16" fillId="12" borderId="0" applyNumberFormat="0" applyBorder="0" applyAlignment="0" applyProtection="0"/>
    <xf numFmtId="0" fontId="16" fillId="12" borderId="0" applyNumberFormat="0" applyBorder="0" applyAlignment="0" applyProtection="0"/>
    <xf numFmtId="0" fontId="16" fillId="12" borderId="0" applyNumberFormat="0" applyBorder="0" applyAlignment="0" applyProtection="0"/>
    <xf numFmtId="0" fontId="16" fillId="12" borderId="0" applyNumberFormat="0" applyBorder="0" applyAlignment="0" applyProtection="0"/>
    <xf numFmtId="0" fontId="16" fillId="12" borderId="0" applyNumberFormat="0" applyBorder="0" applyAlignment="0" applyProtection="0"/>
    <xf numFmtId="0" fontId="16" fillId="12" borderId="0" applyNumberFormat="0" applyBorder="0" applyAlignment="0" applyProtection="0"/>
    <xf numFmtId="0" fontId="16" fillId="12" borderId="0" applyNumberFormat="0" applyBorder="0" applyAlignment="0" applyProtection="0"/>
    <xf numFmtId="0" fontId="16" fillId="12" borderId="0" applyNumberFormat="0" applyBorder="0" applyAlignment="0" applyProtection="0"/>
    <xf numFmtId="0" fontId="16" fillId="12" borderId="0" applyNumberFormat="0" applyBorder="0" applyAlignment="0" applyProtection="0"/>
    <xf numFmtId="0" fontId="16" fillId="12" borderId="0" applyNumberFormat="0" applyBorder="0" applyAlignment="0" applyProtection="0"/>
    <xf numFmtId="0" fontId="40" fillId="12" borderId="0" applyNumberFormat="0" applyBorder="0" applyAlignment="0" applyProtection="0"/>
    <xf numFmtId="0" fontId="16" fillId="12" borderId="0" applyNumberFormat="0" applyBorder="0" applyAlignment="0" applyProtection="0"/>
    <xf numFmtId="0" fontId="40" fillId="12" borderId="0" applyNumberFormat="0" applyBorder="0" applyAlignment="0" applyProtection="0"/>
    <xf numFmtId="0" fontId="16" fillId="12" borderId="0" applyNumberFormat="0" applyBorder="0" applyAlignment="0" applyProtection="0"/>
    <xf numFmtId="0" fontId="16" fillId="12" borderId="0" applyNumberFormat="0" applyBorder="0" applyAlignment="0" applyProtection="0"/>
    <xf numFmtId="0" fontId="39" fillId="12" borderId="0" applyNumberFormat="0" applyBorder="0" applyAlignment="0" applyProtection="0"/>
    <xf numFmtId="0" fontId="16" fillId="12" borderId="0" applyNumberFormat="0" applyBorder="0" applyAlignment="0" applyProtection="0"/>
    <xf numFmtId="0" fontId="16" fillId="12" borderId="0" applyNumberFormat="0" applyBorder="0" applyAlignment="0" applyProtection="0"/>
    <xf numFmtId="0" fontId="16" fillId="12" borderId="0" applyNumberFormat="0" applyBorder="0" applyAlignment="0" applyProtection="0"/>
    <xf numFmtId="0" fontId="16" fillId="12" borderId="0" applyNumberFormat="0" applyBorder="0" applyAlignment="0" applyProtection="0"/>
    <xf numFmtId="0" fontId="16" fillId="12" borderId="0" applyNumberFormat="0" applyBorder="0" applyAlignment="0" applyProtection="0"/>
    <xf numFmtId="0" fontId="16" fillId="12" borderId="0" applyNumberFormat="0" applyBorder="0" applyAlignment="0" applyProtection="0"/>
    <xf numFmtId="0" fontId="16" fillId="12" borderId="0" applyNumberFormat="0" applyBorder="0" applyAlignment="0" applyProtection="0"/>
    <xf numFmtId="0" fontId="16" fillId="12" borderId="0" applyNumberFormat="0" applyBorder="0" applyAlignment="0" applyProtection="0"/>
    <xf numFmtId="0" fontId="16" fillId="12" borderId="0" applyNumberFormat="0" applyBorder="0" applyAlignment="0" applyProtection="0"/>
    <xf numFmtId="0" fontId="16" fillId="12" borderId="0" applyNumberFormat="0" applyBorder="0" applyAlignment="0" applyProtection="0"/>
    <xf numFmtId="0" fontId="16" fillId="12" borderId="0" applyNumberFormat="0" applyBorder="0" applyAlignment="0" applyProtection="0"/>
    <xf numFmtId="0" fontId="16" fillId="12" borderId="0" applyNumberFormat="0" applyBorder="0" applyAlignment="0" applyProtection="0"/>
    <xf numFmtId="0" fontId="72" fillId="64" borderId="0" applyNumberFormat="0" applyBorder="0" applyAlignment="0" applyProtection="0"/>
    <xf numFmtId="0" fontId="16" fillId="12" borderId="0" applyNumberFormat="0" applyBorder="0" applyAlignment="0" applyProtection="0"/>
    <xf numFmtId="0" fontId="16" fillId="12" borderId="0" applyNumberFormat="0" applyBorder="0" applyAlignment="0" applyProtection="0"/>
    <xf numFmtId="0" fontId="16" fillId="12" borderId="0" applyNumberFormat="0" applyBorder="0" applyAlignment="0" applyProtection="0"/>
    <xf numFmtId="0" fontId="16" fillId="12" borderId="0" applyNumberFormat="0" applyBorder="0" applyAlignment="0" applyProtection="0"/>
    <xf numFmtId="0" fontId="16" fillId="12" borderId="0" applyNumberFormat="0" applyBorder="0" applyAlignment="0" applyProtection="0"/>
    <xf numFmtId="0" fontId="16" fillId="12" borderId="0" applyNumberFormat="0" applyBorder="0" applyAlignment="0" applyProtection="0"/>
    <xf numFmtId="0" fontId="16" fillId="12" borderId="0" applyNumberFormat="0" applyBorder="0" applyAlignment="0" applyProtection="0"/>
    <xf numFmtId="0" fontId="16" fillId="12" borderId="0" applyNumberFormat="0" applyBorder="0" applyAlignment="0" applyProtection="0"/>
    <xf numFmtId="0" fontId="16" fillId="12" borderId="0" applyNumberFormat="0" applyBorder="0" applyAlignment="0" applyProtection="0"/>
    <xf numFmtId="0" fontId="4" fillId="0" borderId="0"/>
    <xf numFmtId="0" fontId="1" fillId="0" borderId="0"/>
    <xf numFmtId="0" fontId="56" fillId="0" borderId="0"/>
    <xf numFmtId="0" fontId="1" fillId="0" borderId="0"/>
    <xf numFmtId="0" fontId="56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1" fillId="0" borderId="0"/>
    <xf numFmtId="0" fontId="4" fillId="0" borderId="0"/>
    <xf numFmtId="0" fontId="1" fillId="0" borderId="0"/>
    <xf numFmtId="0" fontId="4" fillId="0" borderId="0"/>
    <xf numFmtId="0" fontId="4" fillId="0" borderId="0"/>
    <xf numFmtId="0" fontId="4" fillId="0" borderId="0"/>
    <xf numFmtId="0" fontId="56" fillId="0" borderId="0"/>
    <xf numFmtId="0" fontId="4" fillId="0" borderId="0"/>
    <xf numFmtId="0" fontId="56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56" fillId="0" borderId="0"/>
    <xf numFmtId="0" fontId="56" fillId="0" borderId="0"/>
    <xf numFmtId="165" fontId="41" fillId="0" borderId="0">
      <alignment vertical="center"/>
    </xf>
    <xf numFmtId="0" fontId="56" fillId="0" borderId="0"/>
    <xf numFmtId="0" fontId="56" fillId="0" borderId="0"/>
    <xf numFmtId="0" fontId="56" fillId="0" borderId="0"/>
    <xf numFmtId="0" fontId="56" fillId="0" borderId="0"/>
    <xf numFmtId="165" fontId="41" fillId="0" borderId="0">
      <alignment vertical="center"/>
    </xf>
    <xf numFmtId="165" fontId="41" fillId="0" borderId="0">
      <alignment vertical="center"/>
    </xf>
    <xf numFmtId="165" fontId="41" fillId="0" borderId="0">
      <alignment vertical="center"/>
    </xf>
    <xf numFmtId="0" fontId="1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165" fontId="41" fillId="0" borderId="0">
      <alignment vertical="center"/>
    </xf>
    <xf numFmtId="0" fontId="1" fillId="0" borderId="0"/>
    <xf numFmtId="165" fontId="41" fillId="0" borderId="0">
      <alignment vertical="center"/>
    </xf>
    <xf numFmtId="165" fontId="41" fillId="0" borderId="0">
      <alignment vertical="center"/>
    </xf>
    <xf numFmtId="165" fontId="41" fillId="0" borderId="0">
      <alignment vertical="center"/>
    </xf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56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56" fillId="0" borderId="0"/>
    <xf numFmtId="0" fontId="56" fillId="0" borderId="0"/>
    <xf numFmtId="0" fontId="56" fillId="0" borderId="0"/>
    <xf numFmtId="165" fontId="41" fillId="0" borderId="0">
      <alignment vertical="center"/>
    </xf>
    <xf numFmtId="165" fontId="41" fillId="0" borderId="0">
      <alignment vertical="center"/>
    </xf>
    <xf numFmtId="165" fontId="41" fillId="0" borderId="0">
      <alignment vertical="center"/>
    </xf>
    <xf numFmtId="165" fontId="41" fillId="0" borderId="0">
      <alignment vertical="center"/>
    </xf>
    <xf numFmtId="0" fontId="56" fillId="0" borderId="0"/>
    <xf numFmtId="0" fontId="4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168" fontId="41" fillId="0" borderId="0">
      <alignment vertical="center"/>
    </xf>
    <xf numFmtId="0" fontId="56" fillId="0" borderId="0"/>
    <xf numFmtId="0" fontId="1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56" fillId="0" borderId="0"/>
    <xf numFmtId="0" fontId="1" fillId="0" borderId="0"/>
    <xf numFmtId="0" fontId="4" fillId="0" borderId="0"/>
    <xf numFmtId="0" fontId="56" fillId="0" borderId="0"/>
    <xf numFmtId="0" fontId="56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1" fillId="0" borderId="0"/>
    <xf numFmtId="0" fontId="4" fillId="0" borderId="0"/>
    <xf numFmtId="0" fontId="1" fillId="0" borderId="0"/>
    <xf numFmtId="0" fontId="4" fillId="0" borderId="0"/>
    <xf numFmtId="0" fontId="4" fillId="0" borderId="0"/>
    <xf numFmtId="0" fontId="4" fillId="0" borderId="0"/>
    <xf numFmtId="0" fontId="4" fillId="0" borderId="0"/>
    <xf numFmtId="168" fontId="41" fillId="0" borderId="0">
      <alignment vertical="center"/>
    </xf>
    <xf numFmtId="0" fontId="4" fillId="0" borderId="0"/>
    <xf numFmtId="0" fontId="1" fillId="0" borderId="0"/>
    <xf numFmtId="0" fontId="4" fillId="0" borderId="0"/>
    <xf numFmtId="0" fontId="1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56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56" fillId="0" borderId="0"/>
    <xf numFmtId="0" fontId="1" fillId="0" borderId="0"/>
    <xf numFmtId="0" fontId="4" fillId="0" borderId="0"/>
    <xf numFmtId="0" fontId="1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1" fillId="0" borderId="0"/>
    <xf numFmtId="0" fontId="56" fillId="0" borderId="0"/>
    <xf numFmtId="0" fontId="4" fillId="0" borderId="0"/>
    <xf numFmtId="0" fontId="4" fillId="0" borderId="0"/>
    <xf numFmtId="0" fontId="4" fillId="0" borderId="0"/>
    <xf numFmtId="0" fontId="51" fillId="0" borderId="0"/>
    <xf numFmtId="0" fontId="4" fillId="0" borderId="0"/>
    <xf numFmtId="0" fontId="4" fillId="0" borderId="0"/>
    <xf numFmtId="0" fontId="56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56" fillId="0" borderId="0"/>
    <xf numFmtId="0" fontId="4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4" fillId="0" borderId="0"/>
    <xf numFmtId="0" fontId="56" fillId="0" borderId="0"/>
    <xf numFmtId="0" fontId="1" fillId="0" borderId="0"/>
    <xf numFmtId="0" fontId="42" fillId="0" borderId="0"/>
    <xf numFmtId="0" fontId="4" fillId="0" borderId="0"/>
    <xf numFmtId="0" fontId="1" fillId="0" borderId="0"/>
    <xf numFmtId="0" fontId="4" fillId="0" borderId="0"/>
    <xf numFmtId="0" fontId="42" fillId="0" borderId="0"/>
    <xf numFmtId="0" fontId="42" fillId="0" borderId="0"/>
    <xf numFmtId="0" fontId="42" fillId="0" borderId="0"/>
    <xf numFmtId="0" fontId="4" fillId="0" borderId="0"/>
    <xf numFmtId="0" fontId="56" fillId="0" borderId="0"/>
    <xf numFmtId="0" fontId="56" fillId="0" borderId="0"/>
    <xf numFmtId="0" fontId="1" fillId="0" borderId="0"/>
    <xf numFmtId="0" fontId="56" fillId="0" borderId="0"/>
    <xf numFmtId="0" fontId="1" fillId="0" borderId="0"/>
    <xf numFmtId="0" fontId="4" fillId="0" borderId="0">
      <alignment vertical="top"/>
    </xf>
    <xf numFmtId="0" fontId="4" fillId="0" borderId="0"/>
    <xf numFmtId="0" fontId="4" fillId="0" borderId="0">
      <alignment vertical="top"/>
    </xf>
    <xf numFmtId="0" fontId="56" fillId="0" borderId="0"/>
    <xf numFmtId="0" fontId="4" fillId="0" borderId="0"/>
    <xf numFmtId="0" fontId="4" fillId="0" borderId="0"/>
    <xf numFmtId="0" fontId="56" fillId="0" borderId="0"/>
    <xf numFmtId="0" fontId="56" fillId="0" borderId="0"/>
    <xf numFmtId="0" fontId="4" fillId="0" borderId="0"/>
    <xf numFmtId="0" fontId="4" fillId="0" borderId="0"/>
    <xf numFmtId="0" fontId="56" fillId="0" borderId="0"/>
    <xf numFmtId="0" fontId="4" fillId="0" borderId="0"/>
    <xf numFmtId="0" fontId="56" fillId="0" borderId="0"/>
    <xf numFmtId="0" fontId="56" fillId="0" borderId="0"/>
    <xf numFmtId="0" fontId="1" fillId="0" borderId="0"/>
    <xf numFmtId="0" fontId="56" fillId="0" borderId="0"/>
    <xf numFmtId="0" fontId="1" fillId="0" borderId="0"/>
    <xf numFmtId="0" fontId="56" fillId="0" borderId="0"/>
    <xf numFmtId="0" fontId="4" fillId="0" borderId="0"/>
    <xf numFmtId="0" fontId="1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4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4" fillId="0" borderId="0"/>
    <xf numFmtId="0" fontId="56" fillId="0" borderId="0"/>
    <xf numFmtId="0" fontId="4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1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1" fillId="0" borderId="0"/>
    <xf numFmtId="0" fontId="56" fillId="0" borderId="0"/>
    <xf numFmtId="0" fontId="1" fillId="0" borderId="0"/>
    <xf numFmtId="0" fontId="4" fillId="0" borderId="0"/>
    <xf numFmtId="0" fontId="56" fillId="0" borderId="0"/>
    <xf numFmtId="0" fontId="4" fillId="0" borderId="0"/>
    <xf numFmtId="0" fontId="1" fillId="0" borderId="0"/>
    <xf numFmtId="0" fontId="56" fillId="0" borderId="0"/>
    <xf numFmtId="0" fontId="4" fillId="0" borderId="0"/>
    <xf numFmtId="0" fontId="4" fillId="0" borderId="0"/>
    <xf numFmtId="0" fontId="56" fillId="0" borderId="0"/>
    <xf numFmtId="0" fontId="56" fillId="0" borderId="0"/>
    <xf numFmtId="0" fontId="56" fillId="0" borderId="0"/>
    <xf numFmtId="0" fontId="1" fillId="0" borderId="0"/>
    <xf numFmtId="0" fontId="56" fillId="0" borderId="0"/>
    <xf numFmtId="0" fontId="56" fillId="0" borderId="0"/>
    <xf numFmtId="0" fontId="56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>
      <alignment vertical="top"/>
    </xf>
    <xf numFmtId="0" fontId="56" fillId="0" borderId="0"/>
    <xf numFmtId="0" fontId="56" fillId="0" borderId="0"/>
    <xf numFmtId="0" fontId="4" fillId="0" borderId="0"/>
    <xf numFmtId="0" fontId="56" fillId="0" borderId="0"/>
    <xf numFmtId="0" fontId="56" fillId="0" borderId="0"/>
    <xf numFmtId="0" fontId="1" fillId="0" borderId="0"/>
    <xf numFmtId="0" fontId="28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1" fillId="0" borderId="0"/>
    <xf numFmtId="0" fontId="28" fillId="0" borderId="0"/>
    <xf numFmtId="0" fontId="1" fillId="0" borderId="0"/>
    <xf numFmtId="4" fontId="4" fillId="0" borderId="0"/>
    <xf numFmtId="0" fontId="4" fillId="0" borderId="0"/>
    <xf numFmtId="0" fontId="56" fillId="0" borderId="0"/>
    <xf numFmtId="0" fontId="4" fillId="0" borderId="0"/>
    <xf numFmtId="0" fontId="56" fillId="0" borderId="0"/>
    <xf numFmtId="0" fontId="56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1" fillId="0" borderId="0"/>
    <xf numFmtId="0" fontId="28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56" fillId="0" borderId="0"/>
    <xf numFmtId="0" fontId="28" fillId="0" borderId="0"/>
    <xf numFmtId="0" fontId="56" fillId="0" borderId="0"/>
    <xf numFmtId="0" fontId="4" fillId="0" borderId="0"/>
    <xf numFmtId="0" fontId="4" fillId="0" borderId="0"/>
    <xf numFmtId="0" fontId="56" fillId="0" borderId="0"/>
    <xf numFmtId="0" fontId="56" fillId="0" borderId="0"/>
    <xf numFmtId="0" fontId="56" fillId="0" borderId="0"/>
    <xf numFmtId="0" fontId="4" fillId="0" borderId="0"/>
    <xf numFmtId="0" fontId="4" fillId="0" borderId="0"/>
    <xf numFmtId="0" fontId="56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56" fillId="0" borderId="0"/>
    <xf numFmtId="0" fontId="4" fillId="0" borderId="0"/>
    <xf numFmtId="0" fontId="56" fillId="0" borderId="0"/>
    <xf numFmtId="0" fontId="4" fillId="0" borderId="0"/>
    <xf numFmtId="0" fontId="4" fillId="0" borderId="0"/>
    <xf numFmtId="0" fontId="43" fillId="0" borderId="0"/>
    <xf numFmtId="177" fontId="41" fillId="0" borderId="0">
      <alignment vertical="center"/>
    </xf>
    <xf numFmtId="0" fontId="4" fillId="0" borderId="0"/>
    <xf numFmtId="0" fontId="1" fillId="0" borderId="0"/>
    <xf numFmtId="0" fontId="43" fillId="0" borderId="0"/>
    <xf numFmtId="0" fontId="4" fillId="0" borderId="0"/>
    <xf numFmtId="0" fontId="1" fillId="0" borderId="0"/>
    <xf numFmtId="0" fontId="1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2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42" fillId="0" borderId="0"/>
    <xf numFmtId="0" fontId="42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42" fillId="0" borderId="0"/>
    <xf numFmtId="0" fontId="42" fillId="0" borderId="0"/>
    <xf numFmtId="0" fontId="4" fillId="0" borderId="0"/>
    <xf numFmtId="0" fontId="42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56" fillId="0" borderId="0"/>
    <xf numFmtId="0" fontId="4" fillId="0" borderId="0"/>
    <xf numFmtId="0" fontId="1" fillId="0" borderId="0"/>
    <xf numFmtId="0" fontId="56" fillId="0" borderId="0"/>
    <xf numFmtId="0" fontId="1" fillId="0" borderId="0"/>
    <xf numFmtId="0" fontId="4" fillId="0" borderId="0"/>
    <xf numFmtId="0" fontId="1" fillId="0" borderId="0"/>
    <xf numFmtId="0" fontId="4" fillId="0" borderId="0"/>
    <xf numFmtId="0" fontId="56" fillId="0" borderId="0"/>
    <xf numFmtId="0" fontId="56" fillId="0" borderId="0"/>
    <xf numFmtId="0" fontId="4" fillId="0" borderId="0"/>
    <xf numFmtId="0" fontId="56" fillId="0" borderId="0"/>
    <xf numFmtId="0" fontId="1" fillId="0" borderId="0"/>
    <xf numFmtId="0" fontId="4" fillId="0" borderId="0"/>
    <xf numFmtId="0" fontId="1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56" fillId="0" borderId="0"/>
    <xf numFmtId="0" fontId="1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1" fillId="0" borderId="0"/>
    <xf numFmtId="0" fontId="44" fillId="0" borderId="0"/>
    <xf numFmtId="0" fontId="44" fillId="0" borderId="0"/>
    <xf numFmtId="0" fontId="4" fillId="0" borderId="0"/>
    <xf numFmtId="0" fontId="4" fillId="0" borderId="0"/>
    <xf numFmtId="0" fontId="4" fillId="0" borderId="0"/>
    <xf numFmtId="0" fontId="1" fillId="0" borderId="0"/>
    <xf numFmtId="0" fontId="4" fillId="0" borderId="0"/>
    <xf numFmtId="0" fontId="1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4" fillId="0" borderId="0"/>
    <xf numFmtId="0" fontId="44" fillId="0" borderId="0"/>
    <xf numFmtId="0" fontId="1" fillId="0" borderId="0"/>
    <xf numFmtId="0" fontId="1" fillId="0" borderId="0"/>
    <xf numFmtId="0" fontId="42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1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1" fillId="0" borderId="0"/>
    <xf numFmtId="0" fontId="4" fillId="0" borderId="0"/>
    <xf numFmtId="0" fontId="1" fillId="0" borderId="0"/>
    <xf numFmtId="0" fontId="4" fillId="0" borderId="0"/>
    <xf numFmtId="0" fontId="1" fillId="0" borderId="0"/>
    <xf numFmtId="0" fontId="56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56" fillId="0" borderId="0"/>
    <xf numFmtId="0" fontId="4" fillId="0" borderId="0"/>
    <xf numFmtId="0" fontId="4" fillId="0" borderId="0"/>
    <xf numFmtId="0" fontId="73" fillId="0" borderId="0"/>
    <xf numFmtId="0" fontId="4" fillId="0" borderId="0"/>
    <xf numFmtId="0" fontId="4" fillId="0" borderId="0"/>
    <xf numFmtId="0" fontId="1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2" fillId="0" borderId="0"/>
    <xf numFmtId="0" fontId="1" fillId="0" borderId="0"/>
    <xf numFmtId="0" fontId="4" fillId="0" borderId="0"/>
    <xf numFmtId="0" fontId="4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42" fillId="0" borderId="0"/>
    <xf numFmtId="0" fontId="4" fillId="0" borderId="0"/>
    <xf numFmtId="0" fontId="4" fillId="0" borderId="0"/>
    <xf numFmtId="0" fontId="42" fillId="0" borderId="0"/>
    <xf numFmtId="0" fontId="42" fillId="0" borderId="0"/>
    <xf numFmtId="0" fontId="4" fillId="0" borderId="0"/>
    <xf numFmtId="0" fontId="42" fillId="0" borderId="0"/>
    <xf numFmtId="0" fontId="42" fillId="0" borderId="0"/>
    <xf numFmtId="0" fontId="44" fillId="0" borderId="0"/>
    <xf numFmtId="0" fontId="44" fillId="0" borderId="0"/>
    <xf numFmtId="0" fontId="56" fillId="0" borderId="0"/>
    <xf numFmtId="0" fontId="42" fillId="0" borderId="0"/>
    <xf numFmtId="0" fontId="4" fillId="0" borderId="0"/>
    <xf numFmtId="0" fontId="42" fillId="0" borderId="0"/>
    <xf numFmtId="0" fontId="42" fillId="0" borderId="0"/>
    <xf numFmtId="0" fontId="4" fillId="0" borderId="0"/>
    <xf numFmtId="0" fontId="42" fillId="0" borderId="0"/>
    <xf numFmtId="0" fontId="4" fillId="0" borderId="0"/>
    <xf numFmtId="0" fontId="1" fillId="0" borderId="0"/>
    <xf numFmtId="0" fontId="7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1" fillId="0" borderId="0"/>
    <xf numFmtId="0" fontId="1" fillId="0" borderId="0"/>
    <xf numFmtId="0" fontId="56" fillId="0" borderId="0"/>
    <xf numFmtId="0" fontId="4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56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1" fillId="0" borderId="0"/>
    <xf numFmtId="0" fontId="56" fillId="0" borderId="0"/>
    <xf numFmtId="0" fontId="4" fillId="0" borderId="0"/>
    <xf numFmtId="0" fontId="1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1" fillId="0" borderId="0"/>
    <xf numFmtId="0" fontId="1" fillId="0" borderId="0"/>
    <xf numFmtId="0" fontId="1" fillId="0" borderId="0"/>
    <xf numFmtId="0" fontId="4" fillId="0" borderId="0"/>
    <xf numFmtId="0" fontId="1" fillId="0" borderId="0"/>
    <xf numFmtId="0" fontId="4" fillId="0" borderId="0"/>
    <xf numFmtId="0" fontId="1" fillId="0" borderId="0"/>
    <xf numFmtId="0" fontId="56" fillId="0" borderId="0"/>
    <xf numFmtId="0" fontId="56" fillId="0" borderId="0"/>
    <xf numFmtId="0" fontId="4" fillId="0" borderId="0"/>
    <xf numFmtId="0" fontId="56" fillId="0" borderId="0"/>
    <xf numFmtId="0" fontId="45" fillId="0" borderId="0"/>
    <xf numFmtId="0" fontId="4" fillId="0" borderId="0"/>
    <xf numFmtId="0" fontId="56" fillId="0" borderId="0"/>
    <xf numFmtId="0" fontId="4" fillId="0" borderId="0"/>
    <xf numFmtId="0" fontId="56" fillId="0" borderId="0"/>
    <xf numFmtId="0" fontId="4" fillId="0" borderId="0"/>
    <xf numFmtId="0" fontId="4" fillId="0" borderId="0"/>
    <xf numFmtId="0" fontId="4" fillId="0" borderId="0"/>
    <xf numFmtId="0" fontId="1" fillId="0" borderId="0"/>
    <xf numFmtId="0" fontId="4" fillId="0" borderId="0"/>
    <xf numFmtId="0" fontId="1" fillId="0" borderId="0"/>
    <xf numFmtId="0" fontId="4" fillId="0" borderId="0"/>
    <xf numFmtId="0" fontId="1" fillId="0" borderId="0"/>
    <xf numFmtId="0" fontId="4" fillId="0" borderId="0"/>
    <xf numFmtId="0" fontId="1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56" fillId="0" borderId="0"/>
    <xf numFmtId="0" fontId="4" fillId="0" borderId="0"/>
    <xf numFmtId="0" fontId="56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56" fillId="0" borderId="0"/>
    <xf numFmtId="0" fontId="4" fillId="0" borderId="0"/>
    <xf numFmtId="0" fontId="56" fillId="0" borderId="0"/>
    <xf numFmtId="0" fontId="4" fillId="0" borderId="0"/>
    <xf numFmtId="0" fontId="4" fillId="0" borderId="0"/>
    <xf numFmtId="0" fontId="56" fillId="0" borderId="0"/>
    <xf numFmtId="0" fontId="56" fillId="0" borderId="0"/>
    <xf numFmtId="0" fontId="56" fillId="0" borderId="0"/>
    <xf numFmtId="0" fontId="4" fillId="0" borderId="0"/>
    <xf numFmtId="0" fontId="56" fillId="0" borderId="0"/>
    <xf numFmtId="0" fontId="1" fillId="0" borderId="0"/>
    <xf numFmtId="0" fontId="4" fillId="0" borderId="0"/>
    <xf numFmtId="0" fontId="42" fillId="0" borderId="0"/>
    <xf numFmtId="0" fontId="4" fillId="0" borderId="0"/>
    <xf numFmtId="0" fontId="42" fillId="0" borderId="0"/>
    <xf numFmtId="0" fontId="1" fillId="0" borderId="0"/>
    <xf numFmtId="0" fontId="4" fillId="0" borderId="0"/>
    <xf numFmtId="0" fontId="4" fillId="0" borderId="0"/>
    <xf numFmtId="0" fontId="4" fillId="0" borderId="0"/>
    <xf numFmtId="0" fontId="50" fillId="0" borderId="0"/>
    <xf numFmtId="0" fontId="4" fillId="0" borderId="0"/>
    <xf numFmtId="0" fontId="1" fillId="0" borderId="0"/>
    <xf numFmtId="0" fontId="4" fillId="0" borderId="0"/>
    <xf numFmtId="0" fontId="1" fillId="0" borderId="0"/>
    <xf numFmtId="0" fontId="1" fillId="0" borderId="0"/>
    <xf numFmtId="0" fontId="4" fillId="0" borderId="0"/>
    <xf numFmtId="0" fontId="1" fillId="0" borderId="0"/>
    <xf numFmtId="0" fontId="56" fillId="0" borderId="0"/>
    <xf numFmtId="0" fontId="4" fillId="0" borderId="0"/>
    <xf numFmtId="0" fontId="56" fillId="0" borderId="0"/>
    <xf numFmtId="0" fontId="56" fillId="0" borderId="0"/>
    <xf numFmtId="181" fontId="54" fillId="0" borderId="0" applyNumberFormat="0" applyProtection="0">
      <alignment horizontal="center" vertical="center"/>
    </xf>
    <xf numFmtId="0" fontId="1" fillId="0" borderId="0"/>
    <xf numFmtId="0" fontId="1" fillId="0" borderId="0"/>
    <xf numFmtId="0" fontId="56" fillId="0" borderId="0"/>
    <xf numFmtId="0" fontId="1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4" fillId="0" borderId="0"/>
    <xf numFmtId="0" fontId="1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56" fillId="0" borderId="0"/>
    <xf numFmtId="0" fontId="1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4" fillId="0" borderId="0"/>
    <xf numFmtId="0" fontId="4" fillId="0" borderId="0"/>
    <xf numFmtId="0" fontId="56" fillId="0" borderId="0"/>
    <xf numFmtId="0" fontId="56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56" fillId="0" borderId="0"/>
    <xf numFmtId="0" fontId="1" fillId="0" borderId="0"/>
    <xf numFmtId="0" fontId="4" fillId="0" borderId="0"/>
    <xf numFmtId="0" fontId="1" fillId="0" borderId="0"/>
    <xf numFmtId="0" fontId="56" fillId="0" borderId="0"/>
    <xf numFmtId="0" fontId="4" fillId="0" borderId="0"/>
    <xf numFmtId="0" fontId="56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1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56" fillId="0" borderId="0"/>
    <xf numFmtId="0" fontId="56" fillId="0" borderId="0"/>
    <xf numFmtId="0" fontId="4" fillId="0" borderId="0"/>
    <xf numFmtId="0" fontId="56" fillId="0" borderId="0"/>
    <xf numFmtId="0" fontId="4" fillId="0" borderId="0"/>
    <xf numFmtId="0" fontId="56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56" fillId="0" borderId="0"/>
    <xf numFmtId="0" fontId="4" fillId="0" borderId="0"/>
    <xf numFmtId="0" fontId="4" fillId="0" borderId="0" applyNumberFormat="0" applyFont="0" applyFill="0" applyBorder="0" applyAlignment="0" applyProtection="0"/>
    <xf numFmtId="0" fontId="4" fillId="0" borderId="0"/>
    <xf numFmtId="0" fontId="4" fillId="0" borderId="0" applyNumberFormat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1" fillId="0" borderId="0"/>
    <xf numFmtId="0" fontId="4" fillId="0" borderId="0"/>
    <xf numFmtId="0" fontId="1" fillId="0" borderId="0"/>
    <xf numFmtId="0" fontId="4" fillId="0" borderId="0"/>
    <xf numFmtId="0" fontId="1" fillId="0" borderId="0"/>
    <xf numFmtId="0" fontId="4" fillId="0" borderId="0"/>
    <xf numFmtId="0" fontId="1" fillId="0" borderId="0"/>
    <xf numFmtId="0" fontId="4" fillId="0" borderId="0"/>
    <xf numFmtId="0" fontId="53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3" fillId="0" borderId="0"/>
    <xf numFmtId="0" fontId="4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3" fillId="0" borderId="0"/>
    <xf numFmtId="0" fontId="1" fillId="0" borderId="0"/>
    <xf numFmtId="0" fontId="4" fillId="0" borderId="0"/>
    <xf numFmtId="0" fontId="1" fillId="0" borderId="0"/>
    <xf numFmtId="0" fontId="56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56" fillId="0" borderId="0"/>
    <xf numFmtId="0" fontId="1" fillId="0" borderId="0"/>
    <xf numFmtId="0" fontId="4" fillId="0" borderId="0"/>
    <xf numFmtId="0" fontId="1" fillId="0" borderId="0"/>
    <xf numFmtId="0" fontId="4" fillId="0" borderId="0"/>
    <xf numFmtId="0" fontId="1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1" fillId="0" borderId="0"/>
    <xf numFmtId="0" fontId="56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56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27" fillId="0" borderId="0"/>
    <xf numFmtId="0" fontId="4" fillId="0" borderId="0"/>
    <xf numFmtId="0" fontId="27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1" fillId="0" borderId="0"/>
    <xf numFmtId="0" fontId="4" fillId="0" borderId="0"/>
    <xf numFmtId="0" fontId="1" fillId="0" borderId="0"/>
    <xf numFmtId="0" fontId="56" fillId="0" borderId="0"/>
    <xf numFmtId="0" fontId="4" fillId="0" borderId="0"/>
    <xf numFmtId="0" fontId="56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56" fillId="0" borderId="0"/>
    <xf numFmtId="0" fontId="4" fillId="0" borderId="0"/>
    <xf numFmtId="0" fontId="56" fillId="0" borderId="0"/>
    <xf numFmtId="0" fontId="4" fillId="0" borderId="0"/>
    <xf numFmtId="0" fontId="56" fillId="0" borderId="0"/>
    <xf numFmtId="0" fontId="4" fillId="0" borderId="0"/>
    <xf numFmtId="0" fontId="4" fillId="0" borderId="0"/>
    <xf numFmtId="0" fontId="56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1" fillId="0" borderId="0"/>
    <xf numFmtId="0" fontId="1" fillId="0" borderId="0"/>
    <xf numFmtId="0" fontId="4" fillId="0" borderId="0"/>
    <xf numFmtId="4" fontId="22" fillId="0" borderId="1" applyFill="0" applyBorder="0" applyProtection="0">
      <alignment horizontal="right" vertical="center"/>
    </xf>
    <xf numFmtId="4" fontId="22" fillId="0" borderId="1" applyFill="0" applyBorder="0" applyProtection="0">
      <alignment horizontal="right" vertical="center"/>
    </xf>
    <xf numFmtId="4" fontId="22" fillId="0" borderId="0" applyFill="0" applyBorder="0" applyProtection="0">
      <alignment horizontal="right" vertical="center"/>
    </xf>
    <xf numFmtId="4" fontId="22" fillId="0" borderId="0" applyFill="0" applyBorder="0" applyProtection="0">
      <alignment horizontal="right" vertical="center"/>
    </xf>
    <xf numFmtId="0" fontId="23" fillId="0" borderId="0" applyNumberFormat="0" applyFill="0" applyBorder="0" applyProtection="0">
      <alignment horizontal="left" vertical="center"/>
    </xf>
    <xf numFmtId="0" fontId="22" fillId="0" borderId="1" applyNumberFormat="0" applyFill="0" applyAlignment="0" applyProtection="0"/>
    <xf numFmtId="0" fontId="4" fillId="32" borderId="0" applyNumberFormat="0" applyFont="0" applyBorder="0" applyAlignment="0" applyProtection="0"/>
    <xf numFmtId="4" fontId="4" fillId="32" borderId="0" applyNumberFormat="0" applyFont="0" applyBorder="0" applyAlignment="0" applyProtection="0"/>
    <xf numFmtId="0" fontId="55" fillId="33" borderId="0" applyNumberFormat="0" applyFont="0" applyBorder="0" applyAlignment="0" applyProtection="0"/>
    <xf numFmtId="0" fontId="4" fillId="32" borderId="0" applyNumberFormat="0" applyFont="0" applyBorder="0" applyAlignment="0" applyProtection="0"/>
    <xf numFmtId="0" fontId="75" fillId="0" borderId="0"/>
    <xf numFmtId="0" fontId="52" fillId="0" borderId="0"/>
    <xf numFmtId="0" fontId="46" fillId="0" borderId="0"/>
    <xf numFmtId="0" fontId="4" fillId="7" borderId="23" applyNumberFormat="0" applyFont="0" applyAlignment="0" applyProtection="0"/>
    <xf numFmtId="0" fontId="4" fillId="7" borderId="23" applyNumberFormat="0" applyFont="0" applyAlignment="0" applyProtection="0"/>
    <xf numFmtId="0" fontId="4" fillId="7" borderId="23" applyNumberFormat="0" applyFont="0" applyAlignment="0" applyProtection="0"/>
    <xf numFmtId="0" fontId="4" fillId="7" borderId="23" applyNumberFormat="0" applyFont="0" applyAlignment="0" applyProtection="0"/>
    <xf numFmtId="0" fontId="4" fillId="7" borderId="23" applyNumberFormat="0" applyFont="0" applyAlignment="0" applyProtection="0"/>
    <xf numFmtId="0" fontId="4" fillId="7" borderId="23" applyNumberFormat="0" applyFont="0" applyAlignment="0" applyProtection="0"/>
    <xf numFmtId="0" fontId="4" fillId="7" borderId="23" applyNumberFormat="0" applyFont="0" applyAlignment="0" applyProtection="0"/>
    <xf numFmtId="0" fontId="4" fillId="7" borderId="23" applyNumberFormat="0" applyFont="0" applyAlignment="0" applyProtection="0"/>
    <xf numFmtId="0" fontId="4" fillId="7" borderId="23" applyNumberFormat="0" applyFont="0" applyAlignment="0" applyProtection="0"/>
    <xf numFmtId="0" fontId="4" fillId="7" borderId="23" applyNumberFormat="0" applyFont="0" applyAlignment="0" applyProtection="0"/>
    <xf numFmtId="0" fontId="4" fillId="7" borderId="23" applyNumberFormat="0" applyFont="0" applyAlignment="0" applyProtection="0"/>
    <xf numFmtId="0" fontId="4" fillId="7" borderId="23" applyNumberFormat="0" applyFont="0" applyAlignment="0" applyProtection="0"/>
    <xf numFmtId="0" fontId="4" fillId="7" borderId="23" applyNumberFormat="0" applyFont="0" applyAlignment="0" applyProtection="0"/>
    <xf numFmtId="0" fontId="4" fillId="7" borderId="23" applyNumberFormat="0" applyFont="0" applyAlignment="0" applyProtection="0"/>
    <xf numFmtId="0" fontId="4" fillId="7" borderId="23" applyNumberFormat="0" applyFont="0" applyAlignment="0" applyProtection="0"/>
    <xf numFmtId="0" fontId="4" fillId="7" borderId="23" applyNumberFormat="0" applyFont="0" applyAlignment="0" applyProtection="0"/>
    <xf numFmtId="0" fontId="4" fillId="7" borderId="23" applyNumberFormat="0" applyFont="0" applyAlignment="0" applyProtection="0"/>
    <xf numFmtId="0" fontId="4" fillId="7" borderId="23" applyNumberFormat="0" applyFont="0" applyAlignment="0" applyProtection="0"/>
    <xf numFmtId="0" fontId="4" fillId="7" borderId="23" applyNumberFormat="0" applyFont="0" applyAlignment="0" applyProtection="0"/>
    <xf numFmtId="0" fontId="4" fillId="7" borderId="23" applyNumberFormat="0" applyFont="0" applyAlignment="0" applyProtection="0"/>
    <xf numFmtId="0" fontId="4" fillId="7" borderId="23" applyNumberFormat="0" applyFont="0" applyAlignment="0" applyProtection="0"/>
    <xf numFmtId="0" fontId="4" fillId="7" borderId="23" applyNumberFormat="0" applyFont="0" applyAlignment="0" applyProtection="0"/>
    <xf numFmtId="0" fontId="4" fillId="7" borderId="23" applyNumberFormat="0" applyFont="0" applyAlignment="0" applyProtection="0"/>
    <xf numFmtId="0" fontId="4" fillId="7" borderId="23" applyNumberFormat="0" applyFont="0" applyAlignment="0" applyProtection="0"/>
    <xf numFmtId="0" fontId="4" fillId="7" borderId="23" applyNumberFormat="0" applyFont="0" applyAlignment="0" applyProtection="0"/>
    <xf numFmtId="0" fontId="4" fillId="7" borderId="23" applyNumberFormat="0" applyFont="0" applyAlignment="0" applyProtection="0"/>
    <xf numFmtId="0" fontId="4" fillId="7" borderId="23" applyNumberFormat="0" applyFont="0" applyAlignment="0" applyProtection="0"/>
    <xf numFmtId="0" fontId="4" fillId="7" borderId="23" applyNumberFormat="0" applyFont="0" applyAlignment="0" applyProtection="0"/>
    <xf numFmtId="0" fontId="4" fillId="7" borderId="23" applyNumberFormat="0" applyFont="0" applyAlignment="0" applyProtection="0"/>
    <xf numFmtId="0" fontId="4" fillId="7" borderId="23" applyNumberFormat="0" applyFont="0" applyAlignment="0" applyProtection="0"/>
    <xf numFmtId="0" fontId="4" fillId="7" borderId="23" applyNumberFormat="0" applyFont="0" applyAlignment="0" applyProtection="0"/>
    <xf numFmtId="0" fontId="4" fillId="7" borderId="23" applyNumberFormat="0" applyFont="0" applyAlignment="0" applyProtection="0"/>
    <xf numFmtId="0" fontId="4" fillId="7" borderId="23" applyNumberFormat="0" applyFont="0" applyAlignment="0" applyProtection="0"/>
    <xf numFmtId="0" fontId="4" fillId="7" borderId="23" applyNumberFormat="0" applyFont="0" applyAlignment="0" applyProtection="0"/>
    <xf numFmtId="0" fontId="4" fillId="7" borderId="23" applyNumberFormat="0" applyFont="0" applyAlignment="0" applyProtection="0"/>
    <xf numFmtId="0" fontId="4" fillId="7" borderId="23" applyNumberFormat="0" applyFont="0" applyAlignment="0" applyProtection="0"/>
    <xf numFmtId="0" fontId="4" fillId="7" borderId="23" applyNumberFormat="0" applyFont="0" applyAlignment="0" applyProtection="0"/>
    <xf numFmtId="0" fontId="4" fillId="7" borderId="23" applyNumberFormat="0" applyFont="0" applyAlignment="0" applyProtection="0"/>
    <xf numFmtId="0" fontId="1" fillId="7" borderId="23" applyNumberFormat="0" applyFont="0" applyAlignment="0" applyProtection="0"/>
    <xf numFmtId="0" fontId="4" fillId="7" borderId="23" applyNumberFormat="0" applyFont="0" applyAlignment="0" applyProtection="0"/>
    <xf numFmtId="0" fontId="1" fillId="7" borderId="23" applyNumberFormat="0" applyFont="0" applyAlignment="0" applyProtection="0"/>
    <xf numFmtId="0" fontId="4" fillId="7" borderId="23" applyNumberFormat="0" applyFont="0" applyAlignment="0" applyProtection="0"/>
    <xf numFmtId="0" fontId="4" fillId="7" borderId="23" applyNumberFormat="0" applyFont="0" applyAlignment="0" applyProtection="0"/>
    <xf numFmtId="0" fontId="4" fillId="7" borderId="23" applyNumberFormat="0" applyFont="0" applyAlignment="0" applyProtection="0"/>
    <xf numFmtId="0" fontId="4" fillId="7" borderId="23" applyNumberFormat="0" applyFont="0" applyAlignment="0" applyProtection="0"/>
    <xf numFmtId="0" fontId="4" fillId="7" borderId="23" applyNumberFormat="0" applyFont="0" applyAlignment="0" applyProtection="0"/>
    <xf numFmtId="0" fontId="4" fillId="7" borderId="23" applyNumberFormat="0" applyFont="0" applyAlignment="0" applyProtection="0"/>
    <xf numFmtId="0" fontId="4" fillId="7" borderId="23" applyNumberFormat="0" applyFont="0" applyAlignment="0" applyProtection="0"/>
    <xf numFmtId="0" fontId="4" fillId="7" borderId="23" applyNumberFormat="0" applyFont="0" applyAlignment="0" applyProtection="0"/>
    <xf numFmtId="0" fontId="4" fillId="7" borderId="23" applyNumberFormat="0" applyFont="0" applyAlignment="0" applyProtection="0"/>
    <xf numFmtId="0" fontId="4" fillId="7" borderId="23" applyNumberFormat="0" applyFont="0" applyAlignment="0" applyProtection="0"/>
    <xf numFmtId="0" fontId="4" fillId="7" borderId="23" applyNumberFormat="0" applyFont="0" applyAlignment="0" applyProtection="0"/>
    <xf numFmtId="0" fontId="4" fillId="7" borderId="23" applyNumberFormat="0" applyFont="0" applyAlignment="0" applyProtection="0"/>
    <xf numFmtId="0" fontId="4" fillId="7" borderId="23" applyNumberFormat="0" applyFont="0" applyAlignment="0" applyProtection="0"/>
    <xf numFmtId="0" fontId="4" fillId="7" borderId="23" applyNumberFormat="0" applyFont="0" applyAlignment="0" applyProtection="0"/>
    <xf numFmtId="0" fontId="4" fillId="7" borderId="23" applyNumberFormat="0" applyFont="0" applyAlignment="0" applyProtection="0"/>
    <xf numFmtId="0" fontId="4" fillId="7" borderId="23" applyNumberFormat="0" applyFont="0" applyAlignment="0" applyProtection="0"/>
    <xf numFmtId="0" fontId="4" fillId="7" borderId="23" applyNumberFormat="0" applyFont="0" applyAlignment="0" applyProtection="0"/>
    <xf numFmtId="0" fontId="4" fillId="7" borderId="23" applyNumberFormat="0" applyFont="0" applyAlignment="0" applyProtection="0"/>
    <xf numFmtId="0" fontId="1" fillId="7" borderId="23" applyNumberFormat="0" applyFont="0" applyAlignment="0" applyProtection="0"/>
    <xf numFmtId="0" fontId="1" fillId="7" borderId="23" applyNumberFormat="0" applyFont="0" applyAlignment="0" applyProtection="0"/>
    <xf numFmtId="0" fontId="4" fillId="7" borderId="23" applyNumberFormat="0" applyFont="0" applyAlignment="0" applyProtection="0"/>
    <xf numFmtId="0" fontId="1" fillId="7" borderId="23" applyNumberFormat="0" applyFont="0" applyAlignment="0" applyProtection="0"/>
    <xf numFmtId="0" fontId="4" fillId="7" borderId="23" applyNumberFormat="0" applyFont="0" applyAlignment="0" applyProtection="0"/>
    <xf numFmtId="0" fontId="4" fillId="7" borderId="23" applyNumberFormat="0" applyFont="0" applyAlignment="0" applyProtection="0"/>
    <xf numFmtId="0" fontId="1" fillId="7" borderId="23" applyNumberFormat="0" applyFont="0" applyAlignment="0" applyProtection="0"/>
    <xf numFmtId="0" fontId="4" fillId="7" borderId="23" applyNumberFormat="0" applyFont="0" applyAlignment="0" applyProtection="0"/>
    <xf numFmtId="0" fontId="1" fillId="7" borderId="23" applyNumberFormat="0" applyFont="0" applyAlignment="0" applyProtection="0"/>
    <xf numFmtId="0" fontId="1" fillId="7" borderId="23" applyNumberFormat="0" applyFont="0" applyAlignment="0" applyProtection="0"/>
    <xf numFmtId="0" fontId="4" fillId="7" borderId="23" applyNumberFormat="0" applyFont="0" applyAlignment="0" applyProtection="0"/>
    <xf numFmtId="0" fontId="4" fillId="7" borderId="23" applyNumberFormat="0" applyFont="0" applyAlignment="0" applyProtection="0"/>
    <xf numFmtId="0" fontId="4" fillId="7" borderId="23" applyNumberFormat="0" applyFont="0" applyAlignment="0" applyProtection="0"/>
    <xf numFmtId="0" fontId="4" fillId="7" borderId="23" applyNumberFormat="0" applyFont="0" applyAlignment="0" applyProtection="0"/>
    <xf numFmtId="0" fontId="4" fillId="7" borderId="23" applyNumberFormat="0" applyFont="0" applyAlignment="0" applyProtection="0"/>
    <xf numFmtId="0" fontId="4" fillId="7" borderId="23" applyNumberFormat="0" applyFont="0" applyAlignment="0" applyProtection="0"/>
    <xf numFmtId="0" fontId="4" fillId="7" borderId="23" applyNumberFormat="0" applyFont="0" applyAlignment="0" applyProtection="0"/>
    <xf numFmtId="0" fontId="4" fillId="7" borderId="23" applyNumberFormat="0" applyFont="0" applyAlignment="0" applyProtection="0"/>
    <xf numFmtId="0" fontId="4" fillId="7" borderId="23" applyNumberFormat="0" applyFont="0" applyAlignment="0" applyProtection="0"/>
    <xf numFmtId="0" fontId="4" fillId="7" borderId="23" applyNumberFormat="0" applyFont="0" applyAlignment="0" applyProtection="0"/>
    <xf numFmtId="0" fontId="4" fillId="7" borderId="23" applyNumberFormat="0" applyFont="0" applyAlignment="0" applyProtection="0"/>
    <xf numFmtId="0" fontId="4" fillId="7" borderId="23" applyNumberFormat="0" applyFont="0" applyAlignment="0" applyProtection="0"/>
    <xf numFmtId="0" fontId="4" fillId="7" borderId="23" applyNumberFormat="0" applyFont="0" applyAlignment="0" applyProtection="0"/>
    <xf numFmtId="0" fontId="4" fillId="7" borderId="23" applyNumberFormat="0" applyFont="0" applyAlignment="0" applyProtection="0"/>
    <xf numFmtId="0" fontId="4" fillId="7" borderId="23" applyNumberFormat="0" applyFont="0" applyAlignment="0" applyProtection="0"/>
    <xf numFmtId="0" fontId="4" fillId="7" borderId="23" applyNumberFormat="0" applyFont="0" applyAlignment="0" applyProtection="0"/>
    <xf numFmtId="0" fontId="1" fillId="7" borderId="23" applyNumberFormat="0" applyFont="0" applyAlignment="0" applyProtection="0"/>
    <xf numFmtId="0" fontId="4" fillId="7" borderId="23" applyNumberFormat="0" applyFont="0" applyAlignment="0" applyProtection="0"/>
    <xf numFmtId="0" fontId="4" fillId="7" borderId="23" applyNumberFormat="0" applyFont="0" applyAlignment="0" applyProtection="0"/>
    <xf numFmtId="0" fontId="4" fillId="7" borderId="23" applyNumberFormat="0" applyFont="0" applyAlignment="0" applyProtection="0"/>
    <xf numFmtId="0" fontId="1" fillId="65" borderId="30" applyNumberFormat="0" applyFont="0" applyAlignment="0" applyProtection="0"/>
    <xf numFmtId="0" fontId="1" fillId="65" borderId="30" applyNumberFormat="0" applyFont="0" applyAlignment="0" applyProtection="0"/>
    <xf numFmtId="0" fontId="1" fillId="65" borderId="30" applyNumberFormat="0" applyFont="0" applyAlignment="0" applyProtection="0"/>
    <xf numFmtId="0" fontId="4" fillId="7" borderId="23" applyNumberFormat="0" applyFont="0" applyAlignment="0" applyProtection="0"/>
    <xf numFmtId="0" fontId="4" fillId="7" borderId="23" applyNumberFormat="0" applyFont="0" applyAlignment="0" applyProtection="0"/>
    <xf numFmtId="0" fontId="4" fillId="7" borderId="23" applyNumberFormat="0" applyFont="0" applyAlignment="0" applyProtection="0"/>
    <xf numFmtId="0" fontId="4" fillId="7" borderId="23" applyNumberFormat="0" applyFont="0" applyAlignment="0" applyProtection="0"/>
    <xf numFmtId="0" fontId="4" fillId="7" borderId="23" applyNumberFormat="0" applyFont="0" applyAlignment="0" applyProtection="0"/>
    <xf numFmtId="0" fontId="1" fillId="7" borderId="23" applyNumberFormat="0" applyFont="0" applyAlignment="0" applyProtection="0"/>
    <xf numFmtId="0" fontId="4" fillId="7" borderId="23" applyNumberFormat="0" applyFont="0" applyAlignment="0" applyProtection="0"/>
    <xf numFmtId="0" fontId="4" fillId="7" borderId="23" applyNumberFormat="0" applyFont="0" applyAlignment="0" applyProtection="0"/>
    <xf numFmtId="0" fontId="4" fillId="7" borderId="23" applyNumberFormat="0" applyFont="0" applyAlignment="0" applyProtection="0"/>
    <xf numFmtId="0" fontId="4" fillId="7" borderId="23" applyNumberFormat="0" applyFont="0" applyAlignment="0" applyProtection="0"/>
    <xf numFmtId="0" fontId="4" fillId="7" borderId="23" applyNumberFormat="0" applyFont="0" applyAlignment="0" applyProtection="0"/>
    <xf numFmtId="0" fontId="4" fillId="7" borderId="23" applyNumberFormat="0" applyFont="0" applyAlignment="0" applyProtection="0"/>
    <xf numFmtId="0" fontId="1" fillId="7" borderId="23" applyNumberFormat="0" applyFont="0" applyAlignment="0" applyProtection="0"/>
    <xf numFmtId="0" fontId="4" fillId="7" borderId="23" applyNumberFormat="0" applyFont="0" applyAlignment="0" applyProtection="0"/>
    <xf numFmtId="0" fontId="4" fillId="7" borderId="23" applyNumberFormat="0" applyFont="0" applyAlignment="0" applyProtection="0"/>
    <xf numFmtId="0" fontId="4" fillId="7" borderId="23" applyNumberFormat="0" applyFont="0" applyAlignment="0" applyProtection="0"/>
    <xf numFmtId="0" fontId="4" fillId="7" borderId="23" applyNumberFormat="0" applyFont="0" applyAlignment="0" applyProtection="0"/>
    <xf numFmtId="0" fontId="4" fillId="7" borderId="23" applyNumberFormat="0" applyFont="0" applyAlignment="0" applyProtection="0"/>
    <xf numFmtId="0" fontId="4" fillId="7" borderId="23" applyNumberFormat="0" applyFont="0" applyAlignment="0" applyProtection="0"/>
    <xf numFmtId="0" fontId="1" fillId="7" borderId="23" applyNumberFormat="0" applyFont="0" applyAlignment="0" applyProtection="0"/>
    <xf numFmtId="0" fontId="4" fillId="7" borderId="23" applyNumberFormat="0" applyFont="0" applyAlignment="0" applyProtection="0"/>
    <xf numFmtId="0" fontId="4" fillId="7" borderId="23" applyNumberFormat="0" applyFont="0" applyAlignment="0" applyProtection="0"/>
    <xf numFmtId="0" fontId="4" fillId="7" borderId="23" applyNumberFormat="0" applyFont="0" applyAlignment="0" applyProtection="0"/>
    <xf numFmtId="0" fontId="4" fillId="7" borderId="23" applyNumberFormat="0" applyFont="0" applyAlignment="0" applyProtection="0"/>
    <xf numFmtId="0" fontId="4" fillId="7" borderId="23" applyNumberFormat="0" applyFont="0" applyAlignment="0" applyProtection="0"/>
    <xf numFmtId="0" fontId="4" fillId="7" borderId="23" applyNumberFormat="0" applyFont="0" applyAlignment="0" applyProtection="0"/>
    <xf numFmtId="0" fontId="1" fillId="7" borderId="23" applyNumberFormat="0" applyFont="0" applyAlignment="0" applyProtection="0"/>
    <xf numFmtId="0" fontId="4" fillId="7" borderId="23" applyNumberFormat="0" applyFont="0" applyAlignment="0" applyProtection="0"/>
    <xf numFmtId="0" fontId="4" fillId="7" borderId="23" applyNumberFormat="0" applyFont="0" applyAlignment="0" applyProtection="0"/>
    <xf numFmtId="0" fontId="4" fillId="7" borderId="23" applyNumberFormat="0" applyFont="0" applyAlignment="0" applyProtection="0"/>
    <xf numFmtId="0" fontId="4" fillId="7" borderId="23" applyNumberFormat="0" applyFont="0" applyAlignment="0" applyProtection="0"/>
    <xf numFmtId="0" fontId="4" fillId="7" borderId="23" applyNumberFormat="0" applyFont="0" applyAlignment="0" applyProtection="0"/>
    <xf numFmtId="0" fontId="4" fillId="7" borderId="23" applyNumberFormat="0" applyFont="0" applyAlignment="0" applyProtection="0"/>
    <xf numFmtId="0" fontId="1" fillId="7" borderId="23" applyNumberFormat="0" applyFont="0" applyAlignment="0" applyProtection="0"/>
    <xf numFmtId="0" fontId="4" fillId="7" borderId="23" applyNumberFormat="0" applyFont="0" applyAlignment="0" applyProtection="0"/>
    <xf numFmtId="0" fontId="27" fillId="7" borderId="23" applyNumberFormat="0" applyFont="0" applyAlignment="0" applyProtection="0"/>
    <xf numFmtId="0" fontId="4" fillId="7" borderId="23" applyNumberFormat="0" applyFont="0" applyAlignment="0" applyProtection="0"/>
    <xf numFmtId="0" fontId="27" fillId="7" borderId="23" applyNumberFormat="0" applyFont="0" applyAlignment="0" applyProtection="0"/>
    <xf numFmtId="178" fontId="47" fillId="0" borderId="0">
      <alignment horizontal="right"/>
    </xf>
    <xf numFmtId="179" fontId="4" fillId="0" borderId="0" applyFont="0" applyFill="0" applyBorder="0" applyAlignment="0" applyProtection="0"/>
    <xf numFmtId="179" fontId="4" fillId="0" borderId="0" applyFont="0" applyFill="0" applyBorder="0" applyAlignment="0" applyProtection="0"/>
    <xf numFmtId="179" fontId="4" fillId="0" borderId="0" applyFont="0" applyFill="0" applyBorder="0" applyAlignment="0" applyProtection="0"/>
    <xf numFmtId="179" fontId="4" fillId="0" borderId="0" applyFont="0" applyFill="0" applyBorder="0" applyAlignment="0" applyProtection="0"/>
    <xf numFmtId="179" fontId="4" fillId="0" borderId="0" applyFont="0" applyFill="0" applyBorder="0" applyAlignment="0" applyProtection="0"/>
    <xf numFmtId="179" fontId="4" fillId="0" borderId="0" applyFont="0" applyFill="0" applyBorder="0" applyAlignment="0" applyProtection="0"/>
    <xf numFmtId="179" fontId="4" fillId="0" borderId="0" applyFont="0" applyFill="0" applyBorder="0" applyAlignment="0" applyProtection="0"/>
    <xf numFmtId="179" fontId="4" fillId="0" borderId="0" applyFont="0" applyFill="0" applyBorder="0" applyAlignment="0" applyProtection="0"/>
    <xf numFmtId="179" fontId="4" fillId="0" borderId="0" applyFont="0" applyFill="0" applyBorder="0" applyAlignment="0" applyProtection="0"/>
    <xf numFmtId="179" fontId="4" fillId="0" borderId="0" applyFont="0" applyFill="0" applyBorder="0" applyAlignment="0" applyProtection="0"/>
    <xf numFmtId="179" fontId="4" fillId="0" borderId="0" applyFont="0" applyFill="0" applyBorder="0" applyAlignment="0" applyProtection="0"/>
    <xf numFmtId="179" fontId="4" fillId="0" borderId="0" applyFont="0" applyFill="0" applyBorder="0" applyAlignment="0" applyProtection="0"/>
    <xf numFmtId="179" fontId="4" fillId="0" borderId="0" applyFont="0" applyFill="0" applyBorder="0" applyAlignment="0" applyProtection="0"/>
    <xf numFmtId="179" fontId="4" fillId="0" borderId="0" applyFont="0" applyFill="0" applyBorder="0" applyAlignment="0" applyProtection="0"/>
    <xf numFmtId="179" fontId="4" fillId="0" borderId="0" applyFont="0" applyFill="0" applyBorder="0" applyAlignment="0" applyProtection="0"/>
    <xf numFmtId="179" fontId="4" fillId="0" borderId="0" applyFont="0" applyFill="0" applyBorder="0" applyAlignment="0" applyProtection="0"/>
    <xf numFmtId="179" fontId="4" fillId="0" borderId="0" applyFont="0" applyFill="0" applyBorder="0" applyAlignment="0" applyProtection="0"/>
    <xf numFmtId="179" fontId="4" fillId="0" borderId="0" applyFont="0" applyFill="0" applyBorder="0" applyAlignment="0" applyProtection="0"/>
    <xf numFmtId="179" fontId="4" fillId="0" borderId="0" applyFont="0" applyFill="0" applyBorder="0" applyAlignment="0" applyProtection="0"/>
    <xf numFmtId="179" fontId="4" fillId="0" borderId="0" applyFont="0" applyFill="0" applyBorder="0" applyAlignment="0" applyProtection="0"/>
    <xf numFmtId="179" fontId="4" fillId="0" borderId="0" applyFont="0" applyFill="0" applyBorder="0" applyAlignment="0" applyProtection="0"/>
    <xf numFmtId="179" fontId="4" fillId="0" borderId="0" applyFont="0" applyFill="0" applyBorder="0" applyAlignment="0" applyProtection="0"/>
    <xf numFmtId="179" fontId="4" fillId="0" borderId="0" applyFont="0" applyFill="0" applyBorder="0" applyAlignment="0" applyProtection="0"/>
    <xf numFmtId="179" fontId="4" fillId="0" borderId="0" applyFont="0" applyFill="0" applyBorder="0" applyAlignment="0" applyProtection="0"/>
    <xf numFmtId="179" fontId="4" fillId="0" borderId="0" applyFont="0" applyFill="0" applyBorder="0" applyAlignment="0" applyProtection="0"/>
    <xf numFmtId="179" fontId="4" fillId="0" borderId="0" applyFont="0" applyFill="0" applyBorder="0" applyAlignment="0" applyProtection="0"/>
    <xf numFmtId="179" fontId="4" fillId="0" borderId="0" applyFont="0" applyFill="0" applyBorder="0" applyAlignment="0" applyProtection="0"/>
    <xf numFmtId="179" fontId="4" fillId="0" borderId="0" applyFont="0" applyFill="0" applyBorder="0" applyAlignment="0" applyProtection="0"/>
    <xf numFmtId="179" fontId="4" fillId="0" borderId="0" applyFont="0" applyFill="0" applyBorder="0" applyAlignment="0" applyProtection="0"/>
    <xf numFmtId="179" fontId="4" fillId="0" borderId="0" applyFont="0" applyFill="0" applyBorder="0" applyAlignment="0" applyProtection="0"/>
    <xf numFmtId="179" fontId="4" fillId="0" borderId="0" applyFont="0" applyFill="0" applyBorder="0" applyAlignment="0" applyProtection="0"/>
    <xf numFmtId="179" fontId="4" fillId="0" borderId="0" applyFont="0" applyFill="0" applyBorder="0" applyAlignment="0" applyProtection="0"/>
    <xf numFmtId="179" fontId="4" fillId="0" borderId="0" applyFont="0" applyFill="0" applyBorder="0" applyAlignment="0" applyProtection="0"/>
    <xf numFmtId="179" fontId="4" fillId="0" borderId="0" applyFont="0" applyFill="0" applyBorder="0" applyAlignment="0" applyProtection="0"/>
    <xf numFmtId="179" fontId="4" fillId="0" borderId="0" applyFont="0" applyFill="0" applyBorder="0" applyAlignment="0" applyProtection="0"/>
    <xf numFmtId="179" fontId="4" fillId="0" borderId="0" applyFont="0" applyFill="0" applyBorder="0" applyAlignment="0" applyProtection="0"/>
    <xf numFmtId="179" fontId="4" fillId="0" borderId="0" applyFont="0" applyFill="0" applyBorder="0" applyAlignment="0" applyProtection="0"/>
    <xf numFmtId="179" fontId="4" fillId="0" borderId="0" applyFont="0" applyFill="0" applyBorder="0" applyAlignment="0" applyProtection="0"/>
    <xf numFmtId="179" fontId="4" fillId="0" borderId="0" applyFont="0" applyFill="0" applyBorder="0" applyAlignment="0" applyProtection="0"/>
    <xf numFmtId="0" fontId="76" fillId="60" borderId="31" applyNumberFormat="0" applyAlignment="0" applyProtection="0"/>
    <xf numFmtId="0" fontId="17" fillId="27" borderId="6" applyNumberFormat="0" applyAlignment="0" applyProtection="0"/>
    <xf numFmtId="0" fontId="17" fillId="27" borderId="6" applyNumberFormat="0" applyAlignment="0" applyProtection="0"/>
    <xf numFmtId="0" fontId="17" fillId="27" borderId="6" applyNumberFormat="0" applyAlignment="0" applyProtection="0"/>
    <xf numFmtId="0" fontId="17" fillId="27" borderId="6" applyNumberFormat="0" applyAlignment="0" applyProtection="0"/>
    <xf numFmtId="0" fontId="17" fillId="27" borderId="6" applyNumberFormat="0" applyAlignment="0" applyProtection="0"/>
    <xf numFmtId="0" fontId="17" fillId="27" borderId="6" applyNumberFormat="0" applyAlignment="0" applyProtection="0"/>
    <xf numFmtId="0" fontId="17" fillId="27" borderId="6" applyNumberFormat="0" applyAlignment="0" applyProtection="0"/>
    <xf numFmtId="0" fontId="17" fillId="27" borderId="6" applyNumberFormat="0" applyAlignment="0" applyProtection="0"/>
    <xf numFmtId="0" fontId="17" fillId="27" borderId="6" applyNumberFormat="0" applyAlignment="0" applyProtection="0"/>
    <xf numFmtId="0" fontId="17" fillId="27" borderId="6" applyNumberFormat="0" applyAlignment="0" applyProtection="0"/>
    <xf numFmtId="0" fontId="17" fillId="27" borderId="6" applyNumberFormat="0" applyAlignment="0" applyProtection="0"/>
    <xf numFmtId="0" fontId="17" fillId="28" borderId="6" applyNumberFormat="0" applyAlignment="0" applyProtection="0"/>
    <xf numFmtId="0" fontId="17" fillId="28" borderId="6" applyNumberFormat="0" applyAlignment="0" applyProtection="0"/>
    <xf numFmtId="0" fontId="17" fillId="27" borderId="6" applyNumberFormat="0" applyAlignment="0" applyProtection="0"/>
    <xf numFmtId="0" fontId="17" fillId="28" borderId="6" applyNumberFormat="0" applyAlignment="0" applyProtection="0"/>
    <xf numFmtId="0" fontId="17" fillId="28" borderId="6" applyNumberFormat="0" applyAlignment="0" applyProtection="0"/>
    <xf numFmtId="0" fontId="17" fillId="28" borderId="6" applyNumberFormat="0" applyAlignment="0" applyProtection="0"/>
    <xf numFmtId="0" fontId="17" fillId="28" borderId="6" applyNumberFormat="0" applyAlignment="0" applyProtection="0"/>
    <xf numFmtId="0" fontId="17" fillId="28" borderId="6" applyNumberFormat="0" applyAlignment="0" applyProtection="0"/>
    <xf numFmtId="0" fontId="17" fillId="28" borderId="6" applyNumberFormat="0" applyAlignment="0" applyProtection="0"/>
    <xf numFmtId="0" fontId="17" fillId="28" borderId="6" applyNumberFormat="0" applyAlignment="0" applyProtection="0"/>
    <xf numFmtId="0" fontId="17" fillId="27" borderId="6" applyNumberFormat="0" applyAlignment="0" applyProtection="0"/>
    <xf numFmtId="0" fontId="17" fillId="27" borderId="6" applyNumberFormat="0" applyAlignment="0" applyProtection="0"/>
    <xf numFmtId="0" fontId="17" fillId="27" borderId="6" applyNumberFormat="0" applyAlignment="0" applyProtection="0"/>
    <xf numFmtId="0" fontId="17" fillId="27" borderId="6" applyNumberFormat="0" applyAlignment="0" applyProtection="0"/>
    <xf numFmtId="0" fontId="17" fillId="27" borderId="6" applyNumberFormat="0" applyAlignment="0" applyProtection="0"/>
    <xf numFmtId="0" fontId="17" fillId="27" borderId="6" applyNumberFormat="0" applyAlignment="0" applyProtection="0"/>
    <xf numFmtId="0" fontId="17" fillId="27" borderId="6" applyNumberFormat="0" applyAlignment="0" applyProtection="0"/>
    <xf numFmtId="0" fontId="17" fillId="27" borderId="6" applyNumberFormat="0" applyAlignment="0" applyProtection="0"/>
    <xf numFmtId="0" fontId="17" fillId="27" borderId="6" applyNumberFormat="0" applyAlignment="0" applyProtection="0"/>
    <xf numFmtId="0" fontId="17" fillId="27" borderId="6" applyNumberFormat="0" applyAlignment="0" applyProtection="0"/>
    <xf numFmtId="0" fontId="17" fillId="27" borderId="6" applyNumberFormat="0" applyAlignment="0" applyProtection="0"/>
    <xf numFmtId="0" fontId="17" fillId="27" borderId="6" applyNumberFormat="0" applyAlignment="0" applyProtection="0"/>
    <xf numFmtId="0" fontId="17" fillId="28" borderId="6" applyNumberFormat="0" applyAlignment="0" applyProtection="0"/>
    <xf numFmtId="0" fontId="17" fillId="27" borderId="6" applyNumberFormat="0" applyAlignment="0" applyProtection="0"/>
    <xf numFmtId="0" fontId="17" fillId="27" borderId="6" applyNumberFormat="0" applyAlignment="0" applyProtection="0"/>
    <xf numFmtId="0" fontId="17" fillId="27" borderId="6" applyNumberFormat="0" applyAlignment="0" applyProtection="0"/>
    <xf numFmtId="0" fontId="17" fillId="27" borderId="6" applyNumberFormat="0" applyAlignment="0" applyProtection="0"/>
    <xf numFmtId="0" fontId="17" fillId="27" borderId="6" applyNumberFormat="0" applyAlignment="0" applyProtection="0"/>
    <xf numFmtId="0" fontId="17" fillId="27" borderId="6" applyNumberFormat="0" applyAlignment="0" applyProtection="0"/>
    <xf numFmtId="0" fontId="17" fillId="27" borderId="6" applyNumberFormat="0" applyAlignment="0" applyProtection="0"/>
    <xf numFmtId="0" fontId="17" fillId="27" borderId="6" applyNumberFormat="0" applyAlignment="0" applyProtection="0"/>
    <xf numFmtId="0" fontId="17" fillId="27" borderId="6" applyNumberFormat="0" applyAlignment="0" applyProtection="0"/>
    <xf numFmtId="0" fontId="17" fillId="27" borderId="6" applyNumberFormat="0" applyAlignment="0" applyProtection="0"/>
    <xf numFmtId="0" fontId="17" fillId="27" borderId="6" applyNumberFormat="0" applyAlignment="0" applyProtection="0"/>
    <xf numFmtId="0" fontId="17" fillId="27" borderId="6" applyNumberFormat="0" applyAlignment="0" applyProtection="0"/>
    <xf numFmtId="0" fontId="17" fillId="27" borderId="6" applyNumberFormat="0" applyAlignment="0" applyProtection="0"/>
    <xf numFmtId="0" fontId="17" fillId="27" borderId="6" applyNumberFormat="0" applyAlignment="0" applyProtection="0"/>
    <xf numFmtId="0" fontId="17" fillId="27" borderId="6" applyNumberFormat="0" applyAlignment="0" applyProtection="0"/>
    <xf numFmtId="0" fontId="17" fillId="27" borderId="6" applyNumberFormat="0" applyAlignment="0" applyProtection="0"/>
    <xf numFmtId="0" fontId="17" fillId="27" borderId="6" applyNumberFormat="0" applyAlignment="0" applyProtection="0"/>
    <xf numFmtId="0" fontId="17" fillId="27" borderId="6" applyNumberFormat="0" applyAlignment="0" applyProtection="0"/>
    <xf numFmtId="0" fontId="17" fillId="27" borderId="6" applyNumberFormat="0" applyAlignment="0" applyProtection="0"/>
    <xf numFmtId="0" fontId="17" fillId="27" borderId="6" applyNumberFormat="0" applyAlignment="0" applyProtection="0"/>
    <xf numFmtId="0" fontId="17" fillId="27" borderId="6" applyNumberFormat="0" applyAlignment="0" applyProtection="0"/>
    <xf numFmtId="180" fontId="22" fillId="34" borderId="1" applyNumberFormat="0" applyFont="0" applyBorder="0" applyAlignment="0" applyProtection="0">
      <alignment horizontal="right" vertical="center"/>
    </xf>
    <xf numFmtId="9" fontId="4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4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4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4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4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4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4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4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4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4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4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4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4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4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4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4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4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4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4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4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4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4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4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4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4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4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4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4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4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4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4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4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4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4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</cellStyleXfs>
  <cellXfs count="1">
    <xf numFmtId="0" fontId="0" fillId="0" borderId="0" xfId="0"/>
  </cellXfs>
  <cellStyles count="7239">
    <cellStyle name="???????" xfId="1" xr:uid="{00000000-0005-0000-0000-000000000000}"/>
    <cellStyle name="20% - Accent1" xfId="2" builtinId="30" customBuiltin="1"/>
    <cellStyle name="20% - Accent1 10" xfId="3" xr:uid="{00000000-0005-0000-0000-000002000000}"/>
    <cellStyle name="20% - Accent1 11" xfId="4" xr:uid="{00000000-0005-0000-0000-000003000000}"/>
    <cellStyle name="20% - Accent1 12" xfId="5" xr:uid="{00000000-0005-0000-0000-000004000000}"/>
    <cellStyle name="20% - Accent1 13" xfId="6" xr:uid="{00000000-0005-0000-0000-000005000000}"/>
    <cellStyle name="20% - Accent1 14" xfId="7" xr:uid="{00000000-0005-0000-0000-000006000000}"/>
    <cellStyle name="20% - Accent1 15" xfId="8" xr:uid="{00000000-0005-0000-0000-000007000000}"/>
    <cellStyle name="20% - Accent1 16" xfId="9" xr:uid="{00000000-0005-0000-0000-000008000000}"/>
    <cellStyle name="20% - Accent1 17" xfId="10" xr:uid="{00000000-0005-0000-0000-000009000000}"/>
    <cellStyle name="20% - Accent1 18" xfId="11" xr:uid="{00000000-0005-0000-0000-00000A000000}"/>
    <cellStyle name="20% - Accent1 19" xfId="12" xr:uid="{00000000-0005-0000-0000-00000B000000}"/>
    <cellStyle name="20% - Accent1 2" xfId="13" xr:uid="{00000000-0005-0000-0000-00000C000000}"/>
    <cellStyle name="20% - Accent1 2 10" xfId="14" xr:uid="{00000000-0005-0000-0000-00000D000000}"/>
    <cellStyle name="20% - Accent1 2 11" xfId="15" xr:uid="{00000000-0005-0000-0000-00000E000000}"/>
    <cellStyle name="20% - Accent1 2 12" xfId="16" xr:uid="{00000000-0005-0000-0000-00000F000000}"/>
    <cellStyle name="20% - Accent1 2 13" xfId="17" xr:uid="{00000000-0005-0000-0000-000010000000}"/>
    <cellStyle name="20% - Accent1 2 14" xfId="18" xr:uid="{00000000-0005-0000-0000-000011000000}"/>
    <cellStyle name="20% - Accent1 2 15" xfId="19" xr:uid="{00000000-0005-0000-0000-000012000000}"/>
    <cellStyle name="20% - Accent1 2 2" xfId="20" xr:uid="{00000000-0005-0000-0000-000013000000}"/>
    <cellStyle name="20% - Accent1 2 2 2" xfId="21" xr:uid="{00000000-0005-0000-0000-000014000000}"/>
    <cellStyle name="20% - Accent1 2 3" xfId="22" xr:uid="{00000000-0005-0000-0000-000015000000}"/>
    <cellStyle name="20% - Accent1 2 4" xfId="23" xr:uid="{00000000-0005-0000-0000-000016000000}"/>
    <cellStyle name="20% - Accent1 2 5" xfId="24" xr:uid="{00000000-0005-0000-0000-000017000000}"/>
    <cellStyle name="20% - Accent1 2 6" xfId="25" xr:uid="{00000000-0005-0000-0000-000018000000}"/>
    <cellStyle name="20% - Accent1 2 7" xfId="26" xr:uid="{00000000-0005-0000-0000-000019000000}"/>
    <cellStyle name="20% - Accent1 2 8" xfId="27" xr:uid="{00000000-0005-0000-0000-00001A000000}"/>
    <cellStyle name="20% - Accent1 2 9" xfId="28" xr:uid="{00000000-0005-0000-0000-00001B000000}"/>
    <cellStyle name="20% - Accent1 20" xfId="29" xr:uid="{00000000-0005-0000-0000-00001C000000}"/>
    <cellStyle name="20% - Accent1 21" xfId="30" xr:uid="{00000000-0005-0000-0000-00001D000000}"/>
    <cellStyle name="20% - Accent1 22" xfId="31" xr:uid="{00000000-0005-0000-0000-00001E000000}"/>
    <cellStyle name="20% - Accent1 23" xfId="32" xr:uid="{00000000-0005-0000-0000-00001F000000}"/>
    <cellStyle name="20% - Accent1 24" xfId="33" xr:uid="{00000000-0005-0000-0000-000020000000}"/>
    <cellStyle name="20% - Accent1 25" xfId="34" xr:uid="{00000000-0005-0000-0000-000021000000}"/>
    <cellStyle name="20% - Accent1 26" xfId="35" xr:uid="{00000000-0005-0000-0000-000022000000}"/>
    <cellStyle name="20% - Accent1 27" xfId="36" xr:uid="{00000000-0005-0000-0000-000023000000}"/>
    <cellStyle name="20% - Accent1 28" xfId="37" xr:uid="{00000000-0005-0000-0000-000024000000}"/>
    <cellStyle name="20% - Accent1 29" xfId="38" xr:uid="{00000000-0005-0000-0000-000025000000}"/>
    <cellStyle name="20% - Accent1 3" xfId="39" xr:uid="{00000000-0005-0000-0000-000026000000}"/>
    <cellStyle name="20% - Accent1 3 2" xfId="40" xr:uid="{00000000-0005-0000-0000-000027000000}"/>
    <cellStyle name="20% - Accent1 3 3" xfId="41" xr:uid="{00000000-0005-0000-0000-000028000000}"/>
    <cellStyle name="20% - Accent1 3 3 2" xfId="42" xr:uid="{00000000-0005-0000-0000-000029000000}"/>
    <cellStyle name="20% - Accent1 30" xfId="43" xr:uid="{00000000-0005-0000-0000-00002A000000}"/>
    <cellStyle name="20% - Accent1 31" xfId="44" xr:uid="{00000000-0005-0000-0000-00002B000000}"/>
    <cellStyle name="20% - Accent1 32" xfId="45" xr:uid="{00000000-0005-0000-0000-00002C000000}"/>
    <cellStyle name="20% - Accent1 33" xfId="46" xr:uid="{00000000-0005-0000-0000-00002D000000}"/>
    <cellStyle name="20% - Accent1 34" xfId="47" xr:uid="{00000000-0005-0000-0000-00002E000000}"/>
    <cellStyle name="20% - Accent1 35" xfId="48" xr:uid="{00000000-0005-0000-0000-00002F000000}"/>
    <cellStyle name="20% - Accent1 36" xfId="49" xr:uid="{00000000-0005-0000-0000-000030000000}"/>
    <cellStyle name="20% - Accent1 37" xfId="50" xr:uid="{00000000-0005-0000-0000-000031000000}"/>
    <cellStyle name="20% - Accent1 38" xfId="51" xr:uid="{00000000-0005-0000-0000-000032000000}"/>
    <cellStyle name="20% - Accent1 39" xfId="52" xr:uid="{00000000-0005-0000-0000-000033000000}"/>
    <cellStyle name="20% - Accent1 4" xfId="53" xr:uid="{00000000-0005-0000-0000-000034000000}"/>
    <cellStyle name="20% - Accent1 4 2" xfId="54" xr:uid="{00000000-0005-0000-0000-000035000000}"/>
    <cellStyle name="20% - Accent1 4 2 2" xfId="55" xr:uid="{00000000-0005-0000-0000-000036000000}"/>
    <cellStyle name="20% - Accent1 40" xfId="56" xr:uid="{00000000-0005-0000-0000-000037000000}"/>
    <cellStyle name="20% - Accent1 41" xfId="57" xr:uid="{00000000-0005-0000-0000-000038000000}"/>
    <cellStyle name="20% - Accent1 42" xfId="58" xr:uid="{00000000-0005-0000-0000-000039000000}"/>
    <cellStyle name="20% - Accent1 43" xfId="59" xr:uid="{00000000-0005-0000-0000-00003A000000}"/>
    <cellStyle name="20% - Accent1 5" xfId="60" xr:uid="{00000000-0005-0000-0000-00003B000000}"/>
    <cellStyle name="20% - Accent1 5 2" xfId="61" xr:uid="{00000000-0005-0000-0000-00003C000000}"/>
    <cellStyle name="20% - Accent1 5 2 2" xfId="62" xr:uid="{00000000-0005-0000-0000-00003D000000}"/>
    <cellStyle name="20% - Accent1 6" xfId="63" xr:uid="{00000000-0005-0000-0000-00003E000000}"/>
    <cellStyle name="20% - Accent1 6 2" xfId="64" xr:uid="{00000000-0005-0000-0000-00003F000000}"/>
    <cellStyle name="20% - Accent1 6 2 2" xfId="65" xr:uid="{00000000-0005-0000-0000-000040000000}"/>
    <cellStyle name="20% - Accent1 7" xfId="66" xr:uid="{00000000-0005-0000-0000-000041000000}"/>
    <cellStyle name="20% - Accent1 7 2" xfId="67" xr:uid="{00000000-0005-0000-0000-000042000000}"/>
    <cellStyle name="20% - Accent1 7 2 2" xfId="68" xr:uid="{00000000-0005-0000-0000-000043000000}"/>
    <cellStyle name="20% - Accent1 8" xfId="69" xr:uid="{00000000-0005-0000-0000-000044000000}"/>
    <cellStyle name="20% - Accent1 8 2" xfId="70" xr:uid="{00000000-0005-0000-0000-000045000000}"/>
    <cellStyle name="20% - Accent1 8 2 2" xfId="71" xr:uid="{00000000-0005-0000-0000-000046000000}"/>
    <cellStyle name="20% - Accent1 9" xfId="72" xr:uid="{00000000-0005-0000-0000-000047000000}"/>
    <cellStyle name="20% - Accent2" xfId="73" builtinId="34" customBuiltin="1"/>
    <cellStyle name="20% - Accent2 10" xfId="74" xr:uid="{00000000-0005-0000-0000-000049000000}"/>
    <cellStyle name="20% - Accent2 11" xfId="75" xr:uid="{00000000-0005-0000-0000-00004A000000}"/>
    <cellStyle name="20% - Accent2 12" xfId="76" xr:uid="{00000000-0005-0000-0000-00004B000000}"/>
    <cellStyle name="20% - Accent2 13" xfId="77" xr:uid="{00000000-0005-0000-0000-00004C000000}"/>
    <cellStyle name="20% - Accent2 14" xfId="78" xr:uid="{00000000-0005-0000-0000-00004D000000}"/>
    <cellStyle name="20% - Accent2 15" xfId="79" xr:uid="{00000000-0005-0000-0000-00004E000000}"/>
    <cellStyle name="20% - Accent2 16" xfId="80" xr:uid="{00000000-0005-0000-0000-00004F000000}"/>
    <cellStyle name="20% - Accent2 17" xfId="81" xr:uid="{00000000-0005-0000-0000-000050000000}"/>
    <cellStyle name="20% - Accent2 18" xfId="82" xr:uid="{00000000-0005-0000-0000-000051000000}"/>
    <cellStyle name="20% - Accent2 19" xfId="83" xr:uid="{00000000-0005-0000-0000-000052000000}"/>
    <cellStyle name="20% - Accent2 2" xfId="84" xr:uid="{00000000-0005-0000-0000-000053000000}"/>
    <cellStyle name="20% - Accent2 2 10" xfId="85" xr:uid="{00000000-0005-0000-0000-000054000000}"/>
    <cellStyle name="20% - Accent2 2 11" xfId="86" xr:uid="{00000000-0005-0000-0000-000055000000}"/>
    <cellStyle name="20% - Accent2 2 12" xfId="87" xr:uid="{00000000-0005-0000-0000-000056000000}"/>
    <cellStyle name="20% - Accent2 2 13" xfId="88" xr:uid="{00000000-0005-0000-0000-000057000000}"/>
    <cellStyle name="20% - Accent2 2 14" xfId="89" xr:uid="{00000000-0005-0000-0000-000058000000}"/>
    <cellStyle name="20% - Accent2 2 15" xfId="90" xr:uid="{00000000-0005-0000-0000-000059000000}"/>
    <cellStyle name="20% - Accent2 2 2" xfId="91" xr:uid="{00000000-0005-0000-0000-00005A000000}"/>
    <cellStyle name="20% - Accent2 2 2 2" xfId="92" xr:uid="{00000000-0005-0000-0000-00005B000000}"/>
    <cellStyle name="20% - Accent2 2 3" xfId="93" xr:uid="{00000000-0005-0000-0000-00005C000000}"/>
    <cellStyle name="20% - Accent2 2 4" xfId="94" xr:uid="{00000000-0005-0000-0000-00005D000000}"/>
    <cellStyle name="20% - Accent2 2 5" xfId="95" xr:uid="{00000000-0005-0000-0000-00005E000000}"/>
    <cellStyle name="20% - Accent2 2 6" xfId="96" xr:uid="{00000000-0005-0000-0000-00005F000000}"/>
    <cellStyle name="20% - Accent2 2 7" xfId="97" xr:uid="{00000000-0005-0000-0000-000060000000}"/>
    <cellStyle name="20% - Accent2 2 8" xfId="98" xr:uid="{00000000-0005-0000-0000-000061000000}"/>
    <cellStyle name="20% - Accent2 2 9" xfId="99" xr:uid="{00000000-0005-0000-0000-000062000000}"/>
    <cellStyle name="20% - Accent2 20" xfId="100" xr:uid="{00000000-0005-0000-0000-000063000000}"/>
    <cellStyle name="20% - Accent2 21" xfId="101" xr:uid="{00000000-0005-0000-0000-000064000000}"/>
    <cellStyle name="20% - Accent2 22" xfId="102" xr:uid="{00000000-0005-0000-0000-000065000000}"/>
    <cellStyle name="20% - Accent2 23" xfId="103" xr:uid="{00000000-0005-0000-0000-000066000000}"/>
    <cellStyle name="20% - Accent2 24" xfId="104" xr:uid="{00000000-0005-0000-0000-000067000000}"/>
    <cellStyle name="20% - Accent2 25" xfId="105" xr:uid="{00000000-0005-0000-0000-000068000000}"/>
    <cellStyle name="20% - Accent2 26" xfId="106" xr:uid="{00000000-0005-0000-0000-000069000000}"/>
    <cellStyle name="20% - Accent2 27" xfId="107" xr:uid="{00000000-0005-0000-0000-00006A000000}"/>
    <cellStyle name="20% - Accent2 28" xfId="108" xr:uid="{00000000-0005-0000-0000-00006B000000}"/>
    <cellStyle name="20% - Accent2 29" xfId="109" xr:uid="{00000000-0005-0000-0000-00006C000000}"/>
    <cellStyle name="20% - Accent2 3" xfId="110" xr:uid="{00000000-0005-0000-0000-00006D000000}"/>
    <cellStyle name="20% - Accent2 3 2" xfId="111" xr:uid="{00000000-0005-0000-0000-00006E000000}"/>
    <cellStyle name="20% - Accent2 3 3" xfId="112" xr:uid="{00000000-0005-0000-0000-00006F000000}"/>
    <cellStyle name="20% - Accent2 3 3 2" xfId="113" xr:uid="{00000000-0005-0000-0000-000070000000}"/>
    <cellStyle name="20% - Accent2 30" xfId="114" xr:uid="{00000000-0005-0000-0000-000071000000}"/>
    <cellStyle name="20% - Accent2 31" xfId="115" xr:uid="{00000000-0005-0000-0000-000072000000}"/>
    <cellStyle name="20% - Accent2 32" xfId="116" xr:uid="{00000000-0005-0000-0000-000073000000}"/>
    <cellStyle name="20% - Accent2 33" xfId="117" xr:uid="{00000000-0005-0000-0000-000074000000}"/>
    <cellStyle name="20% - Accent2 34" xfId="118" xr:uid="{00000000-0005-0000-0000-000075000000}"/>
    <cellStyle name="20% - Accent2 35" xfId="119" xr:uid="{00000000-0005-0000-0000-000076000000}"/>
    <cellStyle name="20% - Accent2 36" xfId="120" xr:uid="{00000000-0005-0000-0000-000077000000}"/>
    <cellStyle name="20% - Accent2 37" xfId="121" xr:uid="{00000000-0005-0000-0000-000078000000}"/>
    <cellStyle name="20% - Accent2 38" xfId="122" xr:uid="{00000000-0005-0000-0000-000079000000}"/>
    <cellStyle name="20% - Accent2 39" xfId="123" xr:uid="{00000000-0005-0000-0000-00007A000000}"/>
    <cellStyle name="20% - Accent2 4" xfId="124" xr:uid="{00000000-0005-0000-0000-00007B000000}"/>
    <cellStyle name="20% - Accent2 4 2" xfId="125" xr:uid="{00000000-0005-0000-0000-00007C000000}"/>
    <cellStyle name="20% - Accent2 4 2 2" xfId="126" xr:uid="{00000000-0005-0000-0000-00007D000000}"/>
    <cellStyle name="20% - Accent2 40" xfId="127" xr:uid="{00000000-0005-0000-0000-00007E000000}"/>
    <cellStyle name="20% - Accent2 41" xfId="128" xr:uid="{00000000-0005-0000-0000-00007F000000}"/>
    <cellStyle name="20% - Accent2 42" xfId="129" xr:uid="{00000000-0005-0000-0000-000080000000}"/>
    <cellStyle name="20% - Accent2 43" xfId="130" xr:uid="{00000000-0005-0000-0000-000081000000}"/>
    <cellStyle name="20% - Accent2 5" xfId="131" xr:uid="{00000000-0005-0000-0000-000082000000}"/>
    <cellStyle name="20% - Accent2 5 2" xfId="132" xr:uid="{00000000-0005-0000-0000-000083000000}"/>
    <cellStyle name="20% - Accent2 5 2 2" xfId="133" xr:uid="{00000000-0005-0000-0000-000084000000}"/>
    <cellStyle name="20% - Accent2 6" xfId="134" xr:uid="{00000000-0005-0000-0000-000085000000}"/>
    <cellStyle name="20% - Accent2 6 2" xfId="135" xr:uid="{00000000-0005-0000-0000-000086000000}"/>
    <cellStyle name="20% - Accent2 6 2 2" xfId="136" xr:uid="{00000000-0005-0000-0000-000087000000}"/>
    <cellStyle name="20% - Accent2 7" xfId="137" xr:uid="{00000000-0005-0000-0000-000088000000}"/>
    <cellStyle name="20% - Accent2 7 2" xfId="138" xr:uid="{00000000-0005-0000-0000-000089000000}"/>
    <cellStyle name="20% - Accent2 7 2 2" xfId="139" xr:uid="{00000000-0005-0000-0000-00008A000000}"/>
    <cellStyle name="20% - Accent2 8" xfId="140" xr:uid="{00000000-0005-0000-0000-00008B000000}"/>
    <cellStyle name="20% - Accent2 8 2" xfId="141" xr:uid="{00000000-0005-0000-0000-00008C000000}"/>
    <cellStyle name="20% - Accent2 8 2 2" xfId="142" xr:uid="{00000000-0005-0000-0000-00008D000000}"/>
    <cellStyle name="20% - Accent2 9" xfId="143" xr:uid="{00000000-0005-0000-0000-00008E000000}"/>
    <cellStyle name="20% - Accent3" xfId="144" builtinId="38" customBuiltin="1"/>
    <cellStyle name="20% - Accent3 10" xfId="145" xr:uid="{00000000-0005-0000-0000-000090000000}"/>
    <cellStyle name="20% - Accent3 11" xfId="146" xr:uid="{00000000-0005-0000-0000-000091000000}"/>
    <cellStyle name="20% - Accent3 12" xfId="147" xr:uid="{00000000-0005-0000-0000-000092000000}"/>
    <cellStyle name="20% - Accent3 13" xfId="148" xr:uid="{00000000-0005-0000-0000-000093000000}"/>
    <cellStyle name="20% - Accent3 14" xfId="149" xr:uid="{00000000-0005-0000-0000-000094000000}"/>
    <cellStyle name="20% - Accent3 15" xfId="150" xr:uid="{00000000-0005-0000-0000-000095000000}"/>
    <cellStyle name="20% - Accent3 16" xfId="151" xr:uid="{00000000-0005-0000-0000-000096000000}"/>
    <cellStyle name="20% - Accent3 17" xfId="152" xr:uid="{00000000-0005-0000-0000-000097000000}"/>
    <cellStyle name="20% - Accent3 18" xfId="153" xr:uid="{00000000-0005-0000-0000-000098000000}"/>
    <cellStyle name="20% - Accent3 19" xfId="154" xr:uid="{00000000-0005-0000-0000-000099000000}"/>
    <cellStyle name="20% - Accent3 2" xfId="155" xr:uid="{00000000-0005-0000-0000-00009A000000}"/>
    <cellStyle name="20% - Accent3 2 10" xfId="156" xr:uid="{00000000-0005-0000-0000-00009B000000}"/>
    <cellStyle name="20% - Accent3 2 11" xfId="157" xr:uid="{00000000-0005-0000-0000-00009C000000}"/>
    <cellStyle name="20% - Accent3 2 12" xfId="158" xr:uid="{00000000-0005-0000-0000-00009D000000}"/>
    <cellStyle name="20% - Accent3 2 13" xfId="159" xr:uid="{00000000-0005-0000-0000-00009E000000}"/>
    <cellStyle name="20% - Accent3 2 14" xfId="160" xr:uid="{00000000-0005-0000-0000-00009F000000}"/>
    <cellStyle name="20% - Accent3 2 15" xfId="161" xr:uid="{00000000-0005-0000-0000-0000A0000000}"/>
    <cellStyle name="20% - Accent3 2 2" xfId="162" xr:uid="{00000000-0005-0000-0000-0000A1000000}"/>
    <cellStyle name="20% - Accent3 2 2 2" xfId="163" xr:uid="{00000000-0005-0000-0000-0000A2000000}"/>
    <cellStyle name="20% - Accent3 2 3" xfId="164" xr:uid="{00000000-0005-0000-0000-0000A3000000}"/>
    <cellStyle name="20% - Accent3 2 4" xfId="165" xr:uid="{00000000-0005-0000-0000-0000A4000000}"/>
    <cellStyle name="20% - Accent3 2 5" xfId="166" xr:uid="{00000000-0005-0000-0000-0000A5000000}"/>
    <cellStyle name="20% - Accent3 2 6" xfId="167" xr:uid="{00000000-0005-0000-0000-0000A6000000}"/>
    <cellStyle name="20% - Accent3 2 7" xfId="168" xr:uid="{00000000-0005-0000-0000-0000A7000000}"/>
    <cellStyle name="20% - Accent3 2 8" xfId="169" xr:uid="{00000000-0005-0000-0000-0000A8000000}"/>
    <cellStyle name="20% - Accent3 2 9" xfId="170" xr:uid="{00000000-0005-0000-0000-0000A9000000}"/>
    <cellStyle name="20% - Accent3 20" xfId="171" xr:uid="{00000000-0005-0000-0000-0000AA000000}"/>
    <cellStyle name="20% - Accent3 21" xfId="172" xr:uid="{00000000-0005-0000-0000-0000AB000000}"/>
    <cellStyle name="20% - Accent3 22" xfId="173" xr:uid="{00000000-0005-0000-0000-0000AC000000}"/>
    <cellStyle name="20% - Accent3 23" xfId="174" xr:uid="{00000000-0005-0000-0000-0000AD000000}"/>
    <cellStyle name="20% - Accent3 24" xfId="175" xr:uid="{00000000-0005-0000-0000-0000AE000000}"/>
    <cellStyle name="20% - Accent3 25" xfId="176" xr:uid="{00000000-0005-0000-0000-0000AF000000}"/>
    <cellStyle name="20% - Accent3 26" xfId="177" xr:uid="{00000000-0005-0000-0000-0000B0000000}"/>
    <cellStyle name="20% - Accent3 27" xfId="178" xr:uid="{00000000-0005-0000-0000-0000B1000000}"/>
    <cellStyle name="20% - Accent3 28" xfId="179" xr:uid="{00000000-0005-0000-0000-0000B2000000}"/>
    <cellStyle name="20% - Accent3 29" xfId="180" xr:uid="{00000000-0005-0000-0000-0000B3000000}"/>
    <cellStyle name="20% - Accent3 3" xfId="181" xr:uid="{00000000-0005-0000-0000-0000B4000000}"/>
    <cellStyle name="20% - Accent3 3 2" xfId="182" xr:uid="{00000000-0005-0000-0000-0000B5000000}"/>
    <cellStyle name="20% - Accent3 3 3" xfId="183" xr:uid="{00000000-0005-0000-0000-0000B6000000}"/>
    <cellStyle name="20% - Accent3 3 3 2" xfId="184" xr:uid="{00000000-0005-0000-0000-0000B7000000}"/>
    <cellStyle name="20% - Accent3 30" xfId="185" xr:uid="{00000000-0005-0000-0000-0000B8000000}"/>
    <cellStyle name="20% - Accent3 31" xfId="186" xr:uid="{00000000-0005-0000-0000-0000B9000000}"/>
    <cellStyle name="20% - Accent3 32" xfId="187" xr:uid="{00000000-0005-0000-0000-0000BA000000}"/>
    <cellStyle name="20% - Accent3 33" xfId="188" xr:uid="{00000000-0005-0000-0000-0000BB000000}"/>
    <cellStyle name="20% - Accent3 34" xfId="189" xr:uid="{00000000-0005-0000-0000-0000BC000000}"/>
    <cellStyle name="20% - Accent3 35" xfId="190" xr:uid="{00000000-0005-0000-0000-0000BD000000}"/>
    <cellStyle name="20% - Accent3 36" xfId="191" xr:uid="{00000000-0005-0000-0000-0000BE000000}"/>
    <cellStyle name="20% - Accent3 37" xfId="192" xr:uid="{00000000-0005-0000-0000-0000BF000000}"/>
    <cellStyle name="20% - Accent3 38" xfId="193" xr:uid="{00000000-0005-0000-0000-0000C0000000}"/>
    <cellStyle name="20% - Accent3 39" xfId="194" xr:uid="{00000000-0005-0000-0000-0000C1000000}"/>
    <cellStyle name="20% - Accent3 4" xfId="195" xr:uid="{00000000-0005-0000-0000-0000C2000000}"/>
    <cellStyle name="20% - Accent3 4 2" xfId="196" xr:uid="{00000000-0005-0000-0000-0000C3000000}"/>
    <cellStyle name="20% - Accent3 4 2 2" xfId="197" xr:uid="{00000000-0005-0000-0000-0000C4000000}"/>
    <cellStyle name="20% - Accent3 40" xfId="198" xr:uid="{00000000-0005-0000-0000-0000C5000000}"/>
    <cellStyle name="20% - Accent3 41" xfId="199" xr:uid="{00000000-0005-0000-0000-0000C6000000}"/>
    <cellStyle name="20% - Accent3 42" xfId="200" xr:uid="{00000000-0005-0000-0000-0000C7000000}"/>
    <cellStyle name="20% - Accent3 43" xfId="201" xr:uid="{00000000-0005-0000-0000-0000C8000000}"/>
    <cellStyle name="20% - Accent3 5" xfId="202" xr:uid="{00000000-0005-0000-0000-0000C9000000}"/>
    <cellStyle name="20% - Accent3 5 2" xfId="203" xr:uid="{00000000-0005-0000-0000-0000CA000000}"/>
    <cellStyle name="20% - Accent3 5 2 2" xfId="204" xr:uid="{00000000-0005-0000-0000-0000CB000000}"/>
    <cellStyle name="20% - Accent3 6" xfId="205" xr:uid="{00000000-0005-0000-0000-0000CC000000}"/>
    <cellStyle name="20% - Accent3 6 2" xfId="206" xr:uid="{00000000-0005-0000-0000-0000CD000000}"/>
    <cellStyle name="20% - Accent3 6 2 2" xfId="207" xr:uid="{00000000-0005-0000-0000-0000CE000000}"/>
    <cellStyle name="20% - Accent3 7" xfId="208" xr:uid="{00000000-0005-0000-0000-0000CF000000}"/>
    <cellStyle name="20% - Accent3 7 2" xfId="209" xr:uid="{00000000-0005-0000-0000-0000D0000000}"/>
    <cellStyle name="20% - Accent3 7 2 2" xfId="210" xr:uid="{00000000-0005-0000-0000-0000D1000000}"/>
    <cellStyle name="20% - Accent3 8" xfId="211" xr:uid="{00000000-0005-0000-0000-0000D2000000}"/>
    <cellStyle name="20% - Accent3 8 2" xfId="212" xr:uid="{00000000-0005-0000-0000-0000D3000000}"/>
    <cellStyle name="20% - Accent3 8 2 2" xfId="213" xr:uid="{00000000-0005-0000-0000-0000D4000000}"/>
    <cellStyle name="20% - Accent3 9" xfId="214" xr:uid="{00000000-0005-0000-0000-0000D5000000}"/>
    <cellStyle name="20% - Accent4" xfId="215" builtinId="42" customBuiltin="1"/>
    <cellStyle name="20% - Accent4 10" xfId="216" xr:uid="{00000000-0005-0000-0000-0000D7000000}"/>
    <cellStyle name="20% - Accent4 11" xfId="217" xr:uid="{00000000-0005-0000-0000-0000D8000000}"/>
    <cellStyle name="20% - Accent4 12" xfId="218" xr:uid="{00000000-0005-0000-0000-0000D9000000}"/>
    <cellStyle name="20% - Accent4 13" xfId="219" xr:uid="{00000000-0005-0000-0000-0000DA000000}"/>
    <cellStyle name="20% - Accent4 14" xfId="220" xr:uid="{00000000-0005-0000-0000-0000DB000000}"/>
    <cellStyle name="20% - Accent4 15" xfId="221" xr:uid="{00000000-0005-0000-0000-0000DC000000}"/>
    <cellStyle name="20% - Accent4 16" xfId="222" xr:uid="{00000000-0005-0000-0000-0000DD000000}"/>
    <cellStyle name="20% - Accent4 17" xfId="223" xr:uid="{00000000-0005-0000-0000-0000DE000000}"/>
    <cellStyle name="20% - Accent4 18" xfId="224" xr:uid="{00000000-0005-0000-0000-0000DF000000}"/>
    <cellStyle name="20% - Accent4 19" xfId="225" xr:uid="{00000000-0005-0000-0000-0000E0000000}"/>
    <cellStyle name="20% - Accent4 2" xfId="226" xr:uid="{00000000-0005-0000-0000-0000E1000000}"/>
    <cellStyle name="20% - Accent4 2 10" xfId="227" xr:uid="{00000000-0005-0000-0000-0000E2000000}"/>
    <cellStyle name="20% - Accent4 2 11" xfId="228" xr:uid="{00000000-0005-0000-0000-0000E3000000}"/>
    <cellStyle name="20% - Accent4 2 12" xfId="229" xr:uid="{00000000-0005-0000-0000-0000E4000000}"/>
    <cellStyle name="20% - Accent4 2 13" xfId="230" xr:uid="{00000000-0005-0000-0000-0000E5000000}"/>
    <cellStyle name="20% - Accent4 2 14" xfId="231" xr:uid="{00000000-0005-0000-0000-0000E6000000}"/>
    <cellStyle name="20% - Accent4 2 15" xfId="232" xr:uid="{00000000-0005-0000-0000-0000E7000000}"/>
    <cellStyle name="20% - Accent4 2 2" xfId="233" xr:uid="{00000000-0005-0000-0000-0000E8000000}"/>
    <cellStyle name="20% - Accent4 2 2 2" xfId="234" xr:uid="{00000000-0005-0000-0000-0000E9000000}"/>
    <cellStyle name="20% - Accent4 2 3" xfId="235" xr:uid="{00000000-0005-0000-0000-0000EA000000}"/>
    <cellStyle name="20% - Accent4 2 4" xfId="236" xr:uid="{00000000-0005-0000-0000-0000EB000000}"/>
    <cellStyle name="20% - Accent4 2 5" xfId="237" xr:uid="{00000000-0005-0000-0000-0000EC000000}"/>
    <cellStyle name="20% - Accent4 2 6" xfId="238" xr:uid="{00000000-0005-0000-0000-0000ED000000}"/>
    <cellStyle name="20% - Accent4 2 7" xfId="239" xr:uid="{00000000-0005-0000-0000-0000EE000000}"/>
    <cellStyle name="20% - Accent4 2 8" xfId="240" xr:uid="{00000000-0005-0000-0000-0000EF000000}"/>
    <cellStyle name="20% - Accent4 2 9" xfId="241" xr:uid="{00000000-0005-0000-0000-0000F0000000}"/>
    <cellStyle name="20% - Accent4 20" xfId="242" xr:uid="{00000000-0005-0000-0000-0000F1000000}"/>
    <cellStyle name="20% - Accent4 21" xfId="243" xr:uid="{00000000-0005-0000-0000-0000F2000000}"/>
    <cellStyle name="20% - Accent4 22" xfId="244" xr:uid="{00000000-0005-0000-0000-0000F3000000}"/>
    <cellStyle name="20% - Accent4 23" xfId="245" xr:uid="{00000000-0005-0000-0000-0000F4000000}"/>
    <cellStyle name="20% - Accent4 24" xfId="246" xr:uid="{00000000-0005-0000-0000-0000F5000000}"/>
    <cellStyle name="20% - Accent4 25" xfId="247" xr:uid="{00000000-0005-0000-0000-0000F6000000}"/>
    <cellStyle name="20% - Accent4 26" xfId="248" xr:uid="{00000000-0005-0000-0000-0000F7000000}"/>
    <cellStyle name="20% - Accent4 27" xfId="249" xr:uid="{00000000-0005-0000-0000-0000F8000000}"/>
    <cellStyle name="20% - Accent4 28" xfId="250" xr:uid="{00000000-0005-0000-0000-0000F9000000}"/>
    <cellStyle name="20% - Accent4 29" xfId="251" xr:uid="{00000000-0005-0000-0000-0000FA000000}"/>
    <cellStyle name="20% - Accent4 3" xfId="252" xr:uid="{00000000-0005-0000-0000-0000FB000000}"/>
    <cellStyle name="20% - Accent4 3 2" xfId="253" xr:uid="{00000000-0005-0000-0000-0000FC000000}"/>
    <cellStyle name="20% - Accent4 3 3" xfId="254" xr:uid="{00000000-0005-0000-0000-0000FD000000}"/>
    <cellStyle name="20% - Accent4 3 3 2" xfId="255" xr:uid="{00000000-0005-0000-0000-0000FE000000}"/>
    <cellStyle name="20% - Accent4 30" xfId="256" xr:uid="{00000000-0005-0000-0000-0000FF000000}"/>
    <cellStyle name="20% - Accent4 31" xfId="257" xr:uid="{00000000-0005-0000-0000-000000010000}"/>
    <cellStyle name="20% - Accent4 32" xfId="258" xr:uid="{00000000-0005-0000-0000-000001010000}"/>
    <cellStyle name="20% - Accent4 33" xfId="259" xr:uid="{00000000-0005-0000-0000-000002010000}"/>
    <cellStyle name="20% - Accent4 34" xfId="260" xr:uid="{00000000-0005-0000-0000-000003010000}"/>
    <cellStyle name="20% - Accent4 35" xfId="261" xr:uid="{00000000-0005-0000-0000-000004010000}"/>
    <cellStyle name="20% - Accent4 36" xfId="262" xr:uid="{00000000-0005-0000-0000-000005010000}"/>
    <cellStyle name="20% - Accent4 37" xfId="263" xr:uid="{00000000-0005-0000-0000-000006010000}"/>
    <cellStyle name="20% - Accent4 38" xfId="264" xr:uid="{00000000-0005-0000-0000-000007010000}"/>
    <cellStyle name="20% - Accent4 39" xfId="265" xr:uid="{00000000-0005-0000-0000-000008010000}"/>
    <cellStyle name="20% - Accent4 4" xfId="266" xr:uid="{00000000-0005-0000-0000-000009010000}"/>
    <cellStyle name="20% - Accent4 4 2" xfId="267" xr:uid="{00000000-0005-0000-0000-00000A010000}"/>
    <cellStyle name="20% - Accent4 4 2 2" xfId="268" xr:uid="{00000000-0005-0000-0000-00000B010000}"/>
    <cellStyle name="20% - Accent4 40" xfId="269" xr:uid="{00000000-0005-0000-0000-00000C010000}"/>
    <cellStyle name="20% - Accent4 41" xfId="270" xr:uid="{00000000-0005-0000-0000-00000D010000}"/>
    <cellStyle name="20% - Accent4 42" xfId="271" xr:uid="{00000000-0005-0000-0000-00000E010000}"/>
    <cellStyle name="20% - Accent4 43" xfId="272" xr:uid="{00000000-0005-0000-0000-00000F010000}"/>
    <cellStyle name="20% - Accent4 5" xfId="273" xr:uid="{00000000-0005-0000-0000-000010010000}"/>
    <cellStyle name="20% - Accent4 5 2" xfId="274" xr:uid="{00000000-0005-0000-0000-000011010000}"/>
    <cellStyle name="20% - Accent4 5 2 2" xfId="275" xr:uid="{00000000-0005-0000-0000-000012010000}"/>
    <cellStyle name="20% - Accent4 6" xfId="276" xr:uid="{00000000-0005-0000-0000-000013010000}"/>
    <cellStyle name="20% - Accent4 6 2" xfId="277" xr:uid="{00000000-0005-0000-0000-000014010000}"/>
    <cellStyle name="20% - Accent4 6 2 2" xfId="278" xr:uid="{00000000-0005-0000-0000-000015010000}"/>
    <cellStyle name="20% - Accent4 7" xfId="279" xr:uid="{00000000-0005-0000-0000-000016010000}"/>
    <cellStyle name="20% - Accent4 7 2" xfId="280" xr:uid="{00000000-0005-0000-0000-000017010000}"/>
    <cellStyle name="20% - Accent4 7 2 2" xfId="281" xr:uid="{00000000-0005-0000-0000-000018010000}"/>
    <cellStyle name="20% - Accent4 8" xfId="282" xr:uid="{00000000-0005-0000-0000-000019010000}"/>
    <cellStyle name="20% - Accent4 8 2" xfId="283" xr:uid="{00000000-0005-0000-0000-00001A010000}"/>
    <cellStyle name="20% - Accent4 8 2 2" xfId="284" xr:uid="{00000000-0005-0000-0000-00001B010000}"/>
    <cellStyle name="20% - Accent4 9" xfId="285" xr:uid="{00000000-0005-0000-0000-00001C010000}"/>
    <cellStyle name="20% - Accent5" xfId="286" builtinId="46" customBuiltin="1"/>
    <cellStyle name="20% - Accent5 10" xfId="287" xr:uid="{00000000-0005-0000-0000-00001E010000}"/>
    <cellStyle name="20% - Accent5 11" xfId="288" xr:uid="{00000000-0005-0000-0000-00001F010000}"/>
    <cellStyle name="20% - Accent5 12" xfId="289" xr:uid="{00000000-0005-0000-0000-000020010000}"/>
    <cellStyle name="20% - Accent5 13" xfId="290" xr:uid="{00000000-0005-0000-0000-000021010000}"/>
    <cellStyle name="20% - Accent5 14" xfId="291" xr:uid="{00000000-0005-0000-0000-000022010000}"/>
    <cellStyle name="20% - Accent5 15" xfId="292" xr:uid="{00000000-0005-0000-0000-000023010000}"/>
    <cellStyle name="20% - Accent5 16" xfId="293" xr:uid="{00000000-0005-0000-0000-000024010000}"/>
    <cellStyle name="20% - Accent5 17" xfId="294" xr:uid="{00000000-0005-0000-0000-000025010000}"/>
    <cellStyle name="20% - Accent5 18" xfId="295" xr:uid="{00000000-0005-0000-0000-000026010000}"/>
    <cellStyle name="20% - Accent5 19" xfId="296" xr:uid="{00000000-0005-0000-0000-000027010000}"/>
    <cellStyle name="20% - Accent5 2" xfId="297" xr:uid="{00000000-0005-0000-0000-000028010000}"/>
    <cellStyle name="20% - Accent5 2 10" xfId="298" xr:uid="{00000000-0005-0000-0000-000029010000}"/>
    <cellStyle name="20% - Accent5 2 11" xfId="299" xr:uid="{00000000-0005-0000-0000-00002A010000}"/>
    <cellStyle name="20% - Accent5 2 12" xfId="300" xr:uid="{00000000-0005-0000-0000-00002B010000}"/>
    <cellStyle name="20% - Accent5 2 13" xfId="301" xr:uid="{00000000-0005-0000-0000-00002C010000}"/>
    <cellStyle name="20% - Accent5 2 14" xfId="302" xr:uid="{00000000-0005-0000-0000-00002D010000}"/>
    <cellStyle name="20% - Accent5 2 15" xfId="303" xr:uid="{00000000-0005-0000-0000-00002E010000}"/>
    <cellStyle name="20% - Accent5 2 2" xfId="304" xr:uid="{00000000-0005-0000-0000-00002F010000}"/>
    <cellStyle name="20% - Accent5 2 3" xfId="305" xr:uid="{00000000-0005-0000-0000-000030010000}"/>
    <cellStyle name="20% - Accent5 2 4" xfId="306" xr:uid="{00000000-0005-0000-0000-000031010000}"/>
    <cellStyle name="20% - Accent5 2 5" xfId="307" xr:uid="{00000000-0005-0000-0000-000032010000}"/>
    <cellStyle name="20% - Accent5 2 6" xfId="308" xr:uid="{00000000-0005-0000-0000-000033010000}"/>
    <cellStyle name="20% - Accent5 2 7" xfId="309" xr:uid="{00000000-0005-0000-0000-000034010000}"/>
    <cellStyle name="20% - Accent5 2 8" xfId="310" xr:uid="{00000000-0005-0000-0000-000035010000}"/>
    <cellStyle name="20% - Accent5 2 9" xfId="311" xr:uid="{00000000-0005-0000-0000-000036010000}"/>
    <cellStyle name="20% - Accent5 20" xfId="312" xr:uid="{00000000-0005-0000-0000-000037010000}"/>
    <cellStyle name="20% - Accent5 21" xfId="313" xr:uid="{00000000-0005-0000-0000-000038010000}"/>
    <cellStyle name="20% - Accent5 22" xfId="314" xr:uid="{00000000-0005-0000-0000-000039010000}"/>
    <cellStyle name="20% - Accent5 23" xfId="315" xr:uid="{00000000-0005-0000-0000-00003A010000}"/>
    <cellStyle name="20% - Accent5 24" xfId="316" xr:uid="{00000000-0005-0000-0000-00003B010000}"/>
    <cellStyle name="20% - Accent5 25" xfId="317" xr:uid="{00000000-0005-0000-0000-00003C010000}"/>
    <cellStyle name="20% - Accent5 26" xfId="318" xr:uid="{00000000-0005-0000-0000-00003D010000}"/>
    <cellStyle name="20% - Accent5 27" xfId="319" xr:uid="{00000000-0005-0000-0000-00003E010000}"/>
    <cellStyle name="20% - Accent5 28" xfId="320" xr:uid="{00000000-0005-0000-0000-00003F010000}"/>
    <cellStyle name="20% - Accent5 29" xfId="321" xr:uid="{00000000-0005-0000-0000-000040010000}"/>
    <cellStyle name="20% - Accent5 3" xfId="322" xr:uid="{00000000-0005-0000-0000-000041010000}"/>
    <cellStyle name="20% - Accent5 3 2" xfId="323" xr:uid="{00000000-0005-0000-0000-000042010000}"/>
    <cellStyle name="20% - Accent5 30" xfId="324" xr:uid="{00000000-0005-0000-0000-000043010000}"/>
    <cellStyle name="20% - Accent5 31" xfId="325" xr:uid="{00000000-0005-0000-0000-000044010000}"/>
    <cellStyle name="20% - Accent5 32" xfId="326" xr:uid="{00000000-0005-0000-0000-000045010000}"/>
    <cellStyle name="20% - Accent5 33" xfId="327" xr:uid="{00000000-0005-0000-0000-000046010000}"/>
    <cellStyle name="20% - Accent5 34" xfId="328" xr:uid="{00000000-0005-0000-0000-000047010000}"/>
    <cellStyle name="20% - Accent5 35" xfId="329" xr:uid="{00000000-0005-0000-0000-000048010000}"/>
    <cellStyle name="20% - Accent5 36" xfId="330" xr:uid="{00000000-0005-0000-0000-000049010000}"/>
    <cellStyle name="20% - Accent5 37" xfId="331" xr:uid="{00000000-0005-0000-0000-00004A010000}"/>
    <cellStyle name="20% - Accent5 38" xfId="332" xr:uid="{00000000-0005-0000-0000-00004B010000}"/>
    <cellStyle name="20% - Accent5 39" xfId="333" xr:uid="{00000000-0005-0000-0000-00004C010000}"/>
    <cellStyle name="20% - Accent5 4" xfId="334" xr:uid="{00000000-0005-0000-0000-00004D010000}"/>
    <cellStyle name="20% - Accent5 40" xfId="335" xr:uid="{00000000-0005-0000-0000-00004E010000}"/>
    <cellStyle name="20% - Accent5 41" xfId="336" xr:uid="{00000000-0005-0000-0000-00004F010000}"/>
    <cellStyle name="20% - Accent5 42" xfId="337" xr:uid="{00000000-0005-0000-0000-000050010000}"/>
    <cellStyle name="20% - Accent5 43" xfId="338" xr:uid="{00000000-0005-0000-0000-000051010000}"/>
    <cellStyle name="20% - Accent5 5" xfId="339" xr:uid="{00000000-0005-0000-0000-000052010000}"/>
    <cellStyle name="20% - Accent5 6" xfId="340" xr:uid="{00000000-0005-0000-0000-000053010000}"/>
    <cellStyle name="20% - Accent5 7" xfId="341" xr:uid="{00000000-0005-0000-0000-000054010000}"/>
    <cellStyle name="20% - Accent5 8" xfId="342" xr:uid="{00000000-0005-0000-0000-000055010000}"/>
    <cellStyle name="20% - Accent5 9" xfId="343" xr:uid="{00000000-0005-0000-0000-000056010000}"/>
    <cellStyle name="20% - Accent6" xfId="344" builtinId="50" customBuiltin="1"/>
    <cellStyle name="20% - Accent6 10" xfId="345" xr:uid="{00000000-0005-0000-0000-000058010000}"/>
    <cellStyle name="20% - Accent6 11" xfId="346" xr:uid="{00000000-0005-0000-0000-000059010000}"/>
    <cellStyle name="20% - Accent6 12" xfId="347" xr:uid="{00000000-0005-0000-0000-00005A010000}"/>
    <cellStyle name="20% - Accent6 13" xfId="348" xr:uid="{00000000-0005-0000-0000-00005B010000}"/>
    <cellStyle name="20% - Accent6 14" xfId="349" xr:uid="{00000000-0005-0000-0000-00005C010000}"/>
    <cellStyle name="20% - Accent6 15" xfId="350" xr:uid="{00000000-0005-0000-0000-00005D010000}"/>
    <cellStyle name="20% - Accent6 16" xfId="351" xr:uid="{00000000-0005-0000-0000-00005E010000}"/>
    <cellStyle name="20% - Accent6 17" xfId="352" xr:uid="{00000000-0005-0000-0000-00005F010000}"/>
    <cellStyle name="20% - Accent6 18" xfId="353" xr:uid="{00000000-0005-0000-0000-000060010000}"/>
    <cellStyle name="20% - Accent6 19" xfId="354" xr:uid="{00000000-0005-0000-0000-000061010000}"/>
    <cellStyle name="20% - Accent6 2" xfId="355" xr:uid="{00000000-0005-0000-0000-000062010000}"/>
    <cellStyle name="20% - Accent6 2 10" xfId="356" xr:uid="{00000000-0005-0000-0000-000063010000}"/>
    <cellStyle name="20% - Accent6 2 11" xfId="357" xr:uid="{00000000-0005-0000-0000-000064010000}"/>
    <cellStyle name="20% - Accent6 2 12" xfId="358" xr:uid="{00000000-0005-0000-0000-000065010000}"/>
    <cellStyle name="20% - Accent6 2 13" xfId="359" xr:uid="{00000000-0005-0000-0000-000066010000}"/>
    <cellStyle name="20% - Accent6 2 14" xfId="360" xr:uid="{00000000-0005-0000-0000-000067010000}"/>
    <cellStyle name="20% - Accent6 2 15" xfId="361" xr:uid="{00000000-0005-0000-0000-000068010000}"/>
    <cellStyle name="20% - Accent6 2 2" xfId="362" xr:uid="{00000000-0005-0000-0000-000069010000}"/>
    <cellStyle name="20% - Accent6 2 2 2" xfId="363" xr:uid="{00000000-0005-0000-0000-00006A010000}"/>
    <cellStyle name="20% - Accent6 2 3" xfId="364" xr:uid="{00000000-0005-0000-0000-00006B010000}"/>
    <cellStyle name="20% - Accent6 2 4" xfId="365" xr:uid="{00000000-0005-0000-0000-00006C010000}"/>
    <cellStyle name="20% - Accent6 2 5" xfId="366" xr:uid="{00000000-0005-0000-0000-00006D010000}"/>
    <cellStyle name="20% - Accent6 2 6" xfId="367" xr:uid="{00000000-0005-0000-0000-00006E010000}"/>
    <cellStyle name="20% - Accent6 2 7" xfId="368" xr:uid="{00000000-0005-0000-0000-00006F010000}"/>
    <cellStyle name="20% - Accent6 2 8" xfId="369" xr:uid="{00000000-0005-0000-0000-000070010000}"/>
    <cellStyle name="20% - Accent6 2 9" xfId="370" xr:uid="{00000000-0005-0000-0000-000071010000}"/>
    <cellStyle name="20% - Accent6 20" xfId="371" xr:uid="{00000000-0005-0000-0000-000072010000}"/>
    <cellStyle name="20% - Accent6 21" xfId="372" xr:uid="{00000000-0005-0000-0000-000073010000}"/>
    <cellStyle name="20% - Accent6 22" xfId="373" xr:uid="{00000000-0005-0000-0000-000074010000}"/>
    <cellStyle name="20% - Accent6 23" xfId="374" xr:uid="{00000000-0005-0000-0000-000075010000}"/>
    <cellStyle name="20% - Accent6 24" xfId="375" xr:uid="{00000000-0005-0000-0000-000076010000}"/>
    <cellStyle name="20% - Accent6 25" xfId="376" xr:uid="{00000000-0005-0000-0000-000077010000}"/>
    <cellStyle name="20% - Accent6 26" xfId="377" xr:uid="{00000000-0005-0000-0000-000078010000}"/>
    <cellStyle name="20% - Accent6 27" xfId="378" xr:uid="{00000000-0005-0000-0000-000079010000}"/>
    <cellStyle name="20% - Accent6 28" xfId="379" xr:uid="{00000000-0005-0000-0000-00007A010000}"/>
    <cellStyle name="20% - Accent6 29" xfId="380" xr:uid="{00000000-0005-0000-0000-00007B010000}"/>
    <cellStyle name="20% - Accent6 3" xfId="381" xr:uid="{00000000-0005-0000-0000-00007C010000}"/>
    <cellStyle name="20% - Accent6 3 2" xfId="382" xr:uid="{00000000-0005-0000-0000-00007D010000}"/>
    <cellStyle name="20% - Accent6 3 3" xfId="383" xr:uid="{00000000-0005-0000-0000-00007E010000}"/>
    <cellStyle name="20% - Accent6 3 3 2" xfId="384" xr:uid="{00000000-0005-0000-0000-00007F010000}"/>
    <cellStyle name="20% - Accent6 30" xfId="385" xr:uid="{00000000-0005-0000-0000-000080010000}"/>
    <cellStyle name="20% - Accent6 31" xfId="386" xr:uid="{00000000-0005-0000-0000-000081010000}"/>
    <cellStyle name="20% - Accent6 32" xfId="387" xr:uid="{00000000-0005-0000-0000-000082010000}"/>
    <cellStyle name="20% - Accent6 33" xfId="388" xr:uid="{00000000-0005-0000-0000-000083010000}"/>
    <cellStyle name="20% - Accent6 34" xfId="389" xr:uid="{00000000-0005-0000-0000-000084010000}"/>
    <cellStyle name="20% - Accent6 35" xfId="390" xr:uid="{00000000-0005-0000-0000-000085010000}"/>
    <cellStyle name="20% - Accent6 36" xfId="391" xr:uid="{00000000-0005-0000-0000-000086010000}"/>
    <cellStyle name="20% - Accent6 37" xfId="392" xr:uid="{00000000-0005-0000-0000-000087010000}"/>
    <cellStyle name="20% - Accent6 38" xfId="393" xr:uid="{00000000-0005-0000-0000-000088010000}"/>
    <cellStyle name="20% - Accent6 39" xfId="394" xr:uid="{00000000-0005-0000-0000-000089010000}"/>
    <cellStyle name="20% - Accent6 4" xfId="395" xr:uid="{00000000-0005-0000-0000-00008A010000}"/>
    <cellStyle name="20% - Accent6 4 2" xfId="396" xr:uid="{00000000-0005-0000-0000-00008B010000}"/>
    <cellStyle name="20% - Accent6 4 2 2" xfId="397" xr:uid="{00000000-0005-0000-0000-00008C010000}"/>
    <cellStyle name="20% - Accent6 40" xfId="398" xr:uid="{00000000-0005-0000-0000-00008D010000}"/>
    <cellStyle name="20% - Accent6 41" xfId="399" xr:uid="{00000000-0005-0000-0000-00008E010000}"/>
    <cellStyle name="20% - Accent6 42" xfId="400" xr:uid="{00000000-0005-0000-0000-00008F010000}"/>
    <cellStyle name="20% - Accent6 43" xfId="401" xr:uid="{00000000-0005-0000-0000-000090010000}"/>
    <cellStyle name="20% - Accent6 44" xfId="402" xr:uid="{00000000-0005-0000-0000-000091010000}"/>
    <cellStyle name="20% - Accent6 5" xfId="403" xr:uid="{00000000-0005-0000-0000-000092010000}"/>
    <cellStyle name="20% - Accent6 5 2" xfId="404" xr:uid="{00000000-0005-0000-0000-000093010000}"/>
    <cellStyle name="20% - Accent6 5 2 2" xfId="405" xr:uid="{00000000-0005-0000-0000-000094010000}"/>
    <cellStyle name="20% - Accent6 6" xfId="406" xr:uid="{00000000-0005-0000-0000-000095010000}"/>
    <cellStyle name="20% - Accent6 6 2" xfId="407" xr:uid="{00000000-0005-0000-0000-000096010000}"/>
    <cellStyle name="20% - Accent6 6 2 2" xfId="408" xr:uid="{00000000-0005-0000-0000-000097010000}"/>
    <cellStyle name="20% - Accent6 7" xfId="409" xr:uid="{00000000-0005-0000-0000-000098010000}"/>
    <cellStyle name="20% - Accent6 7 2" xfId="410" xr:uid="{00000000-0005-0000-0000-000099010000}"/>
    <cellStyle name="20% - Accent6 7 2 2" xfId="411" xr:uid="{00000000-0005-0000-0000-00009A010000}"/>
    <cellStyle name="20% - Accent6 8" xfId="412" xr:uid="{00000000-0005-0000-0000-00009B010000}"/>
    <cellStyle name="20% - Accent6 8 2" xfId="413" xr:uid="{00000000-0005-0000-0000-00009C010000}"/>
    <cellStyle name="20% - Accent6 8 2 2" xfId="414" xr:uid="{00000000-0005-0000-0000-00009D010000}"/>
    <cellStyle name="20% - Accent6 9" xfId="415" xr:uid="{00000000-0005-0000-0000-00009E010000}"/>
    <cellStyle name="20% - Akzent1" xfId="416" xr:uid="{00000000-0005-0000-0000-00009F010000}"/>
    <cellStyle name="20% - Akzent2" xfId="417" xr:uid="{00000000-0005-0000-0000-0000A0010000}"/>
    <cellStyle name="20% - Akzent3" xfId="418" xr:uid="{00000000-0005-0000-0000-0000A1010000}"/>
    <cellStyle name="20% - Akzent4" xfId="419" xr:uid="{00000000-0005-0000-0000-0000A2010000}"/>
    <cellStyle name="20% - Akzent5" xfId="420" xr:uid="{00000000-0005-0000-0000-0000A3010000}"/>
    <cellStyle name="20% - Akzent6" xfId="421" xr:uid="{00000000-0005-0000-0000-0000A4010000}"/>
    <cellStyle name="2x indented GHG Textfiels" xfId="422" xr:uid="{00000000-0005-0000-0000-0000A5010000}"/>
    <cellStyle name="2x indented GHG Textfiels 2" xfId="423" xr:uid="{00000000-0005-0000-0000-0000A6010000}"/>
    <cellStyle name="2x indented GHG Textfiels 3" xfId="424" xr:uid="{00000000-0005-0000-0000-0000A7010000}"/>
    <cellStyle name="40% - Accent1" xfId="425" builtinId="31" customBuiltin="1"/>
    <cellStyle name="40% - Accent1 10" xfId="426" xr:uid="{00000000-0005-0000-0000-0000A9010000}"/>
    <cellStyle name="40% - Accent1 11" xfId="427" xr:uid="{00000000-0005-0000-0000-0000AA010000}"/>
    <cellStyle name="40% - Accent1 12" xfId="428" xr:uid="{00000000-0005-0000-0000-0000AB010000}"/>
    <cellStyle name="40% - Accent1 13" xfId="429" xr:uid="{00000000-0005-0000-0000-0000AC010000}"/>
    <cellStyle name="40% - Accent1 14" xfId="430" xr:uid="{00000000-0005-0000-0000-0000AD010000}"/>
    <cellStyle name="40% - Accent1 15" xfId="431" xr:uid="{00000000-0005-0000-0000-0000AE010000}"/>
    <cellStyle name="40% - Accent1 16" xfId="432" xr:uid="{00000000-0005-0000-0000-0000AF010000}"/>
    <cellStyle name="40% - Accent1 17" xfId="433" xr:uid="{00000000-0005-0000-0000-0000B0010000}"/>
    <cellStyle name="40% - Accent1 18" xfId="434" xr:uid="{00000000-0005-0000-0000-0000B1010000}"/>
    <cellStyle name="40% - Accent1 19" xfId="435" xr:uid="{00000000-0005-0000-0000-0000B2010000}"/>
    <cellStyle name="40% - Accent1 2" xfId="436" xr:uid="{00000000-0005-0000-0000-0000B3010000}"/>
    <cellStyle name="40% - Accent1 2 10" xfId="437" xr:uid="{00000000-0005-0000-0000-0000B4010000}"/>
    <cellStyle name="40% - Accent1 2 11" xfId="438" xr:uid="{00000000-0005-0000-0000-0000B5010000}"/>
    <cellStyle name="40% - Accent1 2 12" xfId="439" xr:uid="{00000000-0005-0000-0000-0000B6010000}"/>
    <cellStyle name="40% - Accent1 2 13" xfId="440" xr:uid="{00000000-0005-0000-0000-0000B7010000}"/>
    <cellStyle name="40% - Accent1 2 14" xfId="441" xr:uid="{00000000-0005-0000-0000-0000B8010000}"/>
    <cellStyle name="40% - Accent1 2 15" xfId="442" xr:uid="{00000000-0005-0000-0000-0000B9010000}"/>
    <cellStyle name="40% - Accent1 2 2" xfId="443" xr:uid="{00000000-0005-0000-0000-0000BA010000}"/>
    <cellStyle name="40% - Accent1 2 2 2" xfId="444" xr:uid="{00000000-0005-0000-0000-0000BB010000}"/>
    <cellStyle name="40% - Accent1 2 3" xfId="445" xr:uid="{00000000-0005-0000-0000-0000BC010000}"/>
    <cellStyle name="40% - Accent1 2 4" xfId="446" xr:uid="{00000000-0005-0000-0000-0000BD010000}"/>
    <cellStyle name="40% - Accent1 2 5" xfId="447" xr:uid="{00000000-0005-0000-0000-0000BE010000}"/>
    <cellStyle name="40% - Accent1 2 6" xfId="448" xr:uid="{00000000-0005-0000-0000-0000BF010000}"/>
    <cellStyle name="40% - Accent1 2 7" xfId="449" xr:uid="{00000000-0005-0000-0000-0000C0010000}"/>
    <cellStyle name="40% - Accent1 2 8" xfId="450" xr:uid="{00000000-0005-0000-0000-0000C1010000}"/>
    <cellStyle name="40% - Accent1 2 9" xfId="451" xr:uid="{00000000-0005-0000-0000-0000C2010000}"/>
    <cellStyle name="40% - Accent1 20" xfId="452" xr:uid="{00000000-0005-0000-0000-0000C3010000}"/>
    <cellStyle name="40% - Accent1 21" xfId="453" xr:uid="{00000000-0005-0000-0000-0000C4010000}"/>
    <cellStyle name="40% - Accent1 22" xfId="454" xr:uid="{00000000-0005-0000-0000-0000C5010000}"/>
    <cellStyle name="40% - Accent1 23" xfId="455" xr:uid="{00000000-0005-0000-0000-0000C6010000}"/>
    <cellStyle name="40% - Accent1 24" xfId="456" xr:uid="{00000000-0005-0000-0000-0000C7010000}"/>
    <cellStyle name="40% - Accent1 25" xfId="457" xr:uid="{00000000-0005-0000-0000-0000C8010000}"/>
    <cellStyle name="40% - Accent1 26" xfId="458" xr:uid="{00000000-0005-0000-0000-0000C9010000}"/>
    <cellStyle name="40% - Accent1 27" xfId="459" xr:uid="{00000000-0005-0000-0000-0000CA010000}"/>
    <cellStyle name="40% - Accent1 28" xfId="460" xr:uid="{00000000-0005-0000-0000-0000CB010000}"/>
    <cellStyle name="40% - Accent1 29" xfId="461" xr:uid="{00000000-0005-0000-0000-0000CC010000}"/>
    <cellStyle name="40% - Accent1 3" xfId="462" xr:uid="{00000000-0005-0000-0000-0000CD010000}"/>
    <cellStyle name="40% - Accent1 3 2" xfId="463" xr:uid="{00000000-0005-0000-0000-0000CE010000}"/>
    <cellStyle name="40% - Accent1 3 3" xfId="464" xr:uid="{00000000-0005-0000-0000-0000CF010000}"/>
    <cellStyle name="40% - Accent1 3 3 2" xfId="465" xr:uid="{00000000-0005-0000-0000-0000D0010000}"/>
    <cellStyle name="40% - Accent1 30" xfId="466" xr:uid="{00000000-0005-0000-0000-0000D1010000}"/>
    <cellStyle name="40% - Accent1 31" xfId="467" xr:uid="{00000000-0005-0000-0000-0000D2010000}"/>
    <cellStyle name="40% - Accent1 32" xfId="468" xr:uid="{00000000-0005-0000-0000-0000D3010000}"/>
    <cellStyle name="40% - Accent1 33" xfId="469" xr:uid="{00000000-0005-0000-0000-0000D4010000}"/>
    <cellStyle name="40% - Accent1 34" xfId="470" xr:uid="{00000000-0005-0000-0000-0000D5010000}"/>
    <cellStyle name="40% - Accent1 35" xfId="471" xr:uid="{00000000-0005-0000-0000-0000D6010000}"/>
    <cellStyle name="40% - Accent1 36" xfId="472" xr:uid="{00000000-0005-0000-0000-0000D7010000}"/>
    <cellStyle name="40% - Accent1 37" xfId="473" xr:uid="{00000000-0005-0000-0000-0000D8010000}"/>
    <cellStyle name="40% - Accent1 38" xfId="474" xr:uid="{00000000-0005-0000-0000-0000D9010000}"/>
    <cellStyle name="40% - Accent1 39" xfId="475" xr:uid="{00000000-0005-0000-0000-0000DA010000}"/>
    <cellStyle name="40% - Accent1 4" xfId="476" xr:uid="{00000000-0005-0000-0000-0000DB010000}"/>
    <cellStyle name="40% - Accent1 4 2" xfId="477" xr:uid="{00000000-0005-0000-0000-0000DC010000}"/>
    <cellStyle name="40% - Accent1 4 2 2" xfId="478" xr:uid="{00000000-0005-0000-0000-0000DD010000}"/>
    <cellStyle name="40% - Accent1 40" xfId="479" xr:uid="{00000000-0005-0000-0000-0000DE010000}"/>
    <cellStyle name="40% - Accent1 41" xfId="480" xr:uid="{00000000-0005-0000-0000-0000DF010000}"/>
    <cellStyle name="40% - Accent1 42" xfId="481" xr:uid="{00000000-0005-0000-0000-0000E0010000}"/>
    <cellStyle name="40% - Accent1 43" xfId="482" xr:uid="{00000000-0005-0000-0000-0000E1010000}"/>
    <cellStyle name="40% - Accent1 5" xfId="483" xr:uid="{00000000-0005-0000-0000-0000E2010000}"/>
    <cellStyle name="40% - Accent1 5 2" xfId="484" xr:uid="{00000000-0005-0000-0000-0000E3010000}"/>
    <cellStyle name="40% - Accent1 5 2 2" xfId="485" xr:uid="{00000000-0005-0000-0000-0000E4010000}"/>
    <cellStyle name="40% - Accent1 6" xfId="486" xr:uid="{00000000-0005-0000-0000-0000E5010000}"/>
    <cellStyle name="40% - Accent1 6 2" xfId="487" xr:uid="{00000000-0005-0000-0000-0000E6010000}"/>
    <cellStyle name="40% - Accent1 6 2 2" xfId="488" xr:uid="{00000000-0005-0000-0000-0000E7010000}"/>
    <cellStyle name="40% - Accent1 7" xfId="489" xr:uid="{00000000-0005-0000-0000-0000E8010000}"/>
    <cellStyle name="40% - Accent1 7 2" xfId="490" xr:uid="{00000000-0005-0000-0000-0000E9010000}"/>
    <cellStyle name="40% - Accent1 7 2 2" xfId="491" xr:uid="{00000000-0005-0000-0000-0000EA010000}"/>
    <cellStyle name="40% - Accent1 8" xfId="492" xr:uid="{00000000-0005-0000-0000-0000EB010000}"/>
    <cellStyle name="40% - Accent1 8 2" xfId="493" xr:uid="{00000000-0005-0000-0000-0000EC010000}"/>
    <cellStyle name="40% - Accent1 8 2 2" xfId="494" xr:uid="{00000000-0005-0000-0000-0000ED010000}"/>
    <cellStyle name="40% - Accent1 9" xfId="495" xr:uid="{00000000-0005-0000-0000-0000EE010000}"/>
    <cellStyle name="40% - Accent2" xfId="496" builtinId="35" customBuiltin="1"/>
    <cellStyle name="40% - Accent2 10" xfId="497" xr:uid="{00000000-0005-0000-0000-0000F0010000}"/>
    <cellStyle name="40% - Accent2 11" xfId="498" xr:uid="{00000000-0005-0000-0000-0000F1010000}"/>
    <cellStyle name="40% - Accent2 12" xfId="499" xr:uid="{00000000-0005-0000-0000-0000F2010000}"/>
    <cellStyle name="40% - Accent2 13" xfId="500" xr:uid="{00000000-0005-0000-0000-0000F3010000}"/>
    <cellStyle name="40% - Accent2 14" xfId="501" xr:uid="{00000000-0005-0000-0000-0000F4010000}"/>
    <cellStyle name="40% - Accent2 15" xfId="502" xr:uid="{00000000-0005-0000-0000-0000F5010000}"/>
    <cellStyle name="40% - Accent2 16" xfId="503" xr:uid="{00000000-0005-0000-0000-0000F6010000}"/>
    <cellStyle name="40% - Accent2 17" xfId="504" xr:uid="{00000000-0005-0000-0000-0000F7010000}"/>
    <cellStyle name="40% - Accent2 18" xfId="505" xr:uid="{00000000-0005-0000-0000-0000F8010000}"/>
    <cellStyle name="40% - Accent2 19" xfId="506" xr:uid="{00000000-0005-0000-0000-0000F9010000}"/>
    <cellStyle name="40% - Accent2 2" xfId="507" xr:uid="{00000000-0005-0000-0000-0000FA010000}"/>
    <cellStyle name="40% - Accent2 2 10" xfId="508" xr:uid="{00000000-0005-0000-0000-0000FB010000}"/>
    <cellStyle name="40% - Accent2 2 11" xfId="509" xr:uid="{00000000-0005-0000-0000-0000FC010000}"/>
    <cellStyle name="40% - Accent2 2 12" xfId="510" xr:uid="{00000000-0005-0000-0000-0000FD010000}"/>
    <cellStyle name="40% - Accent2 2 13" xfId="511" xr:uid="{00000000-0005-0000-0000-0000FE010000}"/>
    <cellStyle name="40% - Accent2 2 14" xfId="512" xr:uid="{00000000-0005-0000-0000-0000FF010000}"/>
    <cellStyle name="40% - Accent2 2 15" xfId="513" xr:uid="{00000000-0005-0000-0000-000000020000}"/>
    <cellStyle name="40% - Accent2 2 2" xfId="514" xr:uid="{00000000-0005-0000-0000-000001020000}"/>
    <cellStyle name="40% - Accent2 2 3" xfId="515" xr:uid="{00000000-0005-0000-0000-000002020000}"/>
    <cellStyle name="40% - Accent2 2 4" xfId="516" xr:uid="{00000000-0005-0000-0000-000003020000}"/>
    <cellStyle name="40% - Accent2 2 5" xfId="517" xr:uid="{00000000-0005-0000-0000-000004020000}"/>
    <cellStyle name="40% - Accent2 2 6" xfId="518" xr:uid="{00000000-0005-0000-0000-000005020000}"/>
    <cellStyle name="40% - Accent2 2 7" xfId="519" xr:uid="{00000000-0005-0000-0000-000006020000}"/>
    <cellStyle name="40% - Accent2 2 8" xfId="520" xr:uid="{00000000-0005-0000-0000-000007020000}"/>
    <cellStyle name="40% - Accent2 2 9" xfId="521" xr:uid="{00000000-0005-0000-0000-000008020000}"/>
    <cellStyle name="40% - Accent2 20" xfId="522" xr:uid="{00000000-0005-0000-0000-000009020000}"/>
    <cellStyle name="40% - Accent2 21" xfId="523" xr:uid="{00000000-0005-0000-0000-00000A020000}"/>
    <cellStyle name="40% - Accent2 22" xfId="524" xr:uid="{00000000-0005-0000-0000-00000B020000}"/>
    <cellStyle name="40% - Accent2 23" xfId="525" xr:uid="{00000000-0005-0000-0000-00000C020000}"/>
    <cellStyle name="40% - Accent2 24" xfId="526" xr:uid="{00000000-0005-0000-0000-00000D020000}"/>
    <cellStyle name="40% - Accent2 25" xfId="527" xr:uid="{00000000-0005-0000-0000-00000E020000}"/>
    <cellStyle name="40% - Accent2 26" xfId="528" xr:uid="{00000000-0005-0000-0000-00000F020000}"/>
    <cellStyle name="40% - Accent2 27" xfId="529" xr:uid="{00000000-0005-0000-0000-000010020000}"/>
    <cellStyle name="40% - Accent2 28" xfId="530" xr:uid="{00000000-0005-0000-0000-000011020000}"/>
    <cellStyle name="40% - Accent2 29" xfId="531" xr:uid="{00000000-0005-0000-0000-000012020000}"/>
    <cellStyle name="40% - Accent2 3" xfId="532" xr:uid="{00000000-0005-0000-0000-000013020000}"/>
    <cellStyle name="40% - Accent2 3 2" xfId="533" xr:uid="{00000000-0005-0000-0000-000014020000}"/>
    <cellStyle name="40% - Accent2 30" xfId="534" xr:uid="{00000000-0005-0000-0000-000015020000}"/>
    <cellStyle name="40% - Accent2 31" xfId="535" xr:uid="{00000000-0005-0000-0000-000016020000}"/>
    <cellStyle name="40% - Accent2 32" xfId="536" xr:uid="{00000000-0005-0000-0000-000017020000}"/>
    <cellStyle name="40% - Accent2 33" xfId="537" xr:uid="{00000000-0005-0000-0000-000018020000}"/>
    <cellStyle name="40% - Accent2 34" xfId="538" xr:uid="{00000000-0005-0000-0000-000019020000}"/>
    <cellStyle name="40% - Accent2 35" xfId="539" xr:uid="{00000000-0005-0000-0000-00001A020000}"/>
    <cellStyle name="40% - Accent2 36" xfId="540" xr:uid="{00000000-0005-0000-0000-00001B020000}"/>
    <cellStyle name="40% - Accent2 37" xfId="541" xr:uid="{00000000-0005-0000-0000-00001C020000}"/>
    <cellStyle name="40% - Accent2 38" xfId="542" xr:uid="{00000000-0005-0000-0000-00001D020000}"/>
    <cellStyle name="40% - Accent2 39" xfId="543" xr:uid="{00000000-0005-0000-0000-00001E020000}"/>
    <cellStyle name="40% - Accent2 4" xfId="544" xr:uid="{00000000-0005-0000-0000-00001F020000}"/>
    <cellStyle name="40% - Accent2 40" xfId="545" xr:uid="{00000000-0005-0000-0000-000020020000}"/>
    <cellStyle name="40% - Accent2 41" xfId="546" xr:uid="{00000000-0005-0000-0000-000021020000}"/>
    <cellStyle name="40% - Accent2 42" xfId="547" xr:uid="{00000000-0005-0000-0000-000022020000}"/>
    <cellStyle name="40% - Accent2 43" xfId="548" xr:uid="{00000000-0005-0000-0000-000023020000}"/>
    <cellStyle name="40% - Accent2 5" xfId="549" xr:uid="{00000000-0005-0000-0000-000024020000}"/>
    <cellStyle name="40% - Accent2 6" xfId="550" xr:uid="{00000000-0005-0000-0000-000025020000}"/>
    <cellStyle name="40% - Accent2 7" xfId="551" xr:uid="{00000000-0005-0000-0000-000026020000}"/>
    <cellStyle name="40% - Accent2 8" xfId="552" xr:uid="{00000000-0005-0000-0000-000027020000}"/>
    <cellStyle name="40% - Accent2 9" xfId="553" xr:uid="{00000000-0005-0000-0000-000028020000}"/>
    <cellStyle name="40% - Accent3" xfId="554" builtinId="39" customBuiltin="1"/>
    <cellStyle name="40% - Accent3 10" xfId="555" xr:uid="{00000000-0005-0000-0000-00002A020000}"/>
    <cellStyle name="40% - Accent3 11" xfId="556" xr:uid="{00000000-0005-0000-0000-00002B020000}"/>
    <cellStyle name="40% - Accent3 12" xfId="557" xr:uid="{00000000-0005-0000-0000-00002C020000}"/>
    <cellStyle name="40% - Accent3 13" xfId="558" xr:uid="{00000000-0005-0000-0000-00002D020000}"/>
    <cellStyle name="40% - Accent3 14" xfId="559" xr:uid="{00000000-0005-0000-0000-00002E020000}"/>
    <cellStyle name="40% - Accent3 15" xfId="560" xr:uid="{00000000-0005-0000-0000-00002F020000}"/>
    <cellStyle name="40% - Accent3 16" xfId="561" xr:uid="{00000000-0005-0000-0000-000030020000}"/>
    <cellStyle name="40% - Accent3 17" xfId="562" xr:uid="{00000000-0005-0000-0000-000031020000}"/>
    <cellStyle name="40% - Accent3 18" xfId="563" xr:uid="{00000000-0005-0000-0000-000032020000}"/>
    <cellStyle name="40% - Accent3 19" xfId="564" xr:uid="{00000000-0005-0000-0000-000033020000}"/>
    <cellStyle name="40% - Accent3 2" xfId="565" xr:uid="{00000000-0005-0000-0000-000034020000}"/>
    <cellStyle name="40% - Accent3 2 10" xfId="566" xr:uid="{00000000-0005-0000-0000-000035020000}"/>
    <cellStyle name="40% - Accent3 2 11" xfId="567" xr:uid="{00000000-0005-0000-0000-000036020000}"/>
    <cellStyle name="40% - Accent3 2 12" xfId="568" xr:uid="{00000000-0005-0000-0000-000037020000}"/>
    <cellStyle name="40% - Accent3 2 13" xfId="569" xr:uid="{00000000-0005-0000-0000-000038020000}"/>
    <cellStyle name="40% - Accent3 2 14" xfId="570" xr:uid="{00000000-0005-0000-0000-000039020000}"/>
    <cellStyle name="40% - Accent3 2 15" xfId="571" xr:uid="{00000000-0005-0000-0000-00003A020000}"/>
    <cellStyle name="40% - Accent3 2 2" xfId="572" xr:uid="{00000000-0005-0000-0000-00003B020000}"/>
    <cellStyle name="40% - Accent3 2 2 2" xfId="573" xr:uid="{00000000-0005-0000-0000-00003C020000}"/>
    <cellStyle name="40% - Accent3 2 3" xfId="574" xr:uid="{00000000-0005-0000-0000-00003D020000}"/>
    <cellStyle name="40% - Accent3 2 4" xfId="575" xr:uid="{00000000-0005-0000-0000-00003E020000}"/>
    <cellStyle name="40% - Accent3 2 5" xfId="576" xr:uid="{00000000-0005-0000-0000-00003F020000}"/>
    <cellStyle name="40% - Accent3 2 6" xfId="577" xr:uid="{00000000-0005-0000-0000-000040020000}"/>
    <cellStyle name="40% - Accent3 2 7" xfId="578" xr:uid="{00000000-0005-0000-0000-000041020000}"/>
    <cellStyle name="40% - Accent3 2 8" xfId="579" xr:uid="{00000000-0005-0000-0000-000042020000}"/>
    <cellStyle name="40% - Accent3 2 9" xfId="580" xr:uid="{00000000-0005-0000-0000-000043020000}"/>
    <cellStyle name="40% - Accent3 20" xfId="581" xr:uid="{00000000-0005-0000-0000-000044020000}"/>
    <cellStyle name="40% - Accent3 21" xfId="582" xr:uid="{00000000-0005-0000-0000-000045020000}"/>
    <cellStyle name="40% - Accent3 22" xfId="583" xr:uid="{00000000-0005-0000-0000-000046020000}"/>
    <cellStyle name="40% - Accent3 23" xfId="584" xr:uid="{00000000-0005-0000-0000-000047020000}"/>
    <cellStyle name="40% - Accent3 24" xfId="585" xr:uid="{00000000-0005-0000-0000-000048020000}"/>
    <cellStyle name="40% - Accent3 25" xfId="586" xr:uid="{00000000-0005-0000-0000-000049020000}"/>
    <cellStyle name="40% - Accent3 26" xfId="587" xr:uid="{00000000-0005-0000-0000-00004A020000}"/>
    <cellStyle name="40% - Accent3 27" xfId="588" xr:uid="{00000000-0005-0000-0000-00004B020000}"/>
    <cellStyle name="40% - Accent3 28" xfId="589" xr:uid="{00000000-0005-0000-0000-00004C020000}"/>
    <cellStyle name="40% - Accent3 29" xfId="590" xr:uid="{00000000-0005-0000-0000-00004D020000}"/>
    <cellStyle name="40% - Accent3 3" xfId="591" xr:uid="{00000000-0005-0000-0000-00004E020000}"/>
    <cellStyle name="40% - Accent3 3 2" xfId="592" xr:uid="{00000000-0005-0000-0000-00004F020000}"/>
    <cellStyle name="40% - Accent3 3 3" xfId="593" xr:uid="{00000000-0005-0000-0000-000050020000}"/>
    <cellStyle name="40% - Accent3 3 3 2" xfId="594" xr:uid="{00000000-0005-0000-0000-000051020000}"/>
    <cellStyle name="40% - Accent3 30" xfId="595" xr:uid="{00000000-0005-0000-0000-000052020000}"/>
    <cellStyle name="40% - Accent3 31" xfId="596" xr:uid="{00000000-0005-0000-0000-000053020000}"/>
    <cellStyle name="40% - Accent3 32" xfId="597" xr:uid="{00000000-0005-0000-0000-000054020000}"/>
    <cellStyle name="40% - Accent3 33" xfId="598" xr:uid="{00000000-0005-0000-0000-000055020000}"/>
    <cellStyle name="40% - Accent3 34" xfId="599" xr:uid="{00000000-0005-0000-0000-000056020000}"/>
    <cellStyle name="40% - Accent3 35" xfId="600" xr:uid="{00000000-0005-0000-0000-000057020000}"/>
    <cellStyle name="40% - Accent3 36" xfId="601" xr:uid="{00000000-0005-0000-0000-000058020000}"/>
    <cellStyle name="40% - Accent3 37" xfId="602" xr:uid="{00000000-0005-0000-0000-000059020000}"/>
    <cellStyle name="40% - Accent3 38" xfId="603" xr:uid="{00000000-0005-0000-0000-00005A020000}"/>
    <cellStyle name="40% - Accent3 39" xfId="604" xr:uid="{00000000-0005-0000-0000-00005B020000}"/>
    <cellStyle name="40% - Accent3 4" xfId="605" xr:uid="{00000000-0005-0000-0000-00005C020000}"/>
    <cellStyle name="40% - Accent3 4 2" xfId="606" xr:uid="{00000000-0005-0000-0000-00005D020000}"/>
    <cellStyle name="40% - Accent3 4 2 2" xfId="607" xr:uid="{00000000-0005-0000-0000-00005E020000}"/>
    <cellStyle name="40% - Accent3 40" xfId="608" xr:uid="{00000000-0005-0000-0000-00005F020000}"/>
    <cellStyle name="40% - Accent3 41" xfId="609" xr:uid="{00000000-0005-0000-0000-000060020000}"/>
    <cellStyle name="40% - Accent3 42" xfId="610" xr:uid="{00000000-0005-0000-0000-000061020000}"/>
    <cellStyle name="40% - Accent3 43" xfId="611" xr:uid="{00000000-0005-0000-0000-000062020000}"/>
    <cellStyle name="40% - Accent3 5" xfId="612" xr:uid="{00000000-0005-0000-0000-000063020000}"/>
    <cellStyle name="40% - Accent3 5 2" xfId="613" xr:uid="{00000000-0005-0000-0000-000064020000}"/>
    <cellStyle name="40% - Accent3 5 2 2" xfId="614" xr:uid="{00000000-0005-0000-0000-000065020000}"/>
    <cellStyle name="40% - Accent3 6" xfId="615" xr:uid="{00000000-0005-0000-0000-000066020000}"/>
    <cellStyle name="40% - Accent3 6 2" xfId="616" xr:uid="{00000000-0005-0000-0000-000067020000}"/>
    <cellStyle name="40% - Accent3 6 2 2" xfId="617" xr:uid="{00000000-0005-0000-0000-000068020000}"/>
    <cellStyle name="40% - Accent3 7" xfId="618" xr:uid="{00000000-0005-0000-0000-000069020000}"/>
    <cellStyle name="40% - Accent3 7 2" xfId="619" xr:uid="{00000000-0005-0000-0000-00006A020000}"/>
    <cellStyle name="40% - Accent3 7 2 2" xfId="620" xr:uid="{00000000-0005-0000-0000-00006B020000}"/>
    <cellStyle name="40% - Accent3 8" xfId="621" xr:uid="{00000000-0005-0000-0000-00006C020000}"/>
    <cellStyle name="40% - Accent3 8 2" xfId="622" xr:uid="{00000000-0005-0000-0000-00006D020000}"/>
    <cellStyle name="40% - Accent3 8 2 2" xfId="623" xr:uid="{00000000-0005-0000-0000-00006E020000}"/>
    <cellStyle name="40% - Accent3 9" xfId="624" xr:uid="{00000000-0005-0000-0000-00006F020000}"/>
    <cellStyle name="40% - Accent4" xfId="625" builtinId="43" customBuiltin="1"/>
    <cellStyle name="40% - Accent4 10" xfId="626" xr:uid="{00000000-0005-0000-0000-000071020000}"/>
    <cellStyle name="40% - Accent4 11" xfId="627" xr:uid="{00000000-0005-0000-0000-000072020000}"/>
    <cellStyle name="40% - Accent4 12" xfId="628" xr:uid="{00000000-0005-0000-0000-000073020000}"/>
    <cellStyle name="40% - Accent4 13" xfId="629" xr:uid="{00000000-0005-0000-0000-000074020000}"/>
    <cellStyle name="40% - Accent4 14" xfId="630" xr:uid="{00000000-0005-0000-0000-000075020000}"/>
    <cellStyle name="40% - Accent4 15" xfId="631" xr:uid="{00000000-0005-0000-0000-000076020000}"/>
    <cellStyle name="40% - Accent4 16" xfId="632" xr:uid="{00000000-0005-0000-0000-000077020000}"/>
    <cellStyle name="40% - Accent4 17" xfId="633" xr:uid="{00000000-0005-0000-0000-000078020000}"/>
    <cellStyle name="40% - Accent4 18" xfId="634" xr:uid="{00000000-0005-0000-0000-000079020000}"/>
    <cellStyle name="40% - Accent4 19" xfId="635" xr:uid="{00000000-0005-0000-0000-00007A020000}"/>
    <cellStyle name="40% - Accent4 2" xfId="636" xr:uid="{00000000-0005-0000-0000-00007B020000}"/>
    <cellStyle name="40% - Accent4 2 10" xfId="637" xr:uid="{00000000-0005-0000-0000-00007C020000}"/>
    <cellStyle name="40% - Accent4 2 11" xfId="638" xr:uid="{00000000-0005-0000-0000-00007D020000}"/>
    <cellStyle name="40% - Accent4 2 12" xfId="639" xr:uid="{00000000-0005-0000-0000-00007E020000}"/>
    <cellStyle name="40% - Accent4 2 13" xfId="640" xr:uid="{00000000-0005-0000-0000-00007F020000}"/>
    <cellStyle name="40% - Accent4 2 14" xfId="641" xr:uid="{00000000-0005-0000-0000-000080020000}"/>
    <cellStyle name="40% - Accent4 2 15" xfId="642" xr:uid="{00000000-0005-0000-0000-000081020000}"/>
    <cellStyle name="40% - Accent4 2 2" xfId="643" xr:uid="{00000000-0005-0000-0000-000082020000}"/>
    <cellStyle name="40% - Accent4 2 2 2" xfId="644" xr:uid="{00000000-0005-0000-0000-000083020000}"/>
    <cellStyle name="40% - Accent4 2 3" xfId="645" xr:uid="{00000000-0005-0000-0000-000084020000}"/>
    <cellStyle name="40% - Accent4 2 4" xfId="646" xr:uid="{00000000-0005-0000-0000-000085020000}"/>
    <cellStyle name="40% - Accent4 2 5" xfId="647" xr:uid="{00000000-0005-0000-0000-000086020000}"/>
    <cellStyle name="40% - Accent4 2 6" xfId="648" xr:uid="{00000000-0005-0000-0000-000087020000}"/>
    <cellStyle name="40% - Accent4 2 7" xfId="649" xr:uid="{00000000-0005-0000-0000-000088020000}"/>
    <cellStyle name="40% - Accent4 2 8" xfId="650" xr:uid="{00000000-0005-0000-0000-000089020000}"/>
    <cellStyle name="40% - Accent4 2 9" xfId="651" xr:uid="{00000000-0005-0000-0000-00008A020000}"/>
    <cellStyle name="40% - Accent4 20" xfId="652" xr:uid="{00000000-0005-0000-0000-00008B020000}"/>
    <cellStyle name="40% - Accent4 21" xfId="653" xr:uid="{00000000-0005-0000-0000-00008C020000}"/>
    <cellStyle name="40% - Accent4 22" xfId="654" xr:uid="{00000000-0005-0000-0000-00008D020000}"/>
    <cellStyle name="40% - Accent4 23" xfId="655" xr:uid="{00000000-0005-0000-0000-00008E020000}"/>
    <cellStyle name="40% - Accent4 24" xfId="656" xr:uid="{00000000-0005-0000-0000-00008F020000}"/>
    <cellStyle name="40% - Accent4 25" xfId="657" xr:uid="{00000000-0005-0000-0000-000090020000}"/>
    <cellStyle name="40% - Accent4 26" xfId="658" xr:uid="{00000000-0005-0000-0000-000091020000}"/>
    <cellStyle name="40% - Accent4 27" xfId="659" xr:uid="{00000000-0005-0000-0000-000092020000}"/>
    <cellStyle name="40% - Accent4 28" xfId="660" xr:uid="{00000000-0005-0000-0000-000093020000}"/>
    <cellStyle name="40% - Accent4 29" xfId="661" xr:uid="{00000000-0005-0000-0000-000094020000}"/>
    <cellStyle name="40% - Accent4 3" xfId="662" xr:uid="{00000000-0005-0000-0000-000095020000}"/>
    <cellStyle name="40% - Accent4 3 2" xfId="663" xr:uid="{00000000-0005-0000-0000-000096020000}"/>
    <cellStyle name="40% - Accent4 3 3" xfId="664" xr:uid="{00000000-0005-0000-0000-000097020000}"/>
    <cellStyle name="40% - Accent4 3 3 2" xfId="665" xr:uid="{00000000-0005-0000-0000-000098020000}"/>
    <cellStyle name="40% - Accent4 30" xfId="666" xr:uid="{00000000-0005-0000-0000-000099020000}"/>
    <cellStyle name="40% - Accent4 31" xfId="667" xr:uid="{00000000-0005-0000-0000-00009A020000}"/>
    <cellStyle name="40% - Accent4 32" xfId="668" xr:uid="{00000000-0005-0000-0000-00009B020000}"/>
    <cellStyle name="40% - Accent4 33" xfId="669" xr:uid="{00000000-0005-0000-0000-00009C020000}"/>
    <cellStyle name="40% - Accent4 34" xfId="670" xr:uid="{00000000-0005-0000-0000-00009D020000}"/>
    <cellStyle name="40% - Accent4 35" xfId="671" xr:uid="{00000000-0005-0000-0000-00009E020000}"/>
    <cellStyle name="40% - Accent4 36" xfId="672" xr:uid="{00000000-0005-0000-0000-00009F020000}"/>
    <cellStyle name="40% - Accent4 37" xfId="673" xr:uid="{00000000-0005-0000-0000-0000A0020000}"/>
    <cellStyle name="40% - Accent4 38" xfId="674" xr:uid="{00000000-0005-0000-0000-0000A1020000}"/>
    <cellStyle name="40% - Accent4 39" xfId="675" xr:uid="{00000000-0005-0000-0000-0000A2020000}"/>
    <cellStyle name="40% - Accent4 4" xfId="676" xr:uid="{00000000-0005-0000-0000-0000A3020000}"/>
    <cellStyle name="40% - Accent4 4 2" xfId="677" xr:uid="{00000000-0005-0000-0000-0000A4020000}"/>
    <cellStyle name="40% - Accent4 4 2 2" xfId="678" xr:uid="{00000000-0005-0000-0000-0000A5020000}"/>
    <cellStyle name="40% - Accent4 40" xfId="679" xr:uid="{00000000-0005-0000-0000-0000A6020000}"/>
    <cellStyle name="40% - Accent4 41" xfId="680" xr:uid="{00000000-0005-0000-0000-0000A7020000}"/>
    <cellStyle name="40% - Accent4 42" xfId="681" xr:uid="{00000000-0005-0000-0000-0000A8020000}"/>
    <cellStyle name="40% - Accent4 43" xfId="682" xr:uid="{00000000-0005-0000-0000-0000A9020000}"/>
    <cellStyle name="40% - Accent4 5" xfId="683" xr:uid="{00000000-0005-0000-0000-0000AA020000}"/>
    <cellStyle name="40% - Accent4 5 2" xfId="684" xr:uid="{00000000-0005-0000-0000-0000AB020000}"/>
    <cellStyle name="40% - Accent4 5 2 2" xfId="685" xr:uid="{00000000-0005-0000-0000-0000AC020000}"/>
    <cellStyle name="40% - Accent4 6" xfId="686" xr:uid="{00000000-0005-0000-0000-0000AD020000}"/>
    <cellStyle name="40% - Accent4 6 2" xfId="687" xr:uid="{00000000-0005-0000-0000-0000AE020000}"/>
    <cellStyle name="40% - Accent4 6 2 2" xfId="688" xr:uid="{00000000-0005-0000-0000-0000AF020000}"/>
    <cellStyle name="40% - Accent4 7" xfId="689" xr:uid="{00000000-0005-0000-0000-0000B0020000}"/>
    <cellStyle name="40% - Accent4 7 2" xfId="690" xr:uid="{00000000-0005-0000-0000-0000B1020000}"/>
    <cellStyle name="40% - Accent4 7 2 2" xfId="691" xr:uid="{00000000-0005-0000-0000-0000B2020000}"/>
    <cellStyle name="40% - Accent4 8" xfId="692" xr:uid="{00000000-0005-0000-0000-0000B3020000}"/>
    <cellStyle name="40% - Accent4 8 2" xfId="693" xr:uid="{00000000-0005-0000-0000-0000B4020000}"/>
    <cellStyle name="40% - Accent4 8 2 2" xfId="694" xr:uid="{00000000-0005-0000-0000-0000B5020000}"/>
    <cellStyle name="40% - Accent4 9" xfId="695" xr:uid="{00000000-0005-0000-0000-0000B6020000}"/>
    <cellStyle name="40% - Accent5" xfId="696" builtinId="47" customBuiltin="1"/>
    <cellStyle name="40% - Accent5 10" xfId="697" xr:uid="{00000000-0005-0000-0000-0000B8020000}"/>
    <cellStyle name="40% - Accent5 11" xfId="698" xr:uid="{00000000-0005-0000-0000-0000B9020000}"/>
    <cellStyle name="40% - Accent5 12" xfId="699" xr:uid="{00000000-0005-0000-0000-0000BA020000}"/>
    <cellStyle name="40% - Accent5 13" xfId="700" xr:uid="{00000000-0005-0000-0000-0000BB020000}"/>
    <cellStyle name="40% - Accent5 14" xfId="701" xr:uid="{00000000-0005-0000-0000-0000BC020000}"/>
    <cellStyle name="40% - Accent5 15" xfId="702" xr:uid="{00000000-0005-0000-0000-0000BD020000}"/>
    <cellStyle name="40% - Accent5 16" xfId="703" xr:uid="{00000000-0005-0000-0000-0000BE020000}"/>
    <cellStyle name="40% - Accent5 17" xfId="704" xr:uid="{00000000-0005-0000-0000-0000BF020000}"/>
    <cellStyle name="40% - Accent5 18" xfId="705" xr:uid="{00000000-0005-0000-0000-0000C0020000}"/>
    <cellStyle name="40% - Accent5 19" xfId="706" xr:uid="{00000000-0005-0000-0000-0000C1020000}"/>
    <cellStyle name="40% - Accent5 2" xfId="707" xr:uid="{00000000-0005-0000-0000-0000C2020000}"/>
    <cellStyle name="40% - Accent5 2 10" xfId="708" xr:uid="{00000000-0005-0000-0000-0000C3020000}"/>
    <cellStyle name="40% - Accent5 2 11" xfId="709" xr:uid="{00000000-0005-0000-0000-0000C4020000}"/>
    <cellStyle name="40% - Accent5 2 12" xfId="710" xr:uid="{00000000-0005-0000-0000-0000C5020000}"/>
    <cellStyle name="40% - Accent5 2 13" xfId="711" xr:uid="{00000000-0005-0000-0000-0000C6020000}"/>
    <cellStyle name="40% - Accent5 2 14" xfId="712" xr:uid="{00000000-0005-0000-0000-0000C7020000}"/>
    <cellStyle name="40% - Accent5 2 15" xfId="713" xr:uid="{00000000-0005-0000-0000-0000C8020000}"/>
    <cellStyle name="40% - Accent5 2 2" xfId="714" xr:uid="{00000000-0005-0000-0000-0000C9020000}"/>
    <cellStyle name="40% - Accent5 2 2 2" xfId="715" xr:uid="{00000000-0005-0000-0000-0000CA020000}"/>
    <cellStyle name="40% - Accent5 2 3" xfId="716" xr:uid="{00000000-0005-0000-0000-0000CB020000}"/>
    <cellStyle name="40% - Accent5 2 4" xfId="717" xr:uid="{00000000-0005-0000-0000-0000CC020000}"/>
    <cellStyle name="40% - Accent5 2 5" xfId="718" xr:uid="{00000000-0005-0000-0000-0000CD020000}"/>
    <cellStyle name="40% - Accent5 2 6" xfId="719" xr:uid="{00000000-0005-0000-0000-0000CE020000}"/>
    <cellStyle name="40% - Accent5 2 7" xfId="720" xr:uid="{00000000-0005-0000-0000-0000CF020000}"/>
    <cellStyle name="40% - Accent5 2 8" xfId="721" xr:uid="{00000000-0005-0000-0000-0000D0020000}"/>
    <cellStyle name="40% - Accent5 2 9" xfId="722" xr:uid="{00000000-0005-0000-0000-0000D1020000}"/>
    <cellStyle name="40% - Accent5 20" xfId="723" xr:uid="{00000000-0005-0000-0000-0000D2020000}"/>
    <cellStyle name="40% - Accent5 21" xfId="724" xr:uid="{00000000-0005-0000-0000-0000D3020000}"/>
    <cellStyle name="40% - Accent5 22" xfId="725" xr:uid="{00000000-0005-0000-0000-0000D4020000}"/>
    <cellStyle name="40% - Accent5 23" xfId="726" xr:uid="{00000000-0005-0000-0000-0000D5020000}"/>
    <cellStyle name="40% - Accent5 24" xfId="727" xr:uid="{00000000-0005-0000-0000-0000D6020000}"/>
    <cellStyle name="40% - Accent5 25" xfId="728" xr:uid="{00000000-0005-0000-0000-0000D7020000}"/>
    <cellStyle name="40% - Accent5 26" xfId="729" xr:uid="{00000000-0005-0000-0000-0000D8020000}"/>
    <cellStyle name="40% - Accent5 27" xfId="730" xr:uid="{00000000-0005-0000-0000-0000D9020000}"/>
    <cellStyle name="40% - Accent5 28" xfId="731" xr:uid="{00000000-0005-0000-0000-0000DA020000}"/>
    <cellStyle name="40% - Accent5 29" xfId="732" xr:uid="{00000000-0005-0000-0000-0000DB020000}"/>
    <cellStyle name="40% - Accent5 3" xfId="733" xr:uid="{00000000-0005-0000-0000-0000DC020000}"/>
    <cellStyle name="40% - Accent5 3 2" xfId="734" xr:uid="{00000000-0005-0000-0000-0000DD020000}"/>
    <cellStyle name="40% - Accent5 3 3" xfId="735" xr:uid="{00000000-0005-0000-0000-0000DE020000}"/>
    <cellStyle name="40% - Accent5 3 3 2" xfId="736" xr:uid="{00000000-0005-0000-0000-0000DF020000}"/>
    <cellStyle name="40% - Accent5 30" xfId="737" xr:uid="{00000000-0005-0000-0000-0000E0020000}"/>
    <cellStyle name="40% - Accent5 31" xfId="738" xr:uid="{00000000-0005-0000-0000-0000E1020000}"/>
    <cellStyle name="40% - Accent5 32" xfId="739" xr:uid="{00000000-0005-0000-0000-0000E2020000}"/>
    <cellStyle name="40% - Accent5 33" xfId="740" xr:uid="{00000000-0005-0000-0000-0000E3020000}"/>
    <cellStyle name="40% - Accent5 34" xfId="741" xr:uid="{00000000-0005-0000-0000-0000E4020000}"/>
    <cellStyle name="40% - Accent5 35" xfId="742" xr:uid="{00000000-0005-0000-0000-0000E5020000}"/>
    <cellStyle name="40% - Accent5 36" xfId="743" xr:uid="{00000000-0005-0000-0000-0000E6020000}"/>
    <cellStyle name="40% - Accent5 37" xfId="744" xr:uid="{00000000-0005-0000-0000-0000E7020000}"/>
    <cellStyle name="40% - Accent5 38" xfId="745" xr:uid="{00000000-0005-0000-0000-0000E8020000}"/>
    <cellStyle name="40% - Accent5 39" xfId="746" xr:uid="{00000000-0005-0000-0000-0000E9020000}"/>
    <cellStyle name="40% - Accent5 4" xfId="747" xr:uid="{00000000-0005-0000-0000-0000EA020000}"/>
    <cellStyle name="40% - Accent5 4 2" xfId="748" xr:uid="{00000000-0005-0000-0000-0000EB020000}"/>
    <cellStyle name="40% - Accent5 4 2 2" xfId="749" xr:uid="{00000000-0005-0000-0000-0000EC020000}"/>
    <cellStyle name="40% - Accent5 40" xfId="750" xr:uid="{00000000-0005-0000-0000-0000ED020000}"/>
    <cellStyle name="40% - Accent5 41" xfId="751" xr:uid="{00000000-0005-0000-0000-0000EE020000}"/>
    <cellStyle name="40% - Accent5 42" xfId="752" xr:uid="{00000000-0005-0000-0000-0000EF020000}"/>
    <cellStyle name="40% - Accent5 43" xfId="753" xr:uid="{00000000-0005-0000-0000-0000F0020000}"/>
    <cellStyle name="40% - Accent5 5" xfId="754" xr:uid="{00000000-0005-0000-0000-0000F1020000}"/>
    <cellStyle name="40% - Accent5 5 2" xfId="755" xr:uid="{00000000-0005-0000-0000-0000F2020000}"/>
    <cellStyle name="40% - Accent5 5 2 2" xfId="756" xr:uid="{00000000-0005-0000-0000-0000F3020000}"/>
    <cellStyle name="40% - Accent5 6" xfId="757" xr:uid="{00000000-0005-0000-0000-0000F4020000}"/>
    <cellStyle name="40% - Accent5 6 2" xfId="758" xr:uid="{00000000-0005-0000-0000-0000F5020000}"/>
    <cellStyle name="40% - Accent5 6 2 2" xfId="759" xr:uid="{00000000-0005-0000-0000-0000F6020000}"/>
    <cellStyle name="40% - Accent5 7" xfId="760" xr:uid="{00000000-0005-0000-0000-0000F7020000}"/>
    <cellStyle name="40% - Accent5 7 2" xfId="761" xr:uid="{00000000-0005-0000-0000-0000F8020000}"/>
    <cellStyle name="40% - Accent5 7 2 2" xfId="762" xr:uid="{00000000-0005-0000-0000-0000F9020000}"/>
    <cellStyle name="40% - Accent5 8" xfId="763" xr:uid="{00000000-0005-0000-0000-0000FA020000}"/>
    <cellStyle name="40% - Accent5 8 2" xfId="764" xr:uid="{00000000-0005-0000-0000-0000FB020000}"/>
    <cellStyle name="40% - Accent5 8 2 2" xfId="765" xr:uid="{00000000-0005-0000-0000-0000FC020000}"/>
    <cellStyle name="40% - Accent5 9" xfId="766" xr:uid="{00000000-0005-0000-0000-0000FD020000}"/>
    <cellStyle name="40% - Accent6" xfId="767" builtinId="51" customBuiltin="1"/>
    <cellStyle name="40% - Accent6 10" xfId="768" xr:uid="{00000000-0005-0000-0000-0000FF020000}"/>
    <cellStyle name="40% - Accent6 11" xfId="769" xr:uid="{00000000-0005-0000-0000-000000030000}"/>
    <cellStyle name="40% - Accent6 12" xfId="770" xr:uid="{00000000-0005-0000-0000-000001030000}"/>
    <cellStyle name="40% - Accent6 13" xfId="771" xr:uid="{00000000-0005-0000-0000-000002030000}"/>
    <cellStyle name="40% - Accent6 14" xfId="772" xr:uid="{00000000-0005-0000-0000-000003030000}"/>
    <cellStyle name="40% - Accent6 15" xfId="773" xr:uid="{00000000-0005-0000-0000-000004030000}"/>
    <cellStyle name="40% - Accent6 16" xfId="774" xr:uid="{00000000-0005-0000-0000-000005030000}"/>
    <cellStyle name="40% - Accent6 17" xfId="775" xr:uid="{00000000-0005-0000-0000-000006030000}"/>
    <cellStyle name="40% - Accent6 18" xfId="776" xr:uid="{00000000-0005-0000-0000-000007030000}"/>
    <cellStyle name="40% - Accent6 19" xfId="777" xr:uid="{00000000-0005-0000-0000-000008030000}"/>
    <cellStyle name="40% - Accent6 2" xfId="778" xr:uid="{00000000-0005-0000-0000-000009030000}"/>
    <cellStyle name="40% - Accent6 2 10" xfId="779" xr:uid="{00000000-0005-0000-0000-00000A030000}"/>
    <cellStyle name="40% - Accent6 2 11" xfId="780" xr:uid="{00000000-0005-0000-0000-00000B030000}"/>
    <cellStyle name="40% - Accent6 2 12" xfId="781" xr:uid="{00000000-0005-0000-0000-00000C030000}"/>
    <cellStyle name="40% - Accent6 2 13" xfId="782" xr:uid="{00000000-0005-0000-0000-00000D030000}"/>
    <cellStyle name="40% - Accent6 2 14" xfId="783" xr:uid="{00000000-0005-0000-0000-00000E030000}"/>
    <cellStyle name="40% - Accent6 2 15" xfId="784" xr:uid="{00000000-0005-0000-0000-00000F030000}"/>
    <cellStyle name="40% - Accent6 2 2" xfId="785" xr:uid="{00000000-0005-0000-0000-000010030000}"/>
    <cellStyle name="40% - Accent6 2 2 2" xfId="786" xr:uid="{00000000-0005-0000-0000-000011030000}"/>
    <cellStyle name="40% - Accent6 2 3" xfId="787" xr:uid="{00000000-0005-0000-0000-000012030000}"/>
    <cellStyle name="40% - Accent6 2 4" xfId="788" xr:uid="{00000000-0005-0000-0000-000013030000}"/>
    <cellStyle name="40% - Accent6 2 5" xfId="789" xr:uid="{00000000-0005-0000-0000-000014030000}"/>
    <cellStyle name="40% - Accent6 2 6" xfId="790" xr:uid="{00000000-0005-0000-0000-000015030000}"/>
    <cellStyle name="40% - Accent6 2 7" xfId="791" xr:uid="{00000000-0005-0000-0000-000016030000}"/>
    <cellStyle name="40% - Accent6 2 8" xfId="792" xr:uid="{00000000-0005-0000-0000-000017030000}"/>
    <cellStyle name="40% - Accent6 2 9" xfId="793" xr:uid="{00000000-0005-0000-0000-000018030000}"/>
    <cellStyle name="40% - Accent6 20" xfId="794" xr:uid="{00000000-0005-0000-0000-000019030000}"/>
    <cellStyle name="40% - Accent6 21" xfId="795" xr:uid="{00000000-0005-0000-0000-00001A030000}"/>
    <cellStyle name="40% - Accent6 22" xfId="796" xr:uid="{00000000-0005-0000-0000-00001B030000}"/>
    <cellStyle name="40% - Accent6 23" xfId="797" xr:uid="{00000000-0005-0000-0000-00001C030000}"/>
    <cellStyle name="40% - Accent6 24" xfId="798" xr:uid="{00000000-0005-0000-0000-00001D030000}"/>
    <cellStyle name="40% - Accent6 25" xfId="799" xr:uid="{00000000-0005-0000-0000-00001E030000}"/>
    <cellStyle name="40% - Accent6 26" xfId="800" xr:uid="{00000000-0005-0000-0000-00001F030000}"/>
    <cellStyle name="40% - Accent6 27" xfId="801" xr:uid="{00000000-0005-0000-0000-000020030000}"/>
    <cellStyle name="40% - Accent6 28" xfId="802" xr:uid="{00000000-0005-0000-0000-000021030000}"/>
    <cellStyle name="40% - Accent6 29" xfId="803" xr:uid="{00000000-0005-0000-0000-000022030000}"/>
    <cellStyle name="40% - Accent6 3" xfId="804" xr:uid="{00000000-0005-0000-0000-000023030000}"/>
    <cellStyle name="40% - Accent6 3 2" xfId="805" xr:uid="{00000000-0005-0000-0000-000024030000}"/>
    <cellStyle name="40% - Accent6 3 3" xfId="806" xr:uid="{00000000-0005-0000-0000-000025030000}"/>
    <cellStyle name="40% - Accent6 3 3 2" xfId="807" xr:uid="{00000000-0005-0000-0000-000026030000}"/>
    <cellStyle name="40% - Accent6 30" xfId="808" xr:uid="{00000000-0005-0000-0000-000027030000}"/>
    <cellStyle name="40% - Accent6 31" xfId="809" xr:uid="{00000000-0005-0000-0000-000028030000}"/>
    <cellStyle name="40% - Accent6 32" xfId="810" xr:uid="{00000000-0005-0000-0000-000029030000}"/>
    <cellStyle name="40% - Accent6 33" xfId="811" xr:uid="{00000000-0005-0000-0000-00002A030000}"/>
    <cellStyle name="40% - Accent6 34" xfId="812" xr:uid="{00000000-0005-0000-0000-00002B030000}"/>
    <cellStyle name="40% - Accent6 35" xfId="813" xr:uid="{00000000-0005-0000-0000-00002C030000}"/>
    <cellStyle name="40% - Accent6 36" xfId="814" xr:uid="{00000000-0005-0000-0000-00002D030000}"/>
    <cellStyle name="40% - Accent6 37" xfId="815" xr:uid="{00000000-0005-0000-0000-00002E030000}"/>
    <cellStyle name="40% - Accent6 38" xfId="816" xr:uid="{00000000-0005-0000-0000-00002F030000}"/>
    <cellStyle name="40% - Accent6 39" xfId="817" xr:uid="{00000000-0005-0000-0000-000030030000}"/>
    <cellStyle name="40% - Accent6 4" xfId="818" xr:uid="{00000000-0005-0000-0000-000031030000}"/>
    <cellStyle name="40% - Accent6 4 2" xfId="819" xr:uid="{00000000-0005-0000-0000-000032030000}"/>
    <cellStyle name="40% - Accent6 4 2 2" xfId="820" xr:uid="{00000000-0005-0000-0000-000033030000}"/>
    <cellStyle name="40% - Accent6 40" xfId="821" xr:uid="{00000000-0005-0000-0000-000034030000}"/>
    <cellStyle name="40% - Accent6 41" xfId="822" xr:uid="{00000000-0005-0000-0000-000035030000}"/>
    <cellStyle name="40% - Accent6 42" xfId="823" xr:uid="{00000000-0005-0000-0000-000036030000}"/>
    <cellStyle name="40% - Accent6 43" xfId="824" xr:uid="{00000000-0005-0000-0000-000037030000}"/>
    <cellStyle name="40% - Accent6 5" xfId="825" xr:uid="{00000000-0005-0000-0000-000038030000}"/>
    <cellStyle name="40% - Accent6 5 2" xfId="826" xr:uid="{00000000-0005-0000-0000-000039030000}"/>
    <cellStyle name="40% - Accent6 5 2 2" xfId="827" xr:uid="{00000000-0005-0000-0000-00003A030000}"/>
    <cellStyle name="40% - Accent6 6" xfId="828" xr:uid="{00000000-0005-0000-0000-00003B030000}"/>
    <cellStyle name="40% - Accent6 6 2" xfId="829" xr:uid="{00000000-0005-0000-0000-00003C030000}"/>
    <cellStyle name="40% - Accent6 6 2 2" xfId="830" xr:uid="{00000000-0005-0000-0000-00003D030000}"/>
    <cellStyle name="40% - Accent6 7" xfId="831" xr:uid="{00000000-0005-0000-0000-00003E030000}"/>
    <cellStyle name="40% - Accent6 7 2" xfId="832" xr:uid="{00000000-0005-0000-0000-00003F030000}"/>
    <cellStyle name="40% - Accent6 7 2 2" xfId="833" xr:uid="{00000000-0005-0000-0000-000040030000}"/>
    <cellStyle name="40% - Accent6 8" xfId="834" xr:uid="{00000000-0005-0000-0000-000041030000}"/>
    <cellStyle name="40% - Accent6 8 2" xfId="835" xr:uid="{00000000-0005-0000-0000-000042030000}"/>
    <cellStyle name="40% - Accent6 8 2 2" xfId="836" xr:uid="{00000000-0005-0000-0000-000043030000}"/>
    <cellStyle name="40% - Accent6 9" xfId="837" xr:uid="{00000000-0005-0000-0000-000044030000}"/>
    <cellStyle name="40% - Akzent1" xfId="838" xr:uid="{00000000-0005-0000-0000-000045030000}"/>
    <cellStyle name="40% - Akzent2" xfId="839" xr:uid="{00000000-0005-0000-0000-000046030000}"/>
    <cellStyle name="40% - Akzent3" xfId="840" xr:uid="{00000000-0005-0000-0000-000047030000}"/>
    <cellStyle name="40% - Akzent4" xfId="841" xr:uid="{00000000-0005-0000-0000-000048030000}"/>
    <cellStyle name="40% - Akzent5" xfId="842" xr:uid="{00000000-0005-0000-0000-000049030000}"/>
    <cellStyle name="40% - Akzent6" xfId="843" xr:uid="{00000000-0005-0000-0000-00004A030000}"/>
    <cellStyle name="5x indented GHG Textfiels" xfId="844" xr:uid="{00000000-0005-0000-0000-00004B030000}"/>
    <cellStyle name="5x indented GHG Textfiels 2" xfId="845" xr:uid="{00000000-0005-0000-0000-00004C030000}"/>
    <cellStyle name="5x indented GHG Textfiels 3" xfId="846" xr:uid="{00000000-0005-0000-0000-00004D030000}"/>
    <cellStyle name="60% - Accent1" xfId="847" builtinId="32" customBuiltin="1"/>
    <cellStyle name="60% - Accent1 10" xfId="848" xr:uid="{00000000-0005-0000-0000-00004F030000}"/>
    <cellStyle name="60% - Accent1 11" xfId="849" xr:uid="{00000000-0005-0000-0000-000050030000}"/>
    <cellStyle name="60% - Accent1 12" xfId="850" xr:uid="{00000000-0005-0000-0000-000051030000}"/>
    <cellStyle name="60% - Accent1 13" xfId="851" xr:uid="{00000000-0005-0000-0000-000052030000}"/>
    <cellStyle name="60% - Accent1 14" xfId="852" xr:uid="{00000000-0005-0000-0000-000053030000}"/>
    <cellStyle name="60% - Accent1 15" xfId="853" xr:uid="{00000000-0005-0000-0000-000054030000}"/>
    <cellStyle name="60% - Accent1 16" xfId="854" xr:uid="{00000000-0005-0000-0000-000055030000}"/>
    <cellStyle name="60% - Accent1 17" xfId="855" xr:uid="{00000000-0005-0000-0000-000056030000}"/>
    <cellStyle name="60% - Accent1 18" xfId="856" xr:uid="{00000000-0005-0000-0000-000057030000}"/>
    <cellStyle name="60% - Accent1 19" xfId="857" xr:uid="{00000000-0005-0000-0000-000058030000}"/>
    <cellStyle name="60% - Accent1 2" xfId="858" xr:uid="{00000000-0005-0000-0000-000059030000}"/>
    <cellStyle name="60% - Accent1 2 10" xfId="859" xr:uid="{00000000-0005-0000-0000-00005A030000}"/>
    <cellStyle name="60% - Accent1 2 2" xfId="860" xr:uid="{00000000-0005-0000-0000-00005B030000}"/>
    <cellStyle name="60% - Accent1 2 2 2" xfId="861" xr:uid="{00000000-0005-0000-0000-00005C030000}"/>
    <cellStyle name="60% - Accent1 2 3" xfId="862" xr:uid="{00000000-0005-0000-0000-00005D030000}"/>
    <cellStyle name="60% - Accent1 2 4" xfId="863" xr:uid="{00000000-0005-0000-0000-00005E030000}"/>
    <cellStyle name="60% - Accent1 2 5" xfId="864" xr:uid="{00000000-0005-0000-0000-00005F030000}"/>
    <cellStyle name="60% - Accent1 2 6" xfId="865" xr:uid="{00000000-0005-0000-0000-000060030000}"/>
    <cellStyle name="60% - Accent1 2 7" xfId="866" xr:uid="{00000000-0005-0000-0000-000061030000}"/>
    <cellStyle name="60% - Accent1 2 8" xfId="867" xr:uid="{00000000-0005-0000-0000-000062030000}"/>
    <cellStyle name="60% - Accent1 2 9" xfId="868" xr:uid="{00000000-0005-0000-0000-000063030000}"/>
    <cellStyle name="60% - Accent1 20" xfId="869" xr:uid="{00000000-0005-0000-0000-000064030000}"/>
    <cellStyle name="60% - Accent1 21" xfId="870" xr:uid="{00000000-0005-0000-0000-000065030000}"/>
    <cellStyle name="60% - Accent1 22" xfId="871" xr:uid="{00000000-0005-0000-0000-000066030000}"/>
    <cellStyle name="60% - Accent1 23" xfId="872" xr:uid="{00000000-0005-0000-0000-000067030000}"/>
    <cellStyle name="60% - Accent1 24" xfId="873" xr:uid="{00000000-0005-0000-0000-000068030000}"/>
    <cellStyle name="60% - Accent1 25" xfId="874" xr:uid="{00000000-0005-0000-0000-000069030000}"/>
    <cellStyle name="60% - Accent1 26" xfId="875" xr:uid="{00000000-0005-0000-0000-00006A030000}"/>
    <cellStyle name="60% - Accent1 27" xfId="876" xr:uid="{00000000-0005-0000-0000-00006B030000}"/>
    <cellStyle name="60% - Accent1 28" xfId="877" xr:uid="{00000000-0005-0000-0000-00006C030000}"/>
    <cellStyle name="60% - Accent1 29" xfId="878" xr:uid="{00000000-0005-0000-0000-00006D030000}"/>
    <cellStyle name="60% - Accent1 3" xfId="879" xr:uid="{00000000-0005-0000-0000-00006E030000}"/>
    <cellStyle name="60% - Accent1 3 2" xfId="880" xr:uid="{00000000-0005-0000-0000-00006F030000}"/>
    <cellStyle name="60% - Accent1 3 3" xfId="881" xr:uid="{00000000-0005-0000-0000-000070030000}"/>
    <cellStyle name="60% - Accent1 3 3 2" xfId="882" xr:uid="{00000000-0005-0000-0000-000071030000}"/>
    <cellStyle name="60% - Accent1 30" xfId="883" xr:uid="{00000000-0005-0000-0000-000072030000}"/>
    <cellStyle name="60% - Accent1 31" xfId="884" xr:uid="{00000000-0005-0000-0000-000073030000}"/>
    <cellStyle name="60% - Accent1 32" xfId="885" xr:uid="{00000000-0005-0000-0000-000074030000}"/>
    <cellStyle name="60% - Accent1 33" xfId="886" xr:uid="{00000000-0005-0000-0000-000075030000}"/>
    <cellStyle name="60% - Accent1 34" xfId="887" xr:uid="{00000000-0005-0000-0000-000076030000}"/>
    <cellStyle name="60% - Accent1 35" xfId="888" xr:uid="{00000000-0005-0000-0000-000077030000}"/>
    <cellStyle name="60% - Accent1 36" xfId="889" xr:uid="{00000000-0005-0000-0000-000078030000}"/>
    <cellStyle name="60% - Accent1 37" xfId="890" xr:uid="{00000000-0005-0000-0000-000079030000}"/>
    <cellStyle name="60% - Accent1 38" xfId="891" xr:uid="{00000000-0005-0000-0000-00007A030000}"/>
    <cellStyle name="60% - Accent1 39" xfId="892" xr:uid="{00000000-0005-0000-0000-00007B030000}"/>
    <cellStyle name="60% - Accent1 4" xfId="893" xr:uid="{00000000-0005-0000-0000-00007C030000}"/>
    <cellStyle name="60% - Accent1 40" xfId="894" xr:uid="{00000000-0005-0000-0000-00007D030000}"/>
    <cellStyle name="60% - Accent1 41" xfId="895" xr:uid="{00000000-0005-0000-0000-00007E030000}"/>
    <cellStyle name="60% - Accent1 42" xfId="896" xr:uid="{00000000-0005-0000-0000-00007F030000}"/>
    <cellStyle name="60% - Accent1 43" xfId="897" xr:uid="{00000000-0005-0000-0000-000080030000}"/>
    <cellStyle name="60% - Accent1 5" xfId="898" xr:uid="{00000000-0005-0000-0000-000081030000}"/>
    <cellStyle name="60% - Accent1 6" xfId="899" xr:uid="{00000000-0005-0000-0000-000082030000}"/>
    <cellStyle name="60% - Accent1 7" xfId="900" xr:uid="{00000000-0005-0000-0000-000083030000}"/>
    <cellStyle name="60% - Accent1 8" xfId="901" xr:uid="{00000000-0005-0000-0000-000084030000}"/>
    <cellStyle name="60% - Accent1 9" xfId="902" xr:uid="{00000000-0005-0000-0000-000085030000}"/>
    <cellStyle name="60% - Accent2" xfId="903" builtinId="36" customBuiltin="1"/>
    <cellStyle name="60% - Accent2 10" xfId="904" xr:uid="{00000000-0005-0000-0000-000087030000}"/>
    <cellStyle name="60% - Accent2 11" xfId="905" xr:uid="{00000000-0005-0000-0000-000088030000}"/>
    <cellStyle name="60% - Accent2 12" xfId="906" xr:uid="{00000000-0005-0000-0000-000089030000}"/>
    <cellStyle name="60% - Accent2 13" xfId="907" xr:uid="{00000000-0005-0000-0000-00008A030000}"/>
    <cellStyle name="60% - Accent2 14" xfId="908" xr:uid="{00000000-0005-0000-0000-00008B030000}"/>
    <cellStyle name="60% - Accent2 15" xfId="909" xr:uid="{00000000-0005-0000-0000-00008C030000}"/>
    <cellStyle name="60% - Accent2 16" xfId="910" xr:uid="{00000000-0005-0000-0000-00008D030000}"/>
    <cellStyle name="60% - Accent2 17" xfId="911" xr:uid="{00000000-0005-0000-0000-00008E030000}"/>
    <cellStyle name="60% - Accent2 18" xfId="912" xr:uid="{00000000-0005-0000-0000-00008F030000}"/>
    <cellStyle name="60% - Accent2 19" xfId="913" xr:uid="{00000000-0005-0000-0000-000090030000}"/>
    <cellStyle name="60% - Accent2 2" xfId="914" xr:uid="{00000000-0005-0000-0000-000091030000}"/>
    <cellStyle name="60% - Accent2 2 10" xfId="915" xr:uid="{00000000-0005-0000-0000-000092030000}"/>
    <cellStyle name="60% - Accent2 2 2" xfId="916" xr:uid="{00000000-0005-0000-0000-000093030000}"/>
    <cellStyle name="60% - Accent2 2 2 2" xfId="917" xr:uid="{00000000-0005-0000-0000-000094030000}"/>
    <cellStyle name="60% - Accent2 2 3" xfId="918" xr:uid="{00000000-0005-0000-0000-000095030000}"/>
    <cellStyle name="60% - Accent2 2 4" xfId="919" xr:uid="{00000000-0005-0000-0000-000096030000}"/>
    <cellStyle name="60% - Accent2 2 5" xfId="920" xr:uid="{00000000-0005-0000-0000-000097030000}"/>
    <cellStyle name="60% - Accent2 2 6" xfId="921" xr:uid="{00000000-0005-0000-0000-000098030000}"/>
    <cellStyle name="60% - Accent2 2 7" xfId="922" xr:uid="{00000000-0005-0000-0000-000099030000}"/>
    <cellStyle name="60% - Accent2 2 8" xfId="923" xr:uid="{00000000-0005-0000-0000-00009A030000}"/>
    <cellStyle name="60% - Accent2 2 9" xfId="924" xr:uid="{00000000-0005-0000-0000-00009B030000}"/>
    <cellStyle name="60% - Accent2 20" xfId="925" xr:uid="{00000000-0005-0000-0000-00009C030000}"/>
    <cellStyle name="60% - Accent2 21" xfId="926" xr:uid="{00000000-0005-0000-0000-00009D030000}"/>
    <cellStyle name="60% - Accent2 22" xfId="927" xr:uid="{00000000-0005-0000-0000-00009E030000}"/>
    <cellStyle name="60% - Accent2 23" xfId="928" xr:uid="{00000000-0005-0000-0000-00009F030000}"/>
    <cellStyle name="60% - Accent2 24" xfId="929" xr:uid="{00000000-0005-0000-0000-0000A0030000}"/>
    <cellStyle name="60% - Accent2 25" xfId="930" xr:uid="{00000000-0005-0000-0000-0000A1030000}"/>
    <cellStyle name="60% - Accent2 26" xfId="931" xr:uid="{00000000-0005-0000-0000-0000A2030000}"/>
    <cellStyle name="60% - Accent2 27" xfId="932" xr:uid="{00000000-0005-0000-0000-0000A3030000}"/>
    <cellStyle name="60% - Accent2 28" xfId="933" xr:uid="{00000000-0005-0000-0000-0000A4030000}"/>
    <cellStyle name="60% - Accent2 29" xfId="934" xr:uid="{00000000-0005-0000-0000-0000A5030000}"/>
    <cellStyle name="60% - Accent2 3" xfId="935" xr:uid="{00000000-0005-0000-0000-0000A6030000}"/>
    <cellStyle name="60% - Accent2 3 2" xfId="936" xr:uid="{00000000-0005-0000-0000-0000A7030000}"/>
    <cellStyle name="60% - Accent2 3 3" xfId="937" xr:uid="{00000000-0005-0000-0000-0000A8030000}"/>
    <cellStyle name="60% - Accent2 3 3 2" xfId="938" xr:uid="{00000000-0005-0000-0000-0000A9030000}"/>
    <cellStyle name="60% - Accent2 30" xfId="939" xr:uid="{00000000-0005-0000-0000-0000AA030000}"/>
    <cellStyle name="60% - Accent2 31" xfId="940" xr:uid="{00000000-0005-0000-0000-0000AB030000}"/>
    <cellStyle name="60% - Accent2 32" xfId="941" xr:uid="{00000000-0005-0000-0000-0000AC030000}"/>
    <cellStyle name="60% - Accent2 33" xfId="942" xr:uid="{00000000-0005-0000-0000-0000AD030000}"/>
    <cellStyle name="60% - Accent2 34" xfId="943" xr:uid="{00000000-0005-0000-0000-0000AE030000}"/>
    <cellStyle name="60% - Accent2 35" xfId="944" xr:uid="{00000000-0005-0000-0000-0000AF030000}"/>
    <cellStyle name="60% - Accent2 36" xfId="945" xr:uid="{00000000-0005-0000-0000-0000B0030000}"/>
    <cellStyle name="60% - Accent2 37" xfId="946" xr:uid="{00000000-0005-0000-0000-0000B1030000}"/>
    <cellStyle name="60% - Accent2 38" xfId="947" xr:uid="{00000000-0005-0000-0000-0000B2030000}"/>
    <cellStyle name="60% - Accent2 39" xfId="948" xr:uid="{00000000-0005-0000-0000-0000B3030000}"/>
    <cellStyle name="60% - Accent2 4" xfId="949" xr:uid="{00000000-0005-0000-0000-0000B4030000}"/>
    <cellStyle name="60% - Accent2 40" xfId="950" xr:uid="{00000000-0005-0000-0000-0000B5030000}"/>
    <cellStyle name="60% - Accent2 41" xfId="951" xr:uid="{00000000-0005-0000-0000-0000B6030000}"/>
    <cellStyle name="60% - Accent2 42" xfId="952" xr:uid="{00000000-0005-0000-0000-0000B7030000}"/>
    <cellStyle name="60% - Accent2 43" xfId="953" xr:uid="{00000000-0005-0000-0000-0000B8030000}"/>
    <cellStyle name="60% - Accent2 5" xfId="954" xr:uid="{00000000-0005-0000-0000-0000B9030000}"/>
    <cellStyle name="60% - Accent2 6" xfId="955" xr:uid="{00000000-0005-0000-0000-0000BA030000}"/>
    <cellStyle name="60% - Accent2 7" xfId="956" xr:uid="{00000000-0005-0000-0000-0000BB030000}"/>
    <cellStyle name="60% - Accent2 8" xfId="957" xr:uid="{00000000-0005-0000-0000-0000BC030000}"/>
    <cellStyle name="60% - Accent2 9" xfId="958" xr:uid="{00000000-0005-0000-0000-0000BD030000}"/>
    <cellStyle name="60% - Accent3" xfId="959" builtinId="40" customBuiltin="1"/>
    <cellStyle name="60% - Accent3 10" xfId="960" xr:uid="{00000000-0005-0000-0000-0000BF030000}"/>
    <cellStyle name="60% - Accent3 11" xfId="961" xr:uid="{00000000-0005-0000-0000-0000C0030000}"/>
    <cellStyle name="60% - Accent3 12" xfId="962" xr:uid="{00000000-0005-0000-0000-0000C1030000}"/>
    <cellStyle name="60% - Accent3 13" xfId="963" xr:uid="{00000000-0005-0000-0000-0000C2030000}"/>
    <cellStyle name="60% - Accent3 14" xfId="964" xr:uid="{00000000-0005-0000-0000-0000C3030000}"/>
    <cellStyle name="60% - Accent3 15" xfId="965" xr:uid="{00000000-0005-0000-0000-0000C4030000}"/>
    <cellStyle name="60% - Accent3 16" xfId="966" xr:uid="{00000000-0005-0000-0000-0000C5030000}"/>
    <cellStyle name="60% - Accent3 17" xfId="967" xr:uid="{00000000-0005-0000-0000-0000C6030000}"/>
    <cellStyle name="60% - Accent3 18" xfId="968" xr:uid="{00000000-0005-0000-0000-0000C7030000}"/>
    <cellStyle name="60% - Accent3 19" xfId="969" xr:uid="{00000000-0005-0000-0000-0000C8030000}"/>
    <cellStyle name="60% - Accent3 2" xfId="970" xr:uid="{00000000-0005-0000-0000-0000C9030000}"/>
    <cellStyle name="60% - Accent3 2 10" xfId="971" xr:uid="{00000000-0005-0000-0000-0000CA030000}"/>
    <cellStyle name="60% - Accent3 2 2" xfId="972" xr:uid="{00000000-0005-0000-0000-0000CB030000}"/>
    <cellStyle name="60% - Accent3 2 2 2" xfId="973" xr:uid="{00000000-0005-0000-0000-0000CC030000}"/>
    <cellStyle name="60% - Accent3 2 3" xfId="974" xr:uid="{00000000-0005-0000-0000-0000CD030000}"/>
    <cellStyle name="60% - Accent3 2 4" xfId="975" xr:uid="{00000000-0005-0000-0000-0000CE030000}"/>
    <cellStyle name="60% - Accent3 2 5" xfId="976" xr:uid="{00000000-0005-0000-0000-0000CF030000}"/>
    <cellStyle name="60% - Accent3 2 6" xfId="977" xr:uid="{00000000-0005-0000-0000-0000D0030000}"/>
    <cellStyle name="60% - Accent3 2 7" xfId="978" xr:uid="{00000000-0005-0000-0000-0000D1030000}"/>
    <cellStyle name="60% - Accent3 2 8" xfId="979" xr:uid="{00000000-0005-0000-0000-0000D2030000}"/>
    <cellStyle name="60% - Accent3 2 9" xfId="980" xr:uid="{00000000-0005-0000-0000-0000D3030000}"/>
    <cellStyle name="60% - Accent3 20" xfId="981" xr:uid="{00000000-0005-0000-0000-0000D4030000}"/>
    <cellStyle name="60% - Accent3 21" xfId="982" xr:uid="{00000000-0005-0000-0000-0000D5030000}"/>
    <cellStyle name="60% - Accent3 22" xfId="983" xr:uid="{00000000-0005-0000-0000-0000D6030000}"/>
    <cellStyle name="60% - Accent3 23" xfId="984" xr:uid="{00000000-0005-0000-0000-0000D7030000}"/>
    <cellStyle name="60% - Accent3 24" xfId="985" xr:uid="{00000000-0005-0000-0000-0000D8030000}"/>
    <cellStyle name="60% - Accent3 25" xfId="986" xr:uid="{00000000-0005-0000-0000-0000D9030000}"/>
    <cellStyle name="60% - Accent3 26" xfId="987" xr:uid="{00000000-0005-0000-0000-0000DA030000}"/>
    <cellStyle name="60% - Accent3 27" xfId="988" xr:uid="{00000000-0005-0000-0000-0000DB030000}"/>
    <cellStyle name="60% - Accent3 28" xfId="989" xr:uid="{00000000-0005-0000-0000-0000DC030000}"/>
    <cellStyle name="60% - Accent3 29" xfId="990" xr:uid="{00000000-0005-0000-0000-0000DD030000}"/>
    <cellStyle name="60% - Accent3 3" xfId="991" xr:uid="{00000000-0005-0000-0000-0000DE030000}"/>
    <cellStyle name="60% - Accent3 3 2" xfId="992" xr:uid="{00000000-0005-0000-0000-0000DF030000}"/>
    <cellStyle name="60% - Accent3 3 3" xfId="993" xr:uid="{00000000-0005-0000-0000-0000E0030000}"/>
    <cellStyle name="60% - Accent3 3 3 2" xfId="994" xr:uid="{00000000-0005-0000-0000-0000E1030000}"/>
    <cellStyle name="60% - Accent3 30" xfId="995" xr:uid="{00000000-0005-0000-0000-0000E2030000}"/>
    <cellStyle name="60% - Accent3 31" xfId="996" xr:uid="{00000000-0005-0000-0000-0000E3030000}"/>
    <cellStyle name="60% - Accent3 32" xfId="997" xr:uid="{00000000-0005-0000-0000-0000E4030000}"/>
    <cellStyle name="60% - Accent3 33" xfId="998" xr:uid="{00000000-0005-0000-0000-0000E5030000}"/>
    <cellStyle name="60% - Accent3 34" xfId="999" xr:uid="{00000000-0005-0000-0000-0000E6030000}"/>
    <cellStyle name="60% - Accent3 35" xfId="1000" xr:uid="{00000000-0005-0000-0000-0000E7030000}"/>
    <cellStyle name="60% - Accent3 36" xfId="1001" xr:uid="{00000000-0005-0000-0000-0000E8030000}"/>
    <cellStyle name="60% - Accent3 37" xfId="1002" xr:uid="{00000000-0005-0000-0000-0000E9030000}"/>
    <cellStyle name="60% - Accent3 38" xfId="1003" xr:uid="{00000000-0005-0000-0000-0000EA030000}"/>
    <cellStyle name="60% - Accent3 39" xfId="1004" xr:uid="{00000000-0005-0000-0000-0000EB030000}"/>
    <cellStyle name="60% - Accent3 4" xfId="1005" xr:uid="{00000000-0005-0000-0000-0000EC030000}"/>
    <cellStyle name="60% - Accent3 40" xfId="1006" xr:uid="{00000000-0005-0000-0000-0000ED030000}"/>
    <cellStyle name="60% - Accent3 41" xfId="1007" xr:uid="{00000000-0005-0000-0000-0000EE030000}"/>
    <cellStyle name="60% - Accent3 42" xfId="1008" xr:uid="{00000000-0005-0000-0000-0000EF030000}"/>
    <cellStyle name="60% - Accent3 43" xfId="1009" xr:uid="{00000000-0005-0000-0000-0000F0030000}"/>
    <cellStyle name="60% - Accent3 5" xfId="1010" xr:uid="{00000000-0005-0000-0000-0000F1030000}"/>
    <cellStyle name="60% - Accent3 6" xfId="1011" xr:uid="{00000000-0005-0000-0000-0000F2030000}"/>
    <cellStyle name="60% - Accent3 7" xfId="1012" xr:uid="{00000000-0005-0000-0000-0000F3030000}"/>
    <cellStyle name="60% - Accent3 8" xfId="1013" xr:uid="{00000000-0005-0000-0000-0000F4030000}"/>
    <cellStyle name="60% - Accent3 9" xfId="1014" xr:uid="{00000000-0005-0000-0000-0000F5030000}"/>
    <cellStyle name="60% - Accent4" xfId="1015" builtinId="44" customBuiltin="1"/>
    <cellStyle name="60% - Accent4 10" xfId="1016" xr:uid="{00000000-0005-0000-0000-0000F7030000}"/>
    <cellStyle name="60% - Accent4 11" xfId="1017" xr:uid="{00000000-0005-0000-0000-0000F8030000}"/>
    <cellStyle name="60% - Accent4 12" xfId="1018" xr:uid="{00000000-0005-0000-0000-0000F9030000}"/>
    <cellStyle name="60% - Accent4 13" xfId="1019" xr:uid="{00000000-0005-0000-0000-0000FA030000}"/>
    <cellStyle name="60% - Accent4 14" xfId="1020" xr:uid="{00000000-0005-0000-0000-0000FB030000}"/>
    <cellStyle name="60% - Accent4 15" xfId="1021" xr:uid="{00000000-0005-0000-0000-0000FC030000}"/>
    <cellStyle name="60% - Accent4 16" xfId="1022" xr:uid="{00000000-0005-0000-0000-0000FD030000}"/>
    <cellStyle name="60% - Accent4 17" xfId="1023" xr:uid="{00000000-0005-0000-0000-0000FE030000}"/>
    <cellStyle name="60% - Accent4 18" xfId="1024" xr:uid="{00000000-0005-0000-0000-0000FF030000}"/>
    <cellStyle name="60% - Accent4 19" xfId="1025" xr:uid="{00000000-0005-0000-0000-000000040000}"/>
    <cellStyle name="60% - Accent4 2" xfId="1026" xr:uid="{00000000-0005-0000-0000-000001040000}"/>
    <cellStyle name="60% - Accent4 2 10" xfId="1027" xr:uid="{00000000-0005-0000-0000-000002040000}"/>
    <cellStyle name="60% - Accent4 2 2" xfId="1028" xr:uid="{00000000-0005-0000-0000-000003040000}"/>
    <cellStyle name="60% - Accent4 2 2 2" xfId="1029" xr:uid="{00000000-0005-0000-0000-000004040000}"/>
    <cellStyle name="60% - Accent4 2 3" xfId="1030" xr:uid="{00000000-0005-0000-0000-000005040000}"/>
    <cellStyle name="60% - Accent4 2 4" xfId="1031" xr:uid="{00000000-0005-0000-0000-000006040000}"/>
    <cellStyle name="60% - Accent4 2 5" xfId="1032" xr:uid="{00000000-0005-0000-0000-000007040000}"/>
    <cellStyle name="60% - Accent4 2 6" xfId="1033" xr:uid="{00000000-0005-0000-0000-000008040000}"/>
    <cellStyle name="60% - Accent4 2 7" xfId="1034" xr:uid="{00000000-0005-0000-0000-000009040000}"/>
    <cellStyle name="60% - Accent4 2 8" xfId="1035" xr:uid="{00000000-0005-0000-0000-00000A040000}"/>
    <cellStyle name="60% - Accent4 2 9" xfId="1036" xr:uid="{00000000-0005-0000-0000-00000B040000}"/>
    <cellStyle name="60% - Accent4 20" xfId="1037" xr:uid="{00000000-0005-0000-0000-00000C040000}"/>
    <cellStyle name="60% - Accent4 21" xfId="1038" xr:uid="{00000000-0005-0000-0000-00000D040000}"/>
    <cellStyle name="60% - Accent4 22" xfId="1039" xr:uid="{00000000-0005-0000-0000-00000E040000}"/>
    <cellStyle name="60% - Accent4 23" xfId="1040" xr:uid="{00000000-0005-0000-0000-00000F040000}"/>
    <cellStyle name="60% - Accent4 24" xfId="1041" xr:uid="{00000000-0005-0000-0000-000010040000}"/>
    <cellStyle name="60% - Accent4 25" xfId="1042" xr:uid="{00000000-0005-0000-0000-000011040000}"/>
    <cellStyle name="60% - Accent4 26" xfId="1043" xr:uid="{00000000-0005-0000-0000-000012040000}"/>
    <cellStyle name="60% - Accent4 27" xfId="1044" xr:uid="{00000000-0005-0000-0000-000013040000}"/>
    <cellStyle name="60% - Accent4 28" xfId="1045" xr:uid="{00000000-0005-0000-0000-000014040000}"/>
    <cellStyle name="60% - Accent4 29" xfId="1046" xr:uid="{00000000-0005-0000-0000-000015040000}"/>
    <cellStyle name="60% - Accent4 3" xfId="1047" xr:uid="{00000000-0005-0000-0000-000016040000}"/>
    <cellStyle name="60% - Accent4 3 2" xfId="1048" xr:uid="{00000000-0005-0000-0000-000017040000}"/>
    <cellStyle name="60% - Accent4 3 3" xfId="1049" xr:uid="{00000000-0005-0000-0000-000018040000}"/>
    <cellStyle name="60% - Accent4 3 3 2" xfId="1050" xr:uid="{00000000-0005-0000-0000-000019040000}"/>
    <cellStyle name="60% - Accent4 30" xfId="1051" xr:uid="{00000000-0005-0000-0000-00001A040000}"/>
    <cellStyle name="60% - Accent4 31" xfId="1052" xr:uid="{00000000-0005-0000-0000-00001B040000}"/>
    <cellStyle name="60% - Accent4 32" xfId="1053" xr:uid="{00000000-0005-0000-0000-00001C040000}"/>
    <cellStyle name="60% - Accent4 33" xfId="1054" xr:uid="{00000000-0005-0000-0000-00001D040000}"/>
    <cellStyle name="60% - Accent4 34" xfId="1055" xr:uid="{00000000-0005-0000-0000-00001E040000}"/>
    <cellStyle name="60% - Accent4 35" xfId="1056" xr:uid="{00000000-0005-0000-0000-00001F040000}"/>
    <cellStyle name="60% - Accent4 36" xfId="1057" xr:uid="{00000000-0005-0000-0000-000020040000}"/>
    <cellStyle name="60% - Accent4 37" xfId="1058" xr:uid="{00000000-0005-0000-0000-000021040000}"/>
    <cellStyle name="60% - Accent4 38" xfId="1059" xr:uid="{00000000-0005-0000-0000-000022040000}"/>
    <cellStyle name="60% - Accent4 39" xfId="1060" xr:uid="{00000000-0005-0000-0000-000023040000}"/>
    <cellStyle name="60% - Accent4 4" xfId="1061" xr:uid="{00000000-0005-0000-0000-000024040000}"/>
    <cellStyle name="60% - Accent4 40" xfId="1062" xr:uid="{00000000-0005-0000-0000-000025040000}"/>
    <cellStyle name="60% - Accent4 41" xfId="1063" xr:uid="{00000000-0005-0000-0000-000026040000}"/>
    <cellStyle name="60% - Accent4 42" xfId="1064" xr:uid="{00000000-0005-0000-0000-000027040000}"/>
    <cellStyle name="60% - Accent4 43" xfId="1065" xr:uid="{00000000-0005-0000-0000-000028040000}"/>
    <cellStyle name="60% - Accent4 5" xfId="1066" xr:uid="{00000000-0005-0000-0000-000029040000}"/>
    <cellStyle name="60% - Accent4 6" xfId="1067" xr:uid="{00000000-0005-0000-0000-00002A040000}"/>
    <cellStyle name="60% - Accent4 7" xfId="1068" xr:uid="{00000000-0005-0000-0000-00002B040000}"/>
    <cellStyle name="60% - Accent4 8" xfId="1069" xr:uid="{00000000-0005-0000-0000-00002C040000}"/>
    <cellStyle name="60% - Accent4 9" xfId="1070" xr:uid="{00000000-0005-0000-0000-00002D040000}"/>
    <cellStyle name="60% - Accent5" xfId="1071" builtinId="48" customBuiltin="1"/>
    <cellStyle name="60% - Accent5 10" xfId="1072" xr:uid="{00000000-0005-0000-0000-00002F040000}"/>
    <cellStyle name="60% - Accent5 11" xfId="1073" xr:uid="{00000000-0005-0000-0000-000030040000}"/>
    <cellStyle name="60% - Accent5 12" xfId="1074" xr:uid="{00000000-0005-0000-0000-000031040000}"/>
    <cellStyle name="60% - Accent5 13" xfId="1075" xr:uid="{00000000-0005-0000-0000-000032040000}"/>
    <cellStyle name="60% - Accent5 14" xfId="1076" xr:uid="{00000000-0005-0000-0000-000033040000}"/>
    <cellStyle name="60% - Accent5 15" xfId="1077" xr:uid="{00000000-0005-0000-0000-000034040000}"/>
    <cellStyle name="60% - Accent5 16" xfId="1078" xr:uid="{00000000-0005-0000-0000-000035040000}"/>
    <cellStyle name="60% - Accent5 17" xfId="1079" xr:uid="{00000000-0005-0000-0000-000036040000}"/>
    <cellStyle name="60% - Accent5 18" xfId="1080" xr:uid="{00000000-0005-0000-0000-000037040000}"/>
    <cellStyle name="60% - Accent5 19" xfId="1081" xr:uid="{00000000-0005-0000-0000-000038040000}"/>
    <cellStyle name="60% - Accent5 2" xfId="1082" xr:uid="{00000000-0005-0000-0000-000039040000}"/>
    <cellStyle name="60% - Accent5 2 10" xfId="1083" xr:uid="{00000000-0005-0000-0000-00003A040000}"/>
    <cellStyle name="60% - Accent5 2 2" xfId="1084" xr:uid="{00000000-0005-0000-0000-00003B040000}"/>
    <cellStyle name="60% - Accent5 2 2 2" xfId="1085" xr:uid="{00000000-0005-0000-0000-00003C040000}"/>
    <cellStyle name="60% - Accent5 2 3" xfId="1086" xr:uid="{00000000-0005-0000-0000-00003D040000}"/>
    <cellStyle name="60% - Accent5 2 4" xfId="1087" xr:uid="{00000000-0005-0000-0000-00003E040000}"/>
    <cellStyle name="60% - Accent5 2 5" xfId="1088" xr:uid="{00000000-0005-0000-0000-00003F040000}"/>
    <cellStyle name="60% - Accent5 2 6" xfId="1089" xr:uid="{00000000-0005-0000-0000-000040040000}"/>
    <cellStyle name="60% - Accent5 2 7" xfId="1090" xr:uid="{00000000-0005-0000-0000-000041040000}"/>
    <cellStyle name="60% - Accent5 2 8" xfId="1091" xr:uid="{00000000-0005-0000-0000-000042040000}"/>
    <cellStyle name="60% - Accent5 2 9" xfId="1092" xr:uid="{00000000-0005-0000-0000-000043040000}"/>
    <cellStyle name="60% - Accent5 20" xfId="1093" xr:uid="{00000000-0005-0000-0000-000044040000}"/>
    <cellStyle name="60% - Accent5 21" xfId="1094" xr:uid="{00000000-0005-0000-0000-000045040000}"/>
    <cellStyle name="60% - Accent5 22" xfId="1095" xr:uid="{00000000-0005-0000-0000-000046040000}"/>
    <cellStyle name="60% - Accent5 23" xfId="1096" xr:uid="{00000000-0005-0000-0000-000047040000}"/>
    <cellStyle name="60% - Accent5 24" xfId="1097" xr:uid="{00000000-0005-0000-0000-000048040000}"/>
    <cellStyle name="60% - Accent5 25" xfId="1098" xr:uid="{00000000-0005-0000-0000-000049040000}"/>
    <cellStyle name="60% - Accent5 26" xfId="1099" xr:uid="{00000000-0005-0000-0000-00004A040000}"/>
    <cellStyle name="60% - Accent5 27" xfId="1100" xr:uid="{00000000-0005-0000-0000-00004B040000}"/>
    <cellStyle name="60% - Accent5 28" xfId="1101" xr:uid="{00000000-0005-0000-0000-00004C040000}"/>
    <cellStyle name="60% - Accent5 29" xfId="1102" xr:uid="{00000000-0005-0000-0000-00004D040000}"/>
    <cellStyle name="60% - Accent5 3" xfId="1103" xr:uid="{00000000-0005-0000-0000-00004E040000}"/>
    <cellStyle name="60% - Accent5 3 2" xfId="1104" xr:uid="{00000000-0005-0000-0000-00004F040000}"/>
    <cellStyle name="60% - Accent5 3 3" xfId="1105" xr:uid="{00000000-0005-0000-0000-000050040000}"/>
    <cellStyle name="60% - Accent5 3 3 2" xfId="1106" xr:uid="{00000000-0005-0000-0000-000051040000}"/>
    <cellStyle name="60% - Accent5 30" xfId="1107" xr:uid="{00000000-0005-0000-0000-000052040000}"/>
    <cellStyle name="60% - Accent5 31" xfId="1108" xr:uid="{00000000-0005-0000-0000-000053040000}"/>
    <cellStyle name="60% - Accent5 32" xfId="1109" xr:uid="{00000000-0005-0000-0000-000054040000}"/>
    <cellStyle name="60% - Accent5 33" xfId="1110" xr:uid="{00000000-0005-0000-0000-000055040000}"/>
    <cellStyle name="60% - Accent5 34" xfId="1111" xr:uid="{00000000-0005-0000-0000-000056040000}"/>
    <cellStyle name="60% - Accent5 35" xfId="1112" xr:uid="{00000000-0005-0000-0000-000057040000}"/>
    <cellStyle name="60% - Accent5 36" xfId="1113" xr:uid="{00000000-0005-0000-0000-000058040000}"/>
    <cellStyle name="60% - Accent5 37" xfId="1114" xr:uid="{00000000-0005-0000-0000-000059040000}"/>
    <cellStyle name="60% - Accent5 38" xfId="1115" xr:uid="{00000000-0005-0000-0000-00005A040000}"/>
    <cellStyle name="60% - Accent5 39" xfId="1116" xr:uid="{00000000-0005-0000-0000-00005B040000}"/>
    <cellStyle name="60% - Accent5 4" xfId="1117" xr:uid="{00000000-0005-0000-0000-00005C040000}"/>
    <cellStyle name="60% - Accent5 40" xfId="1118" xr:uid="{00000000-0005-0000-0000-00005D040000}"/>
    <cellStyle name="60% - Accent5 41" xfId="1119" xr:uid="{00000000-0005-0000-0000-00005E040000}"/>
    <cellStyle name="60% - Accent5 42" xfId="1120" xr:uid="{00000000-0005-0000-0000-00005F040000}"/>
    <cellStyle name="60% - Accent5 43" xfId="1121" xr:uid="{00000000-0005-0000-0000-000060040000}"/>
    <cellStyle name="60% - Accent5 5" xfId="1122" xr:uid="{00000000-0005-0000-0000-000061040000}"/>
    <cellStyle name="60% - Accent5 6" xfId="1123" xr:uid="{00000000-0005-0000-0000-000062040000}"/>
    <cellStyle name="60% - Accent5 7" xfId="1124" xr:uid="{00000000-0005-0000-0000-000063040000}"/>
    <cellStyle name="60% - Accent5 8" xfId="1125" xr:uid="{00000000-0005-0000-0000-000064040000}"/>
    <cellStyle name="60% - Accent5 9" xfId="1126" xr:uid="{00000000-0005-0000-0000-000065040000}"/>
    <cellStyle name="60% - Accent6" xfId="1127" builtinId="52" customBuiltin="1"/>
    <cellStyle name="60% - Accent6 10" xfId="1128" xr:uid="{00000000-0005-0000-0000-000067040000}"/>
    <cellStyle name="60% - Accent6 11" xfId="1129" xr:uid="{00000000-0005-0000-0000-000068040000}"/>
    <cellStyle name="60% - Accent6 12" xfId="1130" xr:uid="{00000000-0005-0000-0000-000069040000}"/>
    <cellStyle name="60% - Accent6 13" xfId="1131" xr:uid="{00000000-0005-0000-0000-00006A040000}"/>
    <cellStyle name="60% - Accent6 14" xfId="1132" xr:uid="{00000000-0005-0000-0000-00006B040000}"/>
    <cellStyle name="60% - Accent6 15" xfId="1133" xr:uid="{00000000-0005-0000-0000-00006C040000}"/>
    <cellStyle name="60% - Accent6 16" xfId="1134" xr:uid="{00000000-0005-0000-0000-00006D040000}"/>
    <cellStyle name="60% - Accent6 17" xfId="1135" xr:uid="{00000000-0005-0000-0000-00006E040000}"/>
    <cellStyle name="60% - Accent6 18" xfId="1136" xr:uid="{00000000-0005-0000-0000-00006F040000}"/>
    <cellStyle name="60% - Accent6 19" xfId="1137" xr:uid="{00000000-0005-0000-0000-000070040000}"/>
    <cellStyle name="60% - Accent6 2" xfId="1138" xr:uid="{00000000-0005-0000-0000-000071040000}"/>
    <cellStyle name="60% - Accent6 2 10" xfId="1139" xr:uid="{00000000-0005-0000-0000-000072040000}"/>
    <cellStyle name="60% - Accent6 2 2" xfId="1140" xr:uid="{00000000-0005-0000-0000-000073040000}"/>
    <cellStyle name="60% - Accent6 2 2 2" xfId="1141" xr:uid="{00000000-0005-0000-0000-000074040000}"/>
    <cellStyle name="60% - Accent6 2 3" xfId="1142" xr:uid="{00000000-0005-0000-0000-000075040000}"/>
    <cellStyle name="60% - Accent6 2 4" xfId="1143" xr:uid="{00000000-0005-0000-0000-000076040000}"/>
    <cellStyle name="60% - Accent6 2 5" xfId="1144" xr:uid="{00000000-0005-0000-0000-000077040000}"/>
    <cellStyle name="60% - Accent6 2 6" xfId="1145" xr:uid="{00000000-0005-0000-0000-000078040000}"/>
    <cellStyle name="60% - Accent6 2 7" xfId="1146" xr:uid="{00000000-0005-0000-0000-000079040000}"/>
    <cellStyle name="60% - Accent6 2 8" xfId="1147" xr:uid="{00000000-0005-0000-0000-00007A040000}"/>
    <cellStyle name="60% - Accent6 2 9" xfId="1148" xr:uid="{00000000-0005-0000-0000-00007B040000}"/>
    <cellStyle name="60% - Accent6 20" xfId="1149" xr:uid="{00000000-0005-0000-0000-00007C040000}"/>
    <cellStyle name="60% - Accent6 21" xfId="1150" xr:uid="{00000000-0005-0000-0000-00007D040000}"/>
    <cellStyle name="60% - Accent6 22" xfId="1151" xr:uid="{00000000-0005-0000-0000-00007E040000}"/>
    <cellStyle name="60% - Accent6 23" xfId="1152" xr:uid="{00000000-0005-0000-0000-00007F040000}"/>
    <cellStyle name="60% - Accent6 24" xfId="1153" xr:uid="{00000000-0005-0000-0000-000080040000}"/>
    <cellStyle name="60% - Accent6 25" xfId="1154" xr:uid="{00000000-0005-0000-0000-000081040000}"/>
    <cellStyle name="60% - Accent6 26" xfId="1155" xr:uid="{00000000-0005-0000-0000-000082040000}"/>
    <cellStyle name="60% - Accent6 27" xfId="1156" xr:uid="{00000000-0005-0000-0000-000083040000}"/>
    <cellStyle name="60% - Accent6 28" xfId="1157" xr:uid="{00000000-0005-0000-0000-000084040000}"/>
    <cellStyle name="60% - Accent6 29" xfId="1158" xr:uid="{00000000-0005-0000-0000-000085040000}"/>
    <cellStyle name="60% - Accent6 3" xfId="1159" xr:uid="{00000000-0005-0000-0000-000086040000}"/>
    <cellStyle name="60% - Accent6 3 2" xfId="1160" xr:uid="{00000000-0005-0000-0000-000087040000}"/>
    <cellStyle name="60% - Accent6 3 3" xfId="1161" xr:uid="{00000000-0005-0000-0000-000088040000}"/>
    <cellStyle name="60% - Accent6 3 3 2" xfId="1162" xr:uid="{00000000-0005-0000-0000-000089040000}"/>
    <cellStyle name="60% - Accent6 30" xfId="1163" xr:uid="{00000000-0005-0000-0000-00008A040000}"/>
    <cellStyle name="60% - Accent6 31" xfId="1164" xr:uid="{00000000-0005-0000-0000-00008B040000}"/>
    <cellStyle name="60% - Accent6 32" xfId="1165" xr:uid="{00000000-0005-0000-0000-00008C040000}"/>
    <cellStyle name="60% - Accent6 33" xfId="1166" xr:uid="{00000000-0005-0000-0000-00008D040000}"/>
    <cellStyle name="60% - Accent6 34" xfId="1167" xr:uid="{00000000-0005-0000-0000-00008E040000}"/>
    <cellStyle name="60% - Accent6 35" xfId="1168" xr:uid="{00000000-0005-0000-0000-00008F040000}"/>
    <cellStyle name="60% - Accent6 36" xfId="1169" xr:uid="{00000000-0005-0000-0000-000090040000}"/>
    <cellStyle name="60% - Accent6 37" xfId="1170" xr:uid="{00000000-0005-0000-0000-000091040000}"/>
    <cellStyle name="60% - Accent6 38" xfId="1171" xr:uid="{00000000-0005-0000-0000-000092040000}"/>
    <cellStyle name="60% - Accent6 39" xfId="1172" xr:uid="{00000000-0005-0000-0000-000093040000}"/>
    <cellStyle name="60% - Accent6 4" xfId="1173" xr:uid="{00000000-0005-0000-0000-000094040000}"/>
    <cellStyle name="60% - Accent6 40" xfId="1174" xr:uid="{00000000-0005-0000-0000-000095040000}"/>
    <cellStyle name="60% - Accent6 41" xfId="1175" xr:uid="{00000000-0005-0000-0000-000096040000}"/>
    <cellStyle name="60% - Accent6 42" xfId="1176" xr:uid="{00000000-0005-0000-0000-000097040000}"/>
    <cellStyle name="60% - Accent6 43" xfId="1177" xr:uid="{00000000-0005-0000-0000-000098040000}"/>
    <cellStyle name="60% - Accent6 5" xfId="1178" xr:uid="{00000000-0005-0000-0000-000099040000}"/>
    <cellStyle name="60% - Accent6 6" xfId="1179" xr:uid="{00000000-0005-0000-0000-00009A040000}"/>
    <cellStyle name="60% - Accent6 7" xfId="1180" xr:uid="{00000000-0005-0000-0000-00009B040000}"/>
    <cellStyle name="60% - Accent6 8" xfId="1181" xr:uid="{00000000-0005-0000-0000-00009C040000}"/>
    <cellStyle name="60% - Accent6 9" xfId="1182" xr:uid="{00000000-0005-0000-0000-00009D040000}"/>
    <cellStyle name="60% - Akzent1" xfId="1183" xr:uid="{00000000-0005-0000-0000-00009E040000}"/>
    <cellStyle name="60% - Akzent2" xfId="1184" xr:uid="{00000000-0005-0000-0000-00009F040000}"/>
    <cellStyle name="60% - Akzent3" xfId="1185" xr:uid="{00000000-0005-0000-0000-0000A0040000}"/>
    <cellStyle name="60% - Akzent4" xfId="1186" xr:uid="{00000000-0005-0000-0000-0000A1040000}"/>
    <cellStyle name="60% - Akzent5" xfId="1187" xr:uid="{00000000-0005-0000-0000-0000A2040000}"/>
    <cellStyle name="60% - Akzent6" xfId="1188" xr:uid="{00000000-0005-0000-0000-0000A3040000}"/>
    <cellStyle name="60% - Cor4 2" xfId="1189" xr:uid="{00000000-0005-0000-0000-0000A4040000}"/>
    <cellStyle name="Accent1" xfId="1190" builtinId="29" customBuiltin="1"/>
    <cellStyle name="Accent1 10" xfId="1191" xr:uid="{00000000-0005-0000-0000-0000A6040000}"/>
    <cellStyle name="Accent1 11" xfId="1192" xr:uid="{00000000-0005-0000-0000-0000A7040000}"/>
    <cellStyle name="Accent1 12" xfId="1193" xr:uid="{00000000-0005-0000-0000-0000A8040000}"/>
    <cellStyle name="Accent1 13" xfId="1194" xr:uid="{00000000-0005-0000-0000-0000A9040000}"/>
    <cellStyle name="Accent1 14" xfId="1195" xr:uid="{00000000-0005-0000-0000-0000AA040000}"/>
    <cellStyle name="Accent1 15" xfId="1196" xr:uid="{00000000-0005-0000-0000-0000AB040000}"/>
    <cellStyle name="Accent1 16" xfId="1197" xr:uid="{00000000-0005-0000-0000-0000AC040000}"/>
    <cellStyle name="Accent1 17" xfId="1198" xr:uid="{00000000-0005-0000-0000-0000AD040000}"/>
    <cellStyle name="Accent1 18" xfId="1199" xr:uid="{00000000-0005-0000-0000-0000AE040000}"/>
    <cellStyle name="Accent1 19" xfId="1200" xr:uid="{00000000-0005-0000-0000-0000AF040000}"/>
    <cellStyle name="Accent1 2" xfId="1201" xr:uid="{00000000-0005-0000-0000-0000B0040000}"/>
    <cellStyle name="Accent1 2 10" xfId="1202" xr:uid="{00000000-0005-0000-0000-0000B1040000}"/>
    <cellStyle name="Accent1 2 2" xfId="1203" xr:uid="{00000000-0005-0000-0000-0000B2040000}"/>
    <cellStyle name="Accent1 2 2 2" xfId="1204" xr:uid="{00000000-0005-0000-0000-0000B3040000}"/>
    <cellStyle name="Accent1 2 3" xfId="1205" xr:uid="{00000000-0005-0000-0000-0000B4040000}"/>
    <cellStyle name="Accent1 2 4" xfId="1206" xr:uid="{00000000-0005-0000-0000-0000B5040000}"/>
    <cellStyle name="Accent1 2 5" xfId="1207" xr:uid="{00000000-0005-0000-0000-0000B6040000}"/>
    <cellStyle name="Accent1 2 6" xfId="1208" xr:uid="{00000000-0005-0000-0000-0000B7040000}"/>
    <cellStyle name="Accent1 2 7" xfId="1209" xr:uid="{00000000-0005-0000-0000-0000B8040000}"/>
    <cellStyle name="Accent1 2 8" xfId="1210" xr:uid="{00000000-0005-0000-0000-0000B9040000}"/>
    <cellStyle name="Accent1 2 9" xfId="1211" xr:uid="{00000000-0005-0000-0000-0000BA040000}"/>
    <cellStyle name="Accent1 20" xfId="1212" xr:uid="{00000000-0005-0000-0000-0000BB040000}"/>
    <cellStyle name="Accent1 21" xfId="1213" xr:uid="{00000000-0005-0000-0000-0000BC040000}"/>
    <cellStyle name="Accent1 22" xfId="1214" xr:uid="{00000000-0005-0000-0000-0000BD040000}"/>
    <cellStyle name="Accent1 23" xfId="1215" xr:uid="{00000000-0005-0000-0000-0000BE040000}"/>
    <cellStyle name="Accent1 24" xfId="1216" xr:uid="{00000000-0005-0000-0000-0000BF040000}"/>
    <cellStyle name="Accent1 25" xfId="1217" xr:uid="{00000000-0005-0000-0000-0000C0040000}"/>
    <cellStyle name="Accent1 26" xfId="1218" xr:uid="{00000000-0005-0000-0000-0000C1040000}"/>
    <cellStyle name="Accent1 27" xfId="1219" xr:uid="{00000000-0005-0000-0000-0000C2040000}"/>
    <cellStyle name="Accent1 28" xfId="1220" xr:uid="{00000000-0005-0000-0000-0000C3040000}"/>
    <cellStyle name="Accent1 29" xfId="1221" xr:uid="{00000000-0005-0000-0000-0000C4040000}"/>
    <cellStyle name="Accent1 3" xfId="1222" xr:uid="{00000000-0005-0000-0000-0000C5040000}"/>
    <cellStyle name="Accent1 3 2" xfId="1223" xr:uid="{00000000-0005-0000-0000-0000C6040000}"/>
    <cellStyle name="Accent1 3 3" xfId="1224" xr:uid="{00000000-0005-0000-0000-0000C7040000}"/>
    <cellStyle name="Accent1 3 3 2" xfId="1225" xr:uid="{00000000-0005-0000-0000-0000C8040000}"/>
    <cellStyle name="Accent1 30" xfId="1226" xr:uid="{00000000-0005-0000-0000-0000C9040000}"/>
    <cellStyle name="Accent1 31" xfId="1227" xr:uid="{00000000-0005-0000-0000-0000CA040000}"/>
    <cellStyle name="Accent1 32" xfId="1228" xr:uid="{00000000-0005-0000-0000-0000CB040000}"/>
    <cellStyle name="Accent1 33" xfId="1229" xr:uid="{00000000-0005-0000-0000-0000CC040000}"/>
    <cellStyle name="Accent1 34" xfId="1230" xr:uid="{00000000-0005-0000-0000-0000CD040000}"/>
    <cellStyle name="Accent1 35" xfId="1231" xr:uid="{00000000-0005-0000-0000-0000CE040000}"/>
    <cellStyle name="Accent1 36" xfId="1232" xr:uid="{00000000-0005-0000-0000-0000CF040000}"/>
    <cellStyle name="Accent1 37" xfId="1233" xr:uid="{00000000-0005-0000-0000-0000D0040000}"/>
    <cellStyle name="Accent1 38" xfId="1234" xr:uid="{00000000-0005-0000-0000-0000D1040000}"/>
    <cellStyle name="Accent1 39" xfId="1235" xr:uid="{00000000-0005-0000-0000-0000D2040000}"/>
    <cellStyle name="Accent1 4" xfId="1236" xr:uid="{00000000-0005-0000-0000-0000D3040000}"/>
    <cellStyle name="Accent1 40" xfId="1237" xr:uid="{00000000-0005-0000-0000-0000D4040000}"/>
    <cellStyle name="Accent1 41" xfId="1238" xr:uid="{00000000-0005-0000-0000-0000D5040000}"/>
    <cellStyle name="Accent1 42" xfId="1239" xr:uid="{00000000-0005-0000-0000-0000D6040000}"/>
    <cellStyle name="Accent1 43" xfId="1240" xr:uid="{00000000-0005-0000-0000-0000D7040000}"/>
    <cellStyle name="Accent1 5" xfId="1241" xr:uid="{00000000-0005-0000-0000-0000D8040000}"/>
    <cellStyle name="Accent1 6" xfId="1242" xr:uid="{00000000-0005-0000-0000-0000D9040000}"/>
    <cellStyle name="Accent1 7" xfId="1243" xr:uid="{00000000-0005-0000-0000-0000DA040000}"/>
    <cellStyle name="Accent1 8" xfId="1244" xr:uid="{00000000-0005-0000-0000-0000DB040000}"/>
    <cellStyle name="Accent1 9" xfId="1245" xr:uid="{00000000-0005-0000-0000-0000DC040000}"/>
    <cellStyle name="Accent2" xfId="1246" builtinId="33" customBuiltin="1"/>
    <cellStyle name="Accent2 10" xfId="1247" xr:uid="{00000000-0005-0000-0000-0000DE040000}"/>
    <cellStyle name="Accent2 11" xfId="1248" xr:uid="{00000000-0005-0000-0000-0000DF040000}"/>
    <cellStyle name="Accent2 12" xfId="1249" xr:uid="{00000000-0005-0000-0000-0000E0040000}"/>
    <cellStyle name="Accent2 13" xfId="1250" xr:uid="{00000000-0005-0000-0000-0000E1040000}"/>
    <cellStyle name="Accent2 14" xfId="1251" xr:uid="{00000000-0005-0000-0000-0000E2040000}"/>
    <cellStyle name="Accent2 15" xfId="1252" xr:uid="{00000000-0005-0000-0000-0000E3040000}"/>
    <cellStyle name="Accent2 16" xfId="1253" xr:uid="{00000000-0005-0000-0000-0000E4040000}"/>
    <cellStyle name="Accent2 17" xfId="1254" xr:uid="{00000000-0005-0000-0000-0000E5040000}"/>
    <cellStyle name="Accent2 18" xfId="1255" xr:uid="{00000000-0005-0000-0000-0000E6040000}"/>
    <cellStyle name="Accent2 19" xfId="1256" xr:uid="{00000000-0005-0000-0000-0000E7040000}"/>
    <cellStyle name="Accent2 2" xfId="1257" xr:uid="{00000000-0005-0000-0000-0000E8040000}"/>
    <cellStyle name="Accent2 2 10" xfId="1258" xr:uid="{00000000-0005-0000-0000-0000E9040000}"/>
    <cellStyle name="Accent2 2 2" xfId="1259" xr:uid="{00000000-0005-0000-0000-0000EA040000}"/>
    <cellStyle name="Accent2 2 2 2" xfId="1260" xr:uid="{00000000-0005-0000-0000-0000EB040000}"/>
    <cellStyle name="Accent2 2 3" xfId="1261" xr:uid="{00000000-0005-0000-0000-0000EC040000}"/>
    <cellStyle name="Accent2 2 4" xfId="1262" xr:uid="{00000000-0005-0000-0000-0000ED040000}"/>
    <cellStyle name="Accent2 2 5" xfId="1263" xr:uid="{00000000-0005-0000-0000-0000EE040000}"/>
    <cellStyle name="Accent2 2 6" xfId="1264" xr:uid="{00000000-0005-0000-0000-0000EF040000}"/>
    <cellStyle name="Accent2 2 7" xfId="1265" xr:uid="{00000000-0005-0000-0000-0000F0040000}"/>
    <cellStyle name="Accent2 2 8" xfId="1266" xr:uid="{00000000-0005-0000-0000-0000F1040000}"/>
    <cellStyle name="Accent2 2 9" xfId="1267" xr:uid="{00000000-0005-0000-0000-0000F2040000}"/>
    <cellStyle name="Accent2 20" xfId="1268" xr:uid="{00000000-0005-0000-0000-0000F3040000}"/>
    <cellStyle name="Accent2 21" xfId="1269" xr:uid="{00000000-0005-0000-0000-0000F4040000}"/>
    <cellStyle name="Accent2 22" xfId="1270" xr:uid="{00000000-0005-0000-0000-0000F5040000}"/>
    <cellStyle name="Accent2 23" xfId="1271" xr:uid="{00000000-0005-0000-0000-0000F6040000}"/>
    <cellStyle name="Accent2 24" xfId="1272" xr:uid="{00000000-0005-0000-0000-0000F7040000}"/>
    <cellStyle name="Accent2 25" xfId="1273" xr:uid="{00000000-0005-0000-0000-0000F8040000}"/>
    <cellStyle name="Accent2 26" xfId="1274" xr:uid="{00000000-0005-0000-0000-0000F9040000}"/>
    <cellStyle name="Accent2 27" xfId="1275" xr:uid="{00000000-0005-0000-0000-0000FA040000}"/>
    <cellStyle name="Accent2 28" xfId="1276" xr:uid="{00000000-0005-0000-0000-0000FB040000}"/>
    <cellStyle name="Accent2 29" xfId="1277" xr:uid="{00000000-0005-0000-0000-0000FC040000}"/>
    <cellStyle name="Accent2 3" xfId="1278" xr:uid="{00000000-0005-0000-0000-0000FD040000}"/>
    <cellStyle name="Accent2 3 2" xfId="1279" xr:uid="{00000000-0005-0000-0000-0000FE040000}"/>
    <cellStyle name="Accent2 3 3" xfId="1280" xr:uid="{00000000-0005-0000-0000-0000FF040000}"/>
    <cellStyle name="Accent2 3 3 2" xfId="1281" xr:uid="{00000000-0005-0000-0000-000000050000}"/>
    <cellStyle name="Accent2 30" xfId="1282" xr:uid="{00000000-0005-0000-0000-000001050000}"/>
    <cellStyle name="Accent2 31" xfId="1283" xr:uid="{00000000-0005-0000-0000-000002050000}"/>
    <cellStyle name="Accent2 32" xfId="1284" xr:uid="{00000000-0005-0000-0000-000003050000}"/>
    <cellStyle name="Accent2 33" xfId="1285" xr:uid="{00000000-0005-0000-0000-000004050000}"/>
    <cellStyle name="Accent2 34" xfId="1286" xr:uid="{00000000-0005-0000-0000-000005050000}"/>
    <cellStyle name="Accent2 35" xfId="1287" xr:uid="{00000000-0005-0000-0000-000006050000}"/>
    <cellStyle name="Accent2 36" xfId="1288" xr:uid="{00000000-0005-0000-0000-000007050000}"/>
    <cellStyle name="Accent2 37" xfId="1289" xr:uid="{00000000-0005-0000-0000-000008050000}"/>
    <cellStyle name="Accent2 38" xfId="1290" xr:uid="{00000000-0005-0000-0000-000009050000}"/>
    <cellStyle name="Accent2 39" xfId="1291" xr:uid="{00000000-0005-0000-0000-00000A050000}"/>
    <cellStyle name="Accent2 4" xfId="1292" xr:uid="{00000000-0005-0000-0000-00000B050000}"/>
    <cellStyle name="Accent2 40" xfId="1293" xr:uid="{00000000-0005-0000-0000-00000C050000}"/>
    <cellStyle name="Accent2 41" xfId="1294" xr:uid="{00000000-0005-0000-0000-00000D050000}"/>
    <cellStyle name="Accent2 42" xfId="1295" xr:uid="{00000000-0005-0000-0000-00000E050000}"/>
    <cellStyle name="Accent2 43" xfId="1296" xr:uid="{00000000-0005-0000-0000-00000F050000}"/>
    <cellStyle name="Accent2 5" xfId="1297" xr:uid="{00000000-0005-0000-0000-000010050000}"/>
    <cellStyle name="Accent2 6" xfId="1298" xr:uid="{00000000-0005-0000-0000-000011050000}"/>
    <cellStyle name="Accent2 7" xfId="1299" xr:uid="{00000000-0005-0000-0000-000012050000}"/>
    <cellStyle name="Accent2 8" xfId="1300" xr:uid="{00000000-0005-0000-0000-000013050000}"/>
    <cellStyle name="Accent2 9" xfId="1301" xr:uid="{00000000-0005-0000-0000-000014050000}"/>
    <cellStyle name="Accent3" xfId="1302" builtinId="37" customBuiltin="1"/>
    <cellStyle name="Accent3 10" xfId="1303" xr:uid="{00000000-0005-0000-0000-000016050000}"/>
    <cellStyle name="Accent3 11" xfId="1304" xr:uid="{00000000-0005-0000-0000-000017050000}"/>
    <cellStyle name="Accent3 12" xfId="1305" xr:uid="{00000000-0005-0000-0000-000018050000}"/>
    <cellStyle name="Accent3 13" xfId="1306" xr:uid="{00000000-0005-0000-0000-000019050000}"/>
    <cellStyle name="Accent3 14" xfId="1307" xr:uid="{00000000-0005-0000-0000-00001A050000}"/>
    <cellStyle name="Accent3 15" xfId="1308" xr:uid="{00000000-0005-0000-0000-00001B050000}"/>
    <cellStyle name="Accent3 16" xfId="1309" xr:uid="{00000000-0005-0000-0000-00001C050000}"/>
    <cellStyle name="Accent3 17" xfId="1310" xr:uid="{00000000-0005-0000-0000-00001D050000}"/>
    <cellStyle name="Accent3 18" xfId="1311" xr:uid="{00000000-0005-0000-0000-00001E050000}"/>
    <cellStyle name="Accent3 19" xfId="1312" xr:uid="{00000000-0005-0000-0000-00001F050000}"/>
    <cellStyle name="Accent3 2" xfId="1313" xr:uid="{00000000-0005-0000-0000-000020050000}"/>
    <cellStyle name="Accent3 2 10" xfId="1314" xr:uid="{00000000-0005-0000-0000-000021050000}"/>
    <cellStyle name="Accent3 2 2" xfId="1315" xr:uid="{00000000-0005-0000-0000-000022050000}"/>
    <cellStyle name="Accent3 2 2 2" xfId="1316" xr:uid="{00000000-0005-0000-0000-000023050000}"/>
    <cellStyle name="Accent3 2 3" xfId="1317" xr:uid="{00000000-0005-0000-0000-000024050000}"/>
    <cellStyle name="Accent3 2 4" xfId="1318" xr:uid="{00000000-0005-0000-0000-000025050000}"/>
    <cellStyle name="Accent3 2 5" xfId="1319" xr:uid="{00000000-0005-0000-0000-000026050000}"/>
    <cellStyle name="Accent3 2 6" xfId="1320" xr:uid="{00000000-0005-0000-0000-000027050000}"/>
    <cellStyle name="Accent3 2 7" xfId="1321" xr:uid="{00000000-0005-0000-0000-000028050000}"/>
    <cellStyle name="Accent3 2 8" xfId="1322" xr:uid="{00000000-0005-0000-0000-000029050000}"/>
    <cellStyle name="Accent3 2 9" xfId="1323" xr:uid="{00000000-0005-0000-0000-00002A050000}"/>
    <cellStyle name="Accent3 20" xfId="1324" xr:uid="{00000000-0005-0000-0000-00002B050000}"/>
    <cellStyle name="Accent3 21" xfId="1325" xr:uid="{00000000-0005-0000-0000-00002C050000}"/>
    <cellStyle name="Accent3 22" xfId="1326" xr:uid="{00000000-0005-0000-0000-00002D050000}"/>
    <cellStyle name="Accent3 23" xfId="1327" xr:uid="{00000000-0005-0000-0000-00002E050000}"/>
    <cellStyle name="Accent3 24" xfId="1328" xr:uid="{00000000-0005-0000-0000-00002F050000}"/>
    <cellStyle name="Accent3 25" xfId="1329" xr:uid="{00000000-0005-0000-0000-000030050000}"/>
    <cellStyle name="Accent3 26" xfId="1330" xr:uid="{00000000-0005-0000-0000-000031050000}"/>
    <cellStyle name="Accent3 27" xfId="1331" xr:uid="{00000000-0005-0000-0000-000032050000}"/>
    <cellStyle name="Accent3 28" xfId="1332" xr:uid="{00000000-0005-0000-0000-000033050000}"/>
    <cellStyle name="Accent3 29" xfId="1333" xr:uid="{00000000-0005-0000-0000-000034050000}"/>
    <cellStyle name="Accent3 3" xfId="1334" xr:uid="{00000000-0005-0000-0000-000035050000}"/>
    <cellStyle name="Accent3 3 2" xfId="1335" xr:uid="{00000000-0005-0000-0000-000036050000}"/>
    <cellStyle name="Accent3 3 3" xfId="1336" xr:uid="{00000000-0005-0000-0000-000037050000}"/>
    <cellStyle name="Accent3 3 3 2" xfId="1337" xr:uid="{00000000-0005-0000-0000-000038050000}"/>
    <cellStyle name="Accent3 30" xfId="1338" xr:uid="{00000000-0005-0000-0000-000039050000}"/>
    <cellStyle name="Accent3 31" xfId="1339" xr:uid="{00000000-0005-0000-0000-00003A050000}"/>
    <cellStyle name="Accent3 32" xfId="1340" xr:uid="{00000000-0005-0000-0000-00003B050000}"/>
    <cellStyle name="Accent3 33" xfId="1341" xr:uid="{00000000-0005-0000-0000-00003C050000}"/>
    <cellStyle name="Accent3 34" xfId="1342" xr:uid="{00000000-0005-0000-0000-00003D050000}"/>
    <cellStyle name="Accent3 35" xfId="1343" xr:uid="{00000000-0005-0000-0000-00003E050000}"/>
    <cellStyle name="Accent3 36" xfId="1344" xr:uid="{00000000-0005-0000-0000-00003F050000}"/>
    <cellStyle name="Accent3 37" xfId="1345" xr:uid="{00000000-0005-0000-0000-000040050000}"/>
    <cellStyle name="Accent3 38" xfId="1346" xr:uid="{00000000-0005-0000-0000-000041050000}"/>
    <cellStyle name="Accent3 39" xfId="1347" xr:uid="{00000000-0005-0000-0000-000042050000}"/>
    <cellStyle name="Accent3 4" xfId="1348" xr:uid="{00000000-0005-0000-0000-000043050000}"/>
    <cellStyle name="Accent3 40" xfId="1349" xr:uid="{00000000-0005-0000-0000-000044050000}"/>
    <cellStyle name="Accent3 41" xfId="1350" xr:uid="{00000000-0005-0000-0000-000045050000}"/>
    <cellStyle name="Accent3 42" xfId="1351" xr:uid="{00000000-0005-0000-0000-000046050000}"/>
    <cellStyle name="Accent3 43" xfId="1352" xr:uid="{00000000-0005-0000-0000-000047050000}"/>
    <cellStyle name="Accent3 5" xfId="1353" xr:uid="{00000000-0005-0000-0000-000048050000}"/>
    <cellStyle name="Accent3 6" xfId="1354" xr:uid="{00000000-0005-0000-0000-000049050000}"/>
    <cellStyle name="Accent3 7" xfId="1355" xr:uid="{00000000-0005-0000-0000-00004A050000}"/>
    <cellStyle name="Accent3 8" xfId="1356" xr:uid="{00000000-0005-0000-0000-00004B050000}"/>
    <cellStyle name="Accent3 9" xfId="1357" xr:uid="{00000000-0005-0000-0000-00004C050000}"/>
    <cellStyle name="Accent4" xfId="1358" builtinId="41" customBuiltin="1"/>
    <cellStyle name="Accent4 10" xfId="1359" xr:uid="{00000000-0005-0000-0000-00004E050000}"/>
    <cellStyle name="Accent4 11" xfId="1360" xr:uid="{00000000-0005-0000-0000-00004F050000}"/>
    <cellStyle name="Accent4 12" xfId="1361" xr:uid="{00000000-0005-0000-0000-000050050000}"/>
    <cellStyle name="Accent4 13" xfId="1362" xr:uid="{00000000-0005-0000-0000-000051050000}"/>
    <cellStyle name="Accent4 14" xfId="1363" xr:uid="{00000000-0005-0000-0000-000052050000}"/>
    <cellStyle name="Accent4 15" xfId="1364" xr:uid="{00000000-0005-0000-0000-000053050000}"/>
    <cellStyle name="Accent4 16" xfId="1365" xr:uid="{00000000-0005-0000-0000-000054050000}"/>
    <cellStyle name="Accent4 17" xfId="1366" xr:uid="{00000000-0005-0000-0000-000055050000}"/>
    <cellStyle name="Accent4 18" xfId="1367" xr:uid="{00000000-0005-0000-0000-000056050000}"/>
    <cellStyle name="Accent4 19" xfId="1368" xr:uid="{00000000-0005-0000-0000-000057050000}"/>
    <cellStyle name="Accent4 2" xfId="1369" xr:uid="{00000000-0005-0000-0000-000058050000}"/>
    <cellStyle name="Accent4 2 10" xfId="1370" xr:uid="{00000000-0005-0000-0000-000059050000}"/>
    <cellStyle name="Accent4 2 2" xfId="1371" xr:uid="{00000000-0005-0000-0000-00005A050000}"/>
    <cellStyle name="Accent4 2 2 2" xfId="1372" xr:uid="{00000000-0005-0000-0000-00005B050000}"/>
    <cellStyle name="Accent4 2 3" xfId="1373" xr:uid="{00000000-0005-0000-0000-00005C050000}"/>
    <cellStyle name="Accent4 2 4" xfId="1374" xr:uid="{00000000-0005-0000-0000-00005D050000}"/>
    <cellStyle name="Accent4 2 5" xfId="1375" xr:uid="{00000000-0005-0000-0000-00005E050000}"/>
    <cellStyle name="Accent4 2 6" xfId="1376" xr:uid="{00000000-0005-0000-0000-00005F050000}"/>
    <cellStyle name="Accent4 2 7" xfId="1377" xr:uid="{00000000-0005-0000-0000-000060050000}"/>
    <cellStyle name="Accent4 2 8" xfId="1378" xr:uid="{00000000-0005-0000-0000-000061050000}"/>
    <cellStyle name="Accent4 2 9" xfId="1379" xr:uid="{00000000-0005-0000-0000-000062050000}"/>
    <cellStyle name="Accent4 20" xfId="1380" xr:uid="{00000000-0005-0000-0000-000063050000}"/>
    <cellStyle name="Accent4 21" xfId="1381" xr:uid="{00000000-0005-0000-0000-000064050000}"/>
    <cellStyle name="Accent4 22" xfId="1382" xr:uid="{00000000-0005-0000-0000-000065050000}"/>
    <cellStyle name="Accent4 23" xfId="1383" xr:uid="{00000000-0005-0000-0000-000066050000}"/>
    <cellStyle name="Accent4 24" xfId="1384" xr:uid="{00000000-0005-0000-0000-000067050000}"/>
    <cellStyle name="Accent4 25" xfId="1385" xr:uid="{00000000-0005-0000-0000-000068050000}"/>
    <cellStyle name="Accent4 26" xfId="1386" xr:uid="{00000000-0005-0000-0000-000069050000}"/>
    <cellStyle name="Accent4 27" xfId="1387" xr:uid="{00000000-0005-0000-0000-00006A050000}"/>
    <cellStyle name="Accent4 28" xfId="1388" xr:uid="{00000000-0005-0000-0000-00006B050000}"/>
    <cellStyle name="Accent4 29" xfId="1389" xr:uid="{00000000-0005-0000-0000-00006C050000}"/>
    <cellStyle name="Accent4 3" xfId="1390" xr:uid="{00000000-0005-0000-0000-00006D050000}"/>
    <cellStyle name="Accent4 3 2" xfId="1391" xr:uid="{00000000-0005-0000-0000-00006E050000}"/>
    <cellStyle name="Accent4 3 3" xfId="1392" xr:uid="{00000000-0005-0000-0000-00006F050000}"/>
    <cellStyle name="Accent4 3 3 2" xfId="1393" xr:uid="{00000000-0005-0000-0000-000070050000}"/>
    <cellStyle name="Accent4 30" xfId="1394" xr:uid="{00000000-0005-0000-0000-000071050000}"/>
    <cellStyle name="Accent4 31" xfId="1395" xr:uid="{00000000-0005-0000-0000-000072050000}"/>
    <cellStyle name="Accent4 32" xfId="1396" xr:uid="{00000000-0005-0000-0000-000073050000}"/>
    <cellStyle name="Accent4 33" xfId="1397" xr:uid="{00000000-0005-0000-0000-000074050000}"/>
    <cellStyle name="Accent4 34" xfId="1398" xr:uid="{00000000-0005-0000-0000-000075050000}"/>
    <cellStyle name="Accent4 35" xfId="1399" xr:uid="{00000000-0005-0000-0000-000076050000}"/>
    <cellStyle name="Accent4 36" xfId="1400" xr:uid="{00000000-0005-0000-0000-000077050000}"/>
    <cellStyle name="Accent4 37" xfId="1401" xr:uid="{00000000-0005-0000-0000-000078050000}"/>
    <cellStyle name="Accent4 38" xfId="1402" xr:uid="{00000000-0005-0000-0000-000079050000}"/>
    <cellStyle name="Accent4 39" xfId="1403" xr:uid="{00000000-0005-0000-0000-00007A050000}"/>
    <cellStyle name="Accent4 4" xfId="1404" xr:uid="{00000000-0005-0000-0000-00007B050000}"/>
    <cellStyle name="Accent4 40" xfId="1405" xr:uid="{00000000-0005-0000-0000-00007C050000}"/>
    <cellStyle name="Accent4 41" xfId="1406" xr:uid="{00000000-0005-0000-0000-00007D050000}"/>
    <cellStyle name="Accent4 42" xfId="1407" xr:uid="{00000000-0005-0000-0000-00007E050000}"/>
    <cellStyle name="Accent4 43" xfId="1408" xr:uid="{00000000-0005-0000-0000-00007F050000}"/>
    <cellStyle name="Accent4 5" xfId="1409" xr:uid="{00000000-0005-0000-0000-000080050000}"/>
    <cellStyle name="Accent4 6" xfId="1410" xr:uid="{00000000-0005-0000-0000-000081050000}"/>
    <cellStyle name="Accent4 7" xfId="1411" xr:uid="{00000000-0005-0000-0000-000082050000}"/>
    <cellStyle name="Accent4 8" xfId="1412" xr:uid="{00000000-0005-0000-0000-000083050000}"/>
    <cellStyle name="Accent4 9" xfId="1413" xr:uid="{00000000-0005-0000-0000-000084050000}"/>
    <cellStyle name="Accent5" xfId="1414" builtinId="45" customBuiltin="1"/>
    <cellStyle name="Accent5 10" xfId="1415" xr:uid="{00000000-0005-0000-0000-000086050000}"/>
    <cellStyle name="Accent5 11" xfId="1416" xr:uid="{00000000-0005-0000-0000-000087050000}"/>
    <cellStyle name="Accent5 12" xfId="1417" xr:uid="{00000000-0005-0000-0000-000088050000}"/>
    <cellStyle name="Accent5 13" xfId="1418" xr:uid="{00000000-0005-0000-0000-000089050000}"/>
    <cellStyle name="Accent5 14" xfId="1419" xr:uid="{00000000-0005-0000-0000-00008A050000}"/>
    <cellStyle name="Accent5 15" xfId="1420" xr:uid="{00000000-0005-0000-0000-00008B050000}"/>
    <cellStyle name="Accent5 16" xfId="1421" xr:uid="{00000000-0005-0000-0000-00008C050000}"/>
    <cellStyle name="Accent5 17" xfId="1422" xr:uid="{00000000-0005-0000-0000-00008D050000}"/>
    <cellStyle name="Accent5 18" xfId="1423" xr:uid="{00000000-0005-0000-0000-00008E050000}"/>
    <cellStyle name="Accent5 19" xfId="1424" xr:uid="{00000000-0005-0000-0000-00008F050000}"/>
    <cellStyle name="Accent5 2" xfId="1425" xr:uid="{00000000-0005-0000-0000-000090050000}"/>
    <cellStyle name="Accent5 2 10" xfId="1426" xr:uid="{00000000-0005-0000-0000-000091050000}"/>
    <cellStyle name="Accent5 2 2" xfId="1427" xr:uid="{00000000-0005-0000-0000-000092050000}"/>
    <cellStyle name="Accent5 2 3" xfId="1428" xr:uid="{00000000-0005-0000-0000-000093050000}"/>
    <cellStyle name="Accent5 2 4" xfId="1429" xr:uid="{00000000-0005-0000-0000-000094050000}"/>
    <cellStyle name="Accent5 2 5" xfId="1430" xr:uid="{00000000-0005-0000-0000-000095050000}"/>
    <cellStyle name="Accent5 2 6" xfId="1431" xr:uid="{00000000-0005-0000-0000-000096050000}"/>
    <cellStyle name="Accent5 2 7" xfId="1432" xr:uid="{00000000-0005-0000-0000-000097050000}"/>
    <cellStyle name="Accent5 2 8" xfId="1433" xr:uid="{00000000-0005-0000-0000-000098050000}"/>
    <cellStyle name="Accent5 2 9" xfId="1434" xr:uid="{00000000-0005-0000-0000-000099050000}"/>
    <cellStyle name="Accent5 20" xfId="1435" xr:uid="{00000000-0005-0000-0000-00009A050000}"/>
    <cellStyle name="Accent5 21" xfId="1436" xr:uid="{00000000-0005-0000-0000-00009B050000}"/>
    <cellStyle name="Accent5 22" xfId="1437" xr:uid="{00000000-0005-0000-0000-00009C050000}"/>
    <cellStyle name="Accent5 23" xfId="1438" xr:uid="{00000000-0005-0000-0000-00009D050000}"/>
    <cellStyle name="Accent5 24" xfId="1439" xr:uid="{00000000-0005-0000-0000-00009E050000}"/>
    <cellStyle name="Accent5 25" xfId="1440" xr:uid="{00000000-0005-0000-0000-00009F050000}"/>
    <cellStyle name="Accent5 26" xfId="1441" xr:uid="{00000000-0005-0000-0000-0000A0050000}"/>
    <cellStyle name="Accent5 27" xfId="1442" xr:uid="{00000000-0005-0000-0000-0000A1050000}"/>
    <cellStyle name="Accent5 28" xfId="1443" xr:uid="{00000000-0005-0000-0000-0000A2050000}"/>
    <cellStyle name="Accent5 29" xfId="1444" xr:uid="{00000000-0005-0000-0000-0000A3050000}"/>
    <cellStyle name="Accent5 3" xfId="1445" xr:uid="{00000000-0005-0000-0000-0000A4050000}"/>
    <cellStyle name="Accent5 3 2" xfId="1446" xr:uid="{00000000-0005-0000-0000-0000A5050000}"/>
    <cellStyle name="Accent5 30" xfId="1447" xr:uid="{00000000-0005-0000-0000-0000A6050000}"/>
    <cellStyle name="Accent5 31" xfId="1448" xr:uid="{00000000-0005-0000-0000-0000A7050000}"/>
    <cellStyle name="Accent5 32" xfId="1449" xr:uid="{00000000-0005-0000-0000-0000A8050000}"/>
    <cellStyle name="Accent5 33" xfId="1450" xr:uid="{00000000-0005-0000-0000-0000A9050000}"/>
    <cellStyle name="Accent5 34" xfId="1451" xr:uid="{00000000-0005-0000-0000-0000AA050000}"/>
    <cellStyle name="Accent5 35" xfId="1452" xr:uid="{00000000-0005-0000-0000-0000AB050000}"/>
    <cellStyle name="Accent5 36" xfId="1453" xr:uid="{00000000-0005-0000-0000-0000AC050000}"/>
    <cellStyle name="Accent5 37" xfId="1454" xr:uid="{00000000-0005-0000-0000-0000AD050000}"/>
    <cellStyle name="Accent5 38" xfId="1455" xr:uid="{00000000-0005-0000-0000-0000AE050000}"/>
    <cellStyle name="Accent5 39" xfId="1456" xr:uid="{00000000-0005-0000-0000-0000AF050000}"/>
    <cellStyle name="Accent5 4" xfId="1457" xr:uid="{00000000-0005-0000-0000-0000B0050000}"/>
    <cellStyle name="Accent5 40" xfId="1458" xr:uid="{00000000-0005-0000-0000-0000B1050000}"/>
    <cellStyle name="Accent5 41" xfId="1459" xr:uid="{00000000-0005-0000-0000-0000B2050000}"/>
    <cellStyle name="Accent5 42" xfId="1460" xr:uid="{00000000-0005-0000-0000-0000B3050000}"/>
    <cellStyle name="Accent5 43" xfId="1461" xr:uid="{00000000-0005-0000-0000-0000B4050000}"/>
    <cellStyle name="Accent5 5" xfId="1462" xr:uid="{00000000-0005-0000-0000-0000B5050000}"/>
    <cellStyle name="Accent5 6" xfId="1463" xr:uid="{00000000-0005-0000-0000-0000B6050000}"/>
    <cellStyle name="Accent5 7" xfId="1464" xr:uid="{00000000-0005-0000-0000-0000B7050000}"/>
    <cellStyle name="Accent5 8" xfId="1465" xr:uid="{00000000-0005-0000-0000-0000B8050000}"/>
    <cellStyle name="Accent5 9" xfId="1466" xr:uid="{00000000-0005-0000-0000-0000B9050000}"/>
    <cellStyle name="Accent6" xfId="1467" builtinId="49" customBuiltin="1"/>
    <cellStyle name="Accent6 10" xfId="1468" xr:uid="{00000000-0005-0000-0000-0000BB050000}"/>
    <cellStyle name="Accent6 11" xfId="1469" xr:uid="{00000000-0005-0000-0000-0000BC050000}"/>
    <cellStyle name="Accent6 12" xfId="1470" xr:uid="{00000000-0005-0000-0000-0000BD050000}"/>
    <cellStyle name="Accent6 13" xfId="1471" xr:uid="{00000000-0005-0000-0000-0000BE050000}"/>
    <cellStyle name="Accent6 14" xfId="1472" xr:uid="{00000000-0005-0000-0000-0000BF050000}"/>
    <cellStyle name="Accent6 15" xfId="1473" xr:uid="{00000000-0005-0000-0000-0000C0050000}"/>
    <cellStyle name="Accent6 16" xfId="1474" xr:uid="{00000000-0005-0000-0000-0000C1050000}"/>
    <cellStyle name="Accent6 17" xfId="1475" xr:uid="{00000000-0005-0000-0000-0000C2050000}"/>
    <cellStyle name="Accent6 18" xfId="1476" xr:uid="{00000000-0005-0000-0000-0000C3050000}"/>
    <cellStyle name="Accent6 19" xfId="1477" xr:uid="{00000000-0005-0000-0000-0000C4050000}"/>
    <cellStyle name="Accent6 2" xfId="1478" xr:uid="{00000000-0005-0000-0000-0000C5050000}"/>
    <cellStyle name="Accent6 2 10" xfId="1479" xr:uid="{00000000-0005-0000-0000-0000C6050000}"/>
    <cellStyle name="Accent6 2 2" xfId="1480" xr:uid="{00000000-0005-0000-0000-0000C7050000}"/>
    <cellStyle name="Accent6 2 2 2" xfId="1481" xr:uid="{00000000-0005-0000-0000-0000C8050000}"/>
    <cellStyle name="Accent6 2 3" xfId="1482" xr:uid="{00000000-0005-0000-0000-0000C9050000}"/>
    <cellStyle name="Accent6 2 4" xfId="1483" xr:uid="{00000000-0005-0000-0000-0000CA050000}"/>
    <cellStyle name="Accent6 2 5" xfId="1484" xr:uid="{00000000-0005-0000-0000-0000CB050000}"/>
    <cellStyle name="Accent6 2 6" xfId="1485" xr:uid="{00000000-0005-0000-0000-0000CC050000}"/>
    <cellStyle name="Accent6 2 7" xfId="1486" xr:uid="{00000000-0005-0000-0000-0000CD050000}"/>
    <cellStyle name="Accent6 2 8" xfId="1487" xr:uid="{00000000-0005-0000-0000-0000CE050000}"/>
    <cellStyle name="Accent6 2 9" xfId="1488" xr:uid="{00000000-0005-0000-0000-0000CF050000}"/>
    <cellStyle name="Accent6 20" xfId="1489" xr:uid="{00000000-0005-0000-0000-0000D0050000}"/>
    <cellStyle name="Accent6 21" xfId="1490" xr:uid="{00000000-0005-0000-0000-0000D1050000}"/>
    <cellStyle name="Accent6 22" xfId="1491" xr:uid="{00000000-0005-0000-0000-0000D2050000}"/>
    <cellStyle name="Accent6 23" xfId="1492" xr:uid="{00000000-0005-0000-0000-0000D3050000}"/>
    <cellStyle name="Accent6 24" xfId="1493" xr:uid="{00000000-0005-0000-0000-0000D4050000}"/>
    <cellStyle name="Accent6 25" xfId="1494" xr:uid="{00000000-0005-0000-0000-0000D5050000}"/>
    <cellStyle name="Accent6 26" xfId="1495" xr:uid="{00000000-0005-0000-0000-0000D6050000}"/>
    <cellStyle name="Accent6 27" xfId="1496" xr:uid="{00000000-0005-0000-0000-0000D7050000}"/>
    <cellStyle name="Accent6 28" xfId="1497" xr:uid="{00000000-0005-0000-0000-0000D8050000}"/>
    <cellStyle name="Accent6 29" xfId="1498" xr:uid="{00000000-0005-0000-0000-0000D9050000}"/>
    <cellStyle name="Accent6 3" xfId="1499" xr:uid="{00000000-0005-0000-0000-0000DA050000}"/>
    <cellStyle name="Accent6 3 2" xfId="1500" xr:uid="{00000000-0005-0000-0000-0000DB050000}"/>
    <cellStyle name="Accent6 3 3" xfId="1501" xr:uid="{00000000-0005-0000-0000-0000DC050000}"/>
    <cellStyle name="Accent6 3 3 2" xfId="1502" xr:uid="{00000000-0005-0000-0000-0000DD050000}"/>
    <cellStyle name="Accent6 30" xfId="1503" xr:uid="{00000000-0005-0000-0000-0000DE050000}"/>
    <cellStyle name="Accent6 31" xfId="1504" xr:uid="{00000000-0005-0000-0000-0000DF050000}"/>
    <cellStyle name="Accent6 32" xfId="1505" xr:uid="{00000000-0005-0000-0000-0000E0050000}"/>
    <cellStyle name="Accent6 33" xfId="1506" xr:uid="{00000000-0005-0000-0000-0000E1050000}"/>
    <cellStyle name="Accent6 34" xfId="1507" xr:uid="{00000000-0005-0000-0000-0000E2050000}"/>
    <cellStyle name="Accent6 35" xfId="1508" xr:uid="{00000000-0005-0000-0000-0000E3050000}"/>
    <cellStyle name="Accent6 36" xfId="1509" xr:uid="{00000000-0005-0000-0000-0000E4050000}"/>
    <cellStyle name="Accent6 37" xfId="1510" xr:uid="{00000000-0005-0000-0000-0000E5050000}"/>
    <cellStyle name="Accent6 38" xfId="1511" xr:uid="{00000000-0005-0000-0000-0000E6050000}"/>
    <cellStyle name="Accent6 39" xfId="1512" xr:uid="{00000000-0005-0000-0000-0000E7050000}"/>
    <cellStyle name="Accent6 4" xfId="1513" xr:uid="{00000000-0005-0000-0000-0000E8050000}"/>
    <cellStyle name="Accent6 40" xfId="1514" xr:uid="{00000000-0005-0000-0000-0000E9050000}"/>
    <cellStyle name="Accent6 41" xfId="1515" xr:uid="{00000000-0005-0000-0000-0000EA050000}"/>
    <cellStyle name="Accent6 42" xfId="1516" xr:uid="{00000000-0005-0000-0000-0000EB050000}"/>
    <cellStyle name="Accent6 43" xfId="1517" xr:uid="{00000000-0005-0000-0000-0000EC050000}"/>
    <cellStyle name="Accent6 5" xfId="1518" xr:uid="{00000000-0005-0000-0000-0000ED050000}"/>
    <cellStyle name="Accent6 6" xfId="1519" xr:uid="{00000000-0005-0000-0000-0000EE050000}"/>
    <cellStyle name="Accent6 7" xfId="1520" xr:uid="{00000000-0005-0000-0000-0000EF050000}"/>
    <cellStyle name="Accent6 8" xfId="1521" xr:uid="{00000000-0005-0000-0000-0000F0050000}"/>
    <cellStyle name="Accent6 9" xfId="1522" xr:uid="{00000000-0005-0000-0000-0000F1050000}"/>
    <cellStyle name="AggblueBoldCels" xfId="1523" xr:uid="{00000000-0005-0000-0000-0000F2050000}"/>
    <cellStyle name="AggblueBoldCels 2" xfId="1524" xr:uid="{00000000-0005-0000-0000-0000F3050000}"/>
    <cellStyle name="AggblueCels" xfId="1525" xr:uid="{00000000-0005-0000-0000-0000F4050000}"/>
    <cellStyle name="AggblueCels 2" xfId="1526" xr:uid="{00000000-0005-0000-0000-0000F5050000}"/>
    <cellStyle name="AggblueCels_1x" xfId="1527" xr:uid="{00000000-0005-0000-0000-0000F6050000}"/>
    <cellStyle name="AggBoldCells" xfId="1528" xr:uid="{00000000-0005-0000-0000-0000F7050000}"/>
    <cellStyle name="AggBoldCells 2" xfId="1529" xr:uid="{00000000-0005-0000-0000-0000F8050000}"/>
    <cellStyle name="AggBoldCells 3" xfId="1530" xr:uid="{00000000-0005-0000-0000-0000F9050000}"/>
    <cellStyle name="AggCels" xfId="1531" xr:uid="{00000000-0005-0000-0000-0000FA050000}"/>
    <cellStyle name="AggCels 2" xfId="1532" xr:uid="{00000000-0005-0000-0000-0000FB050000}"/>
    <cellStyle name="AggCels 3" xfId="1533" xr:uid="{00000000-0005-0000-0000-0000FC050000}"/>
    <cellStyle name="AggGreen" xfId="1534" xr:uid="{00000000-0005-0000-0000-0000FD050000}"/>
    <cellStyle name="AggGreen 2" xfId="1535" xr:uid="{00000000-0005-0000-0000-0000FE050000}"/>
    <cellStyle name="AggGreen_Bbdr" xfId="1536" xr:uid="{00000000-0005-0000-0000-0000FF050000}"/>
    <cellStyle name="AggGreen12" xfId="1537" xr:uid="{00000000-0005-0000-0000-000000060000}"/>
    <cellStyle name="AggGreen12 2" xfId="1538" xr:uid="{00000000-0005-0000-0000-000001060000}"/>
    <cellStyle name="AggOrange" xfId="1539" xr:uid="{00000000-0005-0000-0000-000002060000}"/>
    <cellStyle name="AggOrange 2" xfId="1540" xr:uid="{00000000-0005-0000-0000-000003060000}"/>
    <cellStyle name="AggOrange_B_border" xfId="1541" xr:uid="{00000000-0005-0000-0000-000004060000}"/>
    <cellStyle name="AggOrange9" xfId="1542" xr:uid="{00000000-0005-0000-0000-000005060000}"/>
    <cellStyle name="AggOrange9 2" xfId="1543" xr:uid="{00000000-0005-0000-0000-000006060000}"/>
    <cellStyle name="AggOrangeLB_2x" xfId="1544" xr:uid="{00000000-0005-0000-0000-000007060000}"/>
    <cellStyle name="AggOrangeLBorder" xfId="1545" xr:uid="{00000000-0005-0000-0000-000008060000}"/>
    <cellStyle name="AggOrangeLBorder 2" xfId="1546" xr:uid="{00000000-0005-0000-0000-000009060000}"/>
    <cellStyle name="AggOrangeRBorder" xfId="1547" xr:uid="{00000000-0005-0000-0000-00000A060000}"/>
    <cellStyle name="AggOrangeRBorder 2" xfId="1548" xr:uid="{00000000-0005-0000-0000-00000B060000}"/>
    <cellStyle name="Akzent1" xfId="1549" xr:uid="{00000000-0005-0000-0000-00000C060000}"/>
    <cellStyle name="Akzent2" xfId="1550" xr:uid="{00000000-0005-0000-0000-00000D060000}"/>
    <cellStyle name="Akzent3" xfId="1551" xr:uid="{00000000-0005-0000-0000-00000E060000}"/>
    <cellStyle name="Akzent4" xfId="1552" xr:uid="{00000000-0005-0000-0000-00000F060000}"/>
    <cellStyle name="Akzent5" xfId="1553" xr:uid="{00000000-0005-0000-0000-000010060000}"/>
    <cellStyle name="Akzent6" xfId="1554" xr:uid="{00000000-0005-0000-0000-000011060000}"/>
    <cellStyle name="Ausgabe" xfId="1555" xr:uid="{00000000-0005-0000-0000-000012060000}"/>
    <cellStyle name="Bad" xfId="1556" builtinId="27" customBuiltin="1"/>
    <cellStyle name="Bad 10" xfId="1557" xr:uid="{00000000-0005-0000-0000-000014060000}"/>
    <cellStyle name="Bad 11" xfId="1558" xr:uid="{00000000-0005-0000-0000-000015060000}"/>
    <cellStyle name="Bad 12" xfId="1559" xr:uid="{00000000-0005-0000-0000-000016060000}"/>
    <cellStyle name="Bad 13" xfId="1560" xr:uid="{00000000-0005-0000-0000-000017060000}"/>
    <cellStyle name="Bad 14" xfId="1561" xr:uid="{00000000-0005-0000-0000-000018060000}"/>
    <cellStyle name="Bad 15" xfId="1562" xr:uid="{00000000-0005-0000-0000-000019060000}"/>
    <cellStyle name="Bad 16" xfId="1563" xr:uid="{00000000-0005-0000-0000-00001A060000}"/>
    <cellStyle name="Bad 17" xfId="1564" xr:uid="{00000000-0005-0000-0000-00001B060000}"/>
    <cellStyle name="Bad 18" xfId="1565" xr:uid="{00000000-0005-0000-0000-00001C060000}"/>
    <cellStyle name="Bad 19" xfId="1566" xr:uid="{00000000-0005-0000-0000-00001D060000}"/>
    <cellStyle name="Bad 2" xfId="1567" xr:uid="{00000000-0005-0000-0000-00001E060000}"/>
    <cellStyle name="Bad 2 10" xfId="1568" xr:uid="{00000000-0005-0000-0000-00001F060000}"/>
    <cellStyle name="Bad 2 2" xfId="1569" xr:uid="{00000000-0005-0000-0000-000020060000}"/>
    <cellStyle name="Bad 2 2 2" xfId="1570" xr:uid="{00000000-0005-0000-0000-000021060000}"/>
    <cellStyle name="Bad 2 3" xfId="1571" xr:uid="{00000000-0005-0000-0000-000022060000}"/>
    <cellStyle name="Bad 2 4" xfId="1572" xr:uid="{00000000-0005-0000-0000-000023060000}"/>
    <cellStyle name="Bad 2 5" xfId="1573" xr:uid="{00000000-0005-0000-0000-000024060000}"/>
    <cellStyle name="Bad 2 6" xfId="1574" xr:uid="{00000000-0005-0000-0000-000025060000}"/>
    <cellStyle name="Bad 2 7" xfId="1575" xr:uid="{00000000-0005-0000-0000-000026060000}"/>
    <cellStyle name="Bad 2 8" xfId="1576" xr:uid="{00000000-0005-0000-0000-000027060000}"/>
    <cellStyle name="Bad 2 9" xfId="1577" xr:uid="{00000000-0005-0000-0000-000028060000}"/>
    <cellStyle name="Bad 20" xfId="1578" xr:uid="{00000000-0005-0000-0000-000029060000}"/>
    <cellStyle name="Bad 21" xfId="1579" xr:uid="{00000000-0005-0000-0000-00002A060000}"/>
    <cellStyle name="Bad 22" xfId="1580" xr:uid="{00000000-0005-0000-0000-00002B060000}"/>
    <cellStyle name="Bad 23" xfId="1581" xr:uid="{00000000-0005-0000-0000-00002C060000}"/>
    <cellStyle name="Bad 24" xfId="1582" xr:uid="{00000000-0005-0000-0000-00002D060000}"/>
    <cellStyle name="Bad 25" xfId="1583" xr:uid="{00000000-0005-0000-0000-00002E060000}"/>
    <cellStyle name="Bad 26" xfId="1584" xr:uid="{00000000-0005-0000-0000-00002F060000}"/>
    <cellStyle name="Bad 27" xfId="1585" xr:uid="{00000000-0005-0000-0000-000030060000}"/>
    <cellStyle name="Bad 28" xfId="1586" xr:uid="{00000000-0005-0000-0000-000031060000}"/>
    <cellStyle name="Bad 29" xfId="1587" xr:uid="{00000000-0005-0000-0000-000032060000}"/>
    <cellStyle name="Bad 3" xfId="1588" xr:uid="{00000000-0005-0000-0000-000033060000}"/>
    <cellStyle name="Bad 3 2" xfId="1589" xr:uid="{00000000-0005-0000-0000-000034060000}"/>
    <cellStyle name="Bad 3 3" xfId="1590" xr:uid="{00000000-0005-0000-0000-000035060000}"/>
    <cellStyle name="Bad 3 3 2" xfId="1591" xr:uid="{00000000-0005-0000-0000-000036060000}"/>
    <cellStyle name="Bad 30" xfId="1592" xr:uid="{00000000-0005-0000-0000-000037060000}"/>
    <cellStyle name="Bad 31" xfId="1593" xr:uid="{00000000-0005-0000-0000-000038060000}"/>
    <cellStyle name="Bad 32" xfId="1594" xr:uid="{00000000-0005-0000-0000-000039060000}"/>
    <cellStyle name="Bad 33" xfId="1595" xr:uid="{00000000-0005-0000-0000-00003A060000}"/>
    <cellStyle name="Bad 34" xfId="1596" xr:uid="{00000000-0005-0000-0000-00003B060000}"/>
    <cellStyle name="Bad 35" xfId="1597" xr:uid="{00000000-0005-0000-0000-00003C060000}"/>
    <cellStyle name="Bad 36" xfId="1598" xr:uid="{00000000-0005-0000-0000-00003D060000}"/>
    <cellStyle name="Bad 37" xfId="1599" xr:uid="{00000000-0005-0000-0000-00003E060000}"/>
    <cellStyle name="Bad 38" xfId="1600" xr:uid="{00000000-0005-0000-0000-00003F060000}"/>
    <cellStyle name="Bad 39" xfId="1601" xr:uid="{00000000-0005-0000-0000-000040060000}"/>
    <cellStyle name="Bad 4" xfId="1602" xr:uid="{00000000-0005-0000-0000-000041060000}"/>
    <cellStyle name="Bad 40" xfId="1603" xr:uid="{00000000-0005-0000-0000-000042060000}"/>
    <cellStyle name="Bad 41" xfId="1604" xr:uid="{00000000-0005-0000-0000-000043060000}"/>
    <cellStyle name="Bad 42" xfId="1605" xr:uid="{00000000-0005-0000-0000-000044060000}"/>
    <cellStyle name="Bad 43" xfId="1606" xr:uid="{00000000-0005-0000-0000-000045060000}"/>
    <cellStyle name="Bad 44" xfId="1607" xr:uid="{00000000-0005-0000-0000-000046060000}"/>
    <cellStyle name="Bad 5" xfId="1608" xr:uid="{00000000-0005-0000-0000-000047060000}"/>
    <cellStyle name="Bad 6" xfId="1609" xr:uid="{00000000-0005-0000-0000-000048060000}"/>
    <cellStyle name="Bad 7" xfId="1610" xr:uid="{00000000-0005-0000-0000-000049060000}"/>
    <cellStyle name="Bad 8" xfId="1611" xr:uid="{00000000-0005-0000-0000-00004A060000}"/>
    <cellStyle name="Bad 9" xfId="1612" xr:uid="{00000000-0005-0000-0000-00004B060000}"/>
    <cellStyle name="Berechnung" xfId="1613" xr:uid="{00000000-0005-0000-0000-00004C060000}"/>
    <cellStyle name="Bold GHG Numbers (0.00)" xfId="1614" xr:uid="{00000000-0005-0000-0000-00004D060000}"/>
    <cellStyle name="Calculation" xfId="1615" builtinId="22" customBuiltin="1"/>
    <cellStyle name="Calculation 10" xfId="1616" xr:uid="{00000000-0005-0000-0000-00004F060000}"/>
    <cellStyle name="Calculation 11" xfId="1617" xr:uid="{00000000-0005-0000-0000-000050060000}"/>
    <cellStyle name="Calculation 12" xfId="1618" xr:uid="{00000000-0005-0000-0000-000051060000}"/>
    <cellStyle name="Calculation 13" xfId="1619" xr:uid="{00000000-0005-0000-0000-000052060000}"/>
    <cellStyle name="Calculation 14" xfId="1620" xr:uid="{00000000-0005-0000-0000-000053060000}"/>
    <cellStyle name="Calculation 15" xfId="1621" xr:uid="{00000000-0005-0000-0000-000054060000}"/>
    <cellStyle name="Calculation 16" xfId="1622" xr:uid="{00000000-0005-0000-0000-000055060000}"/>
    <cellStyle name="Calculation 17" xfId="1623" xr:uid="{00000000-0005-0000-0000-000056060000}"/>
    <cellStyle name="Calculation 18" xfId="1624" xr:uid="{00000000-0005-0000-0000-000057060000}"/>
    <cellStyle name="Calculation 19" xfId="1625" xr:uid="{00000000-0005-0000-0000-000058060000}"/>
    <cellStyle name="Calculation 2" xfId="1626" xr:uid="{00000000-0005-0000-0000-000059060000}"/>
    <cellStyle name="Calculation 2 10" xfId="1627" xr:uid="{00000000-0005-0000-0000-00005A060000}"/>
    <cellStyle name="Calculation 2 2" xfId="1628" xr:uid="{00000000-0005-0000-0000-00005B060000}"/>
    <cellStyle name="Calculation 2 2 2" xfId="1629" xr:uid="{00000000-0005-0000-0000-00005C060000}"/>
    <cellStyle name="Calculation 2 3" xfId="1630" xr:uid="{00000000-0005-0000-0000-00005D060000}"/>
    <cellStyle name="Calculation 2 4" xfId="1631" xr:uid="{00000000-0005-0000-0000-00005E060000}"/>
    <cellStyle name="Calculation 2 5" xfId="1632" xr:uid="{00000000-0005-0000-0000-00005F060000}"/>
    <cellStyle name="Calculation 2 6" xfId="1633" xr:uid="{00000000-0005-0000-0000-000060060000}"/>
    <cellStyle name="Calculation 2 7" xfId="1634" xr:uid="{00000000-0005-0000-0000-000061060000}"/>
    <cellStyle name="Calculation 2 8" xfId="1635" xr:uid="{00000000-0005-0000-0000-000062060000}"/>
    <cellStyle name="Calculation 2 9" xfId="1636" xr:uid="{00000000-0005-0000-0000-000063060000}"/>
    <cellStyle name="Calculation 20" xfId="1637" xr:uid="{00000000-0005-0000-0000-000064060000}"/>
    <cellStyle name="Calculation 21" xfId="1638" xr:uid="{00000000-0005-0000-0000-000065060000}"/>
    <cellStyle name="Calculation 22" xfId="1639" xr:uid="{00000000-0005-0000-0000-000066060000}"/>
    <cellStyle name="Calculation 23" xfId="1640" xr:uid="{00000000-0005-0000-0000-000067060000}"/>
    <cellStyle name="Calculation 24" xfId="1641" xr:uid="{00000000-0005-0000-0000-000068060000}"/>
    <cellStyle name="Calculation 25" xfId="1642" xr:uid="{00000000-0005-0000-0000-000069060000}"/>
    <cellStyle name="Calculation 26" xfId="1643" xr:uid="{00000000-0005-0000-0000-00006A060000}"/>
    <cellStyle name="Calculation 27" xfId="1644" xr:uid="{00000000-0005-0000-0000-00006B060000}"/>
    <cellStyle name="Calculation 28" xfId="1645" xr:uid="{00000000-0005-0000-0000-00006C060000}"/>
    <cellStyle name="Calculation 29" xfId="1646" xr:uid="{00000000-0005-0000-0000-00006D060000}"/>
    <cellStyle name="Calculation 3" xfId="1647" xr:uid="{00000000-0005-0000-0000-00006E060000}"/>
    <cellStyle name="Calculation 3 2" xfId="1648" xr:uid="{00000000-0005-0000-0000-00006F060000}"/>
    <cellStyle name="Calculation 3 3" xfId="1649" xr:uid="{00000000-0005-0000-0000-000070060000}"/>
    <cellStyle name="Calculation 3 3 2" xfId="1650" xr:uid="{00000000-0005-0000-0000-000071060000}"/>
    <cellStyle name="Calculation 30" xfId="1651" xr:uid="{00000000-0005-0000-0000-000072060000}"/>
    <cellStyle name="Calculation 31" xfId="1652" xr:uid="{00000000-0005-0000-0000-000073060000}"/>
    <cellStyle name="Calculation 32" xfId="1653" xr:uid="{00000000-0005-0000-0000-000074060000}"/>
    <cellStyle name="Calculation 33" xfId="1654" xr:uid="{00000000-0005-0000-0000-000075060000}"/>
    <cellStyle name="Calculation 34" xfId="1655" xr:uid="{00000000-0005-0000-0000-000076060000}"/>
    <cellStyle name="Calculation 35" xfId="1656" xr:uid="{00000000-0005-0000-0000-000077060000}"/>
    <cellStyle name="Calculation 36" xfId="1657" xr:uid="{00000000-0005-0000-0000-000078060000}"/>
    <cellStyle name="Calculation 37" xfId="1658" xr:uid="{00000000-0005-0000-0000-000079060000}"/>
    <cellStyle name="Calculation 38" xfId="1659" xr:uid="{00000000-0005-0000-0000-00007A060000}"/>
    <cellStyle name="Calculation 39" xfId="1660" xr:uid="{00000000-0005-0000-0000-00007B060000}"/>
    <cellStyle name="Calculation 4" xfId="1661" xr:uid="{00000000-0005-0000-0000-00007C060000}"/>
    <cellStyle name="Calculation 40" xfId="1662" xr:uid="{00000000-0005-0000-0000-00007D060000}"/>
    <cellStyle name="Calculation 41" xfId="1663" xr:uid="{00000000-0005-0000-0000-00007E060000}"/>
    <cellStyle name="Calculation 42" xfId="1664" xr:uid="{00000000-0005-0000-0000-00007F060000}"/>
    <cellStyle name="Calculation 43" xfId="1665" xr:uid="{00000000-0005-0000-0000-000080060000}"/>
    <cellStyle name="Calculation 5" xfId="1666" xr:uid="{00000000-0005-0000-0000-000081060000}"/>
    <cellStyle name="Calculation 6" xfId="1667" xr:uid="{00000000-0005-0000-0000-000082060000}"/>
    <cellStyle name="Calculation 7" xfId="1668" xr:uid="{00000000-0005-0000-0000-000083060000}"/>
    <cellStyle name="Calculation 8" xfId="1669" xr:uid="{00000000-0005-0000-0000-000084060000}"/>
    <cellStyle name="Calculation 9" xfId="1670" xr:uid="{00000000-0005-0000-0000-000085060000}"/>
    <cellStyle name="Check Cell" xfId="1671" builtinId="23" customBuiltin="1"/>
    <cellStyle name="Check Cell 10" xfId="1672" xr:uid="{00000000-0005-0000-0000-000087060000}"/>
    <cellStyle name="Check Cell 11" xfId="1673" xr:uid="{00000000-0005-0000-0000-000088060000}"/>
    <cellStyle name="Check Cell 12" xfId="1674" xr:uid="{00000000-0005-0000-0000-000089060000}"/>
    <cellStyle name="Check Cell 13" xfId="1675" xr:uid="{00000000-0005-0000-0000-00008A060000}"/>
    <cellStyle name="Check Cell 14" xfId="1676" xr:uid="{00000000-0005-0000-0000-00008B060000}"/>
    <cellStyle name="Check Cell 15" xfId="1677" xr:uid="{00000000-0005-0000-0000-00008C060000}"/>
    <cellStyle name="Check Cell 16" xfId="1678" xr:uid="{00000000-0005-0000-0000-00008D060000}"/>
    <cellStyle name="Check Cell 17" xfId="1679" xr:uid="{00000000-0005-0000-0000-00008E060000}"/>
    <cellStyle name="Check Cell 18" xfId="1680" xr:uid="{00000000-0005-0000-0000-00008F060000}"/>
    <cellStyle name="Check Cell 19" xfId="1681" xr:uid="{00000000-0005-0000-0000-000090060000}"/>
    <cellStyle name="Check Cell 2" xfId="1682" xr:uid="{00000000-0005-0000-0000-000091060000}"/>
    <cellStyle name="Check Cell 2 10" xfId="1683" xr:uid="{00000000-0005-0000-0000-000092060000}"/>
    <cellStyle name="Check Cell 2 2" xfId="1684" xr:uid="{00000000-0005-0000-0000-000093060000}"/>
    <cellStyle name="Check Cell 2 3" xfId="1685" xr:uid="{00000000-0005-0000-0000-000094060000}"/>
    <cellStyle name="Check Cell 2 4" xfId="1686" xr:uid="{00000000-0005-0000-0000-000095060000}"/>
    <cellStyle name="Check Cell 2 5" xfId="1687" xr:uid="{00000000-0005-0000-0000-000096060000}"/>
    <cellStyle name="Check Cell 2 6" xfId="1688" xr:uid="{00000000-0005-0000-0000-000097060000}"/>
    <cellStyle name="Check Cell 2 7" xfId="1689" xr:uid="{00000000-0005-0000-0000-000098060000}"/>
    <cellStyle name="Check Cell 2 8" xfId="1690" xr:uid="{00000000-0005-0000-0000-000099060000}"/>
    <cellStyle name="Check Cell 2 9" xfId="1691" xr:uid="{00000000-0005-0000-0000-00009A060000}"/>
    <cellStyle name="Check Cell 20" xfId="1692" xr:uid="{00000000-0005-0000-0000-00009B060000}"/>
    <cellStyle name="Check Cell 21" xfId="1693" xr:uid="{00000000-0005-0000-0000-00009C060000}"/>
    <cellStyle name="Check Cell 22" xfId="1694" xr:uid="{00000000-0005-0000-0000-00009D060000}"/>
    <cellStyle name="Check Cell 23" xfId="1695" xr:uid="{00000000-0005-0000-0000-00009E060000}"/>
    <cellStyle name="Check Cell 24" xfId="1696" xr:uid="{00000000-0005-0000-0000-00009F060000}"/>
    <cellStyle name="Check Cell 25" xfId="1697" xr:uid="{00000000-0005-0000-0000-0000A0060000}"/>
    <cellStyle name="Check Cell 26" xfId="1698" xr:uid="{00000000-0005-0000-0000-0000A1060000}"/>
    <cellStyle name="Check Cell 27" xfId="1699" xr:uid="{00000000-0005-0000-0000-0000A2060000}"/>
    <cellStyle name="Check Cell 28" xfId="1700" xr:uid="{00000000-0005-0000-0000-0000A3060000}"/>
    <cellStyle name="Check Cell 29" xfId="1701" xr:uid="{00000000-0005-0000-0000-0000A4060000}"/>
    <cellStyle name="Check Cell 3" xfId="1702" xr:uid="{00000000-0005-0000-0000-0000A5060000}"/>
    <cellStyle name="Check Cell 3 2" xfId="1703" xr:uid="{00000000-0005-0000-0000-0000A6060000}"/>
    <cellStyle name="Check Cell 30" xfId="1704" xr:uid="{00000000-0005-0000-0000-0000A7060000}"/>
    <cellStyle name="Check Cell 31" xfId="1705" xr:uid="{00000000-0005-0000-0000-0000A8060000}"/>
    <cellStyle name="Check Cell 32" xfId="1706" xr:uid="{00000000-0005-0000-0000-0000A9060000}"/>
    <cellStyle name="Check Cell 33" xfId="1707" xr:uid="{00000000-0005-0000-0000-0000AA060000}"/>
    <cellStyle name="Check Cell 34" xfId="1708" xr:uid="{00000000-0005-0000-0000-0000AB060000}"/>
    <cellStyle name="Check Cell 35" xfId="1709" xr:uid="{00000000-0005-0000-0000-0000AC060000}"/>
    <cellStyle name="Check Cell 36" xfId="1710" xr:uid="{00000000-0005-0000-0000-0000AD060000}"/>
    <cellStyle name="Check Cell 37" xfId="1711" xr:uid="{00000000-0005-0000-0000-0000AE060000}"/>
    <cellStyle name="Check Cell 38" xfId="1712" xr:uid="{00000000-0005-0000-0000-0000AF060000}"/>
    <cellStyle name="Check Cell 39" xfId="1713" xr:uid="{00000000-0005-0000-0000-0000B0060000}"/>
    <cellStyle name="Check Cell 4" xfId="1714" xr:uid="{00000000-0005-0000-0000-0000B1060000}"/>
    <cellStyle name="Check Cell 40" xfId="1715" xr:uid="{00000000-0005-0000-0000-0000B2060000}"/>
    <cellStyle name="Check Cell 41" xfId="1716" xr:uid="{00000000-0005-0000-0000-0000B3060000}"/>
    <cellStyle name="Check Cell 42" xfId="1717" xr:uid="{00000000-0005-0000-0000-0000B4060000}"/>
    <cellStyle name="Check Cell 43" xfId="1718" xr:uid="{00000000-0005-0000-0000-0000B5060000}"/>
    <cellStyle name="Check Cell 5" xfId="1719" xr:uid="{00000000-0005-0000-0000-0000B6060000}"/>
    <cellStyle name="Check Cell 6" xfId="1720" xr:uid="{00000000-0005-0000-0000-0000B7060000}"/>
    <cellStyle name="Check Cell 7" xfId="1721" xr:uid="{00000000-0005-0000-0000-0000B8060000}"/>
    <cellStyle name="Check Cell 8" xfId="1722" xr:uid="{00000000-0005-0000-0000-0000B9060000}"/>
    <cellStyle name="Check Cell 9" xfId="1723" xr:uid="{00000000-0005-0000-0000-0000BA060000}"/>
    <cellStyle name="coin" xfId="1724" xr:uid="{00000000-0005-0000-0000-0000BB060000}"/>
    <cellStyle name="Comma [0] 2 10" xfId="1725" xr:uid="{00000000-0005-0000-0000-0000BC060000}"/>
    <cellStyle name="Comma [0] 2 2" xfId="1726" xr:uid="{00000000-0005-0000-0000-0000BD060000}"/>
    <cellStyle name="Comma [0] 2 3" xfId="1727" xr:uid="{00000000-0005-0000-0000-0000BE060000}"/>
    <cellStyle name="Comma [0] 2 4" xfId="1728" xr:uid="{00000000-0005-0000-0000-0000BF060000}"/>
    <cellStyle name="Comma [0] 2 5" xfId="1729" xr:uid="{00000000-0005-0000-0000-0000C0060000}"/>
    <cellStyle name="Comma [0] 2 6" xfId="1730" xr:uid="{00000000-0005-0000-0000-0000C1060000}"/>
    <cellStyle name="Comma [0] 2 7" xfId="1731" xr:uid="{00000000-0005-0000-0000-0000C2060000}"/>
    <cellStyle name="Comma [0] 2 8" xfId="1732" xr:uid="{00000000-0005-0000-0000-0000C3060000}"/>
    <cellStyle name="Comma [0] 2 9" xfId="1733" xr:uid="{00000000-0005-0000-0000-0000C4060000}"/>
    <cellStyle name="Comma 10" xfId="1734" xr:uid="{00000000-0005-0000-0000-0000C5060000}"/>
    <cellStyle name="Comma 10 2" xfId="1735" xr:uid="{00000000-0005-0000-0000-0000C6060000}"/>
    <cellStyle name="Comma 10 2 10" xfId="1736" xr:uid="{00000000-0005-0000-0000-0000C7060000}"/>
    <cellStyle name="Comma 10 2 11" xfId="1737" xr:uid="{00000000-0005-0000-0000-0000C8060000}"/>
    <cellStyle name="Comma 10 2 12" xfId="1738" xr:uid="{00000000-0005-0000-0000-0000C9060000}"/>
    <cellStyle name="Comma 10 2 13" xfId="1739" xr:uid="{00000000-0005-0000-0000-0000CA060000}"/>
    <cellStyle name="Comma 10 2 14" xfId="1740" xr:uid="{00000000-0005-0000-0000-0000CB060000}"/>
    <cellStyle name="Comma 10 2 15" xfId="1741" xr:uid="{00000000-0005-0000-0000-0000CC060000}"/>
    <cellStyle name="Comma 10 2 16" xfId="1742" xr:uid="{00000000-0005-0000-0000-0000CD060000}"/>
    <cellStyle name="Comma 10 2 17" xfId="1743" xr:uid="{00000000-0005-0000-0000-0000CE060000}"/>
    <cellStyle name="Comma 10 2 2" xfId="1744" xr:uid="{00000000-0005-0000-0000-0000CF060000}"/>
    <cellStyle name="Comma 10 2 3" xfId="1745" xr:uid="{00000000-0005-0000-0000-0000D0060000}"/>
    <cellStyle name="Comma 10 2 4" xfId="1746" xr:uid="{00000000-0005-0000-0000-0000D1060000}"/>
    <cellStyle name="Comma 10 2 5" xfId="1747" xr:uid="{00000000-0005-0000-0000-0000D2060000}"/>
    <cellStyle name="Comma 10 2 6" xfId="1748" xr:uid="{00000000-0005-0000-0000-0000D3060000}"/>
    <cellStyle name="Comma 10 2 7" xfId="1749" xr:uid="{00000000-0005-0000-0000-0000D4060000}"/>
    <cellStyle name="Comma 10 2 8" xfId="1750" xr:uid="{00000000-0005-0000-0000-0000D5060000}"/>
    <cellStyle name="Comma 10 2 9" xfId="1751" xr:uid="{00000000-0005-0000-0000-0000D6060000}"/>
    <cellStyle name="Comma 10 3" xfId="1752" xr:uid="{00000000-0005-0000-0000-0000D7060000}"/>
    <cellStyle name="Comma 10 3 10" xfId="1753" xr:uid="{00000000-0005-0000-0000-0000D8060000}"/>
    <cellStyle name="Comma 10 3 11" xfId="1754" xr:uid="{00000000-0005-0000-0000-0000D9060000}"/>
    <cellStyle name="Comma 10 3 12" xfId="1755" xr:uid="{00000000-0005-0000-0000-0000DA060000}"/>
    <cellStyle name="Comma 10 3 13" xfId="1756" xr:uid="{00000000-0005-0000-0000-0000DB060000}"/>
    <cellStyle name="Comma 10 3 14" xfId="1757" xr:uid="{00000000-0005-0000-0000-0000DC060000}"/>
    <cellStyle name="Comma 10 3 15" xfId="1758" xr:uid="{00000000-0005-0000-0000-0000DD060000}"/>
    <cellStyle name="Comma 10 3 16" xfId="1759" xr:uid="{00000000-0005-0000-0000-0000DE060000}"/>
    <cellStyle name="Comma 10 3 17" xfId="1760" xr:uid="{00000000-0005-0000-0000-0000DF060000}"/>
    <cellStyle name="Comma 10 3 2" xfId="1761" xr:uid="{00000000-0005-0000-0000-0000E0060000}"/>
    <cellStyle name="Comma 10 3 3" xfId="1762" xr:uid="{00000000-0005-0000-0000-0000E1060000}"/>
    <cellStyle name="Comma 10 3 4" xfId="1763" xr:uid="{00000000-0005-0000-0000-0000E2060000}"/>
    <cellStyle name="Comma 10 3 5" xfId="1764" xr:uid="{00000000-0005-0000-0000-0000E3060000}"/>
    <cellStyle name="Comma 10 3 6" xfId="1765" xr:uid="{00000000-0005-0000-0000-0000E4060000}"/>
    <cellStyle name="Comma 10 3 7" xfId="1766" xr:uid="{00000000-0005-0000-0000-0000E5060000}"/>
    <cellStyle name="Comma 10 3 8" xfId="1767" xr:uid="{00000000-0005-0000-0000-0000E6060000}"/>
    <cellStyle name="Comma 10 3 9" xfId="1768" xr:uid="{00000000-0005-0000-0000-0000E7060000}"/>
    <cellStyle name="Comma 10 4" xfId="1769" xr:uid="{00000000-0005-0000-0000-0000E8060000}"/>
    <cellStyle name="Comma 10 4 10" xfId="1770" xr:uid="{00000000-0005-0000-0000-0000E9060000}"/>
    <cellStyle name="Comma 10 4 11" xfId="1771" xr:uid="{00000000-0005-0000-0000-0000EA060000}"/>
    <cellStyle name="Comma 10 4 12" xfId="1772" xr:uid="{00000000-0005-0000-0000-0000EB060000}"/>
    <cellStyle name="Comma 10 4 13" xfId="1773" xr:uid="{00000000-0005-0000-0000-0000EC060000}"/>
    <cellStyle name="Comma 10 4 14" xfId="1774" xr:uid="{00000000-0005-0000-0000-0000ED060000}"/>
    <cellStyle name="Comma 10 4 15" xfId="1775" xr:uid="{00000000-0005-0000-0000-0000EE060000}"/>
    <cellStyle name="Comma 10 4 16" xfId="1776" xr:uid="{00000000-0005-0000-0000-0000EF060000}"/>
    <cellStyle name="Comma 10 4 17" xfId="1777" xr:uid="{00000000-0005-0000-0000-0000F0060000}"/>
    <cellStyle name="Comma 10 4 2" xfId="1778" xr:uid="{00000000-0005-0000-0000-0000F1060000}"/>
    <cellStyle name="Comma 10 4 3" xfId="1779" xr:uid="{00000000-0005-0000-0000-0000F2060000}"/>
    <cellStyle name="Comma 10 4 4" xfId="1780" xr:uid="{00000000-0005-0000-0000-0000F3060000}"/>
    <cellStyle name="Comma 10 4 5" xfId="1781" xr:uid="{00000000-0005-0000-0000-0000F4060000}"/>
    <cellStyle name="Comma 10 4 6" xfId="1782" xr:uid="{00000000-0005-0000-0000-0000F5060000}"/>
    <cellStyle name="Comma 10 4 7" xfId="1783" xr:uid="{00000000-0005-0000-0000-0000F6060000}"/>
    <cellStyle name="Comma 10 4 8" xfId="1784" xr:uid="{00000000-0005-0000-0000-0000F7060000}"/>
    <cellStyle name="Comma 10 4 9" xfId="1785" xr:uid="{00000000-0005-0000-0000-0000F8060000}"/>
    <cellStyle name="Comma 10 5" xfId="1786" xr:uid="{00000000-0005-0000-0000-0000F9060000}"/>
    <cellStyle name="Comma 10 5 10" xfId="1787" xr:uid="{00000000-0005-0000-0000-0000FA060000}"/>
    <cellStyle name="Comma 10 5 11" xfId="1788" xr:uid="{00000000-0005-0000-0000-0000FB060000}"/>
    <cellStyle name="Comma 10 5 12" xfId="1789" xr:uid="{00000000-0005-0000-0000-0000FC060000}"/>
    <cellStyle name="Comma 10 5 13" xfId="1790" xr:uid="{00000000-0005-0000-0000-0000FD060000}"/>
    <cellStyle name="Comma 10 5 14" xfId="1791" xr:uid="{00000000-0005-0000-0000-0000FE060000}"/>
    <cellStyle name="Comma 10 5 15" xfId="1792" xr:uid="{00000000-0005-0000-0000-0000FF060000}"/>
    <cellStyle name="Comma 10 5 16" xfId="1793" xr:uid="{00000000-0005-0000-0000-000000070000}"/>
    <cellStyle name="Comma 10 5 17" xfId="1794" xr:uid="{00000000-0005-0000-0000-000001070000}"/>
    <cellStyle name="Comma 10 5 2" xfId="1795" xr:uid="{00000000-0005-0000-0000-000002070000}"/>
    <cellStyle name="Comma 10 5 3" xfId="1796" xr:uid="{00000000-0005-0000-0000-000003070000}"/>
    <cellStyle name="Comma 10 5 4" xfId="1797" xr:uid="{00000000-0005-0000-0000-000004070000}"/>
    <cellStyle name="Comma 10 5 5" xfId="1798" xr:uid="{00000000-0005-0000-0000-000005070000}"/>
    <cellStyle name="Comma 10 5 6" xfId="1799" xr:uid="{00000000-0005-0000-0000-000006070000}"/>
    <cellStyle name="Comma 10 5 7" xfId="1800" xr:uid="{00000000-0005-0000-0000-000007070000}"/>
    <cellStyle name="Comma 10 5 8" xfId="1801" xr:uid="{00000000-0005-0000-0000-000008070000}"/>
    <cellStyle name="Comma 10 5 9" xfId="1802" xr:uid="{00000000-0005-0000-0000-000009070000}"/>
    <cellStyle name="Comma 10 6" xfId="1803" xr:uid="{00000000-0005-0000-0000-00000A070000}"/>
    <cellStyle name="Comma 10 6 10" xfId="1804" xr:uid="{00000000-0005-0000-0000-00000B070000}"/>
    <cellStyle name="Comma 10 6 11" xfId="1805" xr:uid="{00000000-0005-0000-0000-00000C070000}"/>
    <cellStyle name="Comma 10 6 12" xfId="1806" xr:uid="{00000000-0005-0000-0000-00000D070000}"/>
    <cellStyle name="Comma 10 6 13" xfId="1807" xr:uid="{00000000-0005-0000-0000-00000E070000}"/>
    <cellStyle name="Comma 10 6 14" xfId="1808" xr:uid="{00000000-0005-0000-0000-00000F070000}"/>
    <cellStyle name="Comma 10 6 15" xfId="1809" xr:uid="{00000000-0005-0000-0000-000010070000}"/>
    <cellStyle name="Comma 10 6 16" xfId="1810" xr:uid="{00000000-0005-0000-0000-000011070000}"/>
    <cellStyle name="Comma 10 6 17" xfId="1811" xr:uid="{00000000-0005-0000-0000-000012070000}"/>
    <cellStyle name="Comma 10 6 2" xfId="1812" xr:uid="{00000000-0005-0000-0000-000013070000}"/>
    <cellStyle name="Comma 10 6 3" xfId="1813" xr:uid="{00000000-0005-0000-0000-000014070000}"/>
    <cellStyle name="Comma 10 6 4" xfId="1814" xr:uid="{00000000-0005-0000-0000-000015070000}"/>
    <cellStyle name="Comma 10 6 5" xfId="1815" xr:uid="{00000000-0005-0000-0000-000016070000}"/>
    <cellStyle name="Comma 10 6 6" xfId="1816" xr:uid="{00000000-0005-0000-0000-000017070000}"/>
    <cellStyle name="Comma 10 6 7" xfId="1817" xr:uid="{00000000-0005-0000-0000-000018070000}"/>
    <cellStyle name="Comma 10 6 8" xfId="1818" xr:uid="{00000000-0005-0000-0000-000019070000}"/>
    <cellStyle name="Comma 10 6 9" xfId="1819" xr:uid="{00000000-0005-0000-0000-00001A070000}"/>
    <cellStyle name="Comma 10 7" xfId="1820" xr:uid="{00000000-0005-0000-0000-00001B070000}"/>
    <cellStyle name="Comma 10 7 10" xfId="1821" xr:uid="{00000000-0005-0000-0000-00001C070000}"/>
    <cellStyle name="Comma 10 7 11" xfId="1822" xr:uid="{00000000-0005-0000-0000-00001D070000}"/>
    <cellStyle name="Comma 10 7 12" xfId="1823" xr:uid="{00000000-0005-0000-0000-00001E070000}"/>
    <cellStyle name="Comma 10 7 13" xfId="1824" xr:uid="{00000000-0005-0000-0000-00001F070000}"/>
    <cellStyle name="Comma 10 7 14" xfId="1825" xr:uid="{00000000-0005-0000-0000-000020070000}"/>
    <cellStyle name="Comma 10 7 15" xfId="1826" xr:uid="{00000000-0005-0000-0000-000021070000}"/>
    <cellStyle name="Comma 10 7 16" xfId="1827" xr:uid="{00000000-0005-0000-0000-000022070000}"/>
    <cellStyle name="Comma 10 7 17" xfId="1828" xr:uid="{00000000-0005-0000-0000-000023070000}"/>
    <cellStyle name="Comma 10 7 2" xfId="1829" xr:uid="{00000000-0005-0000-0000-000024070000}"/>
    <cellStyle name="Comma 10 7 3" xfId="1830" xr:uid="{00000000-0005-0000-0000-000025070000}"/>
    <cellStyle name="Comma 10 7 4" xfId="1831" xr:uid="{00000000-0005-0000-0000-000026070000}"/>
    <cellStyle name="Comma 10 7 5" xfId="1832" xr:uid="{00000000-0005-0000-0000-000027070000}"/>
    <cellStyle name="Comma 10 7 6" xfId="1833" xr:uid="{00000000-0005-0000-0000-000028070000}"/>
    <cellStyle name="Comma 10 7 7" xfId="1834" xr:uid="{00000000-0005-0000-0000-000029070000}"/>
    <cellStyle name="Comma 10 7 8" xfId="1835" xr:uid="{00000000-0005-0000-0000-00002A070000}"/>
    <cellStyle name="Comma 10 7 9" xfId="1836" xr:uid="{00000000-0005-0000-0000-00002B070000}"/>
    <cellStyle name="Comma 10 8" xfId="1837" xr:uid="{00000000-0005-0000-0000-00002C070000}"/>
    <cellStyle name="Comma 10 8 10" xfId="1838" xr:uid="{00000000-0005-0000-0000-00002D070000}"/>
    <cellStyle name="Comma 10 8 11" xfId="1839" xr:uid="{00000000-0005-0000-0000-00002E070000}"/>
    <cellStyle name="Comma 10 8 12" xfId="1840" xr:uid="{00000000-0005-0000-0000-00002F070000}"/>
    <cellStyle name="Comma 10 8 13" xfId="1841" xr:uid="{00000000-0005-0000-0000-000030070000}"/>
    <cellStyle name="Comma 10 8 14" xfId="1842" xr:uid="{00000000-0005-0000-0000-000031070000}"/>
    <cellStyle name="Comma 10 8 15" xfId="1843" xr:uid="{00000000-0005-0000-0000-000032070000}"/>
    <cellStyle name="Comma 10 8 16" xfId="1844" xr:uid="{00000000-0005-0000-0000-000033070000}"/>
    <cellStyle name="Comma 10 8 17" xfId="1845" xr:uid="{00000000-0005-0000-0000-000034070000}"/>
    <cellStyle name="Comma 10 8 2" xfId="1846" xr:uid="{00000000-0005-0000-0000-000035070000}"/>
    <cellStyle name="Comma 10 8 3" xfId="1847" xr:uid="{00000000-0005-0000-0000-000036070000}"/>
    <cellStyle name="Comma 10 8 4" xfId="1848" xr:uid="{00000000-0005-0000-0000-000037070000}"/>
    <cellStyle name="Comma 10 8 5" xfId="1849" xr:uid="{00000000-0005-0000-0000-000038070000}"/>
    <cellStyle name="Comma 10 8 6" xfId="1850" xr:uid="{00000000-0005-0000-0000-000039070000}"/>
    <cellStyle name="Comma 10 8 7" xfId="1851" xr:uid="{00000000-0005-0000-0000-00003A070000}"/>
    <cellStyle name="Comma 10 8 8" xfId="1852" xr:uid="{00000000-0005-0000-0000-00003B070000}"/>
    <cellStyle name="Comma 10 8 9" xfId="1853" xr:uid="{00000000-0005-0000-0000-00003C070000}"/>
    <cellStyle name="Comma 11" xfId="1854" xr:uid="{00000000-0005-0000-0000-00003D070000}"/>
    <cellStyle name="Comma 12" xfId="1855" xr:uid="{00000000-0005-0000-0000-00003E070000}"/>
    <cellStyle name="Comma 13" xfId="1856" xr:uid="{00000000-0005-0000-0000-00003F070000}"/>
    <cellStyle name="Comma 14" xfId="1857" xr:uid="{00000000-0005-0000-0000-000040070000}"/>
    <cellStyle name="Comma 14 2" xfId="1858" xr:uid="{00000000-0005-0000-0000-000041070000}"/>
    <cellStyle name="Comma 15" xfId="1859" xr:uid="{00000000-0005-0000-0000-000042070000}"/>
    <cellStyle name="Comma 16" xfId="1860" xr:uid="{00000000-0005-0000-0000-000043070000}"/>
    <cellStyle name="Comma 17" xfId="1861" xr:uid="{00000000-0005-0000-0000-000044070000}"/>
    <cellStyle name="Comma 18" xfId="1862" xr:uid="{00000000-0005-0000-0000-000045070000}"/>
    <cellStyle name="Comma 19" xfId="1863" xr:uid="{00000000-0005-0000-0000-000046070000}"/>
    <cellStyle name="Comma 2" xfId="1864" xr:uid="{00000000-0005-0000-0000-000047070000}"/>
    <cellStyle name="Comma 2 10" xfId="1865" xr:uid="{00000000-0005-0000-0000-000048070000}"/>
    <cellStyle name="Comma 2 10 2" xfId="1866" xr:uid="{00000000-0005-0000-0000-000049070000}"/>
    <cellStyle name="Comma 2 10 2 2" xfId="1867" xr:uid="{00000000-0005-0000-0000-00004A070000}"/>
    <cellStyle name="Comma 2 11" xfId="1868" xr:uid="{00000000-0005-0000-0000-00004B070000}"/>
    <cellStyle name="Comma 2 11 2" xfId="1869" xr:uid="{00000000-0005-0000-0000-00004C070000}"/>
    <cellStyle name="Comma 2 11 2 2" xfId="1870" xr:uid="{00000000-0005-0000-0000-00004D070000}"/>
    <cellStyle name="Comma 2 12" xfId="1871" xr:uid="{00000000-0005-0000-0000-00004E070000}"/>
    <cellStyle name="Comma 2 12 2" xfId="1872" xr:uid="{00000000-0005-0000-0000-00004F070000}"/>
    <cellStyle name="Comma 2 12 2 2" xfId="1873" xr:uid="{00000000-0005-0000-0000-000050070000}"/>
    <cellStyle name="Comma 2 13" xfId="1874" xr:uid="{00000000-0005-0000-0000-000051070000}"/>
    <cellStyle name="Comma 2 13 2" xfId="1875" xr:uid="{00000000-0005-0000-0000-000052070000}"/>
    <cellStyle name="Comma 2 13 2 2" xfId="1876" xr:uid="{00000000-0005-0000-0000-000053070000}"/>
    <cellStyle name="Comma 2 14" xfId="1877" xr:uid="{00000000-0005-0000-0000-000054070000}"/>
    <cellStyle name="Comma 2 14 2" xfId="1878" xr:uid="{00000000-0005-0000-0000-000055070000}"/>
    <cellStyle name="Comma 2 15" xfId="1879" xr:uid="{00000000-0005-0000-0000-000056070000}"/>
    <cellStyle name="Comma 2 15 2" xfId="1880" xr:uid="{00000000-0005-0000-0000-000057070000}"/>
    <cellStyle name="Comma 2 16" xfId="1881" xr:uid="{00000000-0005-0000-0000-000058070000}"/>
    <cellStyle name="Comma 2 16 2" xfId="1882" xr:uid="{00000000-0005-0000-0000-000059070000}"/>
    <cellStyle name="Comma 2 17" xfId="1883" xr:uid="{00000000-0005-0000-0000-00005A070000}"/>
    <cellStyle name="Comma 2 18" xfId="1884" xr:uid="{00000000-0005-0000-0000-00005B070000}"/>
    <cellStyle name="Comma 2 19" xfId="1885" xr:uid="{00000000-0005-0000-0000-00005C070000}"/>
    <cellStyle name="Comma 2 19 2" xfId="1886" xr:uid="{00000000-0005-0000-0000-00005D070000}"/>
    <cellStyle name="Comma 2 2" xfId="1887" xr:uid="{00000000-0005-0000-0000-00005E070000}"/>
    <cellStyle name="Comma 2 2 2" xfId="1888" xr:uid="{00000000-0005-0000-0000-00005F070000}"/>
    <cellStyle name="Comma 2 2 2 2" xfId="1889" xr:uid="{00000000-0005-0000-0000-000060070000}"/>
    <cellStyle name="Comma 2 2 2 3" xfId="1890" xr:uid="{00000000-0005-0000-0000-000061070000}"/>
    <cellStyle name="Comma 2 2 2 4" xfId="1891" xr:uid="{00000000-0005-0000-0000-000062070000}"/>
    <cellStyle name="Comma 2 2 2 4 2" xfId="1892" xr:uid="{00000000-0005-0000-0000-000063070000}"/>
    <cellStyle name="Comma 2 2 2 4 3" xfId="1893" xr:uid="{00000000-0005-0000-0000-000064070000}"/>
    <cellStyle name="Comma 2 2 2 5" xfId="1894" xr:uid="{00000000-0005-0000-0000-000065070000}"/>
    <cellStyle name="Comma 2 2 2 6" xfId="1895" xr:uid="{00000000-0005-0000-0000-000066070000}"/>
    <cellStyle name="Comma 2 2 2 6 2" xfId="1896" xr:uid="{00000000-0005-0000-0000-000067070000}"/>
    <cellStyle name="Comma 2 2 3" xfId="1897" xr:uid="{00000000-0005-0000-0000-000068070000}"/>
    <cellStyle name="Comma 2 2 3 2" xfId="1898" xr:uid="{00000000-0005-0000-0000-000069070000}"/>
    <cellStyle name="Comma 2 2 3 3" xfId="1899" xr:uid="{00000000-0005-0000-0000-00006A070000}"/>
    <cellStyle name="Comma 2 2 3 4" xfId="1900" xr:uid="{00000000-0005-0000-0000-00006B070000}"/>
    <cellStyle name="Comma 2 2 3 4 2" xfId="1901" xr:uid="{00000000-0005-0000-0000-00006C070000}"/>
    <cellStyle name="Comma 2 2 3 5" xfId="1902" xr:uid="{00000000-0005-0000-0000-00006D070000}"/>
    <cellStyle name="Comma 2 2 3 5 2" xfId="1903" xr:uid="{00000000-0005-0000-0000-00006E070000}"/>
    <cellStyle name="Comma 2 2 4" xfId="1904" xr:uid="{00000000-0005-0000-0000-00006F070000}"/>
    <cellStyle name="Comma 2 2 4 2" xfId="1905" xr:uid="{00000000-0005-0000-0000-000070070000}"/>
    <cellStyle name="Comma 2 2 4 3" xfId="1906" xr:uid="{00000000-0005-0000-0000-000071070000}"/>
    <cellStyle name="Comma 2 2 4 4" xfId="1907" xr:uid="{00000000-0005-0000-0000-000072070000}"/>
    <cellStyle name="Comma 2 2 5" xfId="1908" xr:uid="{00000000-0005-0000-0000-000073070000}"/>
    <cellStyle name="Comma 2 2 6" xfId="1909" xr:uid="{00000000-0005-0000-0000-000074070000}"/>
    <cellStyle name="Comma 2 2 6 2" xfId="1910" xr:uid="{00000000-0005-0000-0000-000075070000}"/>
    <cellStyle name="Comma 2 2 6 3" xfId="1911" xr:uid="{00000000-0005-0000-0000-000076070000}"/>
    <cellStyle name="Comma 2 2 6 4" xfId="1912" xr:uid="{00000000-0005-0000-0000-000077070000}"/>
    <cellStyle name="Comma 2 2 7" xfId="1913" xr:uid="{00000000-0005-0000-0000-000078070000}"/>
    <cellStyle name="Comma 2 2 8" xfId="1914" xr:uid="{00000000-0005-0000-0000-000079070000}"/>
    <cellStyle name="Comma 2 2 8 2" xfId="1915" xr:uid="{00000000-0005-0000-0000-00007A070000}"/>
    <cellStyle name="Comma 2 2 9" xfId="1916" xr:uid="{00000000-0005-0000-0000-00007B070000}"/>
    <cellStyle name="Comma 2 20" xfId="1917" xr:uid="{00000000-0005-0000-0000-00007C070000}"/>
    <cellStyle name="Comma 2 21" xfId="1918" xr:uid="{00000000-0005-0000-0000-00007D070000}"/>
    <cellStyle name="Comma 2 3" xfId="1919" xr:uid="{00000000-0005-0000-0000-00007E070000}"/>
    <cellStyle name="Comma 2 3 2" xfId="1920" xr:uid="{00000000-0005-0000-0000-00007F070000}"/>
    <cellStyle name="Comma 2 3 2 2" xfId="1921" xr:uid="{00000000-0005-0000-0000-000080070000}"/>
    <cellStyle name="Comma 2 3 2 3" xfId="1922" xr:uid="{00000000-0005-0000-0000-000081070000}"/>
    <cellStyle name="Comma 2 3 2 4" xfId="1923" xr:uid="{00000000-0005-0000-0000-000082070000}"/>
    <cellStyle name="Comma 2 3 2 4 2" xfId="1924" xr:uid="{00000000-0005-0000-0000-000083070000}"/>
    <cellStyle name="Comma 2 3 2 4 3" xfId="1925" xr:uid="{00000000-0005-0000-0000-000084070000}"/>
    <cellStyle name="Comma 2 3 2 4 4" xfId="1926" xr:uid="{00000000-0005-0000-0000-000085070000}"/>
    <cellStyle name="Comma 2 3 2 5" xfId="1927" xr:uid="{00000000-0005-0000-0000-000086070000}"/>
    <cellStyle name="Comma 2 3 3" xfId="1928" xr:uid="{00000000-0005-0000-0000-000087070000}"/>
    <cellStyle name="Comma 2 3 3 2" xfId="1929" xr:uid="{00000000-0005-0000-0000-000088070000}"/>
    <cellStyle name="Comma 2 3 3 3" xfId="1930" xr:uid="{00000000-0005-0000-0000-000089070000}"/>
    <cellStyle name="Comma 2 3 3 4" xfId="1931" xr:uid="{00000000-0005-0000-0000-00008A070000}"/>
    <cellStyle name="Comma 2 3 3 4 2" xfId="1932" xr:uid="{00000000-0005-0000-0000-00008B070000}"/>
    <cellStyle name="Comma 2 3 4" xfId="1933" xr:uid="{00000000-0005-0000-0000-00008C070000}"/>
    <cellStyle name="Comma 2 3 4 2" xfId="1934" xr:uid="{00000000-0005-0000-0000-00008D070000}"/>
    <cellStyle name="Comma 2 3 5" xfId="1935" xr:uid="{00000000-0005-0000-0000-00008E070000}"/>
    <cellStyle name="Comma 2 3 6" xfId="1936" xr:uid="{00000000-0005-0000-0000-00008F070000}"/>
    <cellStyle name="Comma 2 3 6 2" xfId="1937" xr:uid="{00000000-0005-0000-0000-000090070000}"/>
    <cellStyle name="Comma 2 3 7" xfId="1938" xr:uid="{00000000-0005-0000-0000-000091070000}"/>
    <cellStyle name="Comma 2 3 7 2" xfId="1939" xr:uid="{00000000-0005-0000-0000-000092070000}"/>
    <cellStyle name="Comma 2 3 8" xfId="1940" xr:uid="{00000000-0005-0000-0000-000093070000}"/>
    <cellStyle name="Comma 2 4" xfId="1941" xr:uid="{00000000-0005-0000-0000-000094070000}"/>
    <cellStyle name="Comma 2 4 2" xfId="1942" xr:uid="{00000000-0005-0000-0000-000095070000}"/>
    <cellStyle name="Comma 2 4 3" xfId="1943" xr:uid="{00000000-0005-0000-0000-000096070000}"/>
    <cellStyle name="Comma 2 4 4" xfId="1944" xr:uid="{00000000-0005-0000-0000-000097070000}"/>
    <cellStyle name="Comma 2 4 4 2" xfId="1945" xr:uid="{00000000-0005-0000-0000-000098070000}"/>
    <cellStyle name="Comma 2 4 4 3" xfId="1946" xr:uid="{00000000-0005-0000-0000-000099070000}"/>
    <cellStyle name="Comma 2 4 4 4" xfId="1947" xr:uid="{00000000-0005-0000-0000-00009A070000}"/>
    <cellStyle name="Comma 2 4 5" xfId="1948" xr:uid="{00000000-0005-0000-0000-00009B070000}"/>
    <cellStyle name="Comma 2 4 6" xfId="1949" xr:uid="{00000000-0005-0000-0000-00009C070000}"/>
    <cellStyle name="Comma 2 4 6 2" xfId="1950" xr:uid="{00000000-0005-0000-0000-00009D070000}"/>
    <cellStyle name="Comma 2 4 7" xfId="1951" xr:uid="{00000000-0005-0000-0000-00009E070000}"/>
    <cellStyle name="Comma 2 5" xfId="1952" xr:uid="{00000000-0005-0000-0000-00009F070000}"/>
    <cellStyle name="Comma 2 5 2" xfId="1953" xr:uid="{00000000-0005-0000-0000-0000A0070000}"/>
    <cellStyle name="Comma 2 5 3" xfId="1954" xr:uid="{00000000-0005-0000-0000-0000A1070000}"/>
    <cellStyle name="Comma 2 5 4" xfId="1955" xr:uid="{00000000-0005-0000-0000-0000A2070000}"/>
    <cellStyle name="Comma 2 5 4 2" xfId="1956" xr:uid="{00000000-0005-0000-0000-0000A3070000}"/>
    <cellStyle name="Comma 2 5 5" xfId="1957" xr:uid="{00000000-0005-0000-0000-0000A4070000}"/>
    <cellStyle name="Comma 2 5 5 2" xfId="1958" xr:uid="{00000000-0005-0000-0000-0000A5070000}"/>
    <cellStyle name="Comma 2 6" xfId="1959" xr:uid="{00000000-0005-0000-0000-0000A6070000}"/>
    <cellStyle name="Comma 2 6 2" xfId="1960" xr:uid="{00000000-0005-0000-0000-0000A7070000}"/>
    <cellStyle name="Comma 2 6 2 2" xfId="1961" xr:uid="{00000000-0005-0000-0000-0000A8070000}"/>
    <cellStyle name="Comma 2 6 3" xfId="1962" xr:uid="{00000000-0005-0000-0000-0000A9070000}"/>
    <cellStyle name="Comma 2 6 3 2" xfId="1963" xr:uid="{00000000-0005-0000-0000-0000AA070000}"/>
    <cellStyle name="Comma 2 7" xfId="1964" xr:uid="{00000000-0005-0000-0000-0000AB070000}"/>
    <cellStyle name="Comma 2 7 2" xfId="1965" xr:uid="{00000000-0005-0000-0000-0000AC070000}"/>
    <cellStyle name="Comma 2 7 2 2" xfId="1966" xr:uid="{00000000-0005-0000-0000-0000AD070000}"/>
    <cellStyle name="Comma 2 7 3" xfId="1967" xr:uid="{00000000-0005-0000-0000-0000AE070000}"/>
    <cellStyle name="Comma 2 7 3 2" xfId="1968" xr:uid="{00000000-0005-0000-0000-0000AF070000}"/>
    <cellStyle name="Comma 2 8" xfId="1969" xr:uid="{00000000-0005-0000-0000-0000B0070000}"/>
    <cellStyle name="Comma 2 8 2" xfId="1970" xr:uid="{00000000-0005-0000-0000-0000B1070000}"/>
    <cellStyle name="Comma 2 8 3" xfId="1971" xr:uid="{00000000-0005-0000-0000-0000B2070000}"/>
    <cellStyle name="Comma 2 8 4" xfId="1972" xr:uid="{00000000-0005-0000-0000-0000B3070000}"/>
    <cellStyle name="Comma 2 8 5" xfId="1973" xr:uid="{00000000-0005-0000-0000-0000B4070000}"/>
    <cellStyle name="Comma 2 8 6" xfId="1974" xr:uid="{00000000-0005-0000-0000-0000B5070000}"/>
    <cellStyle name="Comma 2 9" xfId="1975" xr:uid="{00000000-0005-0000-0000-0000B6070000}"/>
    <cellStyle name="Comma 2 9 2" xfId="1976" xr:uid="{00000000-0005-0000-0000-0000B7070000}"/>
    <cellStyle name="Comma 2 9 2 2" xfId="1977" xr:uid="{00000000-0005-0000-0000-0000B8070000}"/>
    <cellStyle name="Comma 2_PrimaryEnergyPrices_TIMES" xfId="1978" xr:uid="{00000000-0005-0000-0000-0000B9070000}"/>
    <cellStyle name="Comma 3" xfId="1979" xr:uid="{00000000-0005-0000-0000-0000BA070000}"/>
    <cellStyle name="Comma 3 10" xfId="1980" xr:uid="{00000000-0005-0000-0000-0000BB070000}"/>
    <cellStyle name="Comma 3 11" xfId="1981" xr:uid="{00000000-0005-0000-0000-0000BC070000}"/>
    <cellStyle name="Comma 3 12" xfId="1982" xr:uid="{00000000-0005-0000-0000-0000BD070000}"/>
    <cellStyle name="Comma 3 2" xfId="1983" xr:uid="{00000000-0005-0000-0000-0000BE070000}"/>
    <cellStyle name="Comma 3 2 2" xfId="1984" xr:uid="{00000000-0005-0000-0000-0000BF070000}"/>
    <cellStyle name="Comma 3 2 3" xfId="1985" xr:uid="{00000000-0005-0000-0000-0000C0070000}"/>
    <cellStyle name="Comma 3 2 3 2" xfId="1986" xr:uid="{00000000-0005-0000-0000-0000C1070000}"/>
    <cellStyle name="Comma 3 2 4" xfId="1987" xr:uid="{00000000-0005-0000-0000-0000C2070000}"/>
    <cellStyle name="Comma 3 3" xfId="1988" xr:uid="{00000000-0005-0000-0000-0000C3070000}"/>
    <cellStyle name="Comma 3 3 2" xfId="1989" xr:uid="{00000000-0005-0000-0000-0000C4070000}"/>
    <cellStyle name="Comma 3 3 2 2" xfId="1990" xr:uid="{00000000-0005-0000-0000-0000C5070000}"/>
    <cellStyle name="Comma 3 3 3" xfId="1991" xr:uid="{00000000-0005-0000-0000-0000C6070000}"/>
    <cellStyle name="Comma 3 4" xfId="1992" xr:uid="{00000000-0005-0000-0000-0000C7070000}"/>
    <cellStyle name="Comma 3 4 2" xfId="1993" xr:uid="{00000000-0005-0000-0000-0000C8070000}"/>
    <cellStyle name="Comma 3 4 2 2" xfId="1994" xr:uid="{00000000-0005-0000-0000-0000C9070000}"/>
    <cellStyle name="Comma 3 5" xfId="1995" xr:uid="{00000000-0005-0000-0000-0000CA070000}"/>
    <cellStyle name="Comma 3 5 2" xfId="1996" xr:uid="{00000000-0005-0000-0000-0000CB070000}"/>
    <cellStyle name="Comma 3 6" xfId="1997" xr:uid="{00000000-0005-0000-0000-0000CC070000}"/>
    <cellStyle name="Comma 3 7" xfId="1998" xr:uid="{00000000-0005-0000-0000-0000CD070000}"/>
    <cellStyle name="Comma 3 8" xfId="1999" xr:uid="{00000000-0005-0000-0000-0000CE070000}"/>
    <cellStyle name="Comma 3 9" xfId="2000" xr:uid="{00000000-0005-0000-0000-0000CF070000}"/>
    <cellStyle name="Comma 3 9 2" xfId="2001" xr:uid="{00000000-0005-0000-0000-0000D0070000}"/>
    <cellStyle name="Comma 4" xfId="2002" xr:uid="{00000000-0005-0000-0000-0000D1070000}"/>
    <cellStyle name="Comma 4 2" xfId="2003" xr:uid="{00000000-0005-0000-0000-0000D2070000}"/>
    <cellStyle name="Comma 4 2 2" xfId="2004" xr:uid="{00000000-0005-0000-0000-0000D3070000}"/>
    <cellStyle name="Comma 4 2 2 2" xfId="2005" xr:uid="{00000000-0005-0000-0000-0000D4070000}"/>
    <cellStyle name="Comma 4 3" xfId="2006" xr:uid="{00000000-0005-0000-0000-0000D5070000}"/>
    <cellStyle name="Comma 4 3 2" xfId="2007" xr:uid="{00000000-0005-0000-0000-0000D6070000}"/>
    <cellStyle name="Comma 4 4" xfId="2008" xr:uid="{00000000-0005-0000-0000-0000D7070000}"/>
    <cellStyle name="Comma 4 5" xfId="2009" xr:uid="{00000000-0005-0000-0000-0000D8070000}"/>
    <cellStyle name="Comma 4 6" xfId="2010" xr:uid="{00000000-0005-0000-0000-0000D9070000}"/>
    <cellStyle name="Comma 4 7" xfId="2011" xr:uid="{00000000-0005-0000-0000-0000DA070000}"/>
    <cellStyle name="Comma 4 8" xfId="2012" xr:uid="{00000000-0005-0000-0000-0000DB070000}"/>
    <cellStyle name="Comma 4 9" xfId="2013" xr:uid="{00000000-0005-0000-0000-0000DC070000}"/>
    <cellStyle name="Comma 4 9 2" xfId="2014" xr:uid="{00000000-0005-0000-0000-0000DD070000}"/>
    <cellStyle name="Comma 5" xfId="2015" xr:uid="{00000000-0005-0000-0000-0000DE070000}"/>
    <cellStyle name="Comma 5 2" xfId="2016" xr:uid="{00000000-0005-0000-0000-0000DF070000}"/>
    <cellStyle name="Comma 5 3" xfId="2017" xr:uid="{00000000-0005-0000-0000-0000E0070000}"/>
    <cellStyle name="Comma 5 3 2" xfId="2018" xr:uid="{00000000-0005-0000-0000-0000E1070000}"/>
    <cellStyle name="Comma 5 4" xfId="2019" xr:uid="{00000000-0005-0000-0000-0000E2070000}"/>
    <cellStyle name="Comma 5 5" xfId="2020" xr:uid="{00000000-0005-0000-0000-0000E3070000}"/>
    <cellStyle name="Comma 5 6" xfId="2021" xr:uid="{00000000-0005-0000-0000-0000E4070000}"/>
    <cellStyle name="Comma 5 7" xfId="2022" xr:uid="{00000000-0005-0000-0000-0000E5070000}"/>
    <cellStyle name="Comma 5 8" xfId="2023" xr:uid="{00000000-0005-0000-0000-0000E6070000}"/>
    <cellStyle name="Comma 6" xfId="2024" xr:uid="{00000000-0005-0000-0000-0000E7070000}"/>
    <cellStyle name="Comma 6 2" xfId="2025" xr:uid="{00000000-0005-0000-0000-0000E8070000}"/>
    <cellStyle name="Comma 6 3" xfId="2026" xr:uid="{00000000-0005-0000-0000-0000E9070000}"/>
    <cellStyle name="Comma 6 4" xfId="2027" xr:uid="{00000000-0005-0000-0000-0000EA070000}"/>
    <cellStyle name="Comma 6 5" xfId="2028" xr:uid="{00000000-0005-0000-0000-0000EB070000}"/>
    <cellStyle name="Comma 6 6" xfId="2029" xr:uid="{00000000-0005-0000-0000-0000EC070000}"/>
    <cellStyle name="Comma 6 7" xfId="2030" xr:uid="{00000000-0005-0000-0000-0000ED070000}"/>
    <cellStyle name="Comma 6 8" xfId="2031" xr:uid="{00000000-0005-0000-0000-0000EE070000}"/>
    <cellStyle name="Comma 7" xfId="2032" xr:uid="{00000000-0005-0000-0000-0000EF070000}"/>
    <cellStyle name="Comma 7 10" xfId="2033" xr:uid="{00000000-0005-0000-0000-0000F0070000}"/>
    <cellStyle name="Comma 7 11" xfId="2034" xr:uid="{00000000-0005-0000-0000-0000F1070000}"/>
    <cellStyle name="Comma 7 12" xfId="2035" xr:uid="{00000000-0005-0000-0000-0000F2070000}"/>
    <cellStyle name="Comma 7 13" xfId="2036" xr:uid="{00000000-0005-0000-0000-0000F3070000}"/>
    <cellStyle name="Comma 7 14" xfId="2037" xr:uid="{00000000-0005-0000-0000-0000F4070000}"/>
    <cellStyle name="Comma 7 15" xfId="2038" xr:uid="{00000000-0005-0000-0000-0000F5070000}"/>
    <cellStyle name="Comma 7 16" xfId="2039" xr:uid="{00000000-0005-0000-0000-0000F6070000}"/>
    <cellStyle name="Comma 7 17" xfId="2040" xr:uid="{00000000-0005-0000-0000-0000F7070000}"/>
    <cellStyle name="Comma 7 18" xfId="2041" xr:uid="{00000000-0005-0000-0000-0000F8070000}"/>
    <cellStyle name="Comma 7 19" xfId="2042" xr:uid="{00000000-0005-0000-0000-0000F9070000}"/>
    <cellStyle name="Comma 7 2" xfId="2043" xr:uid="{00000000-0005-0000-0000-0000FA070000}"/>
    <cellStyle name="Comma 7 20" xfId="2044" xr:uid="{00000000-0005-0000-0000-0000FB070000}"/>
    <cellStyle name="Comma 7 21" xfId="2045" xr:uid="{00000000-0005-0000-0000-0000FC070000}"/>
    <cellStyle name="Comma 7 3" xfId="2046" xr:uid="{00000000-0005-0000-0000-0000FD070000}"/>
    <cellStyle name="Comma 7 3 10" xfId="2047" xr:uid="{00000000-0005-0000-0000-0000FE070000}"/>
    <cellStyle name="Comma 7 3 11" xfId="2048" xr:uid="{00000000-0005-0000-0000-0000FF070000}"/>
    <cellStyle name="Comma 7 3 12" xfId="2049" xr:uid="{00000000-0005-0000-0000-000000080000}"/>
    <cellStyle name="Comma 7 3 13" xfId="2050" xr:uid="{00000000-0005-0000-0000-000001080000}"/>
    <cellStyle name="Comma 7 3 14" xfId="2051" xr:uid="{00000000-0005-0000-0000-000002080000}"/>
    <cellStyle name="Comma 7 3 15" xfId="2052" xr:uid="{00000000-0005-0000-0000-000003080000}"/>
    <cellStyle name="Comma 7 3 2" xfId="2053" xr:uid="{00000000-0005-0000-0000-000004080000}"/>
    <cellStyle name="Comma 7 3 3" xfId="2054" xr:uid="{00000000-0005-0000-0000-000005080000}"/>
    <cellStyle name="Comma 7 3 4" xfId="2055" xr:uid="{00000000-0005-0000-0000-000006080000}"/>
    <cellStyle name="Comma 7 3 5" xfId="2056" xr:uid="{00000000-0005-0000-0000-000007080000}"/>
    <cellStyle name="Comma 7 3 6" xfId="2057" xr:uid="{00000000-0005-0000-0000-000008080000}"/>
    <cellStyle name="Comma 7 3 7" xfId="2058" xr:uid="{00000000-0005-0000-0000-000009080000}"/>
    <cellStyle name="Comma 7 3 8" xfId="2059" xr:uid="{00000000-0005-0000-0000-00000A080000}"/>
    <cellStyle name="Comma 7 3 9" xfId="2060" xr:uid="{00000000-0005-0000-0000-00000B080000}"/>
    <cellStyle name="Comma 7 4" xfId="2061" xr:uid="{00000000-0005-0000-0000-00000C080000}"/>
    <cellStyle name="Comma 7 5" xfId="2062" xr:uid="{00000000-0005-0000-0000-00000D080000}"/>
    <cellStyle name="Comma 7 6" xfId="2063" xr:uid="{00000000-0005-0000-0000-00000E080000}"/>
    <cellStyle name="Comma 7 7" xfId="2064" xr:uid="{00000000-0005-0000-0000-00000F080000}"/>
    <cellStyle name="Comma 7 8" xfId="2065" xr:uid="{00000000-0005-0000-0000-000010080000}"/>
    <cellStyle name="Comma 7 9" xfId="2066" xr:uid="{00000000-0005-0000-0000-000011080000}"/>
    <cellStyle name="Comma 8" xfId="2067" xr:uid="{00000000-0005-0000-0000-000012080000}"/>
    <cellStyle name="Comma 8 2" xfId="2068" xr:uid="{00000000-0005-0000-0000-000013080000}"/>
    <cellStyle name="Comma 8 2 2" xfId="2069" xr:uid="{00000000-0005-0000-0000-000014080000}"/>
    <cellStyle name="Comma 8 3" xfId="2070" xr:uid="{00000000-0005-0000-0000-000015080000}"/>
    <cellStyle name="Comma 8 4" xfId="2071" xr:uid="{00000000-0005-0000-0000-000016080000}"/>
    <cellStyle name="Comma 8 5" xfId="2072" xr:uid="{00000000-0005-0000-0000-000017080000}"/>
    <cellStyle name="Comma 8 6" xfId="2073" xr:uid="{00000000-0005-0000-0000-000018080000}"/>
    <cellStyle name="Comma 8 7" xfId="2074" xr:uid="{00000000-0005-0000-0000-000019080000}"/>
    <cellStyle name="Comma 8 8" xfId="2075" xr:uid="{00000000-0005-0000-0000-00001A080000}"/>
    <cellStyle name="Comma 9" xfId="2076" xr:uid="{00000000-0005-0000-0000-00001B080000}"/>
    <cellStyle name="Comma 9 2" xfId="2077" xr:uid="{00000000-0005-0000-0000-00001C080000}"/>
    <cellStyle name="Comma 9 3" xfId="2078" xr:uid="{00000000-0005-0000-0000-00001D080000}"/>
    <cellStyle name="Comma 9 4" xfId="2079" xr:uid="{00000000-0005-0000-0000-00001E080000}"/>
    <cellStyle name="Comma 9 5" xfId="2080" xr:uid="{00000000-0005-0000-0000-00001F080000}"/>
    <cellStyle name="Comma 9 6" xfId="2081" xr:uid="{00000000-0005-0000-0000-000020080000}"/>
    <cellStyle name="Comma 9 7" xfId="2082" xr:uid="{00000000-0005-0000-0000-000021080000}"/>
    <cellStyle name="Comma 9 8" xfId="2083" xr:uid="{00000000-0005-0000-0000-000022080000}"/>
    <cellStyle name="Comma 9 9" xfId="2084" xr:uid="{00000000-0005-0000-0000-000023080000}"/>
    <cellStyle name="Constants" xfId="2085" xr:uid="{00000000-0005-0000-0000-000024080000}"/>
    <cellStyle name="Currency 2" xfId="2086" xr:uid="{00000000-0005-0000-0000-000025080000}"/>
    <cellStyle name="Currency 2 2" xfId="2087" xr:uid="{00000000-0005-0000-0000-000026080000}"/>
    <cellStyle name="CustomCellsOrange" xfId="2088" xr:uid="{00000000-0005-0000-0000-000027080000}"/>
    <cellStyle name="CustomizationCells" xfId="2089" xr:uid="{00000000-0005-0000-0000-000028080000}"/>
    <cellStyle name="CustomizationGreenCells" xfId="2090" xr:uid="{00000000-0005-0000-0000-000029080000}"/>
    <cellStyle name="DocBox_EmptyRow" xfId="2091" xr:uid="{00000000-0005-0000-0000-00002A080000}"/>
    <cellStyle name="donn_normal" xfId="2092" xr:uid="{00000000-0005-0000-0000-00002B080000}"/>
    <cellStyle name="Eingabe" xfId="2093" xr:uid="{00000000-0005-0000-0000-00002C080000}"/>
    <cellStyle name="Empty_B_border" xfId="2094" xr:uid="{00000000-0005-0000-0000-00002D080000}"/>
    <cellStyle name="ent_col_ser" xfId="2095" xr:uid="{00000000-0005-0000-0000-00002E080000}"/>
    <cellStyle name="entete_source" xfId="2096" xr:uid="{00000000-0005-0000-0000-00002F080000}"/>
    <cellStyle name="Ergebnis" xfId="2097" xr:uid="{00000000-0005-0000-0000-000030080000}"/>
    <cellStyle name="Erklärender Text" xfId="2098" xr:uid="{00000000-0005-0000-0000-000031080000}"/>
    <cellStyle name="Estilo 1" xfId="2099" xr:uid="{00000000-0005-0000-0000-000032080000}"/>
    <cellStyle name="Euro" xfId="2100" xr:uid="{00000000-0005-0000-0000-000033080000}"/>
    <cellStyle name="Euro 10" xfId="2101" xr:uid="{00000000-0005-0000-0000-000034080000}"/>
    <cellStyle name="Euro 10 2" xfId="2102" xr:uid="{00000000-0005-0000-0000-000035080000}"/>
    <cellStyle name="Euro 11" xfId="2103" xr:uid="{00000000-0005-0000-0000-000036080000}"/>
    <cellStyle name="Euro 11 2" xfId="2104" xr:uid="{00000000-0005-0000-0000-000037080000}"/>
    <cellStyle name="Euro 12" xfId="2105" xr:uid="{00000000-0005-0000-0000-000038080000}"/>
    <cellStyle name="Euro 13" xfId="2106" xr:uid="{00000000-0005-0000-0000-000039080000}"/>
    <cellStyle name="Euro 14" xfId="2107" xr:uid="{00000000-0005-0000-0000-00003A080000}"/>
    <cellStyle name="Euro 15" xfId="2108" xr:uid="{00000000-0005-0000-0000-00003B080000}"/>
    <cellStyle name="Euro 16" xfId="2109" xr:uid="{00000000-0005-0000-0000-00003C080000}"/>
    <cellStyle name="Euro 17" xfId="2110" xr:uid="{00000000-0005-0000-0000-00003D080000}"/>
    <cellStyle name="Euro 18" xfId="2111" xr:uid="{00000000-0005-0000-0000-00003E080000}"/>
    <cellStyle name="Euro 19" xfId="2112" xr:uid="{00000000-0005-0000-0000-00003F080000}"/>
    <cellStyle name="Euro 2" xfId="2113" xr:uid="{00000000-0005-0000-0000-000040080000}"/>
    <cellStyle name="Euro 2 2" xfId="2114" xr:uid="{00000000-0005-0000-0000-000041080000}"/>
    <cellStyle name="Euro 2 2 2" xfId="2115" xr:uid="{00000000-0005-0000-0000-000042080000}"/>
    <cellStyle name="Euro 2 2 3" xfId="2116" xr:uid="{00000000-0005-0000-0000-000043080000}"/>
    <cellStyle name="Euro 2 2 4" xfId="2117" xr:uid="{00000000-0005-0000-0000-000044080000}"/>
    <cellStyle name="Euro 2 2 4 2" xfId="2118" xr:uid="{00000000-0005-0000-0000-000045080000}"/>
    <cellStyle name="Euro 2 2 5" xfId="2119" xr:uid="{00000000-0005-0000-0000-000046080000}"/>
    <cellStyle name="Euro 2 2 6" xfId="2120" xr:uid="{00000000-0005-0000-0000-000047080000}"/>
    <cellStyle name="Euro 2 3" xfId="2121" xr:uid="{00000000-0005-0000-0000-000048080000}"/>
    <cellStyle name="Euro 2 4" xfId="2122" xr:uid="{00000000-0005-0000-0000-000049080000}"/>
    <cellStyle name="Euro 2 4 2" xfId="2123" xr:uid="{00000000-0005-0000-0000-00004A080000}"/>
    <cellStyle name="Euro 2 5" xfId="2124" xr:uid="{00000000-0005-0000-0000-00004B080000}"/>
    <cellStyle name="Euro 2 6" xfId="2125" xr:uid="{00000000-0005-0000-0000-00004C080000}"/>
    <cellStyle name="Euro 2 7" xfId="2126" xr:uid="{00000000-0005-0000-0000-00004D080000}"/>
    <cellStyle name="Euro 20" xfId="2127" xr:uid="{00000000-0005-0000-0000-00004E080000}"/>
    <cellStyle name="Euro 21" xfId="2128" xr:uid="{00000000-0005-0000-0000-00004F080000}"/>
    <cellStyle name="Euro 22" xfId="2129" xr:uid="{00000000-0005-0000-0000-000050080000}"/>
    <cellStyle name="Euro 23" xfId="2130" xr:uid="{00000000-0005-0000-0000-000051080000}"/>
    <cellStyle name="Euro 24" xfId="2131" xr:uid="{00000000-0005-0000-0000-000052080000}"/>
    <cellStyle name="Euro 25" xfId="2132" xr:uid="{00000000-0005-0000-0000-000053080000}"/>
    <cellStyle name="Euro 26" xfId="2133" xr:uid="{00000000-0005-0000-0000-000054080000}"/>
    <cellStyle name="Euro 27" xfId="2134" xr:uid="{00000000-0005-0000-0000-000055080000}"/>
    <cellStyle name="Euro 28" xfId="2135" xr:uid="{00000000-0005-0000-0000-000056080000}"/>
    <cellStyle name="Euro 29" xfId="2136" xr:uid="{00000000-0005-0000-0000-000057080000}"/>
    <cellStyle name="Euro 3" xfId="2137" xr:uid="{00000000-0005-0000-0000-000058080000}"/>
    <cellStyle name="Euro 3 2" xfId="2138" xr:uid="{00000000-0005-0000-0000-000059080000}"/>
    <cellStyle name="Euro 3 2 2" xfId="2139" xr:uid="{00000000-0005-0000-0000-00005A080000}"/>
    <cellStyle name="Euro 3 2 2 2" xfId="2140" xr:uid="{00000000-0005-0000-0000-00005B080000}"/>
    <cellStyle name="Euro 3 3" xfId="2141" xr:uid="{00000000-0005-0000-0000-00005C080000}"/>
    <cellStyle name="Euro 3 3 2" xfId="2142" xr:uid="{00000000-0005-0000-0000-00005D080000}"/>
    <cellStyle name="Euro 3 3 3" xfId="2143" xr:uid="{00000000-0005-0000-0000-00005E080000}"/>
    <cellStyle name="Euro 3 3 4" xfId="2144" xr:uid="{00000000-0005-0000-0000-00005F080000}"/>
    <cellStyle name="Euro 3 3 4 2" xfId="2145" xr:uid="{00000000-0005-0000-0000-000060080000}"/>
    <cellStyle name="Euro 3 4" xfId="2146" xr:uid="{00000000-0005-0000-0000-000061080000}"/>
    <cellStyle name="Euro 3 5" xfId="2147" xr:uid="{00000000-0005-0000-0000-000062080000}"/>
    <cellStyle name="Euro 3 6" xfId="2148" xr:uid="{00000000-0005-0000-0000-000063080000}"/>
    <cellStyle name="Euro 3 7" xfId="2149" xr:uid="{00000000-0005-0000-0000-000064080000}"/>
    <cellStyle name="Euro 3 8" xfId="2150" xr:uid="{00000000-0005-0000-0000-000065080000}"/>
    <cellStyle name="Euro 3 9" xfId="2151" xr:uid="{00000000-0005-0000-0000-000066080000}"/>
    <cellStyle name="Euro 3_PrimaryEnergyPrices_TIMES" xfId="2152" xr:uid="{00000000-0005-0000-0000-000067080000}"/>
    <cellStyle name="Euro 30" xfId="2153" xr:uid="{00000000-0005-0000-0000-000068080000}"/>
    <cellStyle name="Euro 31" xfId="2154" xr:uid="{00000000-0005-0000-0000-000069080000}"/>
    <cellStyle name="Euro 32" xfId="2155" xr:uid="{00000000-0005-0000-0000-00006A080000}"/>
    <cellStyle name="Euro 33" xfId="2156" xr:uid="{00000000-0005-0000-0000-00006B080000}"/>
    <cellStyle name="Euro 34" xfId="2157" xr:uid="{00000000-0005-0000-0000-00006C080000}"/>
    <cellStyle name="Euro 35" xfId="2158" xr:uid="{00000000-0005-0000-0000-00006D080000}"/>
    <cellStyle name="Euro 36" xfId="2159" xr:uid="{00000000-0005-0000-0000-00006E080000}"/>
    <cellStyle name="Euro 37" xfId="2160" xr:uid="{00000000-0005-0000-0000-00006F080000}"/>
    <cellStyle name="Euro 38" xfId="2161" xr:uid="{00000000-0005-0000-0000-000070080000}"/>
    <cellStyle name="Euro 39" xfId="2162" xr:uid="{00000000-0005-0000-0000-000071080000}"/>
    <cellStyle name="Euro 4" xfId="2163" xr:uid="{00000000-0005-0000-0000-000072080000}"/>
    <cellStyle name="Euro 4 2" xfId="2164" xr:uid="{00000000-0005-0000-0000-000073080000}"/>
    <cellStyle name="Euro 4 2 2" xfId="2165" xr:uid="{00000000-0005-0000-0000-000074080000}"/>
    <cellStyle name="Euro 4 2 2 2" xfId="2166" xr:uid="{00000000-0005-0000-0000-000075080000}"/>
    <cellStyle name="Euro 4 3" xfId="2167" xr:uid="{00000000-0005-0000-0000-000076080000}"/>
    <cellStyle name="Euro 4 3 2" xfId="2168" xr:uid="{00000000-0005-0000-0000-000077080000}"/>
    <cellStyle name="Euro 4 3 3" xfId="2169" xr:uid="{00000000-0005-0000-0000-000078080000}"/>
    <cellStyle name="Euro 4 3 4" xfId="2170" xr:uid="{00000000-0005-0000-0000-000079080000}"/>
    <cellStyle name="Euro 4 3 4 2" xfId="2171" xr:uid="{00000000-0005-0000-0000-00007A080000}"/>
    <cellStyle name="Euro 4 4" xfId="2172" xr:uid="{00000000-0005-0000-0000-00007B080000}"/>
    <cellStyle name="Euro 4 4 2" xfId="2173" xr:uid="{00000000-0005-0000-0000-00007C080000}"/>
    <cellStyle name="Euro 4 5" xfId="2174" xr:uid="{00000000-0005-0000-0000-00007D080000}"/>
    <cellStyle name="Euro 40" xfId="2175" xr:uid="{00000000-0005-0000-0000-00007E080000}"/>
    <cellStyle name="Euro 41" xfId="2176" xr:uid="{00000000-0005-0000-0000-00007F080000}"/>
    <cellStyle name="Euro 42" xfId="2177" xr:uid="{00000000-0005-0000-0000-000080080000}"/>
    <cellStyle name="Euro 43" xfId="2178" xr:uid="{00000000-0005-0000-0000-000081080000}"/>
    <cellStyle name="Euro 44" xfId="2179" xr:uid="{00000000-0005-0000-0000-000082080000}"/>
    <cellStyle name="Euro 45" xfId="2180" xr:uid="{00000000-0005-0000-0000-000083080000}"/>
    <cellStyle name="Euro 46" xfId="2181" xr:uid="{00000000-0005-0000-0000-000084080000}"/>
    <cellStyle name="Euro 47" xfId="2182" xr:uid="{00000000-0005-0000-0000-000085080000}"/>
    <cellStyle name="Euro 48" xfId="2183" xr:uid="{00000000-0005-0000-0000-000086080000}"/>
    <cellStyle name="Euro 48 2" xfId="2184" xr:uid="{00000000-0005-0000-0000-000087080000}"/>
    <cellStyle name="Euro 49" xfId="2185" xr:uid="{00000000-0005-0000-0000-000088080000}"/>
    <cellStyle name="Euro 49 2" xfId="2186" xr:uid="{00000000-0005-0000-0000-000089080000}"/>
    <cellStyle name="Euro 5" xfId="2187" xr:uid="{00000000-0005-0000-0000-00008A080000}"/>
    <cellStyle name="Euro 5 2" xfId="2188" xr:uid="{00000000-0005-0000-0000-00008B080000}"/>
    <cellStyle name="Euro 5 3" xfId="2189" xr:uid="{00000000-0005-0000-0000-00008C080000}"/>
    <cellStyle name="Euro 5 4" xfId="2190" xr:uid="{00000000-0005-0000-0000-00008D080000}"/>
    <cellStyle name="Euro 5 4 2" xfId="2191" xr:uid="{00000000-0005-0000-0000-00008E080000}"/>
    <cellStyle name="Euro 50" xfId="2192" xr:uid="{00000000-0005-0000-0000-00008F080000}"/>
    <cellStyle name="Euro 50 2" xfId="2193" xr:uid="{00000000-0005-0000-0000-000090080000}"/>
    <cellStyle name="Euro 51" xfId="2194" xr:uid="{00000000-0005-0000-0000-000091080000}"/>
    <cellStyle name="Euro 51 2" xfId="2195" xr:uid="{00000000-0005-0000-0000-000092080000}"/>
    <cellStyle name="Euro 52" xfId="2196" xr:uid="{00000000-0005-0000-0000-000093080000}"/>
    <cellStyle name="Euro 52 2" xfId="2197" xr:uid="{00000000-0005-0000-0000-000094080000}"/>
    <cellStyle name="Euro 53" xfId="2198" xr:uid="{00000000-0005-0000-0000-000095080000}"/>
    <cellStyle name="Euro 53 2" xfId="2199" xr:uid="{00000000-0005-0000-0000-000096080000}"/>
    <cellStyle name="Euro 54" xfId="2200" xr:uid="{00000000-0005-0000-0000-000097080000}"/>
    <cellStyle name="Euro 54 2" xfId="2201" xr:uid="{00000000-0005-0000-0000-000098080000}"/>
    <cellStyle name="Euro 55" xfId="2202" xr:uid="{00000000-0005-0000-0000-000099080000}"/>
    <cellStyle name="Euro 55 2" xfId="2203" xr:uid="{00000000-0005-0000-0000-00009A080000}"/>
    <cellStyle name="Euro 56" xfId="2204" xr:uid="{00000000-0005-0000-0000-00009B080000}"/>
    <cellStyle name="Euro 56 2" xfId="2205" xr:uid="{00000000-0005-0000-0000-00009C080000}"/>
    <cellStyle name="Euro 57" xfId="2206" xr:uid="{00000000-0005-0000-0000-00009D080000}"/>
    <cellStyle name="Euro 58" xfId="2207" xr:uid="{00000000-0005-0000-0000-00009E080000}"/>
    <cellStyle name="Euro 59" xfId="2208" xr:uid="{00000000-0005-0000-0000-00009F080000}"/>
    <cellStyle name="Euro 6" xfId="2209" xr:uid="{00000000-0005-0000-0000-0000A0080000}"/>
    <cellStyle name="Euro 6 2" xfId="2210" xr:uid="{00000000-0005-0000-0000-0000A1080000}"/>
    <cellStyle name="Euro 6 3" xfId="2211" xr:uid="{00000000-0005-0000-0000-0000A2080000}"/>
    <cellStyle name="Euro 6 3 2" xfId="2212" xr:uid="{00000000-0005-0000-0000-0000A3080000}"/>
    <cellStyle name="Euro 6 4" xfId="2213" xr:uid="{00000000-0005-0000-0000-0000A4080000}"/>
    <cellStyle name="Euro 60" xfId="2214" xr:uid="{00000000-0005-0000-0000-0000A5080000}"/>
    <cellStyle name="Euro 61" xfId="2215" xr:uid="{00000000-0005-0000-0000-0000A6080000}"/>
    <cellStyle name="Euro 7" xfId="2216" xr:uid="{00000000-0005-0000-0000-0000A7080000}"/>
    <cellStyle name="Euro 7 2" xfId="2217" xr:uid="{00000000-0005-0000-0000-0000A8080000}"/>
    <cellStyle name="Euro 7 3" xfId="2218" xr:uid="{00000000-0005-0000-0000-0000A9080000}"/>
    <cellStyle name="Euro 7 4" xfId="2219" xr:uid="{00000000-0005-0000-0000-0000AA080000}"/>
    <cellStyle name="Euro 8" xfId="2220" xr:uid="{00000000-0005-0000-0000-0000AB080000}"/>
    <cellStyle name="Euro 8 2" xfId="2221" xr:uid="{00000000-0005-0000-0000-0000AC080000}"/>
    <cellStyle name="Euro 9" xfId="2222" xr:uid="{00000000-0005-0000-0000-0000AD080000}"/>
    <cellStyle name="Euro 9 2" xfId="2223" xr:uid="{00000000-0005-0000-0000-0000AE080000}"/>
    <cellStyle name="Euro_Potentials in TIMES" xfId="2224" xr:uid="{00000000-0005-0000-0000-0000AF080000}"/>
    <cellStyle name="Explanatory Text" xfId="2225" builtinId="53" customBuiltin="1"/>
    <cellStyle name="Explanatory Text 10" xfId="2226" xr:uid="{00000000-0005-0000-0000-0000B1080000}"/>
    <cellStyle name="Explanatory Text 11" xfId="2227" xr:uid="{00000000-0005-0000-0000-0000B2080000}"/>
    <cellStyle name="Explanatory Text 12" xfId="2228" xr:uid="{00000000-0005-0000-0000-0000B3080000}"/>
    <cellStyle name="Explanatory Text 13" xfId="2229" xr:uid="{00000000-0005-0000-0000-0000B4080000}"/>
    <cellStyle name="Explanatory Text 14" xfId="2230" xr:uid="{00000000-0005-0000-0000-0000B5080000}"/>
    <cellStyle name="Explanatory Text 15" xfId="2231" xr:uid="{00000000-0005-0000-0000-0000B6080000}"/>
    <cellStyle name="Explanatory Text 16" xfId="2232" xr:uid="{00000000-0005-0000-0000-0000B7080000}"/>
    <cellStyle name="Explanatory Text 17" xfId="2233" xr:uid="{00000000-0005-0000-0000-0000B8080000}"/>
    <cellStyle name="Explanatory Text 18" xfId="2234" xr:uid="{00000000-0005-0000-0000-0000B9080000}"/>
    <cellStyle name="Explanatory Text 19" xfId="2235" xr:uid="{00000000-0005-0000-0000-0000BA080000}"/>
    <cellStyle name="Explanatory Text 2" xfId="2236" xr:uid="{00000000-0005-0000-0000-0000BB080000}"/>
    <cellStyle name="Explanatory Text 2 10" xfId="2237" xr:uid="{00000000-0005-0000-0000-0000BC080000}"/>
    <cellStyle name="Explanatory Text 2 2" xfId="2238" xr:uid="{00000000-0005-0000-0000-0000BD080000}"/>
    <cellStyle name="Explanatory Text 2 3" xfId="2239" xr:uid="{00000000-0005-0000-0000-0000BE080000}"/>
    <cellStyle name="Explanatory Text 2 4" xfId="2240" xr:uid="{00000000-0005-0000-0000-0000BF080000}"/>
    <cellStyle name="Explanatory Text 2 5" xfId="2241" xr:uid="{00000000-0005-0000-0000-0000C0080000}"/>
    <cellStyle name="Explanatory Text 2 6" xfId="2242" xr:uid="{00000000-0005-0000-0000-0000C1080000}"/>
    <cellStyle name="Explanatory Text 2 7" xfId="2243" xr:uid="{00000000-0005-0000-0000-0000C2080000}"/>
    <cellStyle name="Explanatory Text 2 8" xfId="2244" xr:uid="{00000000-0005-0000-0000-0000C3080000}"/>
    <cellStyle name="Explanatory Text 2 9" xfId="2245" xr:uid="{00000000-0005-0000-0000-0000C4080000}"/>
    <cellStyle name="Explanatory Text 20" xfId="2246" xr:uid="{00000000-0005-0000-0000-0000C5080000}"/>
    <cellStyle name="Explanatory Text 21" xfId="2247" xr:uid="{00000000-0005-0000-0000-0000C6080000}"/>
    <cellStyle name="Explanatory Text 22" xfId="2248" xr:uid="{00000000-0005-0000-0000-0000C7080000}"/>
    <cellStyle name="Explanatory Text 23" xfId="2249" xr:uid="{00000000-0005-0000-0000-0000C8080000}"/>
    <cellStyle name="Explanatory Text 24" xfId="2250" xr:uid="{00000000-0005-0000-0000-0000C9080000}"/>
    <cellStyle name="Explanatory Text 25" xfId="2251" xr:uid="{00000000-0005-0000-0000-0000CA080000}"/>
    <cellStyle name="Explanatory Text 26" xfId="2252" xr:uid="{00000000-0005-0000-0000-0000CB080000}"/>
    <cellStyle name="Explanatory Text 27" xfId="2253" xr:uid="{00000000-0005-0000-0000-0000CC080000}"/>
    <cellStyle name="Explanatory Text 28" xfId="2254" xr:uid="{00000000-0005-0000-0000-0000CD080000}"/>
    <cellStyle name="Explanatory Text 29" xfId="2255" xr:uid="{00000000-0005-0000-0000-0000CE080000}"/>
    <cellStyle name="Explanatory Text 3" xfId="2256" xr:uid="{00000000-0005-0000-0000-0000CF080000}"/>
    <cellStyle name="Explanatory Text 3 2" xfId="2257" xr:uid="{00000000-0005-0000-0000-0000D0080000}"/>
    <cellStyle name="Explanatory Text 30" xfId="2258" xr:uid="{00000000-0005-0000-0000-0000D1080000}"/>
    <cellStyle name="Explanatory Text 31" xfId="2259" xr:uid="{00000000-0005-0000-0000-0000D2080000}"/>
    <cellStyle name="Explanatory Text 32" xfId="2260" xr:uid="{00000000-0005-0000-0000-0000D3080000}"/>
    <cellStyle name="Explanatory Text 33" xfId="2261" xr:uid="{00000000-0005-0000-0000-0000D4080000}"/>
    <cellStyle name="Explanatory Text 34" xfId="2262" xr:uid="{00000000-0005-0000-0000-0000D5080000}"/>
    <cellStyle name="Explanatory Text 35" xfId="2263" xr:uid="{00000000-0005-0000-0000-0000D6080000}"/>
    <cellStyle name="Explanatory Text 36" xfId="2264" xr:uid="{00000000-0005-0000-0000-0000D7080000}"/>
    <cellStyle name="Explanatory Text 37" xfId="2265" xr:uid="{00000000-0005-0000-0000-0000D8080000}"/>
    <cellStyle name="Explanatory Text 38" xfId="2266" xr:uid="{00000000-0005-0000-0000-0000D9080000}"/>
    <cellStyle name="Explanatory Text 39" xfId="2267" xr:uid="{00000000-0005-0000-0000-0000DA080000}"/>
    <cellStyle name="Explanatory Text 4" xfId="2268" xr:uid="{00000000-0005-0000-0000-0000DB080000}"/>
    <cellStyle name="Explanatory Text 40" xfId="2269" xr:uid="{00000000-0005-0000-0000-0000DC080000}"/>
    <cellStyle name="Explanatory Text 41" xfId="2270" xr:uid="{00000000-0005-0000-0000-0000DD080000}"/>
    <cellStyle name="Explanatory Text 42" xfId="2271" xr:uid="{00000000-0005-0000-0000-0000DE080000}"/>
    <cellStyle name="Explanatory Text 43" xfId="2272" xr:uid="{00000000-0005-0000-0000-0000DF080000}"/>
    <cellStyle name="Explanatory Text 5" xfId="2273" xr:uid="{00000000-0005-0000-0000-0000E0080000}"/>
    <cellStyle name="Explanatory Text 6" xfId="2274" xr:uid="{00000000-0005-0000-0000-0000E1080000}"/>
    <cellStyle name="Explanatory Text 7" xfId="2275" xr:uid="{00000000-0005-0000-0000-0000E2080000}"/>
    <cellStyle name="Explanatory Text 8" xfId="2276" xr:uid="{00000000-0005-0000-0000-0000E3080000}"/>
    <cellStyle name="Explanatory Text 9" xfId="2277" xr:uid="{00000000-0005-0000-0000-0000E4080000}"/>
    <cellStyle name="Float" xfId="2278" xr:uid="{00000000-0005-0000-0000-0000E5080000}"/>
    <cellStyle name="Float 2" xfId="2279" xr:uid="{00000000-0005-0000-0000-0000E6080000}"/>
    <cellStyle name="Float 2 2" xfId="2280" xr:uid="{00000000-0005-0000-0000-0000E7080000}"/>
    <cellStyle name="Float 3" xfId="2281" xr:uid="{00000000-0005-0000-0000-0000E8080000}"/>
    <cellStyle name="Float 3 2" xfId="2282" xr:uid="{00000000-0005-0000-0000-0000E9080000}"/>
    <cellStyle name="Float 4" xfId="2283" xr:uid="{00000000-0005-0000-0000-0000EA080000}"/>
    <cellStyle name="Good" xfId="2284" builtinId="26" customBuiltin="1"/>
    <cellStyle name="Good 10" xfId="2285" xr:uid="{00000000-0005-0000-0000-0000EC080000}"/>
    <cellStyle name="Good 11" xfId="2286" xr:uid="{00000000-0005-0000-0000-0000ED080000}"/>
    <cellStyle name="Good 12" xfId="2287" xr:uid="{00000000-0005-0000-0000-0000EE080000}"/>
    <cellStyle name="Good 13" xfId="2288" xr:uid="{00000000-0005-0000-0000-0000EF080000}"/>
    <cellStyle name="Good 14" xfId="2289" xr:uid="{00000000-0005-0000-0000-0000F0080000}"/>
    <cellStyle name="Good 15" xfId="2290" xr:uid="{00000000-0005-0000-0000-0000F1080000}"/>
    <cellStyle name="Good 16" xfId="2291" xr:uid="{00000000-0005-0000-0000-0000F2080000}"/>
    <cellStyle name="Good 17" xfId="2292" xr:uid="{00000000-0005-0000-0000-0000F3080000}"/>
    <cellStyle name="Good 18" xfId="2293" xr:uid="{00000000-0005-0000-0000-0000F4080000}"/>
    <cellStyle name="Good 19" xfId="2294" xr:uid="{00000000-0005-0000-0000-0000F5080000}"/>
    <cellStyle name="Good 2" xfId="2295" xr:uid="{00000000-0005-0000-0000-0000F6080000}"/>
    <cellStyle name="Good 2 10" xfId="2296" xr:uid="{00000000-0005-0000-0000-0000F7080000}"/>
    <cellStyle name="Good 2 2" xfId="2297" xr:uid="{00000000-0005-0000-0000-0000F8080000}"/>
    <cellStyle name="Good 2 2 2" xfId="2298" xr:uid="{00000000-0005-0000-0000-0000F9080000}"/>
    <cellStyle name="Good 2 2 2 2" xfId="2299" xr:uid="{00000000-0005-0000-0000-0000FA080000}"/>
    <cellStyle name="Good 2 3" xfId="2300" xr:uid="{00000000-0005-0000-0000-0000FB080000}"/>
    <cellStyle name="Good 2 3 2" xfId="2301" xr:uid="{00000000-0005-0000-0000-0000FC080000}"/>
    <cellStyle name="Good 2 3 2 2" xfId="2302" xr:uid="{00000000-0005-0000-0000-0000FD080000}"/>
    <cellStyle name="Good 2 4" xfId="2303" xr:uid="{00000000-0005-0000-0000-0000FE080000}"/>
    <cellStyle name="Good 2 5" xfId="2304" xr:uid="{00000000-0005-0000-0000-0000FF080000}"/>
    <cellStyle name="Good 2 6" xfId="2305" xr:uid="{00000000-0005-0000-0000-000000090000}"/>
    <cellStyle name="Good 2 7" xfId="2306" xr:uid="{00000000-0005-0000-0000-000001090000}"/>
    <cellStyle name="Good 2 8" xfId="2307" xr:uid="{00000000-0005-0000-0000-000002090000}"/>
    <cellStyle name="Good 2 9" xfId="2308" xr:uid="{00000000-0005-0000-0000-000003090000}"/>
    <cellStyle name="Good 20" xfId="2309" xr:uid="{00000000-0005-0000-0000-000004090000}"/>
    <cellStyle name="Good 21" xfId="2310" xr:uid="{00000000-0005-0000-0000-000005090000}"/>
    <cellStyle name="Good 22" xfId="2311" xr:uid="{00000000-0005-0000-0000-000006090000}"/>
    <cellStyle name="Good 23" xfId="2312" xr:uid="{00000000-0005-0000-0000-000007090000}"/>
    <cellStyle name="Good 24" xfId="2313" xr:uid="{00000000-0005-0000-0000-000008090000}"/>
    <cellStyle name="Good 25" xfId="2314" xr:uid="{00000000-0005-0000-0000-000009090000}"/>
    <cellStyle name="Good 26" xfId="2315" xr:uid="{00000000-0005-0000-0000-00000A090000}"/>
    <cellStyle name="Good 27" xfId="2316" xr:uid="{00000000-0005-0000-0000-00000B090000}"/>
    <cellStyle name="Good 28" xfId="2317" xr:uid="{00000000-0005-0000-0000-00000C090000}"/>
    <cellStyle name="Good 29" xfId="2318" xr:uid="{00000000-0005-0000-0000-00000D090000}"/>
    <cellStyle name="Good 3" xfId="2319" xr:uid="{00000000-0005-0000-0000-00000E090000}"/>
    <cellStyle name="Good 3 2" xfId="2320" xr:uid="{00000000-0005-0000-0000-00000F090000}"/>
    <cellStyle name="Good 3 3" xfId="2321" xr:uid="{00000000-0005-0000-0000-000010090000}"/>
    <cellStyle name="Good 3 3 2" xfId="2322" xr:uid="{00000000-0005-0000-0000-000011090000}"/>
    <cellStyle name="Good 30" xfId="2323" xr:uid="{00000000-0005-0000-0000-000012090000}"/>
    <cellStyle name="Good 31" xfId="2324" xr:uid="{00000000-0005-0000-0000-000013090000}"/>
    <cellStyle name="Good 32" xfId="2325" xr:uid="{00000000-0005-0000-0000-000014090000}"/>
    <cellStyle name="Good 33" xfId="2326" xr:uid="{00000000-0005-0000-0000-000015090000}"/>
    <cellStyle name="Good 34" xfId="2327" xr:uid="{00000000-0005-0000-0000-000016090000}"/>
    <cellStyle name="Good 35" xfId="2328" xr:uid="{00000000-0005-0000-0000-000017090000}"/>
    <cellStyle name="Good 36" xfId="2329" xr:uid="{00000000-0005-0000-0000-000018090000}"/>
    <cellStyle name="Good 37" xfId="2330" xr:uid="{00000000-0005-0000-0000-000019090000}"/>
    <cellStyle name="Good 38" xfId="2331" xr:uid="{00000000-0005-0000-0000-00001A090000}"/>
    <cellStyle name="Good 39" xfId="2332" xr:uid="{00000000-0005-0000-0000-00001B090000}"/>
    <cellStyle name="Good 4" xfId="2333" xr:uid="{00000000-0005-0000-0000-00001C090000}"/>
    <cellStyle name="Good 40" xfId="2334" xr:uid="{00000000-0005-0000-0000-00001D090000}"/>
    <cellStyle name="Good 41" xfId="2335" xr:uid="{00000000-0005-0000-0000-00001E090000}"/>
    <cellStyle name="Good 42" xfId="2336" xr:uid="{00000000-0005-0000-0000-00001F090000}"/>
    <cellStyle name="Good 5" xfId="2337" xr:uid="{00000000-0005-0000-0000-000020090000}"/>
    <cellStyle name="Good 6" xfId="2338" xr:uid="{00000000-0005-0000-0000-000021090000}"/>
    <cellStyle name="Good 7" xfId="2339" xr:uid="{00000000-0005-0000-0000-000022090000}"/>
    <cellStyle name="Good 8" xfId="2340" xr:uid="{00000000-0005-0000-0000-000023090000}"/>
    <cellStyle name="Good 9" xfId="2341" xr:uid="{00000000-0005-0000-0000-000024090000}"/>
    <cellStyle name="Gut" xfId="2342" xr:uid="{00000000-0005-0000-0000-000025090000}"/>
    <cellStyle name="Heading 1" xfId="2343" builtinId="16" customBuiltin="1"/>
    <cellStyle name="Heading 1 10" xfId="2344" xr:uid="{00000000-0005-0000-0000-000027090000}"/>
    <cellStyle name="Heading 1 11" xfId="2345" xr:uid="{00000000-0005-0000-0000-000028090000}"/>
    <cellStyle name="Heading 1 12" xfId="2346" xr:uid="{00000000-0005-0000-0000-000029090000}"/>
    <cellStyle name="Heading 1 13" xfId="2347" xr:uid="{00000000-0005-0000-0000-00002A090000}"/>
    <cellStyle name="Heading 1 14" xfId="2348" xr:uid="{00000000-0005-0000-0000-00002B090000}"/>
    <cellStyle name="Heading 1 15" xfId="2349" xr:uid="{00000000-0005-0000-0000-00002C090000}"/>
    <cellStyle name="Heading 1 16" xfId="2350" xr:uid="{00000000-0005-0000-0000-00002D090000}"/>
    <cellStyle name="Heading 1 17" xfId="2351" xr:uid="{00000000-0005-0000-0000-00002E090000}"/>
    <cellStyle name="Heading 1 18" xfId="2352" xr:uid="{00000000-0005-0000-0000-00002F090000}"/>
    <cellStyle name="Heading 1 19" xfId="2353" xr:uid="{00000000-0005-0000-0000-000030090000}"/>
    <cellStyle name="Heading 1 2" xfId="2354" xr:uid="{00000000-0005-0000-0000-000031090000}"/>
    <cellStyle name="Heading 1 2 10" xfId="2355" xr:uid="{00000000-0005-0000-0000-000032090000}"/>
    <cellStyle name="Heading 1 2 2" xfId="2356" xr:uid="{00000000-0005-0000-0000-000033090000}"/>
    <cellStyle name="Heading 1 2 2 2" xfId="2357" xr:uid="{00000000-0005-0000-0000-000034090000}"/>
    <cellStyle name="Heading 1 2 3" xfId="2358" xr:uid="{00000000-0005-0000-0000-000035090000}"/>
    <cellStyle name="Heading 1 2 4" xfId="2359" xr:uid="{00000000-0005-0000-0000-000036090000}"/>
    <cellStyle name="Heading 1 2 5" xfId="2360" xr:uid="{00000000-0005-0000-0000-000037090000}"/>
    <cellStyle name="Heading 1 2 6" xfId="2361" xr:uid="{00000000-0005-0000-0000-000038090000}"/>
    <cellStyle name="Heading 1 2 7" xfId="2362" xr:uid="{00000000-0005-0000-0000-000039090000}"/>
    <cellStyle name="Heading 1 2 8" xfId="2363" xr:uid="{00000000-0005-0000-0000-00003A090000}"/>
    <cellStyle name="Heading 1 2 9" xfId="2364" xr:uid="{00000000-0005-0000-0000-00003B090000}"/>
    <cellStyle name="Heading 1 20" xfId="2365" xr:uid="{00000000-0005-0000-0000-00003C090000}"/>
    <cellStyle name="Heading 1 21" xfId="2366" xr:uid="{00000000-0005-0000-0000-00003D090000}"/>
    <cellStyle name="Heading 1 22" xfId="2367" xr:uid="{00000000-0005-0000-0000-00003E090000}"/>
    <cellStyle name="Heading 1 23" xfId="2368" xr:uid="{00000000-0005-0000-0000-00003F090000}"/>
    <cellStyle name="Heading 1 24" xfId="2369" xr:uid="{00000000-0005-0000-0000-000040090000}"/>
    <cellStyle name="Heading 1 25" xfId="2370" xr:uid="{00000000-0005-0000-0000-000041090000}"/>
    <cellStyle name="Heading 1 26" xfId="2371" xr:uid="{00000000-0005-0000-0000-000042090000}"/>
    <cellStyle name="Heading 1 27" xfId="2372" xr:uid="{00000000-0005-0000-0000-000043090000}"/>
    <cellStyle name="Heading 1 28" xfId="2373" xr:uid="{00000000-0005-0000-0000-000044090000}"/>
    <cellStyle name="Heading 1 29" xfId="2374" xr:uid="{00000000-0005-0000-0000-000045090000}"/>
    <cellStyle name="Heading 1 3" xfId="2375" xr:uid="{00000000-0005-0000-0000-000046090000}"/>
    <cellStyle name="Heading 1 3 2" xfId="2376" xr:uid="{00000000-0005-0000-0000-000047090000}"/>
    <cellStyle name="Heading 1 3 3" xfId="2377" xr:uid="{00000000-0005-0000-0000-000048090000}"/>
    <cellStyle name="Heading 1 3 3 2" xfId="2378" xr:uid="{00000000-0005-0000-0000-000049090000}"/>
    <cellStyle name="Heading 1 30" xfId="2379" xr:uid="{00000000-0005-0000-0000-00004A090000}"/>
    <cellStyle name="Heading 1 31" xfId="2380" xr:uid="{00000000-0005-0000-0000-00004B090000}"/>
    <cellStyle name="Heading 1 32" xfId="2381" xr:uid="{00000000-0005-0000-0000-00004C090000}"/>
    <cellStyle name="Heading 1 33" xfId="2382" xr:uid="{00000000-0005-0000-0000-00004D090000}"/>
    <cellStyle name="Heading 1 34" xfId="2383" xr:uid="{00000000-0005-0000-0000-00004E090000}"/>
    <cellStyle name="Heading 1 35" xfId="2384" xr:uid="{00000000-0005-0000-0000-00004F090000}"/>
    <cellStyle name="Heading 1 36" xfId="2385" xr:uid="{00000000-0005-0000-0000-000050090000}"/>
    <cellStyle name="Heading 1 37" xfId="2386" xr:uid="{00000000-0005-0000-0000-000051090000}"/>
    <cellStyle name="Heading 1 38" xfId="2387" xr:uid="{00000000-0005-0000-0000-000052090000}"/>
    <cellStyle name="Heading 1 39" xfId="2388" xr:uid="{00000000-0005-0000-0000-000053090000}"/>
    <cellStyle name="Heading 1 4" xfId="2389" xr:uid="{00000000-0005-0000-0000-000054090000}"/>
    <cellStyle name="Heading 1 40" xfId="2390" xr:uid="{00000000-0005-0000-0000-000055090000}"/>
    <cellStyle name="Heading 1 41" xfId="2391" xr:uid="{00000000-0005-0000-0000-000056090000}"/>
    <cellStyle name="Heading 1 5" xfId="2392" xr:uid="{00000000-0005-0000-0000-000057090000}"/>
    <cellStyle name="Heading 1 6" xfId="2393" xr:uid="{00000000-0005-0000-0000-000058090000}"/>
    <cellStyle name="Heading 1 7" xfId="2394" xr:uid="{00000000-0005-0000-0000-000059090000}"/>
    <cellStyle name="Heading 1 8" xfId="2395" xr:uid="{00000000-0005-0000-0000-00005A090000}"/>
    <cellStyle name="Heading 1 9" xfId="2396" xr:uid="{00000000-0005-0000-0000-00005B090000}"/>
    <cellStyle name="Heading 2" xfId="2397" builtinId="17" customBuiltin="1"/>
    <cellStyle name="Heading 2 10" xfId="2398" xr:uid="{00000000-0005-0000-0000-00005D090000}"/>
    <cellStyle name="Heading 2 11" xfId="2399" xr:uid="{00000000-0005-0000-0000-00005E090000}"/>
    <cellStyle name="Heading 2 12" xfId="2400" xr:uid="{00000000-0005-0000-0000-00005F090000}"/>
    <cellStyle name="Heading 2 13" xfId="2401" xr:uid="{00000000-0005-0000-0000-000060090000}"/>
    <cellStyle name="Heading 2 14" xfId="2402" xr:uid="{00000000-0005-0000-0000-000061090000}"/>
    <cellStyle name="Heading 2 15" xfId="2403" xr:uid="{00000000-0005-0000-0000-000062090000}"/>
    <cellStyle name="Heading 2 16" xfId="2404" xr:uid="{00000000-0005-0000-0000-000063090000}"/>
    <cellStyle name="Heading 2 17" xfId="2405" xr:uid="{00000000-0005-0000-0000-000064090000}"/>
    <cellStyle name="Heading 2 18" xfId="2406" xr:uid="{00000000-0005-0000-0000-000065090000}"/>
    <cellStyle name="Heading 2 19" xfId="2407" xr:uid="{00000000-0005-0000-0000-000066090000}"/>
    <cellStyle name="Heading 2 2" xfId="2408" xr:uid="{00000000-0005-0000-0000-000067090000}"/>
    <cellStyle name="Heading 2 2 10" xfId="2409" xr:uid="{00000000-0005-0000-0000-000068090000}"/>
    <cellStyle name="Heading 2 2 2" xfId="2410" xr:uid="{00000000-0005-0000-0000-000069090000}"/>
    <cellStyle name="Heading 2 2 2 2" xfId="2411" xr:uid="{00000000-0005-0000-0000-00006A090000}"/>
    <cellStyle name="Heading 2 2 3" xfId="2412" xr:uid="{00000000-0005-0000-0000-00006B090000}"/>
    <cellStyle name="Heading 2 2 4" xfId="2413" xr:uid="{00000000-0005-0000-0000-00006C090000}"/>
    <cellStyle name="Heading 2 2 5" xfId="2414" xr:uid="{00000000-0005-0000-0000-00006D090000}"/>
    <cellStyle name="Heading 2 2 6" xfId="2415" xr:uid="{00000000-0005-0000-0000-00006E090000}"/>
    <cellStyle name="Heading 2 2 7" xfId="2416" xr:uid="{00000000-0005-0000-0000-00006F090000}"/>
    <cellStyle name="Heading 2 2 8" xfId="2417" xr:uid="{00000000-0005-0000-0000-000070090000}"/>
    <cellStyle name="Heading 2 2 9" xfId="2418" xr:uid="{00000000-0005-0000-0000-000071090000}"/>
    <cellStyle name="Heading 2 20" xfId="2419" xr:uid="{00000000-0005-0000-0000-000072090000}"/>
    <cellStyle name="Heading 2 21" xfId="2420" xr:uid="{00000000-0005-0000-0000-000073090000}"/>
    <cellStyle name="Heading 2 22" xfId="2421" xr:uid="{00000000-0005-0000-0000-000074090000}"/>
    <cellStyle name="Heading 2 23" xfId="2422" xr:uid="{00000000-0005-0000-0000-000075090000}"/>
    <cellStyle name="Heading 2 24" xfId="2423" xr:uid="{00000000-0005-0000-0000-000076090000}"/>
    <cellStyle name="Heading 2 25" xfId="2424" xr:uid="{00000000-0005-0000-0000-000077090000}"/>
    <cellStyle name="Heading 2 26" xfId="2425" xr:uid="{00000000-0005-0000-0000-000078090000}"/>
    <cellStyle name="Heading 2 27" xfId="2426" xr:uid="{00000000-0005-0000-0000-000079090000}"/>
    <cellStyle name="Heading 2 28" xfId="2427" xr:uid="{00000000-0005-0000-0000-00007A090000}"/>
    <cellStyle name="Heading 2 29" xfId="2428" xr:uid="{00000000-0005-0000-0000-00007B090000}"/>
    <cellStyle name="Heading 2 3" xfId="2429" xr:uid="{00000000-0005-0000-0000-00007C090000}"/>
    <cellStyle name="Heading 2 3 2" xfId="2430" xr:uid="{00000000-0005-0000-0000-00007D090000}"/>
    <cellStyle name="Heading 2 3 3" xfId="2431" xr:uid="{00000000-0005-0000-0000-00007E090000}"/>
    <cellStyle name="Heading 2 3 3 2" xfId="2432" xr:uid="{00000000-0005-0000-0000-00007F090000}"/>
    <cellStyle name="Heading 2 30" xfId="2433" xr:uid="{00000000-0005-0000-0000-000080090000}"/>
    <cellStyle name="Heading 2 31" xfId="2434" xr:uid="{00000000-0005-0000-0000-000081090000}"/>
    <cellStyle name="Heading 2 32" xfId="2435" xr:uid="{00000000-0005-0000-0000-000082090000}"/>
    <cellStyle name="Heading 2 33" xfId="2436" xr:uid="{00000000-0005-0000-0000-000083090000}"/>
    <cellStyle name="Heading 2 34" xfId="2437" xr:uid="{00000000-0005-0000-0000-000084090000}"/>
    <cellStyle name="Heading 2 35" xfId="2438" xr:uid="{00000000-0005-0000-0000-000085090000}"/>
    <cellStyle name="Heading 2 36" xfId="2439" xr:uid="{00000000-0005-0000-0000-000086090000}"/>
    <cellStyle name="Heading 2 37" xfId="2440" xr:uid="{00000000-0005-0000-0000-000087090000}"/>
    <cellStyle name="Heading 2 38" xfId="2441" xr:uid="{00000000-0005-0000-0000-000088090000}"/>
    <cellStyle name="Heading 2 39" xfId="2442" xr:uid="{00000000-0005-0000-0000-000089090000}"/>
    <cellStyle name="Heading 2 4" xfId="2443" xr:uid="{00000000-0005-0000-0000-00008A090000}"/>
    <cellStyle name="Heading 2 40" xfId="2444" xr:uid="{00000000-0005-0000-0000-00008B090000}"/>
    <cellStyle name="Heading 2 41" xfId="2445" xr:uid="{00000000-0005-0000-0000-00008C090000}"/>
    <cellStyle name="Heading 2 5" xfId="2446" xr:uid="{00000000-0005-0000-0000-00008D090000}"/>
    <cellStyle name="Heading 2 6" xfId="2447" xr:uid="{00000000-0005-0000-0000-00008E090000}"/>
    <cellStyle name="Heading 2 7" xfId="2448" xr:uid="{00000000-0005-0000-0000-00008F090000}"/>
    <cellStyle name="Heading 2 8" xfId="2449" xr:uid="{00000000-0005-0000-0000-000090090000}"/>
    <cellStyle name="Heading 2 9" xfId="2450" xr:uid="{00000000-0005-0000-0000-000091090000}"/>
    <cellStyle name="Heading 3" xfId="2451" builtinId="18" customBuiltin="1"/>
    <cellStyle name="Heading 3 10" xfId="2452" xr:uid="{00000000-0005-0000-0000-000093090000}"/>
    <cellStyle name="Heading 3 11" xfId="2453" xr:uid="{00000000-0005-0000-0000-000094090000}"/>
    <cellStyle name="Heading 3 12" xfId="2454" xr:uid="{00000000-0005-0000-0000-000095090000}"/>
    <cellStyle name="Heading 3 13" xfId="2455" xr:uid="{00000000-0005-0000-0000-000096090000}"/>
    <cellStyle name="Heading 3 14" xfId="2456" xr:uid="{00000000-0005-0000-0000-000097090000}"/>
    <cellStyle name="Heading 3 15" xfId="2457" xr:uid="{00000000-0005-0000-0000-000098090000}"/>
    <cellStyle name="Heading 3 16" xfId="2458" xr:uid="{00000000-0005-0000-0000-000099090000}"/>
    <cellStyle name="Heading 3 17" xfId="2459" xr:uid="{00000000-0005-0000-0000-00009A090000}"/>
    <cellStyle name="Heading 3 18" xfId="2460" xr:uid="{00000000-0005-0000-0000-00009B090000}"/>
    <cellStyle name="Heading 3 19" xfId="2461" xr:uid="{00000000-0005-0000-0000-00009C090000}"/>
    <cellStyle name="Heading 3 2" xfId="2462" xr:uid="{00000000-0005-0000-0000-00009D090000}"/>
    <cellStyle name="Heading 3 2 10" xfId="2463" xr:uid="{00000000-0005-0000-0000-00009E090000}"/>
    <cellStyle name="Heading 3 2 2" xfId="2464" xr:uid="{00000000-0005-0000-0000-00009F090000}"/>
    <cellStyle name="Heading 3 2 2 2" xfId="2465" xr:uid="{00000000-0005-0000-0000-0000A0090000}"/>
    <cellStyle name="Heading 3 2 3" xfId="2466" xr:uid="{00000000-0005-0000-0000-0000A1090000}"/>
    <cellStyle name="Heading 3 2 4" xfId="2467" xr:uid="{00000000-0005-0000-0000-0000A2090000}"/>
    <cellStyle name="Heading 3 2 5" xfId="2468" xr:uid="{00000000-0005-0000-0000-0000A3090000}"/>
    <cellStyle name="Heading 3 2 6" xfId="2469" xr:uid="{00000000-0005-0000-0000-0000A4090000}"/>
    <cellStyle name="Heading 3 2 7" xfId="2470" xr:uid="{00000000-0005-0000-0000-0000A5090000}"/>
    <cellStyle name="Heading 3 2 8" xfId="2471" xr:uid="{00000000-0005-0000-0000-0000A6090000}"/>
    <cellStyle name="Heading 3 2 9" xfId="2472" xr:uid="{00000000-0005-0000-0000-0000A7090000}"/>
    <cellStyle name="Heading 3 20" xfId="2473" xr:uid="{00000000-0005-0000-0000-0000A8090000}"/>
    <cellStyle name="Heading 3 21" xfId="2474" xr:uid="{00000000-0005-0000-0000-0000A9090000}"/>
    <cellStyle name="Heading 3 22" xfId="2475" xr:uid="{00000000-0005-0000-0000-0000AA090000}"/>
    <cellStyle name="Heading 3 23" xfId="2476" xr:uid="{00000000-0005-0000-0000-0000AB090000}"/>
    <cellStyle name="Heading 3 24" xfId="2477" xr:uid="{00000000-0005-0000-0000-0000AC090000}"/>
    <cellStyle name="Heading 3 25" xfId="2478" xr:uid="{00000000-0005-0000-0000-0000AD090000}"/>
    <cellStyle name="Heading 3 26" xfId="2479" xr:uid="{00000000-0005-0000-0000-0000AE090000}"/>
    <cellStyle name="Heading 3 27" xfId="2480" xr:uid="{00000000-0005-0000-0000-0000AF090000}"/>
    <cellStyle name="Heading 3 28" xfId="2481" xr:uid="{00000000-0005-0000-0000-0000B0090000}"/>
    <cellStyle name="Heading 3 29" xfId="2482" xr:uid="{00000000-0005-0000-0000-0000B1090000}"/>
    <cellStyle name="Heading 3 3" xfId="2483" xr:uid="{00000000-0005-0000-0000-0000B2090000}"/>
    <cellStyle name="Heading 3 3 2" xfId="2484" xr:uid="{00000000-0005-0000-0000-0000B3090000}"/>
    <cellStyle name="Heading 3 3 3" xfId="2485" xr:uid="{00000000-0005-0000-0000-0000B4090000}"/>
    <cellStyle name="Heading 3 3 3 2" xfId="2486" xr:uid="{00000000-0005-0000-0000-0000B5090000}"/>
    <cellStyle name="Heading 3 30" xfId="2487" xr:uid="{00000000-0005-0000-0000-0000B6090000}"/>
    <cellStyle name="Heading 3 31" xfId="2488" xr:uid="{00000000-0005-0000-0000-0000B7090000}"/>
    <cellStyle name="Heading 3 32" xfId="2489" xr:uid="{00000000-0005-0000-0000-0000B8090000}"/>
    <cellStyle name="Heading 3 33" xfId="2490" xr:uid="{00000000-0005-0000-0000-0000B9090000}"/>
    <cellStyle name="Heading 3 34" xfId="2491" xr:uid="{00000000-0005-0000-0000-0000BA090000}"/>
    <cellStyle name="Heading 3 35" xfId="2492" xr:uid="{00000000-0005-0000-0000-0000BB090000}"/>
    <cellStyle name="Heading 3 36" xfId="2493" xr:uid="{00000000-0005-0000-0000-0000BC090000}"/>
    <cellStyle name="Heading 3 37" xfId="2494" xr:uid="{00000000-0005-0000-0000-0000BD090000}"/>
    <cellStyle name="Heading 3 38" xfId="2495" xr:uid="{00000000-0005-0000-0000-0000BE090000}"/>
    <cellStyle name="Heading 3 39" xfId="2496" xr:uid="{00000000-0005-0000-0000-0000BF090000}"/>
    <cellStyle name="Heading 3 4" xfId="2497" xr:uid="{00000000-0005-0000-0000-0000C0090000}"/>
    <cellStyle name="Heading 3 40" xfId="2498" xr:uid="{00000000-0005-0000-0000-0000C1090000}"/>
    <cellStyle name="Heading 3 41" xfId="2499" xr:uid="{00000000-0005-0000-0000-0000C2090000}"/>
    <cellStyle name="Heading 3 5" xfId="2500" xr:uid="{00000000-0005-0000-0000-0000C3090000}"/>
    <cellStyle name="Heading 3 6" xfId="2501" xr:uid="{00000000-0005-0000-0000-0000C4090000}"/>
    <cellStyle name="Heading 3 7" xfId="2502" xr:uid="{00000000-0005-0000-0000-0000C5090000}"/>
    <cellStyle name="Heading 3 8" xfId="2503" xr:uid="{00000000-0005-0000-0000-0000C6090000}"/>
    <cellStyle name="Heading 3 9" xfId="2504" xr:uid="{00000000-0005-0000-0000-0000C7090000}"/>
    <cellStyle name="Heading 4" xfId="2505" builtinId="19" customBuiltin="1"/>
    <cellStyle name="Heading 4 10" xfId="2506" xr:uid="{00000000-0005-0000-0000-0000C9090000}"/>
    <cellStyle name="Heading 4 11" xfId="2507" xr:uid="{00000000-0005-0000-0000-0000CA090000}"/>
    <cellStyle name="Heading 4 12" xfId="2508" xr:uid="{00000000-0005-0000-0000-0000CB090000}"/>
    <cellStyle name="Heading 4 13" xfId="2509" xr:uid="{00000000-0005-0000-0000-0000CC090000}"/>
    <cellStyle name="Heading 4 14" xfId="2510" xr:uid="{00000000-0005-0000-0000-0000CD090000}"/>
    <cellStyle name="Heading 4 15" xfId="2511" xr:uid="{00000000-0005-0000-0000-0000CE090000}"/>
    <cellStyle name="Heading 4 16" xfId="2512" xr:uid="{00000000-0005-0000-0000-0000CF090000}"/>
    <cellStyle name="Heading 4 17" xfId="2513" xr:uid="{00000000-0005-0000-0000-0000D0090000}"/>
    <cellStyle name="Heading 4 18" xfId="2514" xr:uid="{00000000-0005-0000-0000-0000D1090000}"/>
    <cellStyle name="Heading 4 19" xfId="2515" xr:uid="{00000000-0005-0000-0000-0000D2090000}"/>
    <cellStyle name="Heading 4 2" xfId="2516" xr:uid="{00000000-0005-0000-0000-0000D3090000}"/>
    <cellStyle name="Heading 4 2 10" xfId="2517" xr:uid="{00000000-0005-0000-0000-0000D4090000}"/>
    <cellStyle name="Heading 4 2 2" xfId="2518" xr:uid="{00000000-0005-0000-0000-0000D5090000}"/>
    <cellStyle name="Heading 4 2 2 2" xfId="2519" xr:uid="{00000000-0005-0000-0000-0000D6090000}"/>
    <cellStyle name="Heading 4 2 3" xfId="2520" xr:uid="{00000000-0005-0000-0000-0000D7090000}"/>
    <cellStyle name="Heading 4 2 4" xfId="2521" xr:uid="{00000000-0005-0000-0000-0000D8090000}"/>
    <cellStyle name="Heading 4 2 5" xfId="2522" xr:uid="{00000000-0005-0000-0000-0000D9090000}"/>
    <cellStyle name="Heading 4 2 6" xfId="2523" xr:uid="{00000000-0005-0000-0000-0000DA090000}"/>
    <cellStyle name="Heading 4 2 7" xfId="2524" xr:uid="{00000000-0005-0000-0000-0000DB090000}"/>
    <cellStyle name="Heading 4 2 8" xfId="2525" xr:uid="{00000000-0005-0000-0000-0000DC090000}"/>
    <cellStyle name="Heading 4 2 9" xfId="2526" xr:uid="{00000000-0005-0000-0000-0000DD090000}"/>
    <cellStyle name="Heading 4 20" xfId="2527" xr:uid="{00000000-0005-0000-0000-0000DE090000}"/>
    <cellStyle name="Heading 4 21" xfId="2528" xr:uid="{00000000-0005-0000-0000-0000DF090000}"/>
    <cellStyle name="Heading 4 22" xfId="2529" xr:uid="{00000000-0005-0000-0000-0000E0090000}"/>
    <cellStyle name="Heading 4 23" xfId="2530" xr:uid="{00000000-0005-0000-0000-0000E1090000}"/>
    <cellStyle name="Heading 4 24" xfId="2531" xr:uid="{00000000-0005-0000-0000-0000E2090000}"/>
    <cellStyle name="Heading 4 25" xfId="2532" xr:uid="{00000000-0005-0000-0000-0000E3090000}"/>
    <cellStyle name="Heading 4 26" xfId="2533" xr:uid="{00000000-0005-0000-0000-0000E4090000}"/>
    <cellStyle name="Heading 4 27" xfId="2534" xr:uid="{00000000-0005-0000-0000-0000E5090000}"/>
    <cellStyle name="Heading 4 28" xfId="2535" xr:uid="{00000000-0005-0000-0000-0000E6090000}"/>
    <cellStyle name="Heading 4 29" xfId="2536" xr:uid="{00000000-0005-0000-0000-0000E7090000}"/>
    <cellStyle name="Heading 4 3" xfId="2537" xr:uid="{00000000-0005-0000-0000-0000E8090000}"/>
    <cellStyle name="Heading 4 3 2" xfId="2538" xr:uid="{00000000-0005-0000-0000-0000E9090000}"/>
    <cellStyle name="Heading 4 3 3" xfId="2539" xr:uid="{00000000-0005-0000-0000-0000EA090000}"/>
    <cellStyle name="Heading 4 3 3 2" xfId="2540" xr:uid="{00000000-0005-0000-0000-0000EB090000}"/>
    <cellStyle name="Heading 4 30" xfId="2541" xr:uid="{00000000-0005-0000-0000-0000EC090000}"/>
    <cellStyle name="Heading 4 31" xfId="2542" xr:uid="{00000000-0005-0000-0000-0000ED090000}"/>
    <cellStyle name="Heading 4 32" xfId="2543" xr:uid="{00000000-0005-0000-0000-0000EE090000}"/>
    <cellStyle name="Heading 4 33" xfId="2544" xr:uid="{00000000-0005-0000-0000-0000EF090000}"/>
    <cellStyle name="Heading 4 34" xfId="2545" xr:uid="{00000000-0005-0000-0000-0000F0090000}"/>
    <cellStyle name="Heading 4 35" xfId="2546" xr:uid="{00000000-0005-0000-0000-0000F1090000}"/>
    <cellStyle name="Heading 4 36" xfId="2547" xr:uid="{00000000-0005-0000-0000-0000F2090000}"/>
    <cellStyle name="Heading 4 37" xfId="2548" xr:uid="{00000000-0005-0000-0000-0000F3090000}"/>
    <cellStyle name="Heading 4 38" xfId="2549" xr:uid="{00000000-0005-0000-0000-0000F4090000}"/>
    <cellStyle name="Heading 4 39" xfId="2550" xr:uid="{00000000-0005-0000-0000-0000F5090000}"/>
    <cellStyle name="Heading 4 4" xfId="2551" xr:uid="{00000000-0005-0000-0000-0000F6090000}"/>
    <cellStyle name="Heading 4 40" xfId="2552" xr:uid="{00000000-0005-0000-0000-0000F7090000}"/>
    <cellStyle name="Heading 4 41" xfId="2553" xr:uid="{00000000-0005-0000-0000-0000F8090000}"/>
    <cellStyle name="Heading 4 5" xfId="2554" xr:uid="{00000000-0005-0000-0000-0000F9090000}"/>
    <cellStyle name="Heading 4 6" xfId="2555" xr:uid="{00000000-0005-0000-0000-0000FA090000}"/>
    <cellStyle name="Heading 4 7" xfId="2556" xr:uid="{00000000-0005-0000-0000-0000FB090000}"/>
    <cellStyle name="Heading 4 8" xfId="2557" xr:uid="{00000000-0005-0000-0000-0000FC090000}"/>
    <cellStyle name="Heading 4 9" xfId="2558" xr:uid="{00000000-0005-0000-0000-0000FD090000}"/>
    <cellStyle name="Headline" xfId="2559" xr:uid="{00000000-0005-0000-0000-0000FE090000}"/>
    <cellStyle name="Hyperlink 2" xfId="2560" xr:uid="{00000000-0005-0000-0000-0000FF090000}"/>
    <cellStyle name="Hyperlink 3" xfId="2561" xr:uid="{00000000-0005-0000-0000-0000000A0000}"/>
    <cellStyle name="Hyperlink 4" xfId="2562" xr:uid="{00000000-0005-0000-0000-0000010A0000}"/>
    <cellStyle name="Hyperlink 5" xfId="2563" xr:uid="{00000000-0005-0000-0000-0000020A0000}"/>
    <cellStyle name="Input" xfId="2564" builtinId="20" customBuiltin="1"/>
    <cellStyle name="Input 10 2" xfId="2565" xr:uid="{00000000-0005-0000-0000-0000040A0000}"/>
    <cellStyle name="Input 11 2" xfId="2566" xr:uid="{00000000-0005-0000-0000-0000050A0000}"/>
    <cellStyle name="Input 12 2" xfId="2567" xr:uid="{00000000-0005-0000-0000-0000060A0000}"/>
    <cellStyle name="Input 13 2" xfId="2568" xr:uid="{00000000-0005-0000-0000-0000070A0000}"/>
    <cellStyle name="Input 14 2" xfId="2569" xr:uid="{00000000-0005-0000-0000-0000080A0000}"/>
    <cellStyle name="Input 15 2" xfId="2570" xr:uid="{00000000-0005-0000-0000-0000090A0000}"/>
    <cellStyle name="Input 16 2" xfId="2571" xr:uid="{00000000-0005-0000-0000-00000A0A0000}"/>
    <cellStyle name="Input 17 2" xfId="2572" xr:uid="{00000000-0005-0000-0000-00000B0A0000}"/>
    <cellStyle name="Input 18 2" xfId="2573" xr:uid="{00000000-0005-0000-0000-00000C0A0000}"/>
    <cellStyle name="Input 19 2" xfId="2574" xr:uid="{00000000-0005-0000-0000-00000D0A0000}"/>
    <cellStyle name="Input 2" xfId="2575" xr:uid="{00000000-0005-0000-0000-00000E0A0000}"/>
    <cellStyle name="Input 2 10" xfId="2576" xr:uid="{00000000-0005-0000-0000-00000F0A0000}"/>
    <cellStyle name="Input 2 2" xfId="2577" xr:uid="{00000000-0005-0000-0000-0000100A0000}"/>
    <cellStyle name="Input 2 2 2" xfId="2578" xr:uid="{00000000-0005-0000-0000-0000110A0000}"/>
    <cellStyle name="Input 2 2 2 2" xfId="2579" xr:uid="{00000000-0005-0000-0000-0000120A0000}"/>
    <cellStyle name="Input 2 3" xfId="2580" xr:uid="{00000000-0005-0000-0000-0000130A0000}"/>
    <cellStyle name="Input 2 3 2" xfId="2581" xr:uid="{00000000-0005-0000-0000-0000140A0000}"/>
    <cellStyle name="Input 2 3 2 2" xfId="2582" xr:uid="{00000000-0005-0000-0000-0000150A0000}"/>
    <cellStyle name="Input 2 4" xfId="2583" xr:uid="{00000000-0005-0000-0000-0000160A0000}"/>
    <cellStyle name="Input 2 5" xfId="2584" xr:uid="{00000000-0005-0000-0000-0000170A0000}"/>
    <cellStyle name="Input 2 6" xfId="2585" xr:uid="{00000000-0005-0000-0000-0000180A0000}"/>
    <cellStyle name="Input 2 7" xfId="2586" xr:uid="{00000000-0005-0000-0000-0000190A0000}"/>
    <cellStyle name="Input 2 8" xfId="2587" xr:uid="{00000000-0005-0000-0000-00001A0A0000}"/>
    <cellStyle name="Input 2 9" xfId="2588" xr:uid="{00000000-0005-0000-0000-00001B0A0000}"/>
    <cellStyle name="Input 2_PrimaryEnergyPrices_TIMES" xfId="2589" xr:uid="{00000000-0005-0000-0000-00001C0A0000}"/>
    <cellStyle name="Input 20 2" xfId="2590" xr:uid="{00000000-0005-0000-0000-00001D0A0000}"/>
    <cellStyle name="Input 21 2" xfId="2591" xr:uid="{00000000-0005-0000-0000-00001E0A0000}"/>
    <cellStyle name="Input 22 2" xfId="2592" xr:uid="{00000000-0005-0000-0000-00001F0A0000}"/>
    <cellStyle name="Input 23 2" xfId="2593" xr:uid="{00000000-0005-0000-0000-0000200A0000}"/>
    <cellStyle name="Input 24 2" xfId="2594" xr:uid="{00000000-0005-0000-0000-0000210A0000}"/>
    <cellStyle name="Input 25 2" xfId="2595" xr:uid="{00000000-0005-0000-0000-0000220A0000}"/>
    <cellStyle name="Input 26 2" xfId="2596" xr:uid="{00000000-0005-0000-0000-0000230A0000}"/>
    <cellStyle name="Input 27 2" xfId="2597" xr:uid="{00000000-0005-0000-0000-0000240A0000}"/>
    <cellStyle name="Input 28 2" xfId="2598" xr:uid="{00000000-0005-0000-0000-0000250A0000}"/>
    <cellStyle name="Input 29 2" xfId="2599" xr:uid="{00000000-0005-0000-0000-0000260A0000}"/>
    <cellStyle name="Input 3" xfId="2600" xr:uid="{00000000-0005-0000-0000-0000270A0000}"/>
    <cellStyle name="Input 3 2" xfId="2601" xr:uid="{00000000-0005-0000-0000-0000280A0000}"/>
    <cellStyle name="Input 3 3" xfId="2602" xr:uid="{00000000-0005-0000-0000-0000290A0000}"/>
    <cellStyle name="Input 3 4" xfId="2603" xr:uid="{00000000-0005-0000-0000-00002A0A0000}"/>
    <cellStyle name="Input 3 4 2" xfId="2604" xr:uid="{00000000-0005-0000-0000-00002B0A0000}"/>
    <cellStyle name="Input 30 2" xfId="2605" xr:uid="{00000000-0005-0000-0000-00002C0A0000}"/>
    <cellStyle name="Input 31 2" xfId="2606" xr:uid="{00000000-0005-0000-0000-00002D0A0000}"/>
    <cellStyle name="Input 32 2" xfId="2607" xr:uid="{00000000-0005-0000-0000-00002E0A0000}"/>
    <cellStyle name="Input 33 2" xfId="2608" xr:uid="{00000000-0005-0000-0000-00002F0A0000}"/>
    <cellStyle name="Input 34" xfId="2609" xr:uid="{00000000-0005-0000-0000-0000300A0000}"/>
    <cellStyle name="Input 34 2" xfId="2610" xr:uid="{00000000-0005-0000-0000-0000310A0000}"/>
    <cellStyle name="Input 34_ELC_final" xfId="2611" xr:uid="{00000000-0005-0000-0000-0000320A0000}"/>
    <cellStyle name="Input 35" xfId="2612" xr:uid="{00000000-0005-0000-0000-0000330A0000}"/>
    <cellStyle name="Input 36" xfId="2613" xr:uid="{00000000-0005-0000-0000-0000340A0000}"/>
    <cellStyle name="Input 37" xfId="2614" xr:uid="{00000000-0005-0000-0000-0000350A0000}"/>
    <cellStyle name="Input 38" xfId="2615" xr:uid="{00000000-0005-0000-0000-0000360A0000}"/>
    <cellStyle name="Input 39" xfId="2616" xr:uid="{00000000-0005-0000-0000-0000370A0000}"/>
    <cellStyle name="Input 4 2" xfId="2617" xr:uid="{00000000-0005-0000-0000-0000380A0000}"/>
    <cellStyle name="Input 40" xfId="2618" xr:uid="{00000000-0005-0000-0000-0000390A0000}"/>
    <cellStyle name="Input 5 2" xfId="2619" xr:uid="{00000000-0005-0000-0000-00003A0A0000}"/>
    <cellStyle name="Input 6 2" xfId="2620" xr:uid="{00000000-0005-0000-0000-00003B0A0000}"/>
    <cellStyle name="Input 7 2" xfId="2621" xr:uid="{00000000-0005-0000-0000-00003C0A0000}"/>
    <cellStyle name="Input 8 2" xfId="2622" xr:uid="{00000000-0005-0000-0000-00003D0A0000}"/>
    <cellStyle name="Input 9 2" xfId="2623" xr:uid="{00000000-0005-0000-0000-00003E0A0000}"/>
    <cellStyle name="InputCells" xfId="2624" xr:uid="{00000000-0005-0000-0000-00003F0A0000}"/>
    <cellStyle name="InputCells12" xfId="2625" xr:uid="{00000000-0005-0000-0000-0000400A0000}"/>
    <cellStyle name="InputCells12 2" xfId="2626" xr:uid="{00000000-0005-0000-0000-0000410A0000}"/>
    <cellStyle name="InputCells12_BBorder" xfId="2627" xr:uid="{00000000-0005-0000-0000-0000420A0000}"/>
    <cellStyle name="IntCells" xfId="2628" xr:uid="{00000000-0005-0000-0000-0000430A0000}"/>
    <cellStyle name="KP_thin_border_dark_grey" xfId="2629" xr:uid="{00000000-0005-0000-0000-0000440A0000}"/>
    <cellStyle name="ligne_titre_0" xfId="2630" xr:uid="{00000000-0005-0000-0000-0000450A0000}"/>
    <cellStyle name="Linked Cell" xfId="2631" builtinId="24" customBuiltin="1"/>
    <cellStyle name="Linked Cell 10" xfId="2632" xr:uid="{00000000-0005-0000-0000-0000470A0000}"/>
    <cellStyle name="Linked Cell 11" xfId="2633" xr:uid="{00000000-0005-0000-0000-0000480A0000}"/>
    <cellStyle name="Linked Cell 12" xfId="2634" xr:uid="{00000000-0005-0000-0000-0000490A0000}"/>
    <cellStyle name="Linked Cell 13" xfId="2635" xr:uid="{00000000-0005-0000-0000-00004A0A0000}"/>
    <cellStyle name="Linked Cell 14" xfId="2636" xr:uid="{00000000-0005-0000-0000-00004B0A0000}"/>
    <cellStyle name="Linked Cell 15" xfId="2637" xr:uid="{00000000-0005-0000-0000-00004C0A0000}"/>
    <cellStyle name="Linked Cell 16" xfId="2638" xr:uid="{00000000-0005-0000-0000-00004D0A0000}"/>
    <cellStyle name="Linked Cell 17" xfId="2639" xr:uid="{00000000-0005-0000-0000-00004E0A0000}"/>
    <cellStyle name="Linked Cell 18" xfId="2640" xr:uid="{00000000-0005-0000-0000-00004F0A0000}"/>
    <cellStyle name="Linked Cell 19" xfId="2641" xr:uid="{00000000-0005-0000-0000-0000500A0000}"/>
    <cellStyle name="Linked Cell 2" xfId="2642" xr:uid="{00000000-0005-0000-0000-0000510A0000}"/>
    <cellStyle name="Linked Cell 2 10" xfId="2643" xr:uid="{00000000-0005-0000-0000-0000520A0000}"/>
    <cellStyle name="Linked Cell 2 2" xfId="2644" xr:uid="{00000000-0005-0000-0000-0000530A0000}"/>
    <cellStyle name="Linked Cell 2 2 2" xfId="2645" xr:uid="{00000000-0005-0000-0000-0000540A0000}"/>
    <cellStyle name="Linked Cell 2 3" xfId="2646" xr:uid="{00000000-0005-0000-0000-0000550A0000}"/>
    <cellStyle name="Linked Cell 2 4" xfId="2647" xr:uid="{00000000-0005-0000-0000-0000560A0000}"/>
    <cellStyle name="Linked Cell 2 5" xfId="2648" xr:uid="{00000000-0005-0000-0000-0000570A0000}"/>
    <cellStyle name="Linked Cell 2 6" xfId="2649" xr:uid="{00000000-0005-0000-0000-0000580A0000}"/>
    <cellStyle name="Linked Cell 2 7" xfId="2650" xr:uid="{00000000-0005-0000-0000-0000590A0000}"/>
    <cellStyle name="Linked Cell 2 8" xfId="2651" xr:uid="{00000000-0005-0000-0000-00005A0A0000}"/>
    <cellStyle name="Linked Cell 2 9" xfId="2652" xr:uid="{00000000-0005-0000-0000-00005B0A0000}"/>
    <cellStyle name="Linked Cell 20" xfId="2653" xr:uid="{00000000-0005-0000-0000-00005C0A0000}"/>
    <cellStyle name="Linked Cell 21" xfId="2654" xr:uid="{00000000-0005-0000-0000-00005D0A0000}"/>
    <cellStyle name="Linked Cell 22" xfId="2655" xr:uid="{00000000-0005-0000-0000-00005E0A0000}"/>
    <cellStyle name="Linked Cell 23" xfId="2656" xr:uid="{00000000-0005-0000-0000-00005F0A0000}"/>
    <cellStyle name="Linked Cell 24" xfId="2657" xr:uid="{00000000-0005-0000-0000-0000600A0000}"/>
    <cellStyle name="Linked Cell 25" xfId="2658" xr:uid="{00000000-0005-0000-0000-0000610A0000}"/>
    <cellStyle name="Linked Cell 26" xfId="2659" xr:uid="{00000000-0005-0000-0000-0000620A0000}"/>
    <cellStyle name="Linked Cell 27" xfId="2660" xr:uid="{00000000-0005-0000-0000-0000630A0000}"/>
    <cellStyle name="Linked Cell 28" xfId="2661" xr:uid="{00000000-0005-0000-0000-0000640A0000}"/>
    <cellStyle name="Linked Cell 29" xfId="2662" xr:uid="{00000000-0005-0000-0000-0000650A0000}"/>
    <cellStyle name="Linked Cell 3" xfId="2663" xr:uid="{00000000-0005-0000-0000-0000660A0000}"/>
    <cellStyle name="Linked Cell 3 2" xfId="2664" xr:uid="{00000000-0005-0000-0000-0000670A0000}"/>
    <cellStyle name="Linked Cell 3 3" xfId="2665" xr:uid="{00000000-0005-0000-0000-0000680A0000}"/>
    <cellStyle name="Linked Cell 3 3 2" xfId="2666" xr:uid="{00000000-0005-0000-0000-0000690A0000}"/>
    <cellStyle name="Linked Cell 30" xfId="2667" xr:uid="{00000000-0005-0000-0000-00006A0A0000}"/>
    <cellStyle name="Linked Cell 31" xfId="2668" xr:uid="{00000000-0005-0000-0000-00006B0A0000}"/>
    <cellStyle name="Linked Cell 32" xfId="2669" xr:uid="{00000000-0005-0000-0000-00006C0A0000}"/>
    <cellStyle name="Linked Cell 33" xfId="2670" xr:uid="{00000000-0005-0000-0000-00006D0A0000}"/>
    <cellStyle name="Linked Cell 34" xfId="2671" xr:uid="{00000000-0005-0000-0000-00006E0A0000}"/>
    <cellStyle name="Linked Cell 35" xfId="2672" xr:uid="{00000000-0005-0000-0000-00006F0A0000}"/>
    <cellStyle name="Linked Cell 36" xfId="2673" xr:uid="{00000000-0005-0000-0000-0000700A0000}"/>
    <cellStyle name="Linked Cell 37" xfId="2674" xr:uid="{00000000-0005-0000-0000-0000710A0000}"/>
    <cellStyle name="Linked Cell 38" xfId="2675" xr:uid="{00000000-0005-0000-0000-0000720A0000}"/>
    <cellStyle name="Linked Cell 39" xfId="2676" xr:uid="{00000000-0005-0000-0000-0000730A0000}"/>
    <cellStyle name="Linked Cell 4" xfId="2677" xr:uid="{00000000-0005-0000-0000-0000740A0000}"/>
    <cellStyle name="Linked Cell 40" xfId="2678" xr:uid="{00000000-0005-0000-0000-0000750A0000}"/>
    <cellStyle name="Linked Cell 41" xfId="2679" xr:uid="{00000000-0005-0000-0000-0000760A0000}"/>
    <cellStyle name="Linked Cell 5" xfId="2680" xr:uid="{00000000-0005-0000-0000-0000770A0000}"/>
    <cellStyle name="Linked Cell 6" xfId="2681" xr:uid="{00000000-0005-0000-0000-0000780A0000}"/>
    <cellStyle name="Linked Cell 7" xfId="2682" xr:uid="{00000000-0005-0000-0000-0000790A0000}"/>
    <cellStyle name="Linked Cell 8" xfId="2683" xr:uid="{00000000-0005-0000-0000-00007A0A0000}"/>
    <cellStyle name="Linked Cell 9" xfId="2684" xr:uid="{00000000-0005-0000-0000-00007B0A0000}"/>
    <cellStyle name="Migliaia_Oil&amp;Gas IFE ARC POLITO" xfId="2685" xr:uid="{00000000-0005-0000-0000-00007C0A0000}"/>
    <cellStyle name="Neutral" xfId="2686" builtinId="28" customBuiltin="1"/>
    <cellStyle name="Neutral 10" xfId="2687" xr:uid="{00000000-0005-0000-0000-00007E0A0000}"/>
    <cellStyle name="Neutral 11" xfId="2688" xr:uid="{00000000-0005-0000-0000-00007F0A0000}"/>
    <cellStyle name="Neutral 12" xfId="2689" xr:uid="{00000000-0005-0000-0000-0000800A0000}"/>
    <cellStyle name="Neutral 13" xfId="2690" xr:uid="{00000000-0005-0000-0000-0000810A0000}"/>
    <cellStyle name="Neutral 14" xfId="2691" xr:uid="{00000000-0005-0000-0000-0000820A0000}"/>
    <cellStyle name="Neutral 15" xfId="2692" xr:uid="{00000000-0005-0000-0000-0000830A0000}"/>
    <cellStyle name="Neutral 16" xfId="2693" xr:uid="{00000000-0005-0000-0000-0000840A0000}"/>
    <cellStyle name="Neutral 17" xfId="2694" xr:uid="{00000000-0005-0000-0000-0000850A0000}"/>
    <cellStyle name="Neutral 18" xfId="2695" xr:uid="{00000000-0005-0000-0000-0000860A0000}"/>
    <cellStyle name="Neutral 19" xfId="2696" xr:uid="{00000000-0005-0000-0000-0000870A0000}"/>
    <cellStyle name="Neutral 2" xfId="2697" xr:uid="{00000000-0005-0000-0000-0000880A0000}"/>
    <cellStyle name="Neutral 2 10" xfId="2698" xr:uid="{00000000-0005-0000-0000-0000890A0000}"/>
    <cellStyle name="Neutral 2 2" xfId="2699" xr:uid="{00000000-0005-0000-0000-00008A0A0000}"/>
    <cellStyle name="Neutral 2 2 2" xfId="2700" xr:uid="{00000000-0005-0000-0000-00008B0A0000}"/>
    <cellStyle name="Neutral 2 3" xfId="2701" xr:uid="{00000000-0005-0000-0000-00008C0A0000}"/>
    <cellStyle name="Neutral 2 4" xfId="2702" xr:uid="{00000000-0005-0000-0000-00008D0A0000}"/>
    <cellStyle name="Neutral 2 5" xfId="2703" xr:uid="{00000000-0005-0000-0000-00008E0A0000}"/>
    <cellStyle name="Neutral 2 6" xfId="2704" xr:uid="{00000000-0005-0000-0000-00008F0A0000}"/>
    <cellStyle name="Neutral 2 7" xfId="2705" xr:uid="{00000000-0005-0000-0000-0000900A0000}"/>
    <cellStyle name="Neutral 2 8" xfId="2706" xr:uid="{00000000-0005-0000-0000-0000910A0000}"/>
    <cellStyle name="Neutral 2 9" xfId="2707" xr:uid="{00000000-0005-0000-0000-0000920A0000}"/>
    <cellStyle name="Neutral 20" xfId="2708" xr:uid="{00000000-0005-0000-0000-0000930A0000}"/>
    <cellStyle name="Neutral 21" xfId="2709" xr:uid="{00000000-0005-0000-0000-0000940A0000}"/>
    <cellStyle name="Neutral 22" xfId="2710" xr:uid="{00000000-0005-0000-0000-0000950A0000}"/>
    <cellStyle name="Neutral 23" xfId="2711" xr:uid="{00000000-0005-0000-0000-0000960A0000}"/>
    <cellStyle name="Neutral 24" xfId="2712" xr:uid="{00000000-0005-0000-0000-0000970A0000}"/>
    <cellStyle name="Neutral 25" xfId="2713" xr:uid="{00000000-0005-0000-0000-0000980A0000}"/>
    <cellStyle name="Neutral 26" xfId="2714" xr:uid="{00000000-0005-0000-0000-0000990A0000}"/>
    <cellStyle name="Neutral 27" xfId="2715" xr:uid="{00000000-0005-0000-0000-00009A0A0000}"/>
    <cellStyle name="Neutral 28" xfId="2716" xr:uid="{00000000-0005-0000-0000-00009B0A0000}"/>
    <cellStyle name="Neutral 29" xfId="2717" xr:uid="{00000000-0005-0000-0000-00009C0A0000}"/>
    <cellStyle name="Neutral 3" xfId="2718" xr:uid="{00000000-0005-0000-0000-00009D0A0000}"/>
    <cellStyle name="Neutral 3 2" xfId="2719" xr:uid="{00000000-0005-0000-0000-00009E0A0000}"/>
    <cellStyle name="Neutral 3 2 2" xfId="2720" xr:uid="{00000000-0005-0000-0000-00009F0A0000}"/>
    <cellStyle name="Neutral 3 3" xfId="2721" xr:uid="{00000000-0005-0000-0000-0000A00A0000}"/>
    <cellStyle name="Neutral 3 4" xfId="2722" xr:uid="{00000000-0005-0000-0000-0000A10A0000}"/>
    <cellStyle name="Neutral 3 5" xfId="2723" xr:uid="{00000000-0005-0000-0000-0000A20A0000}"/>
    <cellStyle name="Neutral 3 6" xfId="2724" xr:uid="{00000000-0005-0000-0000-0000A30A0000}"/>
    <cellStyle name="Neutral 30" xfId="2725" xr:uid="{00000000-0005-0000-0000-0000A40A0000}"/>
    <cellStyle name="Neutral 31" xfId="2726" xr:uid="{00000000-0005-0000-0000-0000A50A0000}"/>
    <cellStyle name="Neutral 32" xfId="2727" xr:uid="{00000000-0005-0000-0000-0000A60A0000}"/>
    <cellStyle name="Neutral 33" xfId="2728" xr:uid="{00000000-0005-0000-0000-0000A70A0000}"/>
    <cellStyle name="Neutral 34" xfId="2729" xr:uid="{00000000-0005-0000-0000-0000A80A0000}"/>
    <cellStyle name="Neutral 35" xfId="2730" xr:uid="{00000000-0005-0000-0000-0000A90A0000}"/>
    <cellStyle name="Neutral 36" xfId="2731" xr:uid="{00000000-0005-0000-0000-0000AA0A0000}"/>
    <cellStyle name="Neutral 37" xfId="2732" xr:uid="{00000000-0005-0000-0000-0000AB0A0000}"/>
    <cellStyle name="Neutral 38" xfId="2733" xr:uid="{00000000-0005-0000-0000-0000AC0A0000}"/>
    <cellStyle name="Neutral 39" xfId="2734" xr:uid="{00000000-0005-0000-0000-0000AD0A0000}"/>
    <cellStyle name="Neutral 4" xfId="2735" xr:uid="{00000000-0005-0000-0000-0000AE0A0000}"/>
    <cellStyle name="Neutral 4 2" xfId="2736" xr:uid="{00000000-0005-0000-0000-0000AF0A0000}"/>
    <cellStyle name="Neutral 4 3" xfId="2737" xr:uid="{00000000-0005-0000-0000-0000B00A0000}"/>
    <cellStyle name="Neutral 40" xfId="2738" xr:uid="{00000000-0005-0000-0000-0000B10A0000}"/>
    <cellStyle name="Neutral 41" xfId="2739" xr:uid="{00000000-0005-0000-0000-0000B20A0000}"/>
    <cellStyle name="Neutral 42" xfId="2740" xr:uid="{00000000-0005-0000-0000-0000B30A0000}"/>
    <cellStyle name="Neutral 43" xfId="2741" xr:uid="{00000000-0005-0000-0000-0000B40A0000}"/>
    <cellStyle name="Neutral 5" xfId="2742" xr:uid="{00000000-0005-0000-0000-0000B50A0000}"/>
    <cellStyle name="Neutral 6" xfId="2743" xr:uid="{00000000-0005-0000-0000-0000B60A0000}"/>
    <cellStyle name="Neutral 7" xfId="2744" xr:uid="{00000000-0005-0000-0000-0000B70A0000}"/>
    <cellStyle name="Neutral 8" xfId="2745" xr:uid="{00000000-0005-0000-0000-0000B80A0000}"/>
    <cellStyle name="Neutral 9" xfId="2746" xr:uid="{00000000-0005-0000-0000-0000B90A0000}"/>
    <cellStyle name="Normal" xfId="0" builtinId="0"/>
    <cellStyle name="Normal 10" xfId="2747" xr:uid="{00000000-0005-0000-0000-0000BB0A0000}"/>
    <cellStyle name="Normal 10 2" xfId="2748" xr:uid="{00000000-0005-0000-0000-0000BC0A0000}"/>
    <cellStyle name="Normal 10 2 2" xfId="2749" xr:uid="{00000000-0005-0000-0000-0000BD0A0000}"/>
    <cellStyle name="Normal 10 2 2 2" xfId="2750" xr:uid="{00000000-0005-0000-0000-0000BE0A0000}"/>
    <cellStyle name="Normal 10 2 3" xfId="2751" xr:uid="{00000000-0005-0000-0000-0000BF0A0000}"/>
    <cellStyle name="Normal 10 2 4" xfId="2752" xr:uid="{00000000-0005-0000-0000-0000C00A0000}"/>
    <cellStyle name="Normal 10 3" xfId="2753" xr:uid="{00000000-0005-0000-0000-0000C10A0000}"/>
    <cellStyle name="Normal 10 4" xfId="2754" xr:uid="{00000000-0005-0000-0000-0000C20A0000}"/>
    <cellStyle name="Normal 10 5" xfId="2755" xr:uid="{00000000-0005-0000-0000-0000C30A0000}"/>
    <cellStyle name="Normal 10 6" xfId="2756" xr:uid="{00000000-0005-0000-0000-0000C40A0000}"/>
    <cellStyle name="Normal 10 7" xfId="2757" xr:uid="{00000000-0005-0000-0000-0000C50A0000}"/>
    <cellStyle name="Normal 10 8" xfId="2758" xr:uid="{00000000-0005-0000-0000-0000C60A0000}"/>
    <cellStyle name="Normal 10 9" xfId="2759" xr:uid="{00000000-0005-0000-0000-0000C70A0000}"/>
    <cellStyle name="Normal 11" xfId="2760" xr:uid="{00000000-0005-0000-0000-0000C80A0000}"/>
    <cellStyle name="Normal 11 2" xfId="2761" xr:uid="{00000000-0005-0000-0000-0000C90A0000}"/>
    <cellStyle name="Normal 11 2 2" xfId="2762" xr:uid="{00000000-0005-0000-0000-0000CA0A0000}"/>
    <cellStyle name="Normal 11 2 2 2" xfId="2763" xr:uid="{00000000-0005-0000-0000-0000CB0A0000}"/>
    <cellStyle name="Normal 11 3" xfId="2764" xr:uid="{00000000-0005-0000-0000-0000CC0A0000}"/>
    <cellStyle name="Normal 11 4" xfId="2765" xr:uid="{00000000-0005-0000-0000-0000CD0A0000}"/>
    <cellStyle name="Normal 11 4 2" xfId="2766" xr:uid="{00000000-0005-0000-0000-0000CE0A0000}"/>
    <cellStyle name="Normal 11 5" xfId="2767" xr:uid="{00000000-0005-0000-0000-0000CF0A0000}"/>
    <cellStyle name="Normal 11 5 2" xfId="2768" xr:uid="{00000000-0005-0000-0000-0000D00A0000}"/>
    <cellStyle name="Normal 11 5 2 2" xfId="2769" xr:uid="{00000000-0005-0000-0000-0000D10A0000}"/>
    <cellStyle name="Normal 11 6" xfId="2770" xr:uid="{00000000-0005-0000-0000-0000D20A0000}"/>
    <cellStyle name="Normal 11 7" xfId="2771" xr:uid="{00000000-0005-0000-0000-0000D30A0000}"/>
    <cellStyle name="Normal 11 8" xfId="2772" xr:uid="{00000000-0005-0000-0000-0000D40A0000}"/>
    <cellStyle name="Normal 11 9" xfId="2773" xr:uid="{00000000-0005-0000-0000-0000D50A0000}"/>
    <cellStyle name="Normal 12" xfId="2774" xr:uid="{00000000-0005-0000-0000-0000D60A0000}"/>
    <cellStyle name="Normal 12 2" xfId="2775" xr:uid="{00000000-0005-0000-0000-0000D70A0000}"/>
    <cellStyle name="Normal 12 3" xfId="2776" xr:uid="{00000000-0005-0000-0000-0000D80A0000}"/>
    <cellStyle name="Normal 12 4" xfId="2777" xr:uid="{00000000-0005-0000-0000-0000D90A0000}"/>
    <cellStyle name="Normal 12 5" xfId="2778" xr:uid="{00000000-0005-0000-0000-0000DA0A0000}"/>
    <cellStyle name="Normal 12 6" xfId="2779" xr:uid="{00000000-0005-0000-0000-0000DB0A0000}"/>
    <cellStyle name="Normal 12 7" xfId="2780" xr:uid="{00000000-0005-0000-0000-0000DC0A0000}"/>
    <cellStyle name="Normal 12 8" xfId="2781" xr:uid="{00000000-0005-0000-0000-0000DD0A0000}"/>
    <cellStyle name="Normal 13" xfId="2782" xr:uid="{00000000-0005-0000-0000-0000DE0A0000}"/>
    <cellStyle name="Normal 13 10" xfId="2783" xr:uid="{00000000-0005-0000-0000-0000DF0A0000}"/>
    <cellStyle name="Normal 13 11" xfId="2784" xr:uid="{00000000-0005-0000-0000-0000E00A0000}"/>
    <cellStyle name="Normal 13 12" xfId="2785" xr:uid="{00000000-0005-0000-0000-0000E10A0000}"/>
    <cellStyle name="Normal 13 13" xfId="2786" xr:uid="{00000000-0005-0000-0000-0000E20A0000}"/>
    <cellStyle name="Normal 13 14" xfId="2787" xr:uid="{00000000-0005-0000-0000-0000E30A0000}"/>
    <cellStyle name="Normal 13 15" xfId="2788" xr:uid="{00000000-0005-0000-0000-0000E40A0000}"/>
    <cellStyle name="Normal 13 16" xfId="2789" xr:uid="{00000000-0005-0000-0000-0000E50A0000}"/>
    <cellStyle name="Normal 13 17" xfId="2790" xr:uid="{00000000-0005-0000-0000-0000E60A0000}"/>
    <cellStyle name="Normal 13 18" xfId="2791" xr:uid="{00000000-0005-0000-0000-0000E70A0000}"/>
    <cellStyle name="Normal 13 19" xfId="2792" xr:uid="{00000000-0005-0000-0000-0000E80A0000}"/>
    <cellStyle name="Normal 13 2" xfId="2793" xr:uid="{00000000-0005-0000-0000-0000E90A0000}"/>
    <cellStyle name="Normal 13 2 2" xfId="2794" xr:uid="{00000000-0005-0000-0000-0000EA0A0000}"/>
    <cellStyle name="Normal 13 2 3" xfId="2795" xr:uid="{00000000-0005-0000-0000-0000EB0A0000}"/>
    <cellStyle name="Normal 13 2 4" xfId="2796" xr:uid="{00000000-0005-0000-0000-0000EC0A0000}"/>
    <cellStyle name="Normal 13 2 5" xfId="2797" xr:uid="{00000000-0005-0000-0000-0000ED0A0000}"/>
    <cellStyle name="Normal 13 2 6" xfId="2798" xr:uid="{00000000-0005-0000-0000-0000EE0A0000}"/>
    <cellStyle name="Normal 13 2 7" xfId="2799" xr:uid="{00000000-0005-0000-0000-0000EF0A0000}"/>
    <cellStyle name="Normal 13 2 8" xfId="2800" xr:uid="{00000000-0005-0000-0000-0000F00A0000}"/>
    <cellStyle name="Normal 13 2 9" xfId="2801" xr:uid="{00000000-0005-0000-0000-0000F10A0000}"/>
    <cellStyle name="Normal 13 2 9 2" xfId="2802" xr:uid="{00000000-0005-0000-0000-0000F20A0000}"/>
    <cellStyle name="Normal 13 20" xfId="2803" xr:uid="{00000000-0005-0000-0000-0000F30A0000}"/>
    <cellStyle name="Normal 13 21" xfId="2804" xr:uid="{00000000-0005-0000-0000-0000F40A0000}"/>
    <cellStyle name="Normal 13 22" xfId="2805" xr:uid="{00000000-0005-0000-0000-0000F50A0000}"/>
    <cellStyle name="Normal 13 23" xfId="2806" xr:uid="{00000000-0005-0000-0000-0000F60A0000}"/>
    <cellStyle name="Normal 13 24" xfId="2807" xr:uid="{00000000-0005-0000-0000-0000F70A0000}"/>
    <cellStyle name="Normal 13 25" xfId="2808" xr:uid="{00000000-0005-0000-0000-0000F80A0000}"/>
    <cellStyle name="Normal 13 26" xfId="2809" xr:uid="{00000000-0005-0000-0000-0000F90A0000}"/>
    <cellStyle name="Normal 13 27" xfId="2810" xr:uid="{00000000-0005-0000-0000-0000FA0A0000}"/>
    <cellStyle name="Normal 13 28" xfId="2811" xr:uid="{00000000-0005-0000-0000-0000FB0A0000}"/>
    <cellStyle name="Normal 13 29" xfId="2812" xr:uid="{00000000-0005-0000-0000-0000FC0A0000}"/>
    <cellStyle name="Normal 13 3" xfId="2813" xr:uid="{00000000-0005-0000-0000-0000FD0A0000}"/>
    <cellStyle name="Normal 13 3 2" xfId="2814" xr:uid="{00000000-0005-0000-0000-0000FE0A0000}"/>
    <cellStyle name="Normal 13 3 2 2" xfId="2815" xr:uid="{00000000-0005-0000-0000-0000FF0A0000}"/>
    <cellStyle name="Normal 13 30" xfId="2816" xr:uid="{00000000-0005-0000-0000-0000000B0000}"/>
    <cellStyle name="Normal 13 31" xfId="2817" xr:uid="{00000000-0005-0000-0000-0000010B0000}"/>
    <cellStyle name="Normal 13 32" xfId="2818" xr:uid="{00000000-0005-0000-0000-0000020B0000}"/>
    <cellStyle name="Normal 13 33" xfId="2819" xr:uid="{00000000-0005-0000-0000-0000030B0000}"/>
    <cellStyle name="Normal 13 34" xfId="2820" xr:uid="{00000000-0005-0000-0000-0000040B0000}"/>
    <cellStyle name="Normal 13 35" xfId="2821" xr:uid="{00000000-0005-0000-0000-0000050B0000}"/>
    <cellStyle name="Normal 13 36" xfId="2822" xr:uid="{00000000-0005-0000-0000-0000060B0000}"/>
    <cellStyle name="Normal 13 37" xfId="2823" xr:uid="{00000000-0005-0000-0000-0000070B0000}"/>
    <cellStyle name="Normal 13 38" xfId="2824" xr:uid="{00000000-0005-0000-0000-0000080B0000}"/>
    <cellStyle name="Normal 13 39" xfId="2825" xr:uid="{00000000-0005-0000-0000-0000090B0000}"/>
    <cellStyle name="Normal 13 4" xfId="2826" xr:uid="{00000000-0005-0000-0000-00000A0B0000}"/>
    <cellStyle name="Normal 13 4 2" xfId="2827" xr:uid="{00000000-0005-0000-0000-00000B0B0000}"/>
    <cellStyle name="Normal 13 5" xfId="2828" xr:uid="{00000000-0005-0000-0000-00000C0B0000}"/>
    <cellStyle name="Normal 13 6" xfId="2829" xr:uid="{00000000-0005-0000-0000-00000D0B0000}"/>
    <cellStyle name="Normal 13 7" xfId="2830" xr:uid="{00000000-0005-0000-0000-00000E0B0000}"/>
    <cellStyle name="Normal 13 8" xfId="2831" xr:uid="{00000000-0005-0000-0000-00000F0B0000}"/>
    <cellStyle name="Normal 13 9" xfId="2832" xr:uid="{00000000-0005-0000-0000-0000100B0000}"/>
    <cellStyle name="Normal 14" xfId="2833" xr:uid="{00000000-0005-0000-0000-0000110B0000}"/>
    <cellStyle name="Normal 14 10" xfId="2834" xr:uid="{00000000-0005-0000-0000-0000120B0000}"/>
    <cellStyle name="Normal 14 11" xfId="2835" xr:uid="{00000000-0005-0000-0000-0000130B0000}"/>
    <cellStyle name="Normal 14 12" xfId="2836" xr:uid="{00000000-0005-0000-0000-0000140B0000}"/>
    <cellStyle name="Normal 14 13" xfId="2837" xr:uid="{00000000-0005-0000-0000-0000150B0000}"/>
    <cellStyle name="Normal 14 14" xfId="2838" xr:uid="{00000000-0005-0000-0000-0000160B0000}"/>
    <cellStyle name="Normal 14 15" xfId="2839" xr:uid="{00000000-0005-0000-0000-0000170B0000}"/>
    <cellStyle name="Normal 14 16" xfId="2840" xr:uid="{00000000-0005-0000-0000-0000180B0000}"/>
    <cellStyle name="Normal 14 17" xfId="2841" xr:uid="{00000000-0005-0000-0000-0000190B0000}"/>
    <cellStyle name="Normal 14 2" xfId="2842" xr:uid="{00000000-0005-0000-0000-00001A0B0000}"/>
    <cellStyle name="Normal 14 2 2" xfId="2843" xr:uid="{00000000-0005-0000-0000-00001B0B0000}"/>
    <cellStyle name="Normal 14 2 3" xfId="2844" xr:uid="{00000000-0005-0000-0000-00001C0B0000}"/>
    <cellStyle name="Normal 14 2 4" xfId="2845" xr:uid="{00000000-0005-0000-0000-00001D0B0000}"/>
    <cellStyle name="Normal 14 2 5" xfId="2846" xr:uid="{00000000-0005-0000-0000-00001E0B0000}"/>
    <cellStyle name="Normal 14 2 6" xfId="2847" xr:uid="{00000000-0005-0000-0000-00001F0B0000}"/>
    <cellStyle name="Normal 14 2 7" xfId="2848" xr:uid="{00000000-0005-0000-0000-0000200B0000}"/>
    <cellStyle name="Normal 14 2 8" xfId="2849" xr:uid="{00000000-0005-0000-0000-0000210B0000}"/>
    <cellStyle name="Normal 14 2 8 2" xfId="2850" xr:uid="{00000000-0005-0000-0000-0000220B0000}"/>
    <cellStyle name="Normal 14 3" xfId="2851" xr:uid="{00000000-0005-0000-0000-0000230B0000}"/>
    <cellStyle name="Normal 14 4" xfId="2852" xr:uid="{00000000-0005-0000-0000-0000240B0000}"/>
    <cellStyle name="Normal 14 5" xfId="2853" xr:uid="{00000000-0005-0000-0000-0000250B0000}"/>
    <cellStyle name="Normal 14 6" xfId="2854" xr:uid="{00000000-0005-0000-0000-0000260B0000}"/>
    <cellStyle name="Normal 14 7" xfId="2855" xr:uid="{00000000-0005-0000-0000-0000270B0000}"/>
    <cellStyle name="Normal 14 8" xfId="2856" xr:uid="{00000000-0005-0000-0000-0000280B0000}"/>
    <cellStyle name="Normal 14 9" xfId="2857" xr:uid="{00000000-0005-0000-0000-0000290B0000}"/>
    <cellStyle name="Normal 15" xfId="2858" xr:uid="{00000000-0005-0000-0000-00002A0B0000}"/>
    <cellStyle name="Normal 15 2" xfId="2859" xr:uid="{00000000-0005-0000-0000-00002B0B0000}"/>
    <cellStyle name="Normal 15 2 2" xfId="2860" xr:uid="{00000000-0005-0000-0000-00002C0B0000}"/>
    <cellStyle name="Normal 15 2 2 2" xfId="2861" xr:uid="{00000000-0005-0000-0000-00002D0B0000}"/>
    <cellStyle name="Normal 15 3" xfId="2862" xr:uid="{00000000-0005-0000-0000-00002E0B0000}"/>
    <cellStyle name="Normal 15 4" xfId="2863" xr:uid="{00000000-0005-0000-0000-00002F0B0000}"/>
    <cellStyle name="Normal 15 5" xfId="2864" xr:uid="{00000000-0005-0000-0000-0000300B0000}"/>
    <cellStyle name="Normal 15 6" xfId="2865" xr:uid="{00000000-0005-0000-0000-0000310B0000}"/>
    <cellStyle name="Normal 15 7" xfId="2866" xr:uid="{00000000-0005-0000-0000-0000320B0000}"/>
    <cellStyle name="Normal 16" xfId="2867" xr:uid="{00000000-0005-0000-0000-0000330B0000}"/>
    <cellStyle name="Normal 16 2" xfId="2868" xr:uid="{00000000-0005-0000-0000-0000340B0000}"/>
    <cellStyle name="Normal 16 2 2" xfId="2869" xr:uid="{00000000-0005-0000-0000-0000350B0000}"/>
    <cellStyle name="Normal 16 2 2 2" xfId="2870" xr:uid="{00000000-0005-0000-0000-0000360B0000}"/>
    <cellStyle name="Normal 16 3" xfId="2871" xr:uid="{00000000-0005-0000-0000-0000370B0000}"/>
    <cellStyle name="Normal 16 4" xfId="2872" xr:uid="{00000000-0005-0000-0000-0000380B0000}"/>
    <cellStyle name="Normal 16 5" xfId="2873" xr:uid="{00000000-0005-0000-0000-0000390B0000}"/>
    <cellStyle name="Normal 16 6" xfId="2874" xr:uid="{00000000-0005-0000-0000-00003A0B0000}"/>
    <cellStyle name="Normal 16 7" xfId="2875" xr:uid="{00000000-0005-0000-0000-00003B0B0000}"/>
    <cellStyle name="Normal 17" xfId="2876" xr:uid="{00000000-0005-0000-0000-00003C0B0000}"/>
    <cellStyle name="Normal 17 10" xfId="2877" xr:uid="{00000000-0005-0000-0000-00003D0B0000}"/>
    <cellStyle name="Normal 17 11" xfId="2878" xr:uid="{00000000-0005-0000-0000-00003E0B0000}"/>
    <cellStyle name="Normal 17 12" xfId="2879" xr:uid="{00000000-0005-0000-0000-00003F0B0000}"/>
    <cellStyle name="Normal 17 13" xfId="2880" xr:uid="{00000000-0005-0000-0000-0000400B0000}"/>
    <cellStyle name="Normal 17 14" xfId="2881" xr:uid="{00000000-0005-0000-0000-0000410B0000}"/>
    <cellStyle name="Normal 17 2" xfId="2882" xr:uid="{00000000-0005-0000-0000-0000420B0000}"/>
    <cellStyle name="Normal 17 2 2" xfId="2883" xr:uid="{00000000-0005-0000-0000-0000430B0000}"/>
    <cellStyle name="Normal 17 2 2 2" xfId="2884" xr:uid="{00000000-0005-0000-0000-0000440B0000}"/>
    <cellStyle name="Normal 17 3" xfId="2885" xr:uid="{00000000-0005-0000-0000-0000450B0000}"/>
    <cellStyle name="Normal 17 4" xfId="2886" xr:uid="{00000000-0005-0000-0000-0000460B0000}"/>
    <cellStyle name="Normal 17 5" xfId="2887" xr:uid="{00000000-0005-0000-0000-0000470B0000}"/>
    <cellStyle name="Normal 17 6" xfId="2888" xr:uid="{00000000-0005-0000-0000-0000480B0000}"/>
    <cellStyle name="Normal 17 7" xfId="2889" xr:uid="{00000000-0005-0000-0000-0000490B0000}"/>
    <cellStyle name="Normal 17 8" xfId="2890" xr:uid="{00000000-0005-0000-0000-00004A0B0000}"/>
    <cellStyle name="Normal 17 9" xfId="2891" xr:uid="{00000000-0005-0000-0000-00004B0B0000}"/>
    <cellStyle name="Normal 18" xfId="2892" xr:uid="{00000000-0005-0000-0000-00004C0B0000}"/>
    <cellStyle name="Normal 18 2" xfId="2893" xr:uid="{00000000-0005-0000-0000-00004D0B0000}"/>
    <cellStyle name="Normal 18 3" xfId="2894" xr:uid="{00000000-0005-0000-0000-00004E0B0000}"/>
    <cellStyle name="Normal 18 3 2" xfId="2895" xr:uid="{00000000-0005-0000-0000-00004F0B0000}"/>
    <cellStyle name="Normal 19" xfId="2896" xr:uid="{00000000-0005-0000-0000-0000500B0000}"/>
    <cellStyle name="Normal 19 2" xfId="2897" xr:uid="{00000000-0005-0000-0000-0000510B0000}"/>
    <cellStyle name="Normal 19 3" xfId="2898" xr:uid="{00000000-0005-0000-0000-0000520B0000}"/>
    <cellStyle name="Normal 2" xfId="2899" xr:uid="{00000000-0005-0000-0000-0000530B0000}"/>
    <cellStyle name="Normal 2 10" xfId="2900" xr:uid="{00000000-0005-0000-0000-0000540B0000}"/>
    <cellStyle name="Normal 2 10 2" xfId="2901" xr:uid="{00000000-0005-0000-0000-0000550B0000}"/>
    <cellStyle name="Normal 2 10 2 2" xfId="2902" xr:uid="{00000000-0005-0000-0000-0000560B0000}"/>
    <cellStyle name="Normal 2 11" xfId="2903" xr:uid="{00000000-0005-0000-0000-0000570B0000}"/>
    <cellStyle name="Normal 2 12" xfId="2904" xr:uid="{00000000-0005-0000-0000-0000580B0000}"/>
    <cellStyle name="Normal 2 13" xfId="2905" xr:uid="{00000000-0005-0000-0000-0000590B0000}"/>
    <cellStyle name="Normal 2 14" xfId="2906" xr:uid="{00000000-0005-0000-0000-00005A0B0000}"/>
    <cellStyle name="Normal 2 15" xfId="2907" xr:uid="{00000000-0005-0000-0000-00005B0B0000}"/>
    <cellStyle name="Normal 2 16" xfId="2908" xr:uid="{00000000-0005-0000-0000-00005C0B0000}"/>
    <cellStyle name="Normal 2 17" xfId="2909" xr:uid="{00000000-0005-0000-0000-00005D0B0000}"/>
    <cellStyle name="Normal 2 18" xfId="2910" xr:uid="{00000000-0005-0000-0000-00005E0B0000}"/>
    <cellStyle name="Normal 2 18 2" xfId="2911" xr:uid="{00000000-0005-0000-0000-00005F0B0000}"/>
    <cellStyle name="Normal 2 19" xfId="2912" xr:uid="{00000000-0005-0000-0000-0000600B0000}"/>
    <cellStyle name="Normal 2 2" xfId="2913" xr:uid="{00000000-0005-0000-0000-0000610B0000}"/>
    <cellStyle name="Normal 2 2 10" xfId="2914" xr:uid="{00000000-0005-0000-0000-0000620B0000}"/>
    <cellStyle name="Normal 2 2 11" xfId="2915" xr:uid="{00000000-0005-0000-0000-0000630B0000}"/>
    <cellStyle name="Normal 2 2 12" xfId="2916" xr:uid="{00000000-0005-0000-0000-0000640B0000}"/>
    <cellStyle name="Normal 2 2 13" xfId="2917" xr:uid="{00000000-0005-0000-0000-0000650B0000}"/>
    <cellStyle name="Normal 2 2 14" xfId="2918" xr:uid="{00000000-0005-0000-0000-0000660B0000}"/>
    <cellStyle name="Normal 2 2 15" xfId="2919" xr:uid="{00000000-0005-0000-0000-0000670B0000}"/>
    <cellStyle name="Normal 2 2 15 2" xfId="2920" xr:uid="{00000000-0005-0000-0000-0000680B0000}"/>
    <cellStyle name="Normal 2 2 2" xfId="2921" xr:uid="{00000000-0005-0000-0000-0000690B0000}"/>
    <cellStyle name="Normal 2 2 2 2" xfId="2922" xr:uid="{00000000-0005-0000-0000-00006A0B0000}"/>
    <cellStyle name="Normal 2 2 2 2 2" xfId="2923" xr:uid="{00000000-0005-0000-0000-00006B0B0000}"/>
    <cellStyle name="Normal 2 2 2 2 2 2" xfId="2924" xr:uid="{00000000-0005-0000-0000-00006C0B0000}"/>
    <cellStyle name="Normal 2 2 2 3" xfId="2925" xr:uid="{00000000-0005-0000-0000-00006D0B0000}"/>
    <cellStyle name="Normal 2 2 2 3 2" xfId="2926" xr:uid="{00000000-0005-0000-0000-00006E0B0000}"/>
    <cellStyle name="Normal 2 2 2 3 3" xfId="2927" xr:uid="{00000000-0005-0000-0000-00006F0B0000}"/>
    <cellStyle name="Normal 2 2 2 4" xfId="2928" xr:uid="{00000000-0005-0000-0000-0000700B0000}"/>
    <cellStyle name="Normal 2 2 2 5" xfId="2929" xr:uid="{00000000-0005-0000-0000-0000710B0000}"/>
    <cellStyle name="Normal 2 2 2 6" xfId="2930" xr:uid="{00000000-0005-0000-0000-0000720B0000}"/>
    <cellStyle name="Normal 2 2 3" xfId="2931" xr:uid="{00000000-0005-0000-0000-0000730B0000}"/>
    <cellStyle name="Normal 2 2 3 2" xfId="2932" xr:uid="{00000000-0005-0000-0000-0000740B0000}"/>
    <cellStyle name="Normal 2 2 3 2 2" xfId="2933" xr:uid="{00000000-0005-0000-0000-0000750B0000}"/>
    <cellStyle name="Normal 2 2 4" xfId="2934" xr:uid="{00000000-0005-0000-0000-0000760B0000}"/>
    <cellStyle name="Normal 2 2 4 2" xfId="2935" xr:uid="{00000000-0005-0000-0000-0000770B0000}"/>
    <cellStyle name="Normal 2 2 4 2 2" xfId="2936" xr:uid="{00000000-0005-0000-0000-0000780B0000}"/>
    <cellStyle name="Normal 2 2 4 3" xfId="2937" xr:uid="{00000000-0005-0000-0000-0000790B0000}"/>
    <cellStyle name="Normal 2 2 4 3 2" xfId="2938" xr:uid="{00000000-0005-0000-0000-00007A0B0000}"/>
    <cellStyle name="Normal 2 2 5" xfId="2939" xr:uid="{00000000-0005-0000-0000-00007B0B0000}"/>
    <cellStyle name="Normal 2 2 5 2" xfId="2940" xr:uid="{00000000-0005-0000-0000-00007C0B0000}"/>
    <cellStyle name="Normal 2 2 5 3" xfId="2941" xr:uid="{00000000-0005-0000-0000-00007D0B0000}"/>
    <cellStyle name="Normal 2 2 5 3 2" xfId="2942" xr:uid="{00000000-0005-0000-0000-00007E0B0000}"/>
    <cellStyle name="Normal 2 2 6" xfId="2943" xr:uid="{00000000-0005-0000-0000-00007F0B0000}"/>
    <cellStyle name="Normal 2 2 6 2" xfId="2944" xr:uid="{00000000-0005-0000-0000-0000800B0000}"/>
    <cellStyle name="Normal 2 2 6 2 2" xfId="2945" xr:uid="{00000000-0005-0000-0000-0000810B0000}"/>
    <cellStyle name="Normal 2 2 7" xfId="2946" xr:uid="{00000000-0005-0000-0000-0000820B0000}"/>
    <cellStyle name="Normal 2 2 7 2" xfId="2947" xr:uid="{00000000-0005-0000-0000-0000830B0000}"/>
    <cellStyle name="Normal 2 2 8" xfId="2948" xr:uid="{00000000-0005-0000-0000-0000840B0000}"/>
    <cellStyle name="Normal 2 2 8 2" xfId="2949" xr:uid="{00000000-0005-0000-0000-0000850B0000}"/>
    <cellStyle name="Normal 2 2 8 2 2" xfId="2950" xr:uid="{00000000-0005-0000-0000-0000860B0000}"/>
    <cellStyle name="Normal 2 2 9" xfId="2951" xr:uid="{00000000-0005-0000-0000-0000870B0000}"/>
    <cellStyle name="Normal 2 2 9 2" xfId="2952" xr:uid="{00000000-0005-0000-0000-0000880B0000}"/>
    <cellStyle name="Normal 2 2_ELC" xfId="2953" xr:uid="{00000000-0005-0000-0000-0000890B0000}"/>
    <cellStyle name="Normal 2 20" xfId="2954" xr:uid="{00000000-0005-0000-0000-00008A0B0000}"/>
    <cellStyle name="Normal 2 21" xfId="2955" xr:uid="{00000000-0005-0000-0000-00008B0B0000}"/>
    <cellStyle name="Normal 2 22" xfId="2956" xr:uid="{00000000-0005-0000-0000-00008C0B0000}"/>
    <cellStyle name="Normal 2 23" xfId="2957" xr:uid="{00000000-0005-0000-0000-00008D0B0000}"/>
    <cellStyle name="Normal 2 24" xfId="2958" xr:uid="{00000000-0005-0000-0000-00008E0B0000}"/>
    <cellStyle name="Normal 2 25" xfId="2959" xr:uid="{00000000-0005-0000-0000-00008F0B0000}"/>
    <cellStyle name="Normal 2 26" xfId="2960" xr:uid="{00000000-0005-0000-0000-0000900B0000}"/>
    <cellStyle name="Normal 2 27" xfId="2961" xr:uid="{00000000-0005-0000-0000-0000910B0000}"/>
    <cellStyle name="Normal 2 28" xfId="2962" xr:uid="{00000000-0005-0000-0000-0000920B0000}"/>
    <cellStyle name="Normal 2 29" xfId="2963" xr:uid="{00000000-0005-0000-0000-0000930B0000}"/>
    <cellStyle name="Normal 2 3" xfId="2964" xr:uid="{00000000-0005-0000-0000-0000940B0000}"/>
    <cellStyle name="Normal 2 3 10" xfId="2965" xr:uid="{00000000-0005-0000-0000-0000950B0000}"/>
    <cellStyle name="Normal 2 3 11" xfId="2966" xr:uid="{00000000-0005-0000-0000-0000960B0000}"/>
    <cellStyle name="Normal 2 3 12" xfId="2967" xr:uid="{00000000-0005-0000-0000-0000970B0000}"/>
    <cellStyle name="Normal 2 3 13" xfId="2968" xr:uid="{00000000-0005-0000-0000-0000980B0000}"/>
    <cellStyle name="Normal 2 3 14" xfId="2969" xr:uid="{00000000-0005-0000-0000-0000990B0000}"/>
    <cellStyle name="Normal 2 3 2" xfId="2970" xr:uid="{00000000-0005-0000-0000-00009A0B0000}"/>
    <cellStyle name="Normal 2 3 2 2" xfId="2971" xr:uid="{00000000-0005-0000-0000-00009B0B0000}"/>
    <cellStyle name="Normal 2 3 2 2 2" xfId="2972" xr:uid="{00000000-0005-0000-0000-00009C0B0000}"/>
    <cellStyle name="Normal 2 3 2 2 3" xfId="2973" xr:uid="{00000000-0005-0000-0000-00009D0B0000}"/>
    <cellStyle name="Normal 2 3 2 3" xfId="2974" xr:uid="{00000000-0005-0000-0000-00009E0B0000}"/>
    <cellStyle name="Normal 2 3 2 4" xfId="2975" xr:uid="{00000000-0005-0000-0000-00009F0B0000}"/>
    <cellStyle name="Normal 2 3 2 5" xfId="2976" xr:uid="{00000000-0005-0000-0000-0000A00B0000}"/>
    <cellStyle name="Normal 2 3 3" xfId="2977" xr:uid="{00000000-0005-0000-0000-0000A10B0000}"/>
    <cellStyle name="Normal 2 3 3 2" xfId="2978" xr:uid="{00000000-0005-0000-0000-0000A20B0000}"/>
    <cellStyle name="Normal 2 3 3 2 2" xfId="2979" xr:uid="{00000000-0005-0000-0000-0000A30B0000}"/>
    <cellStyle name="Normal 2 3 4" xfId="2980" xr:uid="{00000000-0005-0000-0000-0000A40B0000}"/>
    <cellStyle name="Normal 2 3 4 2" xfId="2981" xr:uid="{00000000-0005-0000-0000-0000A50B0000}"/>
    <cellStyle name="Normal 2 3 4 2 2" xfId="2982" xr:uid="{00000000-0005-0000-0000-0000A60B0000}"/>
    <cellStyle name="Normal 2 3 4 3" xfId="2983" xr:uid="{00000000-0005-0000-0000-0000A70B0000}"/>
    <cellStyle name="Normal 2 3 4 4" xfId="2984" xr:uid="{00000000-0005-0000-0000-0000A80B0000}"/>
    <cellStyle name="Normal 2 3 5" xfId="2985" xr:uid="{00000000-0005-0000-0000-0000A90B0000}"/>
    <cellStyle name="Normal 2 3 5 2" xfId="2986" xr:uid="{00000000-0005-0000-0000-0000AA0B0000}"/>
    <cellStyle name="Normal 2 3 5 3" xfId="2987" xr:uid="{00000000-0005-0000-0000-0000AB0B0000}"/>
    <cellStyle name="Normal 2 3 6" xfId="2988" xr:uid="{00000000-0005-0000-0000-0000AC0B0000}"/>
    <cellStyle name="Normal 2 3 6 2" xfId="2989" xr:uid="{00000000-0005-0000-0000-0000AD0B0000}"/>
    <cellStyle name="Normal 2 3 6 3" xfId="2990" xr:uid="{00000000-0005-0000-0000-0000AE0B0000}"/>
    <cellStyle name="Normal 2 3 7" xfId="2991" xr:uid="{00000000-0005-0000-0000-0000AF0B0000}"/>
    <cellStyle name="Normal 2 3 8" xfId="2992" xr:uid="{00000000-0005-0000-0000-0000B00B0000}"/>
    <cellStyle name="Normal 2 3 9" xfId="2993" xr:uid="{00000000-0005-0000-0000-0000B10B0000}"/>
    <cellStyle name="Normal 2 30" xfId="2994" xr:uid="{00000000-0005-0000-0000-0000B20B0000}"/>
    <cellStyle name="Normal 2 31" xfId="2995" xr:uid="{00000000-0005-0000-0000-0000B30B0000}"/>
    <cellStyle name="Normal 2 32" xfId="2996" xr:uid="{00000000-0005-0000-0000-0000B40B0000}"/>
    <cellStyle name="Normal 2 33" xfId="2997" xr:uid="{00000000-0005-0000-0000-0000B50B0000}"/>
    <cellStyle name="Normal 2 34" xfId="2998" xr:uid="{00000000-0005-0000-0000-0000B60B0000}"/>
    <cellStyle name="Normal 2 35" xfId="2999" xr:uid="{00000000-0005-0000-0000-0000B70B0000}"/>
    <cellStyle name="Normal 2 36" xfId="3000" xr:uid="{00000000-0005-0000-0000-0000B80B0000}"/>
    <cellStyle name="Normal 2 37" xfId="3001" xr:uid="{00000000-0005-0000-0000-0000B90B0000}"/>
    <cellStyle name="Normal 2 38" xfId="3002" xr:uid="{00000000-0005-0000-0000-0000BA0B0000}"/>
    <cellStyle name="Normal 2 39" xfId="3003" xr:uid="{00000000-0005-0000-0000-0000BB0B0000}"/>
    <cellStyle name="Normal 2 4" xfId="3004" xr:uid="{00000000-0005-0000-0000-0000BC0B0000}"/>
    <cellStyle name="Normal 2 4 10" xfId="3005" xr:uid="{00000000-0005-0000-0000-0000BD0B0000}"/>
    <cellStyle name="Normal 2 4 11" xfId="3006" xr:uid="{00000000-0005-0000-0000-0000BE0B0000}"/>
    <cellStyle name="Normal 2 4 12" xfId="3007" xr:uid="{00000000-0005-0000-0000-0000BF0B0000}"/>
    <cellStyle name="Normal 2 4 13" xfId="3008" xr:uid="{00000000-0005-0000-0000-0000C00B0000}"/>
    <cellStyle name="Normal 2 4 2" xfId="3009" xr:uid="{00000000-0005-0000-0000-0000C10B0000}"/>
    <cellStyle name="Normal 2 4 2 2" xfId="3010" xr:uid="{00000000-0005-0000-0000-0000C20B0000}"/>
    <cellStyle name="Normal 2 4 2 2 2" xfId="3011" xr:uid="{00000000-0005-0000-0000-0000C30B0000}"/>
    <cellStyle name="Normal 2 4 3" xfId="3012" xr:uid="{00000000-0005-0000-0000-0000C40B0000}"/>
    <cellStyle name="Normal 2 4 3 2" xfId="3013" xr:uid="{00000000-0005-0000-0000-0000C50B0000}"/>
    <cellStyle name="Normal 2 4 3 2 2" xfId="3014" xr:uid="{00000000-0005-0000-0000-0000C60B0000}"/>
    <cellStyle name="Normal 2 4 4" xfId="3015" xr:uid="{00000000-0005-0000-0000-0000C70B0000}"/>
    <cellStyle name="Normal 2 4 4 2" xfId="3016" xr:uid="{00000000-0005-0000-0000-0000C80B0000}"/>
    <cellStyle name="Normal 2 4 4 2 2" xfId="3017" xr:uid="{00000000-0005-0000-0000-0000C90B0000}"/>
    <cellStyle name="Normal 2 4 4 3" xfId="3018" xr:uid="{00000000-0005-0000-0000-0000CA0B0000}"/>
    <cellStyle name="Normal 2 4 5" xfId="3019" xr:uid="{00000000-0005-0000-0000-0000CB0B0000}"/>
    <cellStyle name="Normal 2 4 5 2" xfId="3020" xr:uid="{00000000-0005-0000-0000-0000CC0B0000}"/>
    <cellStyle name="Normal 2 4 6" xfId="3021" xr:uid="{00000000-0005-0000-0000-0000CD0B0000}"/>
    <cellStyle name="Normal 2 4 6 2" xfId="3022" xr:uid="{00000000-0005-0000-0000-0000CE0B0000}"/>
    <cellStyle name="Normal 2 4 7" xfId="3023" xr:uid="{00000000-0005-0000-0000-0000CF0B0000}"/>
    <cellStyle name="Normal 2 4 8" xfId="3024" xr:uid="{00000000-0005-0000-0000-0000D00B0000}"/>
    <cellStyle name="Normal 2 4 9" xfId="3025" xr:uid="{00000000-0005-0000-0000-0000D10B0000}"/>
    <cellStyle name="Normal 2 40" xfId="3026" xr:uid="{00000000-0005-0000-0000-0000D20B0000}"/>
    <cellStyle name="Normal 2 41" xfId="3027" xr:uid="{00000000-0005-0000-0000-0000D30B0000}"/>
    <cellStyle name="Normal 2 42" xfId="3028" xr:uid="{00000000-0005-0000-0000-0000D40B0000}"/>
    <cellStyle name="Normal 2 43" xfId="3029" xr:uid="{00000000-0005-0000-0000-0000D50B0000}"/>
    <cellStyle name="Normal 2 44" xfId="3030" xr:uid="{00000000-0005-0000-0000-0000D60B0000}"/>
    <cellStyle name="Normal 2 45" xfId="3031" xr:uid="{00000000-0005-0000-0000-0000D70B0000}"/>
    <cellStyle name="Normal 2 46" xfId="3032" xr:uid="{00000000-0005-0000-0000-0000D80B0000}"/>
    <cellStyle name="Normal 2 46 2" xfId="3033" xr:uid="{00000000-0005-0000-0000-0000D90B0000}"/>
    <cellStyle name="Normal 2 47" xfId="3034" xr:uid="{00000000-0005-0000-0000-0000DA0B0000}"/>
    <cellStyle name="Normal 2 48" xfId="3035" xr:uid="{00000000-0005-0000-0000-0000DB0B0000}"/>
    <cellStyle name="Normal 2 49" xfId="3036" xr:uid="{00000000-0005-0000-0000-0000DC0B0000}"/>
    <cellStyle name="Normal 2 5" xfId="3037" xr:uid="{00000000-0005-0000-0000-0000DD0B0000}"/>
    <cellStyle name="Normal 2 5 10" xfId="3038" xr:uid="{00000000-0005-0000-0000-0000DE0B0000}"/>
    <cellStyle name="Normal 2 5 11" xfId="3039" xr:uid="{00000000-0005-0000-0000-0000DF0B0000}"/>
    <cellStyle name="Normal 2 5 12" xfId="3040" xr:uid="{00000000-0005-0000-0000-0000E00B0000}"/>
    <cellStyle name="Normal 2 5 13" xfId="3041" xr:uid="{00000000-0005-0000-0000-0000E10B0000}"/>
    <cellStyle name="Normal 2 5 14" xfId="3042" xr:uid="{00000000-0005-0000-0000-0000E20B0000}"/>
    <cellStyle name="Normal 2 5 15" xfId="3043" xr:uid="{00000000-0005-0000-0000-0000E30B0000}"/>
    <cellStyle name="Normal 2 5 16" xfId="3044" xr:uid="{00000000-0005-0000-0000-0000E40B0000}"/>
    <cellStyle name="Normal 2 5 16 2" xfId="3045" xr:uid="{00000000-0005-0000-0000-0000E50B0000}"/>
    <cellStyle name="Normal 2 5 17" xfId="3046" xr:uid="{00000000-0005-0000-0000-0000E60B0000}"/>
    <cellStyle name="Normal 2 5 18" xfId="3047" xr:uid="{00000000-0005-0000-0000-0000E70B0000}"/>
    <cellStyle name="Normal 2 5 2" xfId="3048" xr:uid="{00000000-0005-0000-0000-0000E80B0000}"/>
    <cellStyle name="Normal 2 5 2 2" xfId="3049" xr:uid="{00000000-0005-0000-0000-0000E90B0000}"/>
    <cellStyle name="Normal 2 5 2 2 2" xfId="3050" xr:uid="{00000000-0005-0000-0000-0000EA0B0000}"/>
    <cellStyle name="Normal 2 5 2 3" xfId="3051" xr:uid="{00000000-0005-0000-0000-0000EB0B0000}"/>
    <cellStyle name="Normal 2 5 2 4" xfId="3052" xr:uid="{00000000-0005-0000-0000-0000EC0B0000}"/>
    <cellStyle name="Normal 2 5 3" xfId="3053" xr:uid="{00000000-0005-0000-0000-0000ED0B0000}"/>
    <cellStyle name="Normal 2 5 4" xfId="3054" xr:uid="{00000000-0005-0000-0000-0000EE0B0000}"/>
    <cellStyle name="Normal 2 5 5" xfId="3055" xr:uid="{00000000-0005-0000-0000-0000EF0B0000}"/>
    <cellStyle name="Normal 2 5 6" xfId="3056" xr:uid="{00000000-0005-0000-0000-0000F00B0000}"/>
    <cellStyle name="Normal 2 5 7" xfId="3057" xr:uid="{00000000-0005-0000-0000-0000F10B0000}"/>
    <cellStyle name="Normal 2 5 8" xfId="3058" xr:uid="{00000000-0005-0000-0000-0000F20B0000}"/>
    <cellStyle name="Normal 2 5 9" xfId="3059" xr:uid="{00000000-0005-0000-0000-0000F30B0000}"/>
    <cellStyle name="Normal 2 50" xfId="3060" xr:uid="{00000000-0005-0000-0000-0000F40B0000}"/>
    <cellStyle name="Normal 2 6" xfId="3061" xr:uid="{00000000-0005-0000-0000-0000F50B0000}"/>
    <cellStyle name="Normal 2 6 10" xfId="3062" xr:uid="{00000000-0005-0000-0000-0000F60B0000}"/>
    <cellStyle name="Normal 2 6 11" xfId="3063" xr:uid="{00000000-0005-0000-0000-0000F70B0000}"/>
    <cellStyle name="Normal 2 6 12" xfId="3064" xr:uid="{00000000-0005-0000-0000-0000F80B0000}"/>
    <cellStyle name="Normal 2 6 13" xfId="3065" xr:uid="{00000000-0005-0000-0000-0000F90B0000}"/>
    <cellStyle name="Normal 2 6 14" xfId="3066" xr:uid="{00000000-0005-0000-0000-0000FA0B0000}"/>
    <cellStyle name="Normal 2 6 15" xfId="3067" xr:uid="{00000000-0005-0000-0000-0000FB0B0000}"/>
    <cellStyle name="Normal 2 6 16" xfId="3068" xr:uid="{00000000-0005-0000-0000-0000FC0B0000}"/>
    <cellStyle name="Normal 2 6 16 2" xfId="3069" xr:uid="{00000000-0005-0000-0000-0000FD0B0000}"/>
    <cellStyle name="Normal 2 6 17" xfId="3070" xr:uid="{00000000-0005-0000-0000-0000FE0B0000}"/>
    <cellStyle name="Normal 2 6 2" xfId="3071" xr:uid="{00000000-0005-0000-0000-0000FF0B0000}"/>
    <cellStyle name="Normal 2 6 2 2" xfId="3072" xr:uid="{00000000-0005-0000-0000-0000000C0000}"/>
    <cellStyle name="Normal 2 6 2 3" xfId="3073" xr:uid="{00000000-0005-0000-0000-0000010C0000}"/>
    <cellStyle name="Normal 2 6 2 4" xfId="3074" xr:uid="{00000000-0005-0000-0000-0000020C0000}"/>
    <cellStyle name="Normal 2 6 2 5" xfId="3075" xr:uid="{00000000-0005-0000-0000-0000030C0000}"/>
    <cellStyle name="Normal 2 6 3" xfId="3076" xr:uid="{00000000-0005-0000-0000-0000040C0000}"/>
    <cellStyle name="Normal 2 6 3 2" xfId="3077" xr:uid="{00000000-0005-0000-0000-0000050C0000}"/>
    <cellStyle name="Normal 2 6 3 3" xfId="3078" xr:uid="{00000000-0005-0000-0000-0000060C0000}"/>
    <cellStyle name="Normal 2 6 4" xfId="3079" xr:uid="{00000000-0005-0000-0000-0000070C0000}"/>
    <cellStyle name="Normal 2 6 5" xfId="3080" xr:uid="{00000000-0005-0000-0000-0000080C0000}"/>
    <cellStyle name="Normal 2 6 6" xfId="3081" xr:uid="{00000000-0005-0000-0000-0000090C0000}"/>
    <cellStyle name="Normal 2 6 7" xfId="3082" xr:uid="{00000000-0005-0000-0000-00000A0C0000}"/>
    <cellStyle name="Normal 2 6 8" xfId="3083" xr:uid="{00000000-0005-0000-0000-00000B0C0000}"/>
    <cellStyle name="Normal 2 6 9" xfId="3084" xr:uid="{00000000-0005-0000-0000-00000C0C0000}"/>
    <cellStyle name="Normal 2 7" xfId="3085" xr:uid="{00000000-0005-0000-0000-00000D0C0000}"/>
    <cellStyle name="Normal 2 7 2" xfId="3086" xr:uid="{00000000-0005-0000-0000-00000E0C0000}"/>
    <cellStyle name="Normal 2 8" xfId="3087" xr:uid="{00000000-0005-0000-0000-00000F0C0000}"/>
    <cellStyle name="Normal 2 8 2" xfId="3088" xr:uid="{00000000-0005-0000-0000-0000100C0000}"/>
    <cellStyle name="Normal 2 8 3" xfId="3089" xr:uid="{00000000-0005-0000-0000-0000110C0000}"/>
    <cellStyle name="Normal 2 8 4" xfId="3090" xr:uid="{00000000-0005-0000-0000-0000120C0000}"/>
    <cellStyle name="Normal 2 8 4 2" xfId="3091" xr:uid="{00000000-0005-0000-0000-0000130C0000}"/>
    <cellStyle name="Normal 2 9" xfId="3092" xr:uid="{00000000-0005-0000-0000-0000140C0000}"/>
    <cellStyle name="Normal 2 9 2" xfId="3093" xr:uid="{00000000-0005-0000-0000-0000150C0000}"/>
    <cellStyle name="Normal 2 9 2 2" xfId="3094" xr:uid="{00000000-0005-0000-0000-0000160C0000}"/>
    <cellStyle name="Normal 2 9 3" xfId="3095" xr:uid="{00000000-0005-0000-0000-0000170C0000}"/>
    <cellStyle name="Normal 2_bound" xfId="3096" xr:uid="{00000000-0005-0000-0000-0000180C0000}"/>
    <cellStyle name="Normal 20" xfId="3097" xr:uid="{00000000-0005-0000-0000-0000190C0000}"/>
    <cellStyle name="Normal 20 2" xfId="3098" xr:uid="{00000000-0005-0000-0000-00001A0C0000}"/>
    <cellStyle name="Normal 20 3" xfId="3099" xr:uid="{00000000-0005-0000-0000-00001B0C0000}"/>
    <cellStyle name="Normal 20 3 2" xfId="3100" xr:uid="{00000000-0005-0000-0000-00001C0C0000}"/>
    <cellStyle name="Normal 21" xfId="3101" xr:uid="{00000000-0005-0000-0000-00001D0C0000}"/>
    <cellStyle name="Normal 21 2" xfId="3102" xr:uid="{00000000-0005-0000-0000-00001E0C0000}"/>
    <cellStyle name="Normal 21 3" xfId="3103" xr:uid="{00000000-0005-0000-0000-00001F0C0000}"/>
    <cellStyle name="Normal 21 3 2" xfId="3104" xr:uid="{00000000-0005-0000-0000-0000200C0000}"/>
    <cellStyle name="Normal 21_Scen_XBase" xfId="3105" xr:uid="{00000000-0005-0000-0000-0000210C0000}"/>
    <cellStyle name="Normal 22" xfId="3106" xr:uid="{00000000-0005-0000-0000-0000220C0000}"/>
    <cellStyle name="Normal 23" xfId="3107" xr:uid="{00000000-0005-0000-0000-0000230C0000}"/>
    <cellStyle name="Normal 23 2" xfId="3108" xr:uid="{00000000-0005-0000-0000-0000240C0000}"/>
    <cellStyle name="Normal 23 3" xfId="3109" xr:uid="{00000000-0005-0000-0000-0000250C0000}"/>
    <cellStyle name="Normal 24" xfId="3110" xr:uid="{00000000-0005-0000-0000-0000260C0000}"/>
    <cellStyle name="Normal 24 10" xfId="3111" xr:uid="{00000000-0005-0000-0000-0000270C0000}"/>
    <cellStyle name="Normal 24 11" xfId="3112" xr:uid="{00000000-0005-0000-0000-0000280C0000}"/>
    <cellStyle name="Normal 24 12" xfId="3113" xr:uid="{00000000-0005-0000-0000-0000290C0000}"/>
    <cellStyle name="Normal 24 13" xfId="3114" xr:uid="{00000000-0005-0000-0000-00002A0C0000}"/>
    <cellStyle name="Normal 24 14" xfId="3115" xr:uid="{00000000-0005-0000-0000-00002B0C0000}"/>
    <cellStyle name="Normal 24 15" xfId="3116" xr:uid="{00000000-0005-0000-0000-00002C0C0000}"/>
    <cellStyle name="Normal 24 16" xfId="3117" xr:uid="{00000000-0005-0000-0000-00002D0C0000}"/>
    <cellStyle name="Normal 24 17" xfId="3118" xr:uid="{00000000-0005-0000-0000-00002E0C0000}"/>
    <cellStyle name="Normal 24 18" xfId="3119" xr:uid="{00000000-0005-0000-0000-00002F0C0000}"/>
    <cellStyle name="Normal 24 19" xfId="3120" xr:uid="{00000000-0005-0000-0000-0000300C0000}"/>
    <cellStyle name="Normal 24 2" xfId="3121" xr:uid="{00000000-0005-0000-0000-0000310C0000}"/>
    <cellStyle name="Normal 24 20" xfId="3122" xr:uid="{00000000-0005-0000-0000-0000320C0000}"/>
    <cellStyle name="Normal 24 21" xfId="3123" xr:uid="{00000000-0005-0000-0000-0000330C0000}"/>
    <cellStyle name="Normal 24 22" xfId="3124" xr:uid="{00000000-0005-0000-0000-0000340C0000}"/>
    <cellStyle name="Normal 24 3" xfId="3125" xr:uid="{00000000-0005-0000-0000-0000350C0000}"/>
    <cellStyle name="Normal 24 4" xfId="3126" xr:uid="{00000000-0005-0000-0000-0000360C0000}"/>
    <cellStyle name="Normal 24 5" xfId="3127" xr:uid="{00000000-0005-0000-0000-0000370C0000}"/>
    <cellStyle name="Normal 24 6" xfId="3128" xr:uid="{00000000-0005-0000-0000-0000380C0000}"/>
    <cellStyle name="Normal 24 7" xfId="3129" xr:uid="{00000000-0005-0000-0000-0000390C0000}"/>
    <cellStyle name="Normal 24 8" xfId="3130" xr:uid="{00000000-0005-0000-0000-00003A0C0000}"/>
    <cellStyle name="Normal 24 9" xfId="3131" xr:uid="{00000000-0005-0000-0000-00003B0C0000}"/>
    <cellStyle name="Normal 25" xfId="3132" xr:uid="{00000000-0005-0000-0000-00003C0C0000}"/>
    <cellStyle name="Normal 26" xfId="3133" xr:uid="{00000000-0005-0000-0000-00003D0C0000}"/>
    <cellStyle name="Normal 26 2" xfId="3134" xr:uid="{00000000-0005-0000-0000-00003E0C0000}"/>
    <cellStyle name="Normal 26 3" xfId="3135" xr:uid="{00000000-0005-0000-0000-00003F0C0000}"/>
    <cellStyle name="Normal 27" xfId="3136" xr:uid="{00000000-0005-0000-0000-0000400C0000}"/>
    <cellStyle name="Normal 27 2" xfId="3137" xr:uid="{00000000-0005-0000-0000-0000410C0000}"/>
    <cellStyle name="Normal 28" xfId="3138" xr:uid="{00000000-0005-0000-0000-0000420C0000}"/>
    <cellStyle name="Normal 29" xfId="3139" xr:uid="{00000000-0005-0000-0000-0000430C0000}"/>
    <cellStyle name="Normal 3" xfId="3140" xr:uid="{00000000-0005-0000-0000-0000440C0000}"/>
    <cellStyle name="Normal 3 10" xfId="3141" xr:uid="{00000000-0005-0000-0000-0000450C0000}"/>
    <cellStyle name="Normal 3 11" xfId="3142" xr:uid="{00000000-0005-0000-0000-0000460C0000}"/>
    <cellStyle name="Normal 3 12" xfId="3143" xr:uid="{00000000-0005-0000-0000-0000470C0000}"/>
    <cellStyle name="Normal 3 13" xfId="3144" xr:uid="{00000000-0005-0000-0000-0000480C0000}"/>
    <cellStyle name="Normal 3 14" xfId="3145" xr:uid="{00000000-0005-0000-0000-0000490C0000}"/>
    <cellStyle name="Normal 3 15" xfId="3146" xr:uid="{00000000-0005-0000-0000-00004A0C0000}"/>
    <cellStyle name="Normal 3 16" xfId="3147" xr:uid="{00000000-0005-0000-0000-00004B0C0000}"/>
    <cellStyle name="Normal 3 17" xfId="3148" xr:uid="{00000000-0005-0000-0000-00004C0C0000}"/>
    <cellStyle name="Normal 3 18" xfId="3149" xr:uid="{00000000-0005-0000-0000-00004D0C0000}"/>
    <cellStyle name="Normal 3 19" xfId="3150" xr:uid="{00000000-0005-0000-0000-00004E0C0000}"/>
    <cellStyle name="Normal 3 2" xfId="3151" xr:uid="{00000000-0005-0000-0000-00004F0C0000}"/>
    <cellStyle name="Normal 3 2 10" xfId="3152" xr:uid="{00000000-0005-0000-0000-0000500C0000}"/>
    <cellStyle name="Normal 3 2 10 2" xfId="3153" xr:uid="{00000000-0005-0000-0000-0000510C0000}"/>
    <cellStyle name="Normal 3 2 11" xfId="3154" xr:uid="{00000000-0005-0000-0000-0000520C0000}"/>
    <cellStyle name="Normal 3 2 2" xfId="3155" xr:uid="{00000000-0005-0000-0000-0000530C0000}"/>
    <cellStyle name="Normal 3 2 2 2" xfId="3156" xr:uid="{00000000-0005-0000-0000-0000540C0000}"/>
    <cellStyle name="Normal 3 2 2 2 2" xfId="3157" xr:uid="{00000000-0005-0000-0000-0000550C0000}"/>
    <cellStyle name="Normal 3 2 2 3" xfId="3158" xr:uid="{00000000-0005-0000-0000-0000560C0000}"/>
    <cellStyle name="Normal 3 2 2 4" xfId="3159" xr:uid="{00000000-0005-0000-0000-0000570C0000}"/>
    <cellStyle name="Normal 3 2 3" xfId="3160" xr:uid="{00000000-0005-0000-0000-0000580C0000}"/>
    <cellStyle name="Normal 3 2 3 2" xfId="3161" xr:uid="{00000000-0005-0000-0000-0000590C0000}"/>
    <cellStyle name="Normal 3 2 3 2 2" xfId="3162" xr:uid="{00000000-0005-0000-0000-00005A0C0000}"/>
    <cellStyle name="Normal 3 2 4" xfId="3163" xr:uid="{00000000-0005-0000-0000-00005B0C0000}"/>
    <cellStyle name="Normal 3 2 4 2" xfId="3164" xr:uid="{00000000-0005-0000-0000-00005C0C0000}"/>
    <cellStyle name="Normal 3 2 4 2 2" xfId="3165" xr:uid="{00000000-0005-0000-0000-00005D0C0000}"/>
    <cellStyle name="Normal 3 2 5" xfId="3166" xr:uid="{00000000-0005-0000-0000-00005E0C0000}"/>
    <cellStyle name="Normal 3 2 6" xfId="3167" xr:uid="{00000000-0005-0000-0000-00005F0C0000}"/>
    <cellStyle name="Normal 3 2 7" xfId="3168" xr:uid="{00000000-0005-0000-0000-0000600C0000}"/>
    <cellStyle name="Normal 3 2 8" xfId="3169" xr:uid="{00000000-0005-0000-0000-0000610C0000}"/>
    <cellStyle name="Normal 3 2 9" xfId="3170" xr:uid="{00000000-0005-0000-0000-0000620C0000}"/>
    <cellStyle name="Normal 3 2 9 2" xfId="3171" xr:uid="{00000000-0005-0000-0000-0000630C0000}"/>
    <cellStyle name="Normal 3 2_ELC" xfId="3172" xr:uid="{00000000-0005-0000-0000-0000640C0000}"/>
    <cellStyle name="Normal 3 20" xfId="3173" xr:uid="{00000000-0005-0000-0000-0000650C0000}"/>
    <cellStyle name="Normal 3 21" xfId="3174" xr:uid="{00000000-0005-0000-0000-0000660C0000}"/>
    <cellStyle name="Normal 3 22" xfId="3175" xr:uid="{00000000-0005-0000-0000-0000670C0000}"/>
    <cellStyle name="Normal 3 23" xfId="3176" xr:uid="{00000000-0005-0000-0000-0000680C0000}"/>
    <cellStyle name="Normal 3 24" xfId="3177" xr:uid="{00000000-0005-0000-0000-0000690C0000}"/>
    <cellStyle name="Normal 3 25" xfId="3178" xr:uid="{00000000-0005-0000-0000-00006A0C0000}"/>
    <cellStyle name="Normal 3 26" xfId="3179" xr:uid="{00000000-0005-0000-0000-00006B0C0000}"/>
    <cellStyle name="Normal 3 27" xfId="3180" xr:uid="{00000000-0005-0000-0000-00006C0C0000}"/>
    <cellStyle name="Normal 3 28" xfId="3181" xr:uid="{00000000-0005-0000-0000-00006D0C0000}"/>
    <cellStyle name="Normal 3 28 2" xfId="3182" xr:uid="{00000000-0005-0000-0000-00006E0C0000}"/>
    <cellStyle name="Normal 3 29" xfId="3183" xr:uid="{00000000-0005-0000-0000-00006F0C0000}"/>
    <cellStyle name="Normal 3 3" xfId="3184" xr:uid="{00000000-0005-0000-0000-0000700C0000}"/>
    <cellStyle name="Normal 3 3 2" xfId="3185" xr:uid="{00000000-0005-0000-0000-0000710C0000}"/>
    <cellStyle name="Normal 3 3 2 2" xfId="3186" xr:uid="{00000000-0005-0000-0000-0000720C0000}"/>
    <cellStyle name="Normal 3 3 2 2 2" xfId="3187" xr:uid="{00000000-0005-0000-0000-0000730C0000}"/>
    <cellStyle name="Normal 3 3 3" xfId="3188" xr:uid="{00000000-0005-0000-0000-0000740C0000}"/>
    <cellStyle name="Normal 3 3 4" xfId="3189" xr:uid="{00000000-0005-0000-0000-0000750C0000}"/>
    <cellStyle name="Normal 3 3 5" xfId="3190" xr:uid="{00000000-0005-0000-0000-0000760C0000}"/>
    <cellStyle name="Normal 3 3 6" xfId="3191" xr:uid="{00000000-0005-0000-0000-0000770C0000}"/>
    <cellStyle name="Normal 3 3 7" xfId="3192" xr:uid="{00000000-0005-0000-0000-0000780C0000}"/>
    <cellStyle name="Normal 3 3 8" xfId="3193" xr:uid="{00000000-0005-0000-0000-0000790C0000}"/>
    <cellStyle name="Normal 3 3 9" xfId="3194" xr:uid="{00000000-0005-0000-0000-00007A0C0000}"/>
    <cellStyle name="Normal 3 30" xfId="3195" xr:uid="{00000000-0005-0000-0000-00007B0C0000}"/>
    <cellStyle name="Normal 3 31" xfId="3196" xr:uid="{00000000-0005-0000-0000-00007C0C0000}"/>
    <cellStyle name="Normal 3 32" xfId="3197" xr:uid="{00000000-0005-0000-0000-00007D0C0000}"/>
    <cellStyle name="Normal 3 33" xfId="3198" xr:uid="{00000000-0005-0000-0000-00007E0C0000}"/>
    <cellStyle name="Normal 3 34" xfId="3199" xr:uid="{00000000-0005-0000-0000-00007F0C0000}"/>
    <cellStyle name="Normal 3 4" xfId="3200" xr:uid="{00000000-0005-0000-0000-0000800C0000}"/>
    <cellStyle name="Normal 3 4 2" xfId="3201" xr:uid="{00000000-0005-0000-0000-0000810C0000}"/>
    <cellStyle name="Normal 3 4 3" xfId="3202" xr:uid="{00000000-0005-0000-0000-0000820C0000}"/>
    <cellStyle name="Normal 3 4 4" xfId="3203" xr:uid="{00000000-0005-0000-0000-0000830C0000}"/>
    <cellStyle name="Normal 3 4 4 2" xfId="3204" xr:uid="{00000000-0005-0000-0000-0000840C0000}"/>
    <cellStyle name="Normal 3 4 4 3" xfId="3205" xr:uid="{00000000-0005-0000-0000-0000850C0000}"/>
    <cellStyle name="Normal 3 4 5" xfId="3206" xr:uid="{00000000-0005-0000-0000-0000860C0000}"/>
    <cellStyle name="Normal 3 4 6" xfId="3207" xr:uid="{00000000-0005-0000-0000-0000870C0000}"/>
    <cellStyle name="Normal 3 4 7" xfId="3208" xr:uid="{00000000-0005-0000-0000-0000880C0000}"/>
    <cellStyle name="Normal 3 4 8" xfId="3209" xr:uid="{00000000-0005-0000-0000-0000890C0000}"/>
    <cellStyle name="Normal 3 5" xfId="3210" xr:uid="{00000000-0005-0000-0000-00008A0C0000}"/>
    <cellStyle name="Normal 3 5 2" xfId="3211" xr:uid="{00000000-0005-0000-0000-00008B0C0000}"/>
    <cellStyle name="Normal 3 5 2 2" xfId="3212" xr:uid="{00000000-0005-0000-0000-00008C0C0000}"/>
    <cellStyle name="Normal 3 5 3" xfId="3213" xr:uid="{00000000-0005-0000-0000-00008D0C0000}"/>
    <cellStyle name="Normal 3 5 3 2" xfId="3214" xr:uid="{00000000-0005-0000-0000-00008E0C0000}"/>
    <cellStyle name="Normal 3 5 3 2 2" xfId="3215" xr:uid="{00000000-0005-0000-0000-00008F0C0000}"/>
    <cellStyle name="Normal 3 5 4" xfId="3216" xr:uid="{00000000-0005-0000-0000-0000900C0000}"/>
    <cellStyle name="Normal 3 5 4 2" xfId="3217" xr:uid="{00000000-0005-0000-0000-0000910C0000}"/>
    <cellStyle name="Normal 3 5 5" xfId="3218" xr:uid="{00000000-0005-0000-0000-0000920C0000}"/>
    <cellStyle name="Normal 3 5 6" xfId="3219" xr:uid="{00000000-0005-0000-0000-0000930C0000}"/>
    <cellStyle name="Normal 3 5 7" xfId="3220" xr:uid="{00000000-0005-0000-0000-0000940C0000}"/>
    <cellStyle name="Normal 3 5 8" xfId="3221" xr:uid="{00000000-0005-0000-0000-0000950C0000}"/>
    <cellStyle name="Normal 3 5 9" xfId="3222" xr:uid="{00000000-0005-0000-0000-0000960C0000}"/>
    <cellStyle name="Normal 3 6" xfId="3223" xr:uid="{00000000-0005-0000-0000-0000970C0000}"/>
    <cellStyle name="Normal 3 6 2" xfId="3224" xr:uid="{00000000-0005-0000-0000-0000980C0000}"/>
    <cellStyle name="Normal 3 6 3" xfId="3225" xr:uid="{00000000-0005-0000-0000-0000990C0000}"/>
    <cellStyle name="Normal 3 7" xfId="3226" xr:uid="{00000000-0005-0000-0000-00009A0C0000}"/>
    <cellStyle name="Normal 3 7 2" xfId="3227" xr:uid="{00000000-0005-0000-0000-00009B0C0000}"/>
    <cellStyle name="Normal 3 7 3" xfId="3228" xr:uid="{00000000-0005-0000-0000-00009C0C0000}"/>
    <cellStyle name="Normal 3 8" xfId="3229" xr:uid="{00000000-0005-0000-0000-00009D0C0000}"/>
    <cellStyle name="Normal 3 9" xfId="3230" xr:uid="{00000000-0005-0000-0000-00009E0C0000}"/>
    <cellStyle name="Normal 3_Heating-COM" xfId="3231" xr:uid="{00000000-0005-0000-0000-00009F0C0000}"/>
    <cellStyle name="Normal 30" xfId="3232" xr:uid="{00000000-0005-0000-0000-0000A00C0000}"/>
    <cellStyle name="Normal 31" xfId="3233" xr:uid="{00000000-0005-0000-0000-0000A10C0000}"/>
    <cellStyle name="Normal 31 2" xfId="3234" xr:uid="{00000000-0005-0000-0000-0000A20C0000}"/>
    <cellStyle name="Normal 32" xfId="3235" xr:uid="{00000000-0005-0000-0000-0000A30C0000}"/>
    <cellStyle name="Normal 32 2" xfId="3236" xr:uid="{00000000-0005-0000-0000-0000A40C0000}"/>
    <cellStyle name="Normal 33" xfId="3237" xr:uid="{00000000-0005-0000-0000-0000A50C0000}"/>
    <cellStyle name="Normal 33 10" xfId="3238" xr:uid="{00000000-0005-0000-0000-0000A60C0000}"/>
    <cellStyle name="Normal 33 11" xfId="3239" xr:uid="{00000000-0005-0000-0000-0000A70C0000}"/>
    <cellStyle name="Normal 33 12" xfId="3240" xr:uid="{00000000-0005-0000-0000-0000A80C0000}"/>
    <cellStyle name="Normal 33 13" xfId="3241" xr:uid="{00000000-0005-0000-0000-0000A90C0000}"/>
    <cellStyle name="Normal 33 2" xfId="3242" xr:uid="{00000000-0005-0000-0000-0000AA0C0000}"/>
    <cellStyle name="Normal 33 3" xfId="3243" xr:uid="{00000000-0005-0000-0000-0000AB0C0000}"/>
    <cellStyle name="Normal 33 4" xfId="3244" xr:uid="{00000000-0005-0000-0000-0000AC0C0000}"/>
    <cellStyle name="Normal 33 5" xfId="3245" xr:uid="{00000000-0005-0000-0000-0000AD0C0000}"/>
    <cellStyle name="Normal 33 6" xfId="3246" xr:uid="{00000000-0005-0000-0000-0000AE0C0000}"/>
    <cellStyle name="Normal 33 7" xfId="3247" xr:uid="{00000000-0005-0000-0000-0000AF0C0000}"/>
    <cellStyle name="Normal 33 8" xfId="3248" xr:uid="{00000000-0005-0000-0000-0000B00C0000}"/>
    <cellStyle name="Normal 33 9" xfId="3249" xr:uid="{00000000-0005-0000-0000-0000B10C0000}"/>
    <cellStyle name="Normal 33_Scen_XBase" xfId="3250" xr:uid="{00000000-0005-0000-0000-0000B20C0000}"/>
    <cellStyle name="Normal 34" xfId="3251" xr:uid="{00000000-0005-0000-0000-0000B30C0000}"/>
    <cellStyle name="Normal 35" xfId="3252" xr:uid="{00000000-0005-0000-0000-0000B40C0000}"/>
    <cellStyle name="Normal 36" xfId="3253" xr:uid="{00000000-0005-0000-0000-0000B50C0000}"/>
    <cellStyle name="Normal 36 2" xfId="3254" xr:uid="{00000000-0005-0000-0000-0000B60C0000}"/>
    <cellStyle name="Normal 36 3" xfId="3255" xr:uid="{00000000-0005-0000-0000-0000B70C0000}"/>
    <cellStyle name="Normal 37" xfId="3256" xr:uid="{00000000-0005-0000-0000-0000B80C0000}"/>
    <cellStyle name="Normal 37 2" xfId="3257" xr:uid="{00000000-0005-0000-0000-0000B90C0000}"/>
    <cellStyle name="Normal 37 3" xfId="3258" xr:uid="{00000000-0005-0000-0000-0000BA0C0000}"/>
    <cellStyle name="Normal 38" xfId="3259" xr:uid="{00000000-0005-0000-0000-0000BB0C0000}"/>
    <cellStyle name="Normal 39" xfId="3260" xr:uid="{00000000-0005-0000-0000-0000BC0C0000}"/>
    <cellStyle name="Normal 4" xfId="3261" xr:uid="{00000000-0005-0000-0000-0000BD0C0000}"/>
    <cellStyle name="Normal 4 10" xfId="3262" xr:uid="{00000000-0005-0000-0000-0000BE0C0000}"/>
    <cellStyle name="Normal 4 10 2" xfId="3263" xr:uid="{00000000-0005-0000-0000-0000BF0C0000}"/>
    <cellStyle name="Normal 4 10 2 2" xfId="3264" xr:uid="{00000000-0005-0000-0000-0000C00C0000}"/>
    <cellStyle name="Normal 4 11" xfId="3265" xr:uid="{00000000-0005-0000-0000-0000C10C0000}"/>
    <cellStyle name="Normal 4 11 2" xfId="3266" xr:uid="{00000000-0005-0000-0000-0000C20C0000}"/>
    <cellStyle name="Normal 4 11 2 2" xfId="3267" xr:uid="{00000000-0005-0000-0000-0000C30C0000}"/>
    <cellStyle name="Normal 4 12" xfId="3268" xr:uid="{00000000-0005-0000-0000-0000C40C0000}"/>
    <cellStyle name="Normal 4 12 2" xfId="3269" xr:uid="{00000000-0005-0000-0000-0000C50C0000}"/>
    <cellStyle name="Normal 4 13" xfId="3270" xr:uid="{00000000-0005-0000-0000-0000C60C0000}"/>
    <cellStyle name="Normal 4 13 2" xfId="3271" xr:uid="{00000000-0005-0000-0000-0000C70C0000}"/>
    <cellStyle name="Normal 4 13 2 2" xfId="3272" xr:uid="{00000000-0005-0000-0000-0000C80C0000}"/>
    <cellStyle name="Normal 4 13 2 3" xfId="3273" xr:uid="{00000000-0005-0000-0000-0000C90C0000}"/>
    <cellStyle name="Normal 4 13 2 4" xfId="3274" xr:uid="{00000000-0005-0000-0000-0000CA0C0000}"/>
    <cellStyle name="Normal 4 14" xfId="3275" xr:uid="{00000000-0005-0000-0000-0000CB0C0000}"/>
    <cellStyle name="Normal 4 2" xfId="3276" xr:uid="{00000000-0005-0000-0000-0000CC0C0000}"/>
    <cellStyle name="Normal 4 2 10" xfId="3277" xr:uid="{00000000-0005-0000-0000-0000CD0C0000}"/>
    <cellStyle name="Normal 4 2 2" xfId="3278" xr:uid="{00000000-0005-0000-0000-0000CE0C0000}"/>
    <cellStyle name="Normal 4 2 2 10" xfId="3279" xr:uid="{00000000-0005-0000-0000-0000CF0C0000}"/>
    <cellStyle name="Normal 4 2 2 11" xfId="3280" xr:uid="{00000000-0005-0000-0000-0000D00C0000}"/>
    <cellStyle name="Normal 4 2 2 12" xfId="3281" xr:uid="{00000000-0005-0000-0000-0000D10C0000}"/>
    <cellStyle name="Normal 4 2 2 13" xfId="3282" xr:uid="{00000000-0005-0000-0000-0000D20C0000}"/>
    <cellStyle name="Normal 4 2 2 14" xfId="3283" xr:uid="{00000000-0005-0000-0000-0000D30C0000}"/>
    <cellStyle name="Normal 4 2 2 2" xfId="3284" xr:uid="{00000000-0005-0000-0000-0000D40C0000}"/>
    <cellStyle name="Normal 4 2 2 2 10" xfId="3285" xr:uid="{00000000-0005-0000-0000-0000D50C0000}"/>
    <cellStyle name="Normal 4 2 2 2 11" xfId="3286" xr:uid="{00000000-0005-0000-0000-0000D60C0000}"/>
    <cellStyle name="Normal 4 2 2 2 12" xfId="3287" xr:uid="{00000000-0005-0000-0000-0000D70C0000}"/>
    <cellStyle name="Normal 4 2 2 2 13" xfId="3288" xr:uid="{00000000-0005-0000-0000-0000D80C0000}"/>
    <cellStyle name="Normal 4 2 2 2 14" xfId="3289" xr:uid="{00000000-0005-0000-0000-0000D90C0000}"/>
    <cellStyle name="Normal 4 2 2 2 2" xfId="3290" xr:uid="{00000000-0005-0000-0000-0000DA0C0000}"/>
    <cellStyle name="Normal 4 2 2 2 3" xfId="3291" xr:uid="{00000000-0005-0000-0000-0000DB0C0000}"/>
    <cellStyle name="Normal 4 2 2 2 4" xfId="3292" xr:uid="{00000000-0005-0000-0000-0000DC0C0000}"/>
    <cellStyle name="Normal 4 2 2 2 5" xfId="3293" xr:uid="{00000000-0005-0000-0000-0000DD0C0000}"/>
    <cellStyle name="Normal 4 2 2 2 6" xfId="3294" xr:uid="{00000000-0005-0000-0000-0000DE0C0000}"/>
    <cellStyle name="Normal 4 2 2 2 7" xfId="3295" xr:uid="{00000000-0005-0000-0000-0000DF0C0000}"/>
    <cellStyle name="Normal 4 2 2 2 8" xfId="3296" xr:uid="{00000000-0005-0000-0000-0000E00C0000}"/>
    <cellStyle name="Normal 4 2 2 2 9" xfId="3297" xr:uid="{00000000-0005-0000-0000-0000E10C0000}"/>
    <cellStyle name="Normal 4 2 2 3" xfId="3298" xr:uid="{00000000-0005-0000-0000-0000E20C0000}"/>
    <cellStyle name="Normal 4 2 2 4" xfId="3299" xr:uid="{00000000-0005-0000-0000-0000E30C0000}"/>
    <cellStyle name="Normal 4 2 2 5" xfId="3300" xr:uid="{00000000-0005-0000-0000-0000E40C0000}"/>
    <cellStyle name="Normal 4 2 2 6" xfId="3301" xr:uid="{00000000-0005-0000-0000-0000E50C0000}"/>
    <cellStyle name="Normal 4 2 2 7" xfId="3302" xr:uid="{00000000-0005-0000-0000-0000E60C0000}"/>
    <cellStyle name="Normal 4 2 2 8" xfId="3303" xr:uid="{00000000-0005-0000-0000-0000E70C0000}"/>
    <cellStyle name="Normal 4 2 2 9" xfId="3304" xr:uid="{00000000-0005-0000-0000-0000E80C0000}"/>
    <cellStyle name="Normal 4 2 3" xfId="3305" xr:uid="{00000000-0005-0000-0000-0000E90C0000}"/>
    <cellStyle name="Normal 4 2 3 2" xfId="3306" xr:uid="{00000000-0005-0000-0000-0000EA0C0000}"/>
    <cellStyle name="Normal 4 2 3 3" xfId="3307" xr:uid="{00000000-0005-0000-0000-0000EB0C0000}"/>
    <cellStyle name="Normal 4 2 3 3 2" xfId="3308" xr:uid="{00000000-0005-0000-0000-0000EC0C0000}"/>
    <cellStyle name="Normal 4 2 4" xfId="3309" xr:uid="{00000000-0005-0000-0000-0000ED0C0000}"/>
    <cellStyle name="Normal 4 2 5" xfId="3310" xr:uid="{00000000-0005-0000-0000-0000EE0C0000}"/>
    <cellStyle name="Normal 4 2 6" xfId="3311" xr:uid="{00000000-0005-0000-0000-0000EF0C0000}"/>
    <cellStyle name="Normal 4 2 7" xfId="3312" xr:uid="{00000000-0005-0000-0000-0000F00C0000}"/>
    <cellStyle name="Normal 4 2 8" xfId="3313" xr:uid="{00000000-0005-0000-0000-0000F10C0000}"/>
    <cellStyle name="Normal 4 2 9" xfId="3314" xr:uid="{00000000-0005-0000-0000-0000F20C0000}"/>
    <cellStyle name="Normal 4 2 9 2" xfId="3315" xr:uid="{00000000-0005-0000-0000-0000F30C0000}"/>
    <cellStyle name="Normal 4 2_Scen_XBase" xfId="3316" xr:uid="{00000000-0005-0000-0000-0000F40C0000}"/>
    <cellStyle name="Normal 4 3" xfId="3317" xr:uid="{00000000-0005-0000-0000-0000F50C0000}"/>
    <cellStyle name="Normal 4 3 2" xfId="3318" xr:uid="{00000000-0005-0000-0000-0000F60C0000}"/>
    <cellStyle name="Normal 4 3 2 2" xfId="3319" xr:uid="{00000000-0005-0000-0000-0000F70C0000}"/>
    <cellStyle name="Normal 4 3 2 2 2" xfId="3320" xr:uid="{00000000-0005-0000-0000-0000F80C0000}"/>
    <cellStyle name="Normal 4 3 2 3" xfId="3321" xr:uid="{00000000-0005-0000-0000-0000F90C0000}"/>
    <cellStyle name="Normal 4 3 3" xfId="3322" xr:uid="{00000000-0005-0000-0000-0000FA0C0000}"/>
    <cellStyle name="Normal 4 3 3 2" xfId="3323" xr:uid="{00000000-0005-0000-0000-0000FB0C0000}"/>
    <cellStyle name="Normal 4 3 3 3" xfId="3324" xr:uid="{00000000-0005-0000-0000-0000FC0C0000}"/>
    <cellStyle name="Normal 4 3 4" xfId="3325" xr:uid="{00000000-0005-0000-0000-0000FD0C0000}"/>
    <cellStyle name="Normal 4 3 4 2" xfId="3326" xr:uid="{00000000-0005-0000-0000-0000FE0C0000}"/>
    <cellStyle name="Normal 4 3 4 3" xfId="3327" xr:uid="{00000000-0005-0000-0000-0000FF0C0000}"/>
    <cellStyle name="Normal 4 3 5" xfId="3328" xr:uid="{00000000-0005-0000-0000-0000000D0000}"/>
    <cellStyle name="Normal 4 3 5 2" xfId="3329" xr:uid="{00000000-0005-0000-0000-0000010D0000}"/>
    <cellStyle name="Normal 4 3 5 2 2" xfId="3330" xr:uid="{00000000-0005-0000-0000-0000020D0000}"/>
    <cellStyle name="Normal 4 3 6" xfId="3331" xr:uid="{00000000-0005-0000-0000-0000030D0000}"/>
    <cellStyle name="Normal 4 3 7" xfId="3332" xr:uid="{00000000-0005-0000-0000-0000040D0000}"/>
    <cellStyle name="Normal 4 3 8" xfId="3333" xr:uid="{00000000-0005-0000-0000-0000050D0000}"/>
    <cellStyle name="Normal 4 3_Scen_XBase" xfId="3334" xr:uid="{00000000-0005-0000-0000-0000060D0000}"/>
    <cellStyle name="Normal 4 4" xfId="3335" xr:uid="{00000000-0005-0000-0000-0000070D0000}"/>
    <cellStyle name="Normal 4 4 2" xfId="3336" xr:uid="{00000000-0005-0000-0000-0000080D0000}"/>
    <cellStyle name="Normal 4 4 2 2" xfId="3337" xr:uid="{00000000-0005-0000-0000-0000090D0000}"/>
    <cellStyle name="Normal 4 4 3" xfId="3338" xr:uid="{00000000-0005-0000-0000-00000A0D0000}"/>
    <cellStyle name="Normal 4 4 3 2" xfId="3339" xr:uid="{00000000-0005-0000-0000-00000B0D0000}"/>
    <cellStyle name="Normal 4 4 3 2 2" xfId="3340" xr:uid="{00000000-0005-0000-0000-00000C0D0000}"/>
    <cellStyle name="Normal 4 4 4" xfId="3341" xr:uid="{00000000-0005-0000-0000-00000D0D0000}"/>
    <cellStyle name="Normal 4 4 5" xfId="3342" xr:uid="{00000000-0005-0000-0000-00000E0D0000}"/>
    <cellStyle name="Normal 4 4 6" xfId="3343" xr:uid="{00000000-0005-0000-0000-00000F0D0000}"/>
    <cellStyle name="Normal 4 4 7" xfId="3344" xr:uid="{00000000-0005-0000-0000-0000100D0000}"/>
    <cellStyle name="Normal 4 4 8" xfId="3345" xr:uid="{00000000-0005-0000-0000-0000110D0000}"/>
    <cellStyle name="Normal 4 5" xfId="3346" xr:uid="{00000000-0005-0000-0000-0000120D0000}"/>
    <cellStyle name="Normal 4 5 2" xfId="3347" xr:uid="{00000000-0005-0000-0000-0000130D0000}"/>
    <cellStyle name="Normal 4 5 2 2" xfId="3348" xr:uid="{00000000-0005-0000-0000-0000140D0000}"/>
    <cellStyle name="Normal 4 5 3" xfId="3349" xr:uid="{00000000-0005-0000-0000-0000150D0000}"/>
    <cellStyle name="Normal 4 5 3 2" xfId="3350" xr:uid="{00000000-0005-0000-0000-0000160D0000}"/>
    <cellStyle name="Normal 4 5 4" xfId="3351" xr:uid="{00000000-0005-0000-0000-0000170D0000}"/>
    <cellStyle name="Normal 4 5 5" xfId="3352" xr:uid="{00000000-0005-0000-0000-0000180D0000}"/>
    <cellStyle name="Normal 4 5 6" xfId="3353" xr:uid="{00000000-0005-0000-0000-0000190D0000}"/>
    <cellStyle name="Normal 4 5 7" xfId="3354" xr:uid="{00000000-0005-0000-0000-00001A0D0000}"/>
    <cellStyle name="Normal 4 5 8" xfId="3355" xr:uid="{00000000-0005-0000-0000-00001B0D0000}"/>
    <cellStyle name="Normal 4 5 9" xfId="3356" xr:uid="{00000000-0005-0000-0000-00001C0D0000}"/>
    <cellStyle name="Normal 4 6" xfId="3357" xr:uid="{00000000-0005-0000-0000-00001D0D0000}"/>
    <cellStyle name="Normal 4 6 2" xfId="3358" xr:uid="{00000000-0005-0000-0000-00001E0D0000}"/>
    <cellStyle name="Normal 4 6 2 2" xfId="3359" xr:uid="{00000000-0005-0000-0000-00001F0D0000}"/>
    <cellStyle name="Normal 4 6 3" xfId="3360" xr:uid="{00000000-0005-0000-0000-0000200D0000}"/>
    <cellStyle name="Normal 4 6 4" xfId="3361" xr:uid="{00000000-0005-0000-0000-0000210D0000}"/>
    <cellStyle name="Normal 4 7" xfId="3362" xr:uid="{00000000-0005-0000-0000-0000220D0000}"/>
    <cellStyle name="Normal 4 7 2" xfId="3363" xr:uid="{00000000-0005-0000-0000-0000230D0000}"/>
    <cellStyle name="Normal 4 7 3" xfId="3364" xr:uid="{00000000-0005-0000-0000-0000240D0000}"/>
    <cellStyle name="Normal 4 8" xfId="3365" xr:uid="{00000000-0005-0000-0000-0000250D0000}"/>
    <cellStyle name="Normal 4 8 2" xfId="3366" xr:uid="{00000000-0005-0000-0000-0000260D0000}"/>
    <cellStyle name="Normal 4 8 3" xfId="3367" xr:uid="{00000000-0005-0000-0000-0000270D0000}"/>
    <cellStyle name="Normal 4 9" xfId="3368" xr:uid="{00000000-0005-0000-0000-0000280D0000}"/>
    <cellStyle name="Normal 4 9 2" xfId="3369" xr:uid="{00000000-0005-0000-0000-0000290D0000}"/>
    <cellStyle name="Normal 4 9 2 2" xfId="3370" xr:uid="{00000000-0005-0000-0000-00002A0D0000}"/>
    <cellStyle name="Normal 4_ELC" xfId="3371" xr:uid="{00000000-0005-0000-0000-00002B0D0000}"/>
    <cellStyle name="Normal 40" xfId="3372" xr:uid="{00000000-0005-0000-0000-00002C0D0000}"/>
    <cellStyle name="Normal 41" xfId="3373" xr:uid="{00000000-0005-0000-0000-00002D0D0000}"/>
    <cellStyle name="Normal 41 2" xfId="3374" xr:uid="{00000000-0005-0000-0000-00002E0D0000}"/>
    <cellStyle name="Normal 42" xfId="3375" xr:uid="{00000000-0005-0000-0000-00002F0D0000}"/>
    <cellStyle name="Normal 5" xfId="3376" xr:uid="{00000000-0005-0000-0000-0000300D0000}"/>
    <cellStyle name="Normal 5 10" xfId="3377" xr:uid="{00000000-0005-0000-0000-0000310D0000}"/>
    <cellStyle name="Normal 5 10 2" xfId="3378" xr:uid="{00000000-0005-0000-0000-0000320D0000}"/>
    <cellStyle name="Normal 5 10 2 2" xfId="3379" xr:uid="{00000000-0005-0000-0000-0000330D0000}"/>
    <cellStyle name="Normal 5 11" xfId="3380" xr:uid="{00000000-0005-0000-0000-0000340D0000}"/>
    <cellStyle name="Normal 5 11 2" xfId="3381" xr:uid="{00000000-0005-0000-0000-0000350D0000}"/>
    <cellStyle name="Normal 5 11 2 2" xfId="3382" xr:uid="{00000000-0005-0000-0000-0000360D0000}"/>
    <cellStyle name="Normal 5 12" xfId="3383" xr:uid="{00000000-0005-0000-0000-0000370D0000}"/>
    <cellStyle name="Normal 5 12 2" xfId="3384" xr:uid="{00000000-0005-0000-0000-0000380D0000}"/>
    <cellStyle name="Normal 5 12 2 2" xfId="3385" xr:uid="{00000000-0005-0000-0000-0000390D0000}"/>
    <cellStyle name="Normal 5 13" xfId="3386" xr:uid="{00000000-0005-0000-0000-00003A0D0000}"/>
    <cellStyle name="Normal 5 14" xfId="3387" xr:uid="{00000000-0005-0000-0000-00003B0D0000}"/>
    <cellStyle name="Normal 5 15" xfId="3388" xr:uid="{00000000-0005-0000-0000-00003C0D0000}"/>
    <cellStyle name="Normal 5 16" xfId="3389" xr:uid="{00000000-0005-0000-0000-00003D0D0000}"/>
    <cellStyle name="Normal 5 2" xfId="3390" xr:uid="{00000000-0005-0000-0000-00003E0D0000}"/>
    <cellStyle name="Normal 5 2 2" xfId="3391" xr:uid="{00000000-0005-0000-0000-00003F0D0000}"/>
    <cellStyle name="Normal 5 2 2 10" xfId="3392" xr:uid="{00000000-0005-0000-0000-0000400D0000}"/>
    <cellStyle name="Normal 5 2 2 11" xfId="3393" xr:uid="{00000000-0005-0000-0000-0000410D0000}"/>
    <cellStyle name="Normal 5 2 2 12" xfId="3394" xr:uid="{00000000-0005-0000-0000-0000420D0000}"/>
    <cellStyle name="Normal 5 2 2 13" xfId="3395" xr:uid="{00000000-0005-0000-0000-0000430D0000}"/>
    <cellStyle name="Normal 5 2 2 14" xfId="3396" xr:uid="{00000000-0005-0000-0000-0000440D0000}"/>
    <cellStyle name="Normal 5 2 2 2" xfId="3397" xr:uid="{00000000-0005-0000-0000-0000450D0000}"/>
    <cellStyle name="Normal 5 2 2 2 10" xfId="3398" xr:uid="{00000000-0005-0000-0000-0000460D0000}"/>
    <cellStyle name="Normal 5 2 2 2 11" xfId="3399" xr:uid="{00000000-0005-0000-0000-0000470D0000}"/>
    <cellStyle name="Normal 5 2 2 2 12" xfId="3400" xr:uid="{00000000-0005-0000-0000-0000480D0000}"/>
    <cellStyle name="Normal 5 2 2 2 13" xfId="3401" xr:uid="{00000000-0005-0000-0000-0000490D0000}"/>
    <cellStyle name="Normal 5 2 2 2 14" xfId="3402" xr:uid="{00000000-0005-0000-0000-00004A0D0000}"/>
    <cellStyle name="Normal 5 2 2 2 14 2" xfId="3403" xr:uid="{00000000-0005-0000-0000-00004B0D0000}"/>
    <cellStyle name="Normal 5 2 2 2 2" xfId="3404" xr:uid="{00000000-0005-0000-0000-00004C0D0000}"/>
    <cellStyle name="Normal 5 2 2 2 3" xfId="3405" xr:uid="{00000000-0005-0000-0000-00004D0D0000}"/>
    <cellStyle name="Normal 5 2 2 2 4" xfId="3406" xr:uid="{00000000-0005-0000-0000-00004E0D0000}"/>
    <cellStyle name="Normal 5 2 2 2 5" xfId="3407" xr:uid="{00000000-0005-0000-0000-00004F0D0000}"/>
    <cellStyle name="Normal 5 2 2 2 6" xfId="3408" xr:uid="{00000000-0005-0000-0000-0000500D0000}"/>
    <cellStyle name="Normal 5 2 2 2 7" xfId="3409" xr:uid="{00000000-0005-0000-0000-0000510D0000}"/>
    <cellStyle name="Normal 5 2 2 2 8" xfId="3410" xr:uid="{00000000-0005-0000-0000-0000520D0000}"/>
    <cellStyle name="Normal 5 2 2 2 9" xfId="3411" xr:uid="{00000000-0005-0000-0000-0000530D0000}"/>
    <cellStyle name="Normal 5 2 2 3" xfId="3412" xr:uid="{00000000-0005-0000-0000-0000540D0000}"/>
    <cellStyle name="Normal 5 2 2 3 2" xfId="3413" xr:uid="{00000000-0005-0000-0000-0000550D0000}"/>
    <cellStyle name="Normal 5 2 2 4" xfId="3414" xr:uid="{00000000-0005-0000-0000-0000560D0000}"/>
    <cellStyle name="Normal 5 2 2 5" xfId="3415" xr:uid="{00000000-0005-0000-0000-0000570D0000}"/>
    <cellStyle name="Normal 5 2 2 6" xfId="3416" xr:uid="{00000000-0005-0000-0000-0000580D0000}"/>
    <cellStyle name="Normal 5 2 2 7" xfId="3417" xr:uid="{00000000-0005-0000-0000-0000590D0000}"/>
    <cellStyle name="Normal 5 2 2 8" xfId="3418" xr:uid="{00000000-0005-0000-0000-00005A0D0000}"/>
    <cellStyle name="Normal 5 2 2 9" xfId="3419" xr:uid="{00000000-0005-0000-0000-00005B0D0000}"/>
    <cellStyle name="Normal 5 2 3" xfId="3420" xr:uid="{00000000-0005-0000-0000-00005C0D0000}"/>
    <cellStyle name="Normal 5 2 3 2" xfId="3421" xr:uid="{00000000-0005-0000-0000-00005D0D0000}"/>
    <cellStyle name="Normal 5 2 3 2 2" xfId="3422" xr:uid="{00000000-0005-0000-0000-00005E0D0000}"/>
    <cellStyle name="Normal 5 2 3 3" xfId="3423" xr:uid="{00000000-0005-0000-0000-00005F0D0000}"/>
    <cellStyle name="Normal 5 2 4" xfId="3424" xr:uid="{00000000-0005-0000-0000-0000600D0000}"/>
    <cellStyle name="Normal 5 2 5" xfId="3425" xr:uid="{00000000-0005-0000-0000-0000610D0000}"/>
    <cellStyle name="Normal 5 2 6" xfId="3426" xr:uid="{00000000-0005-0000-0000-0000620D0000}"/>
    <cellStyle name="Normal 5 2 7" xfId="3427" xr:uid="{00000000-0005-0000-0000-0000630D0000}"/>
    <cellStyle name="Normal 5 2 8" xfId="3428" xr:uid="{00000000-0005-0000-0000-0000640D0000}"/>
    <cellStyle name="Normal 5 3" xfId="3429" xr:uid="{00000000-0005-0000-0000-0000650D0000}"/>
    <cellStyle name="Normal 5 3 2" xfId="3430" xr:uid="{00000000-0005-0000-0000-0000660D0000}"/>
    <cellStyle name="Normal 5 3 2 2" xfId="3431" xr:uid="{00000000-0005-0000-0000-0000670D0000}"/>
    <cellStyle name="Normal 5 3 2 2 2" xfId="3432" xr:uid="{00000000-0005-0000-0000-0000680D0000}"/>
    <cellStyle name="Normal 5 3 3" xfId="3433" xr:uid="{00000000-0005-0000-0000-0000690D0000}"/>
    <cellStyle name="Normal 5 3 3 2" xfId="3434" xr:uid="{00000000-0005-0000-0000-00006A0D0000}"/>
    <cellStyle name="Normal 5 3 3 2 2" xfId="3435" xr:uid="{00000000-0005-0000-0000-00006B0D0000}"/>
    <cellStyle name="Normal 5 3 4" xfId="3436" xr:uid="{00000000-0005-0000-0000-00006C0D0000}"/>
    <cellStyle name="Normal 5 3 5" xfId="3437" xr:uid="{00000000-0005-0000-0000-00006D0D0000}"/>
    <cellStyle name="Normal 5 3 6" xfId="3438" xr:uid="{00000000-0005-0000-0000-00006E0D0000}"/>
    <cellStyle name="Normal 5 3 7" xfId="3439" xr:uid="{00000000-0005-0000-0000-00006F0D0000}"/>
    <cellStyle name="Normal 5 3 8" xfId="3440" xr:uid="{00000000-0005-0000-0000-0000700D0000}"/>
    <cellStyle name="Normal 5 3 9" xfId="3441" xr:uid="{00000000-0005-0000-0000-0000710D0000}"/>
    <cellStyle name="Normal 5 3 9 2" xfId="3442" xr:uid="{00000000-0005-0000-0000-0000720D0000}"/>
    <cellStyle name="Normal 5 4" xfId="3443" xr:uid="{00000000-0005-0000-0000-0000730D0000}"/>
    <cellStyle name="Normal 5 4 2" xfId="3444" xr:uid="{00000000-0005-0000-0000-0000740D0000}"/>
    <cellStyle name="Normal 5 4 3" xfId="3445" xr:uid="{00000000-0005-0000-0000-0000750D0000}"/>
    <cellStyle name="Normal 5 4 4" xfId="3446" xr:uid="{00000000-0005-0000-0000-0000760D0000}"/>
    <cellStyle name="Normal 5 4 5" xfId="3447" xr:uid="{00000000-0005-0000-0000-0000770D0000}"/>
    <cellStyle name="Normal 5 4 6" xfId="3448" xr:uid="{00000000-0005-0000-0000-0000780D0000}"/>
    <cellStyle name="Normal 5 4 7" xfId="3449" xr:uid="{00000000-0005-0000-0000-0000790D0000}"/>
    <cellStyle name="Normal 5 4 8" xfId="3450" xr:uid="{00000000-0005-0000-0000-00007A0D0000}"/>
    <cellStyle name="Normal 5 5" xfId="3451" xr:uid="{00000000-0005-0000-0000-00007B0D0000}"/>
    <cellStyle name="Normal 5 5 2" xfId="3452" xr:uid="{00000000-0005-0000-0000-00007C0D0000}"/>
    <cellStyle name="Normal 5 5 2 2" xfId="3453" xr:uid="{00000000-0005-0000-0000-00007D0D0000}"/>
    <cellStyle name="Normal 5 5 2 3" xfId="3454" xr:uid="{00000000-0005-0000-0000-00007E0D0000}"/>
    <cellStyle name="Normal 5 5 3" xfId="3455" xr:uid="{00000000-0005-0000-0000-00007F0D0000}"/>
    <cellStyle name="Normal 5 5 3 2" xfId="3456" xr:uid="{00000000-0005-0000-0000-0000800D0000}"/>
    <cellStyle name="Normal 5 5 4" xfId="3457" xr:uid="{00000000-0005-0000-0000-0000810D0000}"/>
    <cellStyle name="Normal 5 5 4 2" xfId="3458" xr:uid="{00000000-0005-0000-0000-0000820D0000}"/>
    <cellStyle name="Normal 5 5 5" xfId="3459" xr:uid="{00000000-0005-0000-0000-0000830D0000}"/>
    <cellStyle name="Normal 5 5 6" xfId="3460" xr:uid="{00000000-0005-0000-0000-0000840D0000}"/>
    <cellStyle name="Normal 5 5 7" xfId="3461" xr:uid="{00000000-0005-0000-0000-0000850D0000}"/>
    <cellStyle name="Normal 5 5 8" xfId="3462" xr:uid="{00000000-0005-0000-0000-0000860D0000}"/>
    <cellStyle name="Normal 5 5 9" xfId="3463" xr:uid="{00000000-0005-0000-0000-0000870D0000}"/>
    <cellStyle name="Normal 5 6" xfId="3464" xr:uid="{00000000-0005-0000-0000-0000880D0000}"/>
    <cellStyle name="Normal 5 6 2" xfId="3465" xr:uid="{00000000-0005-0000-0000-0000890D0000}"/>
    <cellStyle name="Normal 5 6 2 2" xfId="3466" xr:uid="{00000000-0005-0000-0000-00008A0D0000}"/>
    <cellStyle name="Normal 5 6 3" xfId="3467" xr:uid="{00000000-0005-0000-0000-00008B0D0000}"/>
    <cellStyle name="Normal 5 7" xfId="3468" xr:uid="{00000000-0005-0000-0000-00008C0D0000}"/>
    <cellStyle name="Normal 5 8" xfId="3469" xr:uid="{00000000-0005-0000-0000-00008D0D0000}"/>
    <cellStyle name="Normal 5 9" xfId="3470" xr:uid="{00000000-0005-0000-0000-00008E0D0000}"/>
    <cellStyle name="Normal 5_ELC" xfId="3471" xr:uid="{00000000-0005-0000-0000-00008F0D0000}"/>
    <cellStyle name="Normal 50" xfId="3472" xr:uid="{00000000-0005-0000-0000-0000900D0000}"/>
    <cellStyle name="Normal 51" xfId="3473" xr:uid="{00000000-0005-0000-0000-0000910D0000}"/>
    <cellStyle name="Normal 52" xfId="3474" xr:uid="{00000000-0005-0000-0000-0000920D0000}"/>
    <cellStyle name="Normal 53" xfId="3475" xr:uid="{00000000-0005-0000-0000-0000930D0000}"/>
    <cellStyle name="Normal 54" xfId="3476" xr:uid="{00000000-0005-0000-0000-0000940D0000}"/>
    <cellStyle name="Normal 55" xfId="3477" xr:uid="{00000000-0005-0000-0000-0000950D0000}"/>
    <cellStyle name="Normal 6" xfId="3478" xr:uid="{00000000-0005-0000-0000-0000960D0000}"/>
    <cellStyle name="Normal 6 10" xfId="3479" xr:uid="{00000000-0005-0000-0000-0000970D0000}"/>
    <cellStyle name="Normal 6 10 2" xfId="3480" xr:uid="{00000000-0005-0000-0000-0000980D0000}"/>
    <cellStyle name="Normal 6 10 2 2" xfId="3481" xr:uid="{00000000-0005-0000-0000-0000990D0000}"/>
    <cellStyle name="Normal 6 11" xfId="3482" xr:uid="{00000000-0005-0000-0000-00009A0D0000}"/>
    <cellStyle name="Normal 6 12" xfId="3483" xr:uid="{00000000-0005-0000-0000-00009B0D0000}"/>
    <cellStyle name="Normal 6 12 2" xfId="3484" xr:uid="{00000000-0005-0000-0000-00009C0D0000}"/>
    <cellStyle name="Normal 6 12 2 2" xfId="3485" xr:uid="{00000000-0005-0000-0000-00009D0D0000}"/>
    <cellStyle name="Normal 6 13" xfId="3486" xr:uid="{00000000-0005-0000-0000-00009E0D0000}"/>
    <cellStyle name="Normal 6 14" xfId="3487" xr:uid="{00000000-0005-0000-0000-00009F0D0000}"/>
    <cellStyle name="Normal 6 15" xfId="3488" xr:uid="{00000000-0005-0000-0000-0000A00D0000}"/>
    <cellStyle name="Normal 6 2" xfId="3489" xr:uid="{00000000-0005-0000-0000-0000A10D0000}"/>
    <cellStyle name="Normal 6 2 10" xfId="3490" xr:uid="{00000000-0005-0000-0000-0000A20D0000}"/>
    <cellStyle name="Normal 6 2 11" xfId="3491" xr:uid="{00000000-0005-0000-0000-0000A30D0000}"/>
    <cellStyle name="Normal 6 2 12" xfId="3492" xr:uid="{00000000-0005-0000-0000-0000A40D0000}"/>
    <cellStyle name="Normal 6 2 13" xfId="3493" xr:uid="{00000000-0005-0000-0000-0000A50D0000}"/>
    <cellStyle name="Normal 6 2 14" xfId="3494" xr:uid="{00000000-0005-0000-0000-0000A60D0000}"/>
    <cellStyle name="Normal 6 2 2" xfId="3495" xr:uid="{00000000-0005-0000-0000-0000A70D0000}"/>
    <cellStyle name="Normal 6 2 2 10" xfId="3496" xr:uid="{00000000-0005-0000-0000-0000A80D0000}"/>
    <cellStyle name="Normal 6 2 2 11" xfId="3497" xr:uid="{00000000-0005-0000-0000-0000A90D0000}"/>
    <cellStyle name="Normal 6 2 2 12" xfId="3498" xr:uid="{00000000-0005-0000-0000-0000AA0D0000}"/>
    <cellStyle name="Normal 6 2 2 13" xfId="3499" xr:uid="{00000000-0005-0000-0000-0000AB0D0000}"/>
    <cellStyle name="Normal 6 2 2 2" xfId="3500" xr:uid="{00000000-0005-0000-0000-0000AC0D0000}"/>
    <cellStyle name="Normal 6 2 2 3" xfId="3501" xr:uid="{00000000-0005-0000-0000-0000AD0D0000}"/>
    <cellStyle name="Normal 6 2 2 4" xfId="3502" xr:uid="{00000000-0005-0000-0000-0000AE0D0000}"/>
    <cellStyle name="Normal 6 2 2 5" xfId="3503" xr:uid="{00000000-0005-0000-0000-0000AF0D0000}"/>
    <cellStyle name="Normal 6 2 2 6" xfId="3504" xr:uid="{00000000-0005-0000-0000-0000B00D0000}"/>
    <cellStyle name="Normal 6 2 2 7" xfId="3505" xr:uid="{00000000-0005-0000-0000-0000B10D0000}"/>
    <cellStyle name="Normal 6 2 2 8" xfId="3506" xr:uid="{00000000-0005-0000-0000-0000B20D0000}"/>
    <cellStyle name="Normal 6 2 2 9" xfId="3507" xr:uid="{00000000-0005-0000-0000-0000B30D0000}"/>
    <cellStyle name="Normal 6 2 3" xfId="3508" xr:uid="{00000000-0005-0000-0000-0000B40D0000}"/>
    <cellStyle name="Normal 6 2 4" xfId="3509" xr:uid="{00000000-0005-0000-0000-0000B50D0000}"/>
    <cellStyle name="Normal 6 2 4 2" xfId="3510" xr:uid="{00000000-0005-0000-0000-0000B60D0000}"/>
    <cellStyle name="Normal 6 2 5" xfId="3511" xr:uid="{00000000-0005-0000-0000-0000B70D0000}"/>
    <cellStyle name="Normal 6 2 6" xfId="3512" xr:uid="{00000000-0005-0000-0000-0000B80D0000}"/>
    <cellStyle name="Normal 6 2 7" xfId="3513" xr:uid="{00000000-0005-0000-0000-0000B90D0000}"/>
    <cellStyle name="Normal 6 2 8" xfId="3514" xr:uid="{00000000-0005-0000-0000-0000BA0D0000}"/>
    <cellStyle name="Normal 6 2 9" xfId="3515" xr:uid="{00000000-0005-0000-0000-0000BB0D0000}"/>
    <cellStyle name="Normal 6 3" xfId="3516" xr:uid="{00000000-0005-0000-0000-0000BC0D0000}"/>
    <cellStyle name="Normal 6 3 10" xfId="3517" xr:uid="{00000000-0005-0000-0000-0000BD0D0000}"/>
    <cellStyle name="Normal 6 3 11" xfId="3518" xr:uid="{00000000-0005-0000-0000-0000BE0D0000}"/>
    <cellStyle name="Normal 6 3 12" xfId="3519" xr:uid="{00000000-0005-0000-0000-0000BF0D0000}"/>
    <cellStyle name="Normal 6 3 13" xfId="3520" xr:uid="{00000000-0005-0000-0000-0000C00D0000}"/>
    <cellStyle name="Normal 6 3 14" xfId="3521" xr:uid="{00000000-0005-0000-0000-0000C10D0000}"/>
    <cellStyle name="Normal 6 3 15" xfId="3522" xr:uid="{00000000-0005-0000-0000-0000C20D0000}"/>
    <cellStyle name="Normal 6 3 15 2" xfId="3523" xr:uid="{00000000-0005-0000-0000-0000C30D0000}"/>
    <cellStyle name="Normal 6 3 16" xfId="3524" xr:uid="{00000000-0005-0000-0000-0000C40D0000}"/>
    <cellStyle name="Normal 6 3 17" xfId="3525" xr:uid="{00000000-0005-0000-0000-0000C50D0000}"/>
    <cellStyle name="Normal 6 3 2" xfId="3526" xr:uid="{00000000-0005-0000-0000-0000C60D0000}"/>
    <cellStyle name="Normal 6 3 3" xfId="3527" xr:uid="{00000000-0005-0000-0000-0000C70D0000}"/>
    <cellStyle name="Normal 6 3 4" xfId="3528" xr:uid="{00000000-0005-0000-0000-0000C80D0000}"/>
    <cellStyle name="Normal 6 3 5" xfId="3529" xr:uid="{00000000-0005-0000-0000-0000C90D0000}"/>
    <cellStyle name="Normal 6 3 6" xfId="3530" xr:uid="{00000000-0005-0000-0000-0000CA0D0000}"/>
    <cellStyle name="Normal 6 3 7" xfId="3531" xr:uid="{00000000-0005-0000-0000-0000CB0D0000}"/>
    <cellStyle name="Normal 6 3 8" xfId="3532" xr:uid="{00000000-0005-0000-0000-0000CC0D0000}"/>
    <cellStyle name="Normal 6 3 9" xfId="3533" xr:uid="{00000000-0005-0000-0000-0000CD0D0000}"/>
    <cellStyle name="Normal 6 4" xfId="3534" xr:uid="{00000000-0005-0000-0000-0000CE0D0000}"/>
    <cellStyle name="Normal 6 4 2" xfId="3535" xr:uid="{00000000-0005-0000-0000-0000CF0D0000}"/>
    <cellStyle name="Normal 6 4 3" xfId="3536" xr:uid="{00000000-0005-0000-0000-0000D00D0000}"/>
    <cellStyle name="Normal 6 4 4" xfId="3537" xr:uid="{00000000-0005-0000-0000-0000D10D0000}"/>
    <cellStyle name="Normal 6 4 5" xfId="3538" xr:uid="{00000000-0005-0000-0000-0000D20D0000}"/>
    <cellStyle name="Normal 6 4 6" xfId="3539" xr:uid="{00000000-0005-0000-0000-0000D30D0000}"/>
    <cellStyle name="Normal 6 4 7" xfId="3540" xr:uid="{00000000-0005-0000-0000-0000D40D0000}"/>
    <cellStyle name="Normal 6 4 8" xfId="3541" xr:uid="{00000000-0005-0000-0000-0000D50D0000}"/>
    <cellStyle name="Normal 6 5" xfId="3542" xr:uid="{00000000-0005-0000-0000-0000D60D0000}"/>
    <cellStyle name="Normal 6 5 2" xfId="3543" xr:uid="{00000000-0005-0000-0000-0000D70D0000}"/>
    <cellStyle name="Normal 6 5 3" xfId="3544" xr:uid="{00000000-0005-0000-0000-0000D80D0000}"/>
    <cellStyle name="Normal 6 5 4" xfId="3545" xr:uid="{00000000-0005-0000-0000-0000D90D0000}"/>
    <cellStyle name="Normal 6 5 5" xfId="3546" xr:uid="{00000000-0005-0000-0000-0000DA0D0000}"/>
    <cellStyle name="Normal 6 5 6" xfId="3547" xr:uid="{00000000-0005-0000-0000-0000DB0D0000}"/>
    <cellStyle name="Normal 6 5 7" xfId="3548" xr:uid="{00000000-0005-0000-0000-0000DC0D0000}"/>
    <cellStyle name="Normal 6 5 8" xfId="3549" xr:uid="{00000000-0005-0000-0000-0000DD0D0000}"/>
    <cellStyle name="Normal 6 6" xfId="3550" xr:uid="{00000000-0005-0000-0000-0000DE0D0000}"/>
    <cellStyle name="Normal 6 7" xfId="3551" xr:uid="{00000000-0005-0000-0000-0000DF0D0000}"/>
    <cellStyle name="Normal 6 8" xfId="3552" xr:uid="{00000000-0005-0000-0000-0000E00D0000}"/>
    <cellStyle name="Normal 6 9" xfId="3553" xr:uid="{00000000-0005-0000-0000-0000E10D0000}"/>
    <cellStyle name="Normal 6_ELC" xfId="3554" xr:uid="{00000000-0005-0000-0000-0000E20D0000}"/>
    <cellStyle name="Normal 7" xfId="3555" xr:uid="{00000000-0005-0000-0000-0000E30D0000}"/>
    <cellStyle name="Normal 7 10" xfId="3556" xr:uid="{00000000-0005-0000-0000-0000E40D0000}"/>
    <cellStyle name="Normal 7 11" xfId="3557" xr:uid="{00000000-0005-0000-0000-0000E50D0000}"/>
    <cellStyle name="Normal 7 12" xfId="3558" xr:uid="{00000000-0005-0000-0000-0000E60D0000}"/>
    <cellStyle name="Normal 7 13" xfId="3559" xr:uid="{00000000-0005-0000-0000-0000E70D0000}"/>
    <cellStyle name="Normal 7 14" xfId="3560" xr:uid="{00000000-0005-0000-0000-0000E80D0000}"/>
    <cellStyle name="Normal 7 2" xfId="3561" xr:uid="{00000000-0005-0000-0000-0000E90D0000}"/>
    <cellStyle name="Normal 7 2 2" xfId="3562" xr:uid="{00000000-0005-0000-0000-0000EA0D0000}"/>
    <cellStyle name="Normal 7 2 3" xfId="3563" xr:uid="{00000000-0005-0000-0000-0000EB0D0000}"/>
    <cellStyle name="Normal 7 2 3 2" xfId="3564" xr:uid="{00000000-0005-0000-0000-0000EC0D0000}"/>
    <cellStyle name="Normal 7 2 3 2 2" xfId="3565" xr:uid="{00000000-0005-0000-0000-0000ED0D0000}"/>
    <cellStyle name="Normal 7 2 4" xfId="3566" xr:uid="{00000000-0005-0000-0000-0000EE0D0000}"/>
    <cellStyle name="Normal 7 2 5" xfId="3567" xr:uid="{00000000-0005-0000-0000-0000EF0D0000}"/>
    <cellStyle name="Normal 7 2 6" xfId="3568" xr:uid="{00000000-0005-0000-0000-0000F00D0000}"/>
    <cellStyle name="Normal 7 2 7" xfId="3569" xr:uid="{00000000-0005-0000-0000-0000F10D0000}"/>
    <cellStyle name="Normal 7 2 8" xfId="3570" xr:uid="{00000000-0005-0000-0000-0000F20D0000}"/>
    <cellStyle name="Normal 7 2 9" xfId="3571" xr:uid="{00000000-0005-0000-0000-0000F30D0000}"/>
    <cellStyle name="Normal 7 2_Scen_XBase" xfId="3572" xr:uid="{00000000-0005-0000-0000-0000F40D0000}"/>
    <cellStyle name="Normal 7 3" xfId="3573" xr:uid="{00000000-0005-0000-0000-0000F50D0000}"/>
    <cellStyle name="Normal 7 3 2" xfId="3574" xr:uid="{00000000-0005-0000-0000-0000F60D0000}"/>
    <cellStyle name="Normal 7 3 3" xfId="3575" xr:uid="{00000000-0005-0000-0000-0000F70D0000}"/>
    <cellStyle name="Normal 7 3 4" xfId="3576" xr:uid="{00000000-0005-0000-0000-0000F80D0000}"/>
    <cellStyle name="Normal 7 3 5" xfId="3577" xr:uid="{00000000-0005-0000-0000-0000F90D0000}"/>
    <cellStyle name="Normal 7 3 6" xfId="3578" xr:uid="{00000000-0005-0000-0000-0000FA0D0000}"/>
    <cellStyle name="Normal 7 3 7" xfId="3579" xr:uid="{00000000-0005-0000-0000-0000FB0D0000}"/>
    <cellStyle name="Normal 7 3 8" xfId="3580" xr:uid="{00000000-0005-0000-0000-0000FC0D0000}"/>
    <cellStyle name="Normal 7 3 9" xfId="3581" xr:uid="{00000000-0005-0000-0000-0000FD0D0000}"/>
    <cellStyle name="Normal 7 3 9 2" xfId="3582" xr:uid="{00000000-0005-0000-0000-0000FE0D0000}"/>
    <cellStyle name="Normal 7 4" xfId="3583" xr:uid="{00000000-0005-0000-0000-0000FF0D0000}"/>
    <cellStyle name="Normal 7 4 2" xfId="3584" xr:uid="{00000000-0005-0000-0000-0000000E0000}"/>
    <cellStyle name="Normal 7 4 3" xfId="3585" xr:uid="{00000000-0005-0000-0000-0000010E0000}"/>
    <cellStyle name="Normal 7 4 4" xfId="3586" xr:uid="{00000000-0005-0000-0000-0000020E0000}"/>
    <cellStyle name="Normal 7 4 5" xfId="3587" xr:uid="{00000000-0005-0000-0000-0000030E0000}"/>
    <cellStyle name="Normal 7 4 6" xfId="3588" xr:uid="{00000000-0005-0000-0000-0000040E0000}"/>
    <cellStyle name="Normal 7 4 7" xfId="3589" xr:uid="{00000000-0005-0000-0000-0000050E0000}"/>
    <cellStyle name="Normal 7 4 8" xfId="3590" xr:uid="{00000000-0005-0000-0000-0000060E0000}"/>
    <cellStyle name="Normal 7 5" xfId="3591" xr:uid="{00000000-0005-0000-0000-0000070E0000}"/>
    <cellStyle name="Normal 7 5 2" xfId="3592" xr:uid="{00000000-0005-0000-0000-0000080E0000}"/>
    <cellStyle name="Normal 7 5 3" xfId="3593" xr:uid="{00000000-0005-0000-0000-0000090E0000}"/>
    <cellStyle name="Normal 7 5 4" xfId="3594" xr:uid="{00000000-0005-0000-0000-00000A0E0000}"/>
    <cellStyle name="Normal 7 5 5" xfId="3595" xr:uid="{00000000-0005-0000-0000-00000B0E0000}"/>
    <cellStyle name="Normal 7 5 6" xfId="3596" xr:uid="{00000000-0005-0000-0000-00000C0E0000}"/>
    <cellStyle name="Normal 7 5 7" xfId="3597" xr:uid="{00000000-0005-0000-0000-00000D0E0000}"/>
    <cellStyle name="Normal 7 5 8" xfId="3598" xr:uid="{00000000-0005-0000-0000-00000E0E0000}"/>
    <cellStyle name="Normal 7 5 9" xfId="3599" xr:uid="{00000000-0005-0000-0000-00000F0E0000}"/>
    <cellStyle name="Normal 7 6" xfId="3600" xr:uid="{00000000-0005-0000-0000-0000100E0000}"/>
    <cellStyle name="Normal 7 6 2" xfId="3601" xr:uid="{00000000-0005-0000-0000-0000110E0000}"/>
    <cellStyle name="Normal 7 7" xfId="3602" xr:uid="{00000000-0005-0000-0000-0000120E0000}"/>
    <cellStyle name="Normal 7 8" xfId="3603" xr:uid="{00000000-0005-0000-0000-0000130E0000}"/>
    <cellStyle name="Normal 7 9" xfId="3604" xr:uid="{00000000-0005-0000-0000-0000140E0000}"/>
    <cellStyle name="Normal 8" xfId="3605" xr:uid="{00000000-0005-0000-0000-0000150E0000}"/>
    <cellStyle name="Normal 8 10" xfId="3606" xr:uid="{00000000-0005-0000-0000-0000160E0000}"/>
    <cellStyle name="Normal 8 10 2" xfId="3607" xr:uid="{00000000-0005-0000-0000-0000170E0000}"/>
    <cellStyle name="Normal 8 10 2 2" xfId="3608" xr:uid="{00000000-0005-0000-0000-0000180E0000}"/>
    <cellStyle name="Normal 8 11" xfId="3609" xr:uid="{00000000-0005-0000-0000-0000190E0000}"/>
    <cellStyle name="Normal 8 11 2" xfId="3610" xr:uid="{00000000-0005-0000-0000-00001A0E0000}"/>
    <cellStyle name="Normal 8 11 2 2" xfId="3611" xr:uid="{00000000-0005-0000-0000-00001B0E0000}"/>
    <cellStyle name="Normal 8 12" xfId="3612" xr:uid="{00000000-0005-0000-0000-00001C0E0000}"/>
    <cellStyle name="Normal 8 13" xfId="3613" xr:uid="{00000000-0005-0000-0000-00001D0E0000}"/>
    <cellStyle name="Normal 8 2" xfId="3614" xr:uid="{00000000-0005-0000-0000-00001E0E0000}"/>
    <cellStyle name="Normal 8 2 2" xfId="3615" xr:uid="{00000000-0005-0000-0000-00001F0E0000}"/>
    <cellStyle name="Normal 8 2 3" xfId="3616" xr:uid="{00000000-0005-0000-0000-0000200E0000}"/>
    <cellStyle name="Normal 8 2 4" xfId="3617" xr:uid="{00000000-0005-0000-0000-0000210E0000}"/>
    <cellStyle name="Normal 8 2 5" xfId="3618" xr:uid="{00000000-0005-0000-0000-0000220E0000}"/>
    <cellStyle name="Normal 8 2 6" xfId="3619" xr:uid="{00000000-0005-0000-0000-0000230E0000}"/>
    <cellStyle name="Normal 8 2 7" xfId="3620" xr:uid="{00000000-0005-0000-0000-0000240E0000}"/>
    <cellStyle name="Normal 8 2 8" xfId="3621" xr:uid="{00000000-0005-0000-0000-0000250E0000}"/>
    <cellStyle name="Normal 8 2 9" xfId="3622" xr:uid="{00000000-0005-0000-0000-0000260E0000}"/>
    <cellStyle name="Normal 8 3" xfId="3623" xr:uid="{00000000-0005-0000-0000-0000270E0000}"/>
    <cellStyle name="Normal 8 3 2" xfId="3624" xr:uid="{00000000-0005-0000-0000-0000280E0000}"/>
    <cellStyle name="Normal 8 3 3" xfId="3625" xr:uid="{00000000-0005-0000-0000-0000290E0000}"/>
    <cellStyle name="Normal 8 3 4" xfId="3626" xr:uid="{00000000-0005-0000-0000-00002A0E0000}"/>
    <cellStyle name="Normal 8 3 5" xfId="3627" xr:uid="{00000000-0005-0000-0000-00002B0E0000}"/>
    <cellStyle name="Normal 8 3 6" xfId="3628" xr:uid="{00000000-0005-0000-0000-00002C0E0000}"/>
    <cellStyle name="Normal 8 3 7" xfId="3629" xr:uid="{00000000-0005-0000-0000-00002D0E0000}"/>
    <cellStyle name="Normal 8 3 8" xfId="3630" xr:uid="{00000000-0005-0000-0000-00002E0E0000}"/>
    <cellStyle name="Normal 8 4" xfId="3631" xr:uid="{00000000-0005-0000-0000-00002F0E0000}"/>
    <cellStyle name="Normal 8 4 2" xfId="3632" xr:uid="{00000000-0005-0000-0000-0000300E0000}"/>
    <cellStyle name="Normal 8 4 3" xfId="3633" xr:uid="{00000000-0005-0000-0000-0000310E0000}"/>
    <cellStyle name="Normal 8 4 4" xfId="3634" xr:uid="{00000000-0005-0000-0000-0000320E0000}"/>
    <cellStyle name="Normal 8 4 5" xfId="3635" xr:uid="{00000000-0005-0000-0000-0000330E0000}"/>
    <cellStyle name="Normal 8 4 6" xfId="3636" xr:uid="{00000000-0005-0000-0000-0000340E0000}"/>
    <cellStyle name="Normal 8 4 7" xfId="3637" xr:uid="{00000000-0005-0000-0000-0000350E0000}"/>
    <cellStyle name="Normal 8 4 8" xfId="3638" xr:uid="{00000000-0005-0000-0000-0000360E0000}"/>
    <cellStyle name="Normal 8 5" xfId="3639" xr:uid="{00000000-0005-0000-0000-0000370E0000}"/>
    <cellStyle name="Normal 8 5 2" xfId="3640" xr:uid="{00000000-0005-0000-0000-0000380E0000}"/>
    <cellStyle name="Normal 8 5 3" xfId="3641" xr:uid="{00000000-0005-0000-0000-0000390E0000}"/>
    <cellStyle name="Normal 8 5 4" xfId="3642" xr:uid="{00000000-0005-0000-0000-00003A0E0000}"/>
    <cellStyle name="Normal 8 5 5" xfId="3643" xr:uid="{00000000-0005-0000-0000-00003B0E0000}"/>
    <cellStyle name="Normal 8 5 6" xfId="3644" xr:uid="{00000000-0005-0000-0000-00003C0E0000}"/>
    <cellStyle name="Normal 8 5 7" xfId="3645" xr:uid="{00000000-0005-0000-0000-00003D0E0000}"/>
    <cellStyle name="Normal 8 5 8" xfId="3646" xr:uid="{00000000-0005-0000-0000-00003E0E0000}"/>
    <cellStyle name="Normal 8 6" xfId="3647" xr:uid="{00000000-0005-0000-0000-00003F0E0000}"/>
    <cellStyle name="Normal 8 7" xfId="3648" xr:uid="{00000000-0005-0000-0000-0000400E0000}"/>
    <cellStyle name="Normal 8 8" xfId="3649" xr:uid="{00000000-0005-0000-0000-0000410E0000}"/>
    <cellStyle name="Normal 8 9" xfId="3650" xr:uid="{00000000-0005-0000-0000-0000420E0000}"/>
    <cellStyle name="Normal 9" xfId="3651" xr:uid="{00000000-0005-0000-0000-0000430E0000}"/>
    <cellStyle name="Normal 9 10" xfId="3652" xr:uid="{00000000-0005-0000-0000-0000440E0000}"/>
    <cellStyle name="Normal 9 2" xfId="3653" xr:uid="{00000000-0005-0000-0000-0000450E0000}"/>
    <cellStyle name="Normal 9 2 2" xfId="3654" xr:uid="{00000000-0005-0000-0000-0000460E0000}"/>
    <cellStyle name="Normal 9 2 2 2" xfId="3655" xr:uid="{00000000-0005-0000-0000-0000470E0000}"/>
    <cellStyle name="Normal 9 2 3" xfId="3656" xr:uid="{00000000-0005-0000-0000-0000480E0000}"/>
    <cellStyle name="Normal 9 3" xfId="3657" xr:uid="{00000000-0005-0000-0000-0000490E0000}"/>
    <cellStyle name="Normal 9 3 2" xfId="3658" xr:uid="{00000000-0005-0000-0000-00004A0E0000}"/>
    <cellStyle name="Normal 9 3 3" xfId="3659" xr:uid="{00000000-0005-0000-0000-00004B0E0000}"/>
    <cellStyle name="Normal 9 4" xfId="3660" xr:uid="{00000000-0005-0000-0000-00004C0E0000}"/>
    <cellStyle name="Normal 9 5" xfId="3661" xr:uid="{00000000-0005-0000-0000-00004D0E0000}"/>
    <cellStyle name="Normal 9 6" xfId="3662" xr:uid="{00000000-0005-0000-0000-00004E0E0000}"/>
    <cellStyle name="Normal 9 7" xfId="3663" xr:uid="{00000000-0005-0000-0000-00004F0E0000}"/>
    <cellStyle name="Normal 9 8" xfId="3664" xr:uid="{00000000-0005-0000-0000-0000500E0000}"/>
    <cellStyle name="Normal 9 9" xfId="3665" xr:uid="{00000000-0005-0000-0000-0000510E0000}"/>
    <cellStyle name="Normal 9 9 2" xfId="3666" xr:uid="{00000000-0005-0000-0000-0000520E0000}"/>
    <cellStyle name="Normal 9 9 3" xfId="3667" xr:uid="{00000000-0005-0000-0000-0000530E0000}"/>
    <cellStyle name="Normal GHG Numbers (0.00)" xfId="3668" xr:uid="{00000000-0005-0000-0000-0000540E0000}"/>
    <cellStyle name="Normal GHG Numbers (0.00) 2" xfId="3669" xr:uid="{00000000-0005-0000-0000-0000550E0000}"/>
    <cellStyle name="Normal GHG Numbers (0.00) 3" xfId="3670" xr:uid="{00000000-0005-0000-0000-0000560E0000}"/>
    <cellStyle name="Normal GHG Numbers (0.00) 4" xfId="3671" xr:uid="{00000000-0005-0000-0000-0000570E0000}"/>
    <cellStyle name="Normal GHG Textfiels Bold" xfId="3672" xr:uid="{00000000-0005-0000-0000-0000580E0000}"/>
    <cellStyle name="Normal GHG whole table" xfId="3673" xr:uid="{00000000-0005-0000-0000-0000590E0000}"/>
    <cellStyle name="Normal GHG-Shade" xfId="3674" xr:uid="{00000000-0005-0000-0000-00005A0E0000}"/>
    <cellStyle name="Normal GHG-Shade 2" xfId="3675" xr:uid="{00000000-0005-0000-0000-00005B0E0000}"/>
    <cellStyle name="Normal GHG-Shade 3" xfId="3676" xr:uid="{00000000-0005-0000-0000-00005C0E0000}"/>
    <cellStyle name="Normal GHG-Shade 4" xfId="3677" xr:uid="{00000000-0005-0000-0000-00005D0E0000}"/>
    <cellStyle name="Normal Small" xfId="3678" xr:uid="{00000000-0005-0000-0000-00005E0E0000}"/>
    <cellStyle name="Normál_Munka1" xfId="3679" xr:uid="{00000000-0005-0000-0000-00005F0E0000}"/>
    <cellStyle name="Normale_B2020" xfId="3680" xr:uid="{00000000-0005-0000-0000-0000600E0000}"/>
    <cellStyle name="Note 10" xfId="3681" xr:uid="{00000000-0005-0000-0000-0000610E0000}"/>
    <cellStyle name="Note 10 2" xfId="3682" xr:uid="{00000000-0005-0000-0000-0000620E0000}"/>
    <cellStyle name="Note 10 3" xfId="3683" xr:uid="{00000000-0005-0000-0000-0000630E0000}"/>
    <cellStyle name="Note 10 3 2" xfId="3684" xr:uid="{00000000-0005-0000-0000-0000640E0000}"/>
    <cellStyle name="Note 10 3_ELC_final" xfId="3685" xr:uid="{00000000-0005-0000-0000-0000650E0000}"/>
    <cellStyle name="Note 10_ELC_final" xfId="3686" xr:uid="{00000000-0005-0000-0000-0000660E0000}"/>
    <cellStyle name="Note 11" xfId="3687" xr:uid="{00000000-0005-0000-0000-0000670E0000}"/>
    <cellStyle name="Note 11 2" xfId="3688" xr:uid="{00000000-0005-0000-0000-0000680E0000}"/>
    <cellStyle name="Note 11_ELC_final" xfId="3689" xr:uid="{00000000-0005-0000-0000-0000690E0000}"/>
    <cellStyle name="Note 12" xfId="3690" xr:uid="{00000000-0005-0000-0000-00006A0E0000}"/>
    <cellStyle name="Note 12 2" xfId="3691" xr:uid="{00000000-0005-0000-0000-00006B0E0000}"/>
    <cellStyle name="Note 12_ELC_final" xfId="3692" xr:uid="{00000000-0005-0000-0000-00006C0E0000}"/>
    <cellStyle name="Note 13" xfId="3693" xr:uid="{00000000-0005-0000-0000-00006D0E0000}"/>
    <cellStyle name="Note 13 2" xfId="3694" xr:uid="{00000000-0005-0000-0000-00006E0E0000}"/>
    <cellStyle name="Note 13_ELC_final" xfId="3695" xr:uid="{00000000-0005-0000-0000-00006F0E0000}"/>
    <cellStyle name="Note 14" xfId="3696" xr:uid="{00000000-0005-0000-0000-0000700E0000}"/>
    <cellStyle name="Note 14 2" xfId="3697" xr:uid="{00000000-0005-0000-0000-0000710E0000}"/>
    <cellStyle name="Note 14_ELC_final" xfId="3698" xr:uid="{00000000-0005-0000-0000-0000720E0000}"/>
    <cellStyle name="Note 15" xfId="3699" xr:uid="{00000000-0005-0000-0000-0000730E0000}"/>
    <cellStyle name="Note 15 2" xfId="3700" xr:uid="{00000000-0005-0000-0000-0000740E0000}"/>
    <cellStyle name="Note 15_ELC_final" xfId="3701" xr:uid="{00000000-0005-0000-0000-0000750E0000}"/>
    <cellStyle name="Note 16" xfId="3702" xr:uid="{00000000-0005-0000-0000-0000760E0000}"/>
    <cellStyle name="Note 16 2" xfId="3703" xr:uid="{00000000-0005-0000-0000-0000770E0000}"/>
    <cellStyle name="Note 16_ELC_final" xfId="3704" xr:uid="{00000000-0005-0000-0000-0000780E0000}"/>
    <cellStyle name="Note 17" xfId="3705" xr:uid="{00000000-0005-0000-0000-0000790E0000}"/>
    <cellStyle name="Note 17 2" xfId="3706" xr:uid="{00000000-0005-0000-0000-00007A0E0000}"/>
    <cellStyle name="Note 17_ELC_final" xfId="3707" xr:uid="{00000000-0005-0000-0000-00007B0E0000}"/>
    <cellStyle name="Note 18" xfId="3708" xr:uid="{00000000-0005-0000-0000-00007C0E0000}"/>
    <cellStyle name="Note 18 2" xfId="3709" xr:uid="{00000000-0005-0000-0000-00007D0E0000}"/>
    <cellStyle name="Note 18_ELC_final" xfId="3710" xr:uid="{00000000-0005-0000-0000-00007E0E0000}"/>
    <cellStyle name="Note 19" xfId="3711" xr:uid="{00000000-0005-0000-0000-00007F0E0000}"/>
    <cellStyle name="Note 2" xfId="3712" xr:uid="{00000000-0005-0000-0000-0000800E0000}"/>
    <cellStyle name="Note 2 10" xfId="3713" xr:uid="{00000000-0005-0000-0000-0000810E0000}"/>
    <cellStyle name="Note 2 11" xfId="3714" xr:uid="{00000000-0005-0000-0000-0000820E0000}"/>
    <cellStyle name="Note 2 12" xfId="3715" xr:uid="{00000000-0005-0000-0000-0000830E0000}"/>
    <cellStyle name="Note 2 13" xfId="3716" xr:uid="{00000000-0005-0000-0000-0000840E0000}"/>
    <cellStyle name="Note 2 14" xfId="3717" xr:uid="{00000000-0005-0000-0000-0000850E0000}"/>
    <cellStyle name="Note 2 15" xfId="3718" xr:uid="{00000000-0005-0000-0000-0000860E0000}"/>
    <cellStyle name="Note 2 2" xfId="3719" xr:uid="{00000000-0005-0000-0000-0000870E0000}"/>
    <cellStyle name="Note 2 2 2" xfId="3720" xr:uid="{00000000-0005-0000-0000-0000880E0000}"/>
    <cellStyle name="Note 2 2 2 2" xfId="3721" xr:uid="{00000000-0005-0000-0000-0000890E0000}"/>
    <cellStyle name="Note 2 3" xfId="3722" xr:uid="{00000000-0005-0000-0000-00008A0E0000}"/>
    <cellStyle name="Note 2 4" xfId="3723" xr:uid="{00000000-0005-0000-0000-00008B0E0000}"/>
    <cellStyle name="Note 2 5" xfId="3724" xr:uid="{00000000-0005-0000-0000-00008C0E0000}"/>
    <cellStyle name="Note 2 6" xfId="3725" xr:uid="{00000000-0005-0000-0000-00008D0E0000}"/>
    <cellStyle name="Note 2 7" xfId="3726" xr:uid="{00000000-0005-0000-0000-00008E0E0000}"/>
    <cellStyle name="Note 2 8" xfId="3727" xr:uid="{00000000-0005-0000-0000-00008F0E0000}"/>
    <cellStyle name="Note 2 9" xfId="3728" xr:uid="{00000000-0005-0000-0000-0000900E0000}"/>
    <cellStyle name="Note 2_PrimaryEnergyPrices_TIMES" xfId="3729" xr:uid="{00000000-0005-0000-0000-0000910E0000}"/>
    <cellStyle name="Note 20" xfId="3730" xr:uid="{00000000-0005-0000-0000-0000920E0000}"/>
    <cellStyle name="Note 21" xfId="3731" xr:uid="{00000000-0005-0000-0000-0000930E0000}"/>
    <cellStyle name="Note 22" xfId="3732" xr:uid="{00000000-0005-0000-0000-0000940E0000}"/>
    <cellStyle name="Note 23" xfId="3733" xr:uid="{00000000-0005-0000-0000-0000950E0000}"/>
    <cellStyle name="Note 24" xfId="3734" xr:uid="{00000000-0005-0000-0000-0000960E0000}"/>
    <cellStyle name="Note 25" xfId="3735" xr:uid="{00000000-0005-0000-0000-0000970E0000}"/>
    <cellStyle name="Note 26" xfId="3736" xr:uid="{00000000-0005-0000-0000-0000980E0000}"/>
    <cellStyle name="Note 27" xfId="3737" xr:uid="{00000000-0005-0000-0000-0000990E0000}"/>
    <cellStyle name="Note 28" xfId="3738" xr:uid="{00000000-0005-0000-0000-00009A0E0000}"/>
    <cellStyle name="Note 29" xfId="3739" xr:uid="{00000000-0005-0000-0000-00009B0E0000}"/>
    <cellStyle name="Note 3" xfId="3740" xr:uid="{00000000-0005-0000-0000-00009C0E0000}"/>
    <cellStyle name="Note 3 2" xfId="3741" xr:uid="{00000000-0005-0000-0000-00009D0E0000}"/>
    <cellStyle name="Note 3 2 2" xfId="3742" xr:uid="{00000000-0005-0000-0000-00009E0E0000}"/>
    <cellStyle name="Note 3 2 2 2" xfId="3743" xr:uid="{00000000-0005-0000-0000-00009F0E0000}"/>
    <cellStyle name="Note 3 3" xfId="3744" xr:uid="{00000000-0005-0000-0000-0000A00E0000}"/>
    <cellStyle name="Note 3 4" xfId="3745" xr:uid="{00000000-0005-0000-0000-0000A10E0000}"/>
    <cellStyle name="Note 3 4 2" xfId="3746" xr:uid="{00000000-0005-0000-0000-0000A20E0000}"/>
    <cellStyle name="Note 3 5" xfId="3747" xr:uid="{00000000-0005-0000-0000-0000A30E0000}"/>
    <cellStyle name="Note 3 6" xfId="3748" xr:uid="{00000000-0005-0000-0000-0000A40E0000}"/>
    <cellStyle name="Note 3 7" xfId="3749" xr:uid="{00000000-0005-0000-0000-0000A50E0000}"/>
    <cellStyle name="Note 3_PrimaryEnergyPrices_TIMES" xfId="3750" xr:uid="{00000000-0005-0000-0000-0000A60E0000}"/>
    <cellStyle name="Note 30" xfId="3751" xr:uid="{00000000-0005-0000-0000-0000A70E0000}"/>
    <cellStyle name="Note 31" xfId="3752" xr:uid="{00000000-0005-0000-0000-0000A80E0000}"/>
    <cellStyle name="Note 32" xfId="3753" xr:uid="{00000000-0005-0000-0000-0000A90E0000}"/>
    <cellStyle name="Note 33" xfId="3754" xr:uid="{00000000-0005-0000-0000-0000AA0E0000}"/>
    <cellStyle name="Note 34" xfId="3755" xr:uid="{00000000-0005-0000-0000-0000AB0E0000}"/>
    <cellStyle name="Note 35" xfId="3756" xr:uid="{00000000-0005-0000-0000-0000AC0E0000}"/>
    <cellStyle name="Note 36" xfId="3757" xr:uid="{00000000-0005-0000-0000-0000AD0E0000}"/>
    <cellStyle name="Note 37" xfId="3758" xr:uid="{00000000-0005-0000-0000-0000AE0E0000}"/>
    <cellStyle name="Note 38" xfId="3759" xr:uid="{00000000-0005-0000-0000-0000AF0E0000}"/>
    <cellStyle name="Note 39" xfId="3760" xr:uid="{00000000-0005-0000-0000-0000B00E0000}"/>
    <cellStyle name="Note 4" xfId="3761" xr:uid="{00000000-0005-0000-0000-0000B10E0000}"/>
    <cellStyle name="Note 4 2" xfId="3762" xr:uid="{00000000-0005-0000-0000-0000B20E0000}"/>
    <cellStyle name="Note 4 3" xfId="3763" xr:uid="{00000000-0005-0000-0000-0000B30E0000}"/>
    <cellStyle name="Note 4 3 2" xfId="3764" xr:uid="{00000000-0005-0000-0000-0000B40E0000}"/>
    <cellStyle name="Note 4 3_ELC_final" xfId="3765" xr:uid="{00000000-0005-0000-0000-0000B50E0000}"/>
    <cellStyle name="Note 4 4" xfId="3766" xr:uid="{00000000-0005-0000-0000-0000B60E0000}"/>
    <cellStyle name="Note 4_ELC_final" xfId="3767" xr:uid="{00000000-0005-0000-0000-0000B70E0000}"/>
    <cellStyle name="Note 40" xfId="3768" xr:uid="{00000000-0005-0000-0000-0000B80E0000}"/>
    <cellStyle name="Note 41" xfId="3769" xr:uid="{00000000-0005-0000-0000-0000B90E0000}"/>
    <cellStyle name="Note 42" xfId="3770" xr:uid="{00000000-0005-0000-0000-0000BA0E0000}"/>
    <cellStyle name="Note 43" xfId="3771" xr:uid="{00000000-0005-0000-0000-0000BB0E0000}"/>
    <cellStyle name="Note 44" xfId="3772" xr:uid="{00000000-0005-0000-0000-0000BC0E0000}"/>
    <cellStyle name="Note 5" xfId="3773" xr:uid="{00000000-0005-0000-0000-0000BD0E0000}"/>
    <cellStyle name="Note 5 2" xfId="3774" xr:uid="{00000000-0005-0000-0000-0000BE0E0000}"/>
    <cellStyle name="Note 5 3" xfId="3775" xr:uid="{00000000-0005-0000-0000-0000BF0E0000}"/>
    <cellStyle name="Note 5 3 2" xfId="3776" xr:uid="{00000000-0005-0000-0000-0000C00E0000}"/>
    <cellStyle name="Note 5 3_ELC_final" xfId="3777" xr:uid="{00000000-0005-0000-0000-0000C10E0000}"/>
    <cellStyle name="Note 5 4" xfId="3778" xr:uid="{00000000-0005-0000-0000-0000C20E0000}"/>
    <cellStyle name="Note 5_ELC_final" xfId="3779" xr:uid="{00000000-0005-0000-0000-0000C30E0000}"/>
    <cellStyle name="Note 6" xfId="3780" xr:uid="{00000000-0005-0000-0000-0000C40E0000}"/>
    <cellStyle name="Note 6 2" xfId="3781" xr:uid="{00000000-0005-0000-0000-0000C50E0000}"/>
    <cellStyle name="Note 6 3" xfId="3782" xr:uid="{00000000-0005-0000-0000-0000C60E0000}"/>
    <cellStyle name="Note 6 3 2" xfId="3783" xr:uid="{00000000-0005-0000-0000-0000C70E0000}"/>
    <cellStyle name="Note 6 3_ELC_final" xfId="3784" xr:uid="{00000000-0005-0000-0000-0000C80E0000}"/>
    <cellStyle name="Note 6 4" xfId="3785" xr:uid="{00000000-0005-0000-0000-0000C90E0000}"/>
    <cellStyle name="Note 6_ELC_final" xfId="3786" xr:uid="{00000000-0005-0000-0000-0000CA0E0000}"/>
    <cellStyle name="Note 7" xfId="3787" xr:uid="{00000000-0005-0000-0000-0000CB0E0000}"/>
    <cellStyle name="Note 7 2" xfId="3788" xr:uid="{00000000-0005-0000-0000-0000CC0E0000}"/>
    <cellStyle name="Note 7 3" xfId="3789" xr:uid="{00000000-0005-0000-0000-0000CD0E0000}"/>
    <cellStyle name="Note 7 3 2" xfId="3790" xr:uid="{00000000-0005-0000-0000-0000CE0E0000}"/>
    <cellStyle name="Note 7 3_ELC_final" xfId="3791" xr:uid="{00000000-0005-0000-0000-0000CF0E0000}"/>
    <cellStyle name="Note 7 4" xfId="3792" xr:uid="{00000000-0005-0000-0000-0000D00E0000}"/>
    <cellStyle name="Note 7_ELC_final" xfId="3793" xr:uid="{00000000-0005-0000-0000-0000D10E0000}"/>
    <cellStyle name="Note 8" xfId="3794" xr:uid="{00000000-0005-0000-0000-0000D20E0000}"/>
    <cellStyle name="Note 8 2" xfId="3795" xr:uid="{00000000-0005-0000-0000-0000D30E0000}"/>
    <cellStyle name="Note 8 3" xfId="3796" xr:uid="{00000000-0005-0000-0000-0000D40E0000}"/>
    <cellStyle name="Note 8 3 2" xfId="3797" xr:uid="{00000000-0005-0000-0000-0000D50E0000}"/>
    <cellStyle name="Note 8 3_ELC_final" xfId="3798" xr:uid="{00000000-0005-0000-0000-0000D60E0000}"/>
    <cellStyle name="Note 8 4" xfId="3799" xr:uid="{00000000-0005-0000-0000-0000D70E0000}"/>
    <cellStyle name="Note 8_ELC_final" xfId="3800" xr:uid="{00000000-0005-0000-0000-0000D80E0000}"/>
    <cellStyle name="Note 9" xfId="3801" xr:uid="{00000000-0005-0000-0000-0000D90E0000}"/>
    <cellStyle name="Note 9 2" xfId="3802" xr:uid="{00000000-0005-0000-0000-0000DA0E0000}"/>
    <cellStyle name="Note 9 3" xfId="3803" xr:uid="{00000000-0005-0000-0000-0000DB0E0000}"/>
    <cellStyle name="Note 9 3 2" xfId="3804" xr:uid="{00000000-0005-0000-0000-0000DC0E0000}"/>
    <cellStyle name="Note 9 3_ELC_final" xfId="3805" xr:uid="{00000000-0005-0000-0000-0000DD0E0000}"/>
    <cellStyle name="Note 9 4" xfId="3806" xr:uid="{00000000-0005-0000-0000-0000DE0E0000}"/>
    <cellStyle name="Note 9_ELC_final" xfId="3807" xr:uid="{00000000-0005-0000-0000-0000DF0E0000}"/>
    <cellStyle name="Notiz" xfId="3808" xr:uid="{00000000-0005-0000-0000-0000E00E0000}"/>
    <cellStyle name="Notiz 2" xfId="3809" xr:uid="{00000000-0005-0000-0000-0000E10E0000}"/>
    <cellStyle name="Notiz 3" xfId="3810" xr:uid="{00000000-0005-0000-0000-0000E20E0000}"/>
    <cellStyle name="num_note" xfId="3811" xr:uid="{00000000-0005-0000-0000-0000E30E0000}"/>
    <cellStyle name="Nuovo" xfId="3812" xr:uid="{00000000-0005-0000-0000-0000E40E0000}"/>
    <cellStyle name="Nuovo 10" xfId="3813" xr:uid="{00000000-0005-0000-0000-0000E50E0000}"/>
    <cellStyle name="Nuovo 11" xfId="3814" xr:uid="{00000000-0005-0000-0000-0000E60E0000}"/>
    <cellStyle name="Nuovo 12" xfId="3815" xr:uid="{00000000-0005-0000-0000-0000E70E0000}"/>
    <cellStyle name="Nuovo 13" xfId="3816" xr:uid="{00000000-0005-0000-0000-0000E80E0000}"/>
    <cellStyle name="Nuovo 14" xfId="3817" xr:uid="{00000000-0005-0000-0000-0000E90E0000}"/>
    <cellStyle name="Nuovo 15" xfId="3818" xr:uid="{00000000-0005-0000-0000-0000EA0E0000}"/>
    <cellStyle name="Nuovo 16" xfId="3819" xr:uid="{00000000-0005-0000-0000-0000EB0E0000}"/>
    <cellStyle name="Nuovo 17" xfId="3820" xr:uid="{00000000-0005-0000-0000-0000EC0E0000}"/>
    <cellStyle name="Nuovo 18" xfId="3821" xr:uid="{00000000-0005-0000-0000-0000ED0E0000}"/>
    <cellStyle name="Nuovo 19" xfId="3822" xr:uid="{00000000-0005-0000-0000-0000EE0E0000}"/>
    <cellStyle name="Nuovo 2" xfId="3823" xr:uid="{00000000-0005-0000-0000-0000EF0E0000}"/>
    <cellStyle name="Nuovo 20" xfId="3824" xr:uid="{00000000-0005-0000-0000-0000F00E0000}"/>
    <cellStyle name="Nuovo 21" xfId="3825" xr:uid="{00000000-0005-0000-0000-0000F10E0000}"/>
    <cellStyle name="Nuovo 22" xfId="3826" xr:uid="{00000000-0005-0000-0000-0000F20E0000}"/>
    <cellStyle name="Nuovo 23" xfId="3827" xr:uid="{00000000-0005-0000-0000-0000F30E0000}"/>
    <cellStyle name="Nuovo 24" xfId="3828" xr:uid="{00000000-0005-0000-0000-0000F40E0000}"/>
    <cellStyle name="Nuovo 25" xfId="3829" xr:uid="{00000000-0005-0000-0000-0000F50E0000}"/>
    <cellStyle name="Nuovo 26" xfId="3830" xr:uid="{00000000-0005-0000-0000-0000F60E0000}"/>
    <cellStyle name="Nuovo 27" xfId="3831" xr:uid="{00000000-0005-0000-0000-0000F70E0000}"/>
    <cellStyle name="Nuovo 28" xfId="3832" xr:uid="{00000000-0005-0000-0000-0000F80E0000}"/>
    <cellStyle name="Nuovo 29" xfId="3833" xr:uid="{00000000-0005-0000-0000-0000F90E0000}"/>
    <cellStyle name="Nuovo 3" xfId="3834" xr:uid="{00000000-0005-0000-0000-0000FA0E0000}"/>
    <cellStyle name="Nuovo 30" xfId="3835" xr:uid="{00000000-0005-0000-0000-0000FB0E0000}"/>
    <cellStyle name="Nuovo 31" xfId="3836" xr:uid="{00000000-0005-0000-0000-0000FC0E0000}"/>
    <cellStyle name="Nuovo 32" xfId="3837" xr:uid="{00000000-0005-0000-0000-0000FD0E0000}"/>
    <cellStyle name="Nuovo 33" xfId="3838" xr:uid="{00000000-0005-0000-0000-0000FE0E0000}"/>
    <cellStyle name="Nuovo 34" xfId="3839" xr:uid="{00000000-0005-0000-0000-0000FF0E0000}"/>
    <cellStyle name="Nuovo 35" xfId="3840" xr:uid="{00000000-0005-0000-0000-0000000F0000}"/>
    <cellStyle name="Nuovo 36" xfId="3841" xr:uid="{00000000-0005-0000-0000-0000010F0000}"/>
    <cellStyle name="Nuovo 37" xfId="3842" xr:uid="{00000000-0005-0000-0000-0000020F0000}"/>
    <cellStyle name="Nuovo 38" xfId="3843" xr:uid="{00000000-0005-0000-0000-0000030F0000}"/>
    <cellStyle name="Nuovo 4" xfId="3844" xr:uid="{00000000-0005-0000-0000-0000040F0000}"/>
    <cellStyle name="Nuovo 4 2" xfId="3845" xr:uid="{00000000-0005-0000-0000-0000050F0000}"/>
    <cellStyle name="Nuovo 5" xfId="3846" xr:uid="{00000000-0005-0000-0000-0000060F0000}"/>
    <cellStyle name="Nuovo 6" xfId="3847" xr:uid="{00000000-0005-0000-0000-0000070F0000}"/>
    <cellStyle name="Nuovo 7" xfId="3848" xr:uid="{00000000-0005-0000-0000-0000080F0000}"/>
    <cellStyle name="Nuovo 8" xfId="3849" xr:uid="{00000000-0005-0000-0000-0000090F0000}"/>
    <cellStyle name="Nuovo 9" xfId="3850" xr:uid="{00000000-0005-0000-0000-00000A0F0000}"/>
    <cellStyle name="Output" xfId="3851" builtinId="21" customBuiltin="1"/>
    <cellStyle name="Output 10" xfId="3852" xr:uid="{00000000-0005-0000-0000-00000C0F0000}"/>
    <cellStyle name="Output 11" xfId="3853" xr:uid="{00000000-0005-0000-0000-00000D0F0000}"/>
    <cellStyle name="Output 12" xfId="3854" xr:uid="{00000000-0005-0000-0000-00000E0F0000}"/>
    <cellStyle name="Output 13" xfId="3855" xr:uid="{00000000-0005-0000-0000-00000F0F0000}"/>
    <cellStyle name="Output 14" xfId="3856" xr:uid="{00000000-0005-0000-0000-0000100F0000}"/>
    <cellStyle name="Output 15" xfId="3857" xr:uid="{00000000-0005-0000-0000-0000110F0000}"/>
    <cellStyle name="Output 16" xfId="3858" xr:uid="{00000000-0005-0000-0000-0000120F0000}"/>
    <cellStyle name="Output 17" xfId="3859" xr:uid="{00000000-0005-0000-0000-0000130F0000}"/>
    <cellStyle name="Output 18" xfId="3860" xr:uid="{00000000-0005-0000-0000-0000140F0000}"/>
    <cellStyle name="Output 19" xfId="3861" xr:uid="{00000000-0005-0000-0000-0000150F0000}"/>
    <cellStyle name="Output 2" xfId="3862" xr:uid="{00000000-0005-0000-0000-0000160F0000}"/>
    <cellStyle name="Output 2 10" xfId="3863" xr:uid="{00000000-0005-0000-0000-0000170F0000}"/>
    <cellStyle name="Output 2 2" xfId="3864" xr:uid="{00000000-0005-0000-0000-0000180F0000}"/>
    <cellStyle name="Output 2 2 2" xfId="3865" xr:uid="{00000000-0005-0000-0000-0000190F0000}"/>
    <cellStyle name="Output 2 3" xfId="3866" xr:uid="{00000000-0005-0000-0000-00001A0F0000}"/>
    <cellStyle name="Output 2 4" xfId="3867" xr:uid="{00000000-0005-0000-0000-00001B0F0000}"/>
    <cellStyle name="Output 2 5" xfId="3868" xr:uid="{00000000-0005-0000-0000-00001C0F0000}"/>
    <cellStyle name="Output 2 6" xfId="3869" xr:uid="{00000000-0005-0000-0000-00001D0F0000}"/>
    <cellStyle name="Output 2 7" xfId="3870" xr:uid="{00000000-0005-0000-0000-00001E0F0000}"/>
    <cellStyle name="Output 2 8" xfId="3871" xr:uid="{00000000-0005-0000-0000-00001F0F0000}"/>
    <cellStyle name="Output 2 9" xfId="3872" xr:uid="{00000000-0005-0000-0000-0000200F0000}"/>
    <cellStyle name="Output 20" xfId="3873" xr:uid="{00000000-0005-0000-0000-0000210F0000}"/>
    <cellStyle name="Output 21" xfId="3874" xr:uid="{00000000-0005-0000-0000-0000220F0000}"/>
    <cellStyle name="Output 22" xfId="3875" xr:uid="{00000000-0005-0000-0000-0000230F0000}"/>
    <cellStyle name="Output 23" xfId="3876" xr:uid="{00000000-0005-0000-0000-0000240F0000}"/>
    <cellStyle name="Output 24" xfId="3877" xr:uid="{00000000-0005-0000-0000-0000250F0000}"/>
    <cellStyle name="Output 25" xfId="3878" xr:uid="{00000000-0005-0000-0000-0000260F0000}"/>
    <cellStyle name="Output 26" xfId="3879" xr:uid="{00000000-0005-0000-0000-0000270F0000}"/>
    <cellStyle name="Output 27" xfId="3880" xr:uid="{00000000-0005-0000-0000-0000280F0000}"/>
    <cellStyle name="Output 28" xfId="3881" xr:uid="{00000000-0005-0000-0000-0000290F0000}"/>
    <cellStyle name="Output 29" xfId="3882" xr:uid="{00000000-0005-0000-0000-00002A0F0000}"/>
    <cellStyle name="Output 3" xfId="3883" xr:uid="{00000000-0005-0000-0000-00002B0F0000}"/>
    <cellStyle name="Output 3 2" xfId="3884" xr:uid="{00000000-0005-0000-0000-00002C0F0000}"/>
    <cellStyle name="Output 3 3" xfId="3885" xr:uid="{00000000-0005-0000-0000-00002D0F0000}"/>
    <cellStyle name="Output 3 3 2" xfId="3886" xr:uid="{00000000-0005-0000-0000-00002E0F0000}"/>
    <cellStyle name="Output 30" xfId="3887" xr:uid="{00000000-0005-0000-0000-00002F0F0000}"/>
    <cellStyle name="Output 31" xfId="3888" xr:uid="{00000000-0005-0000-0000-0000300F0000}"/>
    <cellStyle name="Output 32" xfId="3889" xr:uid="{00000000-0005-0000-0000-0000310F0000}"/>
    <cellStyle name="Output 33" xfId="3890" xr:uid="{00000000-0005-0000-0000-0000320F0000}"/>
    <cellStyle name="Output 34" xfId="3891" xr:uid="{00000000-0005-0000-0000-0000330F0000}"/>
    <cellStyle name="Output 35" xfId="3892" xr:uid="{00000000-0005-0000-0000-0000340F0000}"/>
    <cellStyle name="Output 36" xfId="3893" xr:uid="{00000000-0005-0000-0000-0000350F0000}"/>
    <cellStyle name="Output 37" xfId="3894" xr:uid="{00000000-0005-0000-0000-0000360F0000}"/>
    <cellStyle name="Output 38" xfId="3895" xr:uid="{00000000-0005-0000-0000-0000370F0000}"/>
    <cellStyle name="Output 39" xfId="3896" xr:uid="{00000000-0005-0000-0000-0000380F0000}"/>
    <cellStyle name="Output 4" xfId="3897" xr:uid="{00000000-0005-0000-0000-0000390F0000}"/>
    <cellStyle name="Output 40" xfId="3898" xr:uid="{00000000-0005-0000-0000-00003A0F0000}"/>
    <cellStyle name="Output 41" xfId="3899" xr:uid="{00000000-0005-0000-0000-00003B0F0000}"/>
    <cellStyle name="Output 42" xfId="3900" xr:uid="{00000000-0005-0000-0000-00003C0F0000}"/>
    <cellStyle name="Output 43" xfId="3901" xr:uid="{00000000-0005-0000-0000-00003D0F0000}"/>
    <cellStyle name="Output 5" xfId="3902" xr:uid="{00000000-0005-0000-0000-00003E0F0000}"/>
    <cellStyle name="Output 6" xfId="3903" xr:uid="{00000000-0005-0000-0000-00003F0F0000}"/>
    <cellStyle name="Output 7" xfId="3904" xr:uid="{00000000-0005-0000-0000-0000400F0000}"/>
    <cellStyle name="Output 8" xfId="3905" xr:uid="{00000000-0005-0000-0000-0000410F0000}"/>
    <cellStyle name="Output 9" xfId="3906" xr:uid="{00000000-0005-0000-0000-0000420F0000}"/>
    <cellStyle name="Pattern" xfId="3907" xr:uid="{00000000-0005-0000-0000-0000430F0000}"/>
    <cellStyle name="Percent 10" xfId="3908" xr:uid="{00000000-0005-0000-0000-0000440F0000}"/>
    <cellStyle name="Percent 10 10" xfId="3909" xr:uid="{00000000-0005-0000-0000-0000450F0000}"/>
    <cellStyle name="Percent 10 11" xfId="3910" xr:uid="{00000000-0005-0000-0000-0000460F0000}"/>
    <cellStyle name="Percent 10 12" xfId="3911" xr:uid="{00000000-0005-0000-0000-0000470F0000}"/>
    <cellStyle name="Percent 10 13" xfId="3912" xr:uid="{00000000-0005-0000-0000-0000480F0000}"/>
    <cellStyle name="Percent 10 14" xfId="3913" xr:uid="{00000000-0005-0000-0000-0000490F0000}"/>
    <cellStyle name="Percent 10 15" xfId="3914" xr:uid="{00000000-0005-0000-0000-00004A0F0000}"/>
    <cellStyle name="Percent 10 16" xfId="3915" xr:uid="{00000000-0005-0000-0000-00004B0F0000}"/>
    <cellStyle name="Percent 10 17" xfId="3916" xr:uid="{00000000-0005-0000-0000-00004C0F0000}"/>
    <cellStyle name="Percent 10 18" xfId="3917" xr:uid="{00000000-0005-0000-0000-00004D0F0000}"/>
    <cellStyle name="Percent 10 19" xfId="3918" xr:uid="{00000000-0005-0000-0000-00004E0F0000}"/>
    <cellStyle name="Percent 10 2" xfId="3919" xr:uid="{00000000-0005-0000-0000-00004F0F0000}"/>
    <cellStyle name="Percent 10 2 2" xfId="3920" xr:uid="{00000000-0005-0000-0000-0000500F0000}"/>
    <cellStyle name="Percent 10 2 2 2" xfId="3921" xr:uid="{00000000-0005-0000-0000-0000510F0000}"/>
    <cellStyle name="Percent 10 20" xfId="3922" xr:uid="{00000000-0005-0000-0000-0000520F0000}"/>
    <cellStyle name="Percent 10 21" xfId="3923" xr:uid="{00000000-0005-0000-0000-0000530F0000}"/>
    <cellStyle name="Percent 10 3" xfId="3924" xr:uid="{00000000-0005-0000-0000-0000540F0000}"/>
    <cellStyle name="Percent 10 3 2" xfId="3925" xr:uid="{00000000-0005-0000-0000-0000550F0000}"/>
    <cellStyle name="Percent 10 3 2 2" xfId="3926" xr:uid="{00000000-0005-0000-0000-0000560F0000}"/>
    <cellStyle name="Percent 10 4" xfId="3927" xr:uid="{00000000-0005-0000-0000-0000570F0000}"/>
    <cellStyle name="Percent 10 4 2" xfId="3928" xr:uid="{00000000-0005-0000-0000-0000580F0000}"/>
    <cellStyle name="Percent 10 4 2 2" xfId="3929" xr:uid="{00000000-0005-0000-0000-0000590F0000}"/>
    <cellStyle name="Percent 10 5" xfId="3930" xr:uid="{00000000-0005-0000-0000-00005A0F0000}"/>
    <cellStyle name="Percent 10 5 2" xfId="3931" xr:uid="{00000000-0005-0000-0000-00005B0F0000}"/>
    <cellStyle name="Percent 10 5 2 2" xfId="3932" xr:uid="{00000000-0005-0000-0000-00005C0F0000}"/>
    <cellStyle name="Percent 10 6" xfId="3933" xr:uid="{00000000-0005-0000-0000-00005D0F0000}"/>
    <cellStyle name="Percent 10 6 2" xfId="3934" xr:uid="{00000000-0005-0000-0000-00005E0F0000}"/>
    <cellStyle name="Percent 10 6 2 2" xfId="3935" xr:uid="{00000000-0005-0000-0000-00005F0F0000}"/>
    <cellStyle name="Percent 10 7" xfId="3936" xr:uid="{00000000-0005-0000-0000-0000600F0000}"/>
    <cellStyle name="Percent 10 7 2" xfId="3937" xr:uid="{00000000-0005-0000-0000-0000610F0000}"/>
    <cellStyle name="Percent 10 7 3" xfId="3938" xr:uid="{00000000-0005-0000-0000-0000620F0000}"/>
    <cellStyle name="Percent 10 7 4" xfId="3939" xr:uid="{00000000-0005-0000-0000-0000630F0000}"/>
    <cellStyle name="Percent 10 7 4 2" xfId="3940" xr:uid="{00000000-0005-0000-0000-0000640F0000}"/>
    <cellStyle name="Percent 10 8" xfId="3941" xr:uid="{00000000-0005-0000-0000-0000650F0000}"/>
    <cellStyle name="Percent 10 8 2" xfId="3942" xr:uid="{00000000-0005-0000-0000-0000660F0000}"/>
    <cellStyle name="Percent 10 8 2 2" xfId="3943" xr:uid="{00000000-0005-0000-0000-0000670F0000}"/>
    <cellStyle name="Percent 10 9" xfId="3944" xr:uid="{00000000-0005-0000-0000-0000680F0000}"/>
    <cellStyle name="Percent 11" xfId="3945" xr:uid="{00000000-0005-0000-0000-0000690F0000}"/>
    <cellStyle name="Percent 11 10" xfId="3946" xr:uid="{00000000-0005-0000-0000-00006A0F0000}"/>
    <cellStyle name="Percent 11 2" xfId="3947" xr:uid="{00000000-0005-0000-0000-00006B0F0000}"/>
    <cellStyle name="Percent 11 2 2" xfId="3948" xr:uid="{00000000-0005-0000-0000-00006C0F0000}"/>
    <cellStyle name="Percent 11 2 2 2" xfId="3949" xr:uid="{00000000-0005-0000-0000-00006D0F0000}"/>
    <cellStyle name="Percent 11 3" xfId="3950" xr:uid="{00000000-0005-0000-0000-00006E0F0000}"/>
    <cellStyle name="Percent 11 3 2" xfId="3951" xr:uid="{00000000-0005-0000-0000-00006F0F0000}"/>
    <cellStyle name="Percent 11 3 2 2" xfId="3952" xr:uid="{00000000-0005-0000-0000-0000700F0000}"/>
    <cellStyle name="Percent 11 4" xfId="3953" xr:uid="{00000000-0005-0000-0000-0000710F0000}"/>
    <cellStyle name="Percent 11 4 2" xfId="3954" xr:uid="{00000000-0005-0000-0000-0000720F0000}"/>
    <cellStyle name="Percent 11 4 2 2" xfId="3955" xr:uid="{00000000-0005-0000-0000-0000730F0000}"/>
    <cellStyle name="Percent 11 5" xfId="3956" xr:uid="{00000000-0005-0000-0000-0000740F0000}"/>
    <cellStyle name="Percent 11 5 2" xfId="3957" xr:uid="{00000000-0005-0000-0000-0000750F0000}"/>
    <cellStyle name="Percent 11 5 2 2" xfId="3958" xr:uid="{00000000-0005-0000-0000-0000760F0000}"/>
    <cellStyle name="Percent 11 6" xfId="3959" xr:uid="{00000000-0005-0000-0000-0000770F0000}"/>
    <cellStyle name="Percent 11 6 2" xfId="3960" xr:uid="{00000000-0005-0000-0000-0000780F0000}"/>
    <cellStyle name="Percent 11 6 2 2" xfId="3961" xr:uid="{00000000-0005-0000-0000-0000790F0000}"/>
    <cellStyle name="Percent 11 7" xfId="3962" xr:uid="{00000000-0005-0000-0000-00007A0F0000}"/>
    <cellStyle name="Percent 11 7 2" xfId="3963" xr:uid="{00000000-0005-0000-0000-00007B0F0000}"/>
    <cellStyle name="Percent 11 7 3" xfId="3964" xr:uid="{00000000-0005-0000-0000-00007C0F0000}"/>
    <cellStyle name="Percent 11 7 4" xfId="3965" xr:uid="{00000000-0005-0000-0000-00007D0F0000}"/>
    <cellStyle name="Percent 11 7 4 2" xfId="3966" xr:uid="{00000000-0005-0000-0000-00007E0F0000}"/>
    <cellStyle name="Percent 11 8" xfId="3967" xr:uid="{00000000-0005-0000-0000-00007F0F0000}"/>
    <cellStyle name="Percent 11 8 2" xfId="3968" xr:uid="{00000000-0005-0000-0000-0000800F0000}"/>
    <cellStyle name="Percent 11 8 2 2" xfId="3969" xr:uid="{00000000-0005-0000-0000-0000810F0000}"/>
    <cellStyle name="Percent 11 9" xfId="3970" xr:uid="{00000000-0005-0000-0000-0000820F0000}"/>
    <cellStyle name="Percent 12" xfId="3971" xr:uid="{00000000-0005-0000-0000-0000830F0000}"/>
    <cellStyle name="Percent 12 10" xfId="3972" xr:uid="{00000000-0005-0000-0000-0000840F0000}"/>
    <cellStyle name="Percent 12 2" xfId="3973" xr:uid="{00000000-0005-0000-0000-0000850F0000}"/>
    <cellStyle name="Percent 12 2 2" xfId="3974" xr:uid="{00000000-0005-0000-0000-0000860F0000}"/>
    <cellStyle name="Percent 12 2 2 2" xfId="3975" xr:uid="{00000000-0005-0000-0000-0000870F0000}"/>
    <cellStyle name="Percent 12 3" xfId="3976" xr:uid="{00000000-0005-0000-0000-0000880F0000}"/>
    <cellStyle name="Percent 12 3 2" xfId="3977" xr:uid="{00000000-0005-0000-0000-0000890F0000}"/>
    <cellStyle name="Percent 12 3 2 2" xfId="3978" xr:uid="{00000000-0005-0000-0000-00008A0F0000}"/>
    <cellStyle name="Percent 12 4" xfId="3979" xr:uid="{00000000-0005-0000-0000-00008B0F0000}"/>
    <cellStyle name="Percent 12 4 2" xfId="3980" xr:uid="{00000000-0005-0000-0000-00008C0F0000}"/>
    <cellStyle name="Percent 12 4 2 2" xfId="3981" xr:uid="{00000000-0005-0000-0000-00008D0F0000}"/>
    <cellStyle name="Percent 12 5" xfId="3982" xr:uid="{00000000-0005-0000-0000-00008E0F0000}"/>
    <cellStyle name="Percent 12 5 2" xfId="3983" xr:uid="{00000000-0005-0000-0000-00008F0F0000}"/>
    <cellStyle name="Percent 12 5 2 2" xfId="3984" xr:uid="{00000000-0005-0000-0000-0000900F0000}"/>
    <cellStyle name="Percent 12 6" xfId="3985" xr:uid="{00000000-0005-0000-0000-0000910F0000}"/>
    <cellStyle name="Percent 12 6 2" xfId="3986" xr:uid="{00000000-0005-0000-0000-0000920F0000}"/>
    <cellStyle name="Percent 12 6 2 2" xfId="3987" xr:uid="{00000000-0005-0000-0000-0000930F0000}"/>
    <cellStyle name="Percent 12 7" xfId="3988" xr:uid="{00000000-0005-0000-0000-0000940F0000}"/>
    <cellStyle name="Percent 12 7 2" xfId="3989" xr:uid="{00000000-0005-0000-0000-0000950F0000}"/>
    <cellStyle name="Percent 12 7 3" xfId="3990" xr:uid="{00000000-0005-0000-0000-0000960F0000}"/>
    <cellStyle name="Percent 12 7 4" xfId="3991" xr:uid="{00000000-0005-0000-0000-0000970F0000}"/>
    <cellStyle name="Percent 12 7 4 2" xfId="3992" xr:uid="{00000000-0005-0000-0000-0000980F0000}"/>
    <cellStyle name="Percent 12 8" xfId="3993" xr:uid="{00000000-0005-0000-0000-0000990F0000}"/>
    <cellStyle name="Percent 12 8 2" xfId="3994" xr:uid="{00000000-0005-0000-0000-00009A0F0000}"/>
    <cellStyle name="Percent 12 8 2 2" xfId="3995" xr:uid="{00000000-0005-0000-0000-00009B0F0000}"/>
    <cellStyle name="Percent 12 9" xfId="3996" xr:uid="{00000000-0005-0000-0000-00009C0F0000}"/>
    <cellStyle name="Percent 13" xfId="3997" xr:uid="{00000000-0005-0000-0000-00009D0F0000}"/>
    <cellStyle name="Percent 13 10" xfId="3998" xr:uid="{00000000-0005-0000-0000-00009E0F0000}"/>
    <cellStyle name="Percent 13 2" xfId="3999" xr:uid="{00000000-0005-0000-0000-00009F0F0000}"/>
    <cellStyle name="Percent 13 2 2" xfId="4000" xr:uid="{00000000-0005-0000-0000-0000A00F0000}"/>
    <cellStyle name="Percent 13 2 2 2" xfId="4001" xr:uid="{00000000-0005-0000-0000-0000A10F0000}"/>
    <cellStyle name="Percent 13 3" xfId="4002" xr:uid="{00000000-0005-0000-0000-0000A20F0000}"/>
    <cellStyle name="Percent 13 3 2" xfId="4003" xr:uid="{00000000-0005-0000-0000-0000A30F0000}"/>
    <cellStyle name="Percent 13 3 2 2" xfId="4004" xr:uid="{00000000-0005-0000-0000-0000A40F0000}"/>
    <cellStyle name="Percent 13 4" xfId="4005" xr:uid="{00000000-0005-0000-0000-0000A50F0000}"/>
    <cellStyle name="Percent 13 4 2" xfId="4006" xr:uid="{00000000-0005-0000-0000-0000A60F0000}"/>
    <cellStyle name="Percent 13 4 2 2" xfId="4007" xr:uid="{00000000-0005-0000-0000-0000A70F0000}"/>
    <cellStyle name="Percent 13 5" xfId="4008" xr:uid="{00000000-0005-0000-0000-0000A80F0000}"/>
    <cellStyle name="Percent 13 5 2" xfId="4009" xr:uid="{00000000-0005-0000-0000-0000A90F0000}"/>
    <cellStyle name="Percent 13 5 2 2" xfId="4010" xr:uid="{00000000-0005-0000-0000-0000AA0F0000}"/>
    <cellStyle name="Percent 13 6" xfId="4011" xr:uid="{00000000-0005-0000-0000-0000AB0F0000}"/>
    <cellStyle name="Percent 13 6 2" xfId="4012" xr:uid="{00000000-0005-0000-0000-0000AC0F0000}"/>
    <cellStyle name="Percent 13 6 2 2" xfId="4013" xr:uid="{00000000-0005-0000-0000-0000AD0F0000}"/>
    <cellStyle name="Percent 13 7" xfId="4014" xr:uid="{00000000-0005-0000-0000-0000AE0F0000}"/>
    <cellStyle name="Percent 13 7 2" xfId="4015" xr:uid="{00000000-0005-0000-0000-0000AF0F0000}"/>
    <cellStyle name="Percent 13 7 3" xfId="4016" xr:uid="{00000000-0005-0000-0000-0000B00F0000}"/>
    <cellStyle name="Percent 13 7 4" xfId="4017" xr:uid="{00000000-0005-0000-0000-0000B10F0000}"/>
    <cellStyle name="Percent 13 7 4 2" xfId="4018" xr:uid="{00000000-0005-0000-0000-0000B20F0000}"/>
    <cellStyle name="Percent 13 8" xfId="4019" xr:uid="{00000000-0005-0000-0000-0000B30F0000}"/>
    <cellStyle name="Percent 13 8 2" xfId="4020" xr:uid="{00000000-0005-0000-0000-0000B40F0000}"/>
    <cellStyle name="Percent 13 8 2 2" xfId="4021" xr:uid="{00000000-0005-0000-0000-0000B50F0000}"/>
    <cellStyle name="Percent 13 9" xfId="4022" xr:uid="{00000000-0005-0000-0000-0000B60F0000}"/>
    <cellStyle name="Percent 14" xfId="4023" xr:uid="{00000000-0005-0000-0000-0000B70F0000}"/>
    <cellStyle name="Percent 14 10" xfId="4024" xr:uid="{00000000-0005-0000-0000-0000B80F0000}"/>
    <cellStyle name="Percent 14 2" xfId="4025" xr:uid="{00000000-0005-0000-0000-0000B90F0000}"/>
    <cellStyle name="Percent 14 2 2" xfId="4026" xr:uid="{00000000-0005-0000-0000-0000BA0F0000}"/>
    <cellStyle name="Percent 14 2 2 2" xfId="4027" xr:uid="{00000000-0005-0000-0000-0000BB0F0000}"/>
    <cellStyle name="Percent 14 3" xfId="4028" xr:uid="{00000000-0005-0000-0000-0000BC0F0000}"/>
    <cellStyle name="Percent 14 3 2" xfId="4029" xr:uid="{00000000-0005-0000-0000-0000BD0F0000}"/>
    <cellStyle name="Percent 14 3 2 2" xfId="4030" xr:uid="{00000000-0005-0000-0000-0000BE0F0000}"/>
    <cellStyle name="Percent 14 4" xfId="4031" xr:uid="{00000000-0005-0000-0000-0000BF0F0000}"/>
    <cellStyle name="Percent 14 4 2" xfId="4032" xr:uid="{00000000-0005-0000-0000-0000C00F0000}"/>
    <cellStyle name="Percent 14 4 2 2" xfId="4033" xr:uid="{00000000-0005-0000-0000-0000C10F0000}"/>
    <cellStyle name="Percent 14 5" xfId="4034" xr:uid="{00000000-0005-0000-0000-0000C20F0000}"/>
    <cellStyle name="Percent 14 5 2" xfId="4035" xr:uid="{00000000-0005-0000-0000-0000C30F0000}"/>
    <cellStyle name="Percent 14 5 2 2" xfId="4036" xr:uid="{00000000-0005-0000-0000-0000C40F0000}"/>
    <cellStyle name="Percent 14 6" xfId="4037" xr:uid="{00000000-0005-0000-0000-0000C50F0000}"/>
    <cellStyle name="Percent 14 6 2" xfId="4038" xr:uid="{00000000-0005-0000-0000-0000C60F0000}"/>
    <cellStyle name="Percent 14 6 2 2" xfId="4039" xr:uid="{00000000-0005-0000-0000-0000C70F0000}"/>
    <cellStyle name="Percent 14 7" xfId="4040" xr:uid="{00000000-0005-0000-0000-0000C80F0000}"/>
    <cellStyle name="Percent 14 7 2" xfId="4041" xr:uid="{00000000-0005-0000-0000-0000C90F0000}"/>
    <cellStyle name="Percent 14 7 3" xfId="4042" xr:uid="{00000000-0005-0000-0000-0000CA0F0000}"/>
    <cellStyle name="Percent 14 7 4" xfId="4043" xr:uid="{00000000-0005-0000-0000-0000CB0F0000}"/>
    <cellStyle name="Percent 14 7 4 2" xfId="4044" xr:uid="{00000000-0005-0000-0000-0000CC0F0000}"/>
    <cellStyle name="Percent 14 8" xfId="4045" xr:uid="{00000000-0005-0000-0000-0000CD0F0000}"/>
    <cellStyle name="Percent 14 8 2" xfId="4046" xr:uid="{00000000-0005-0000-0000-0000CE0F0000}"/>
    <cellStyle name="Percent 14 8 2 2" xfId="4047" xr:uid="{00000000-0005-0000-0000-0000CF0F0000}"/>
    <cellStyle name="Percent 14 9" xfId="4048" xr:uid="{00000000-0005-0000-0000-0000D00F0000}"/>
    <cellStyle name="Percent 15" xfId="4049" xr:uid="{00000000-0005-0000-0000-0000D10F0000}"/>
    <cellStyle name="Percent 15 10" xfId="4050" xr:uid="{00000000-0005-0000-0000-0000D20F0000}"/>
    <cellStyle name="Percent 15 11" xfId="4051" xr:uid="{00000000-0005-0000-0000-0000D30F0000}"/>
    <cellStyle name="Percent 15 12" xfId="4052" xr:uid="{00000000-0005-0000-0000-0000D40F0000}"/>
    <cellStyle name="Percent 15 13" xfId="4053" xr:uid="{00000000-0005-0000-0000-0000D50F0000}"/>
    <cellStyle name="Percent 15 14" xfId="4054" xr:uid="{00000000-0005-0000-0000-0000D60F0000}"/>
    <cellStyle name="Percent 15 15" xfId="4055" xr:uid="{00000000-0005-0000-0000-0000D70F0000}"/>
    <cellStyle name="Percent 15 2" xfId="4056" xr:uid="{00000000-0005-0000-0000-0000D80F0000}"/>
    <cellStyle name="Percent 15 2 2" xfId="4057" xr:uid="{00000000-0005-0000-0000-0000D90F0000}"/>
    <cellStyle name="Percent 15 2 3" xfId="4058" xr:uid="{00000000-0005-0000-0000-0000DA0F0000}"/>
    <cellStyle name="Percent 15 2 4" xfId="4059" xr:uid="{00000000-0005-0000-0000-0000DB0F0000}"/>
    <cellStyle name="Percent 15 2 5" xfId="4060" xr:uid="{00000000-0005-0000-0000-0000DC0F0000}"/>
    <cellStyle name="Percent 15 2 6" xfId="4061" xr:uid="{00000000-0005-0000-0000-0000DD0F0000}"/>
    <cellStyle name="Percent 15 2 7" xfId="4062" xr:uid="{00000000-0005-0000-0000-0000DE0F0000}"/>
    <cellStyle name="Percent 15 2 8" xfId="4063" xr:uid="{00000000-0005-0000-0000-0000DF0F0000}"/>
    <cellStyle name="Percent 15 3" xfId="4064" xr:uid="{00000000-0005-0000-0000-0000E00F0000}"/>
    <cellStyle name="Percent 15 4" xfId="4065" xr:uid="{00000000-0005-0000-0000-0000E10F0000}"/>
    <cellStyle name="Percent 15 4 2" xfId="4066" xr:uid="{00000000-0005-0000-0000-0000E20F0000}"/>
    <cellStyle name="Percent 15 4 2 2" xfId="4067" xr:uid="{00000000-0005-0000-0000-0000E30F0000}"/>
    <cellStyle name="Percent 15 5" xfId="4068" xr:uid="{00000000-0005-0000-0000-0000E40F0000}"/>
    <cellStyle name="Percent 15 6" xfId="4069" xr:uid="{00000000-0005-0000-0000-0000E50F0000}"/>
    <cellStyle name="Percent 15 7" xfId="4070" xr:uid="{00000000-0005-0000-0000-0000E60F0000}"/>
    <cellStyle name="Percent 15 7 2" xfId="4071" xr:uid="{00000000-0005-0000-0000-0000E70F0000}"/>
    <cellStyle name="Percent 15 7 3" xfId="4072" xr:uid="{00000000-0005-0000-0000-0000E80F0000}"/>
    <cellStyle name="Percent 15 8" xfId="4073" xr:uid="{00000000-0005-0000-0000-0000E90F0000}"/>
    <cellStyle name="Percent 15 9" xfId="4074" xr:uid="{00000000-0005-0000-0000-0000EA0F0000}"/>
    <cellStyle name="Percent 16" xfId="4075" xr:uid="{00000000-0005-0000-0000-0000EB0F0000}"/>
    <cellStyle name="Percent 16 2" xfId="4076" xr:uid="{00000000-0005-0000-0000-0000EC0F0000}"/>
    <cellStyle name="Percent 16 2 2" xfId="4077" xr:uid="{00000000-0005-0000-0000-0000ED0F0000}"/>
    <cellStyle name="Percent 16 2 2 2" xfId="4078" xr:uid="{00000000-0005-0000-0000-0000EE0F0000}"/>
    <cellStyle name="Percent 16 3" xfId="4079" xr:uid="{00000000-0005-0000-0000-0000EF0F0000}"/>
    <cellStyle name="Percent 16 3 10" xfId="4080" xr:uid="{00000000-0005-0000-0000-0000F00F0000}"/>
    <cellStyle name="Percent 16 3 11" xfId="4081" xr:uid="{00000000-0005-0000-0000-0000F10F0000}"/>
    <cellStyle name="Percent 16 3 12" xfId="4082" xr:uid="{00000000-0005-0000-0000-0000F20F0000}"/>
    <cellStyle name="Percent 16 3 13" xfId="4083" xr:uid="{00000000-0005-0000-0000-0000F30F0000}"/>
    <cellStyle name="Percent 16 3 14" xfId="4084" xr:uid="{00000000-0005-0000-0000-0000F40F0000}"/>
    <cellStyle name="Percent 16 3 15" xfId="4085" xr:uid="{00000000-0005-0000-0000-0000F50F0000}"/>
    <cellStyle name="Percent 16 3 16" xfId="4086" xr:uid="{00000000-0005-0000-0000-0000F60F0000}"/>
    <cellStyle name="Percent 16 3 17" xfId="4087" xr:uid="{00000000-0005-0000-0000-0000F70F0000}"/>
    <cellStyle name="Percent 16 3 18" xfId="4088" xr:uid="{00000000-0005-0000-0000-0000F80F0000}"/>
    <cellStyle name="Percent 16 3 18 2" xfId="4089" xr:uid="{00000000-0005-0000-0000-0000F90F0000}"/>
    <cellStyle name="Percent 16 3 2" xfId="4090" xr:uid="{00000000-0005-0000-0000-0000FA0F0000}"/>
    <cellStyle name="Percent 16 3 3" xfId="4091" xr:uid="{00000000-0005-0000-0000-0000FB0F0000}"/>
    <cellStyle name="Percent 16 3 4" xfId="4092" xr:uid="{00000000-0005-0000-0000-0000FC0F0000}"/>
    <cellStyle name="Percent 16 3 5" xfId="4093" xr:uid="{00000000-0005-0000-0000-0000FD0F0000}"/>
    <cellStyle name="Percent 16 3 6" xfId="4094" xr:uid="{00000000-0005-0000-0000-0000FE0F0000}"/>
    <cellStyle name="Percent 16 3 7" xfId="4095" xr:uid="{00000000-0005-0000-0000-0000FF0F0000}"/>
    <cellStyle name="Percent 16 3 8" xfId="4096" xr:uid="{00000000-0005-0000-0000-000000100000}"/>
    <cellStyle name="Percent 16 3 9" xfId="4097" xr:uid="{00000000-0005-0000-0000-000001100000}"/>
    <cellStyle name="Percent 16 4" xfId="4098" xr:uid="{00000000-0005-0000-0000-000002100000}"/>
    <cellStyle name="Percent 16 4 10" xfId="4099" xr:uid="{00000000-0005-0000-0000-000003100000}"/>
    <cellStyle name="Percent 16 4 11" xfId="4100" xr:uid="{00000000-0005-0000-0000-000004100000}"/>
    <cellStyle name="Percent 16 4 12" xfId="4101" xr:uid="{00000000-0005-0000-0000-000005100000}"/>
    <cellStyle name="Percent 16 4 13" xfId="4102" xr:uid="{00000000-0005-0000-0000-000006100000}"/>
    <cellStyle name="Percent 16 4 14" xfId="4103" xr:uid="{00000000-0005-0000-0000-000007100000}"/>
    <cellStyle name="Percent 16 4 15" xfId="4104" xr:uid="{00000000-0005-0000-0000-000008100000}"/>
    <cellStyle name="Percent 16 4 16" xfId="4105" xr:uid="{00000000-0005-0000-0000-000009100000}"/>
    <cellStyle name="Percent 16 4 17" xfId="4106" xr:uid="{00000000-0005-0000-0000-00000A100000}"/>
    <cellStyle name="Percent 16 4 18" xfId="4107" xr:uid="{00000000-0005-0000-0000-00000B100000}"/>
    <cellStyle name="Percent 16 4 18 2" xfId="4108" xr:uid="{00000000-0005-0000-0000-00000C100000}"/>
    <cellStyle name="Percent 16 4 2" xfId="4109" xr:uid="{00000000-0005-0000-0000-00000D100000}"/>
    <cellStyle name="Percent 16 4 3" xfId="4110" xr:uid="{00000000-0005-0000-0000-00000E100000}"/>
    <cellStyle name="Percent 16 4 4" xfId="4111" xr:uid="{00000000-0005-0000-0000-00000F100000}"/>
    <cellStyle name="Percent 16 4 5" xfId="4112" xr:uid="{00000000-0005-0000-0000-000010100000}"/>
    <cellStyle name="Percent 16 4 6" xfId="4113" xr:uid="{00000000-0005-0000-0000-000011100000}"/>
    <cellStyle name="Percent 16 4 7" xfId="4114" xr:uid="{00000000-0005-0000-0000-000012100000}"/>
    <cellStyle name="Percent 16 4 8" xfId="4115" xr:uid="{00000000-0005-0000-0000-000013100000}"/>
    <cellStyle name="Percent 16 4 9" xfId="4116" xr:uid="{00000000-0005-0000-0000-000014100000}"/>
    <cellStyle name="Percent 16 5" xfId="4117" xr:uid="{00000000-0005-0000-0000-000015100000}"/>
    <cellStyle name="Percent 16 5 10" xfId="4118" xr:uid="{00000000-0005-0000-0000-000016100000}"/>
    <cellStyle name="Percent 16 5 11" xfId="4119" xr:uid="{00000000-0005-0000-0000-000017100000}"/>
    <cellStyle name="Percent 16 5 12" xfId="4120" xr:uid="{00000000-0005-0000-0000-000018100000}"/>
    <cellStyle name="Percent 16 5 13" xfId="4121" xr:uid="{00000000-0005-0000-0000-000019100000}"/>
    <cellStyle name="Percent 16 5 14" xfId="4122" xr:uid="{00000000-0005-0000-0000-00001A100000}"/>
    <cellStyle name="Percent 16 5 15" xfId="4123" xr:uid="{00000000-0005-0000-0000-00001B100000}"/>
    <cellStyle name="Percent 16 5 16" xfId="4124" xr:uid="{00000000-0005-0000-0000-00001C100000}"/>
    <cellStyle name="Percent 16 5 17" xfId="4125" xr:uid="{00000000-0005-0000-0000-00001D100000}"/>
    <cellStyle name="Percent 16 5 18" xfId="4126" xr:uid="{00000000-0005-0000-0000-00001E100000}"/>
    <cellStyle name="Percent 16 5 18 2" xfId="4127" xr:uid="{00000000-0005-0000-0000-00001F100000}"/>
    <cellStyle name="Percent 16 5 2" xfId="4128" xr:uid="{00000000-0005-0000-0000-000020100000}"/>
    <cellStyle name="Percent 16 5 3" xfId="4129" xr:uid="{00000000-0005-0000-0000-000021100000}"/>
    <cellStyle name="Percent 16 5 4" xfId="4130" xr:uid="{00000000-0005-0000-0000-000022100000}"/>
    <cellStyle name="Percent 16 5 5" xfId="4131" xr:uid="{00000000-0005-0000-0000-000023100000}"/>
    <cellStyle name="Percent 16 5 6" xfId="4132" xr:uid="{00000000-0005-0000-0000-000024100000}"/>
    <cellStyle name="Percent 16 5 7" xfId="4133" xr:uid="{00000000-0005-0000-0000-000025100000}"/>
    <cellStyle name="Percent 16 5 8" xfId="4134" xr:uid="{00000000-0005-0000-0000-000026100000}"/>
    <cellStyle name="Percent 16 5 9" xfId="4135" xr:uid="{00000000-0005-0000-0000-000027100000}"/>
    <cellStyle name="Percent 16 6" xfId="4136" xr:uid="{00000000-0005-0000-0000-000028100000}"/>
    <cellStyle name="Percent 16 6 10" xfId="4137" xr:uid="{00000000-0005-0000-0000-000029100000}"/>
    <cellStyle name="Percent 16 6 11" xfId="4138" xr:uid="{00000000-0005-0000-0000-00002A100000}"/>
    <cellStyle name="Percent 16 6 12" xfId="4139" xr:uid="{00000000-0005-0000-0000-00002B100000}"/>
    <cellStyle name="Percent 16 6 13" xfId="4140" xr:uid="{00000000-0005-0000-0000-00002C100000}"/>
    <cellStyle name="Percent 16 6 14" xfId="4141" xr:uid="{00000000-0005-0000-0000-00002D100000}"/>
    <cellStyle name="Percent 16 6 15" xfId="4142" xr:uid="{00000000-0005-0000-0000-00002E100000}"/>
    <cellStyle name="Percent 16 6 16" xfId="4143" xr:uid="{00000000-0005-0000-0000-00002F100000}"/>
    <cellStyle name="Percent 16 6 17" xfId="4144" xr:uid="{00000000-0005-0000-0000-000030100000}"/>
    <cellStyle name="Percent 16 6 18" xfId="4145" xr:uid="{00000000-0005-0000-0000-000031100000}"/>
    <cellStyle name="Percent 16 6 18 2" xfId="4146" xr:uid="{00000000-0005-0000-0000-000032100000}"/>
    <cellStyle name="Percent 16 6 2" xfId="4147" xr:uid="{00000000-0005-0000-0000-000033100000}"/>
    <cellStyle name="Percent 16 6 3" xfId="4148" xr:uid="{00000000-0005-0000-0000-000034100000}"/>
    <cellStyle name="Percent 16 6 4" xfId="4149" xr:uid="{00000000-0005-0000-0000-000035100000}"/>
    <cellStyle name="Percent 16 6 5" xfId="4150" xr:uid="{00000000-0005-0000-0000-000036100000}"/>
    <cellStyle name="Percent 16 6 6" xfId="4151" xr:uid="{00000000-0005-0000-0000-000037100000}"/>
    <cellStyle name="Percent 16 6 7" xfId="4152" xr:uid="{00000000-0005-0000-0000-000038100000}"/>
    <cellStyle name="Percent 16 6 8" xfId="4153" xr:uid="{00000000-0005-0000-0000-000039100000}"/>
    <cellStyle name="Percent 16 6 9" xfId="4154" xr:uid="{00000000-0005-0000-0000-00003A100000}"/>
    <cellStyle name="Percent 16 7" xfId="4155" xr:uid="{00000000-0005-0000-0000-00003B100000}"/>
    <cellStyle name="Percent 16 7 10" xfId="4156" xr:uid="{00000000-0005-0000-0000-00003C100000}"/>
    <cellStyle name="Percent 16 7 11" xfId="4157" xr:uid="{00000000-0005-0000-0000-00003D100000}"/>
    <cellStyle name="Percent 16 7 12" xfId="4158" xr:uid="{00000000-0005-0000-0000-00003E100000}"/>
    <cellStyle name="Percent 16 7 13" xfId="4159" xr:uid="{00000000-0005-0000-0000-00003F100000}"/>
    <cellStyle name="Percent 16 7 14" xfId="4160" xr:uid="{00000000-0005-0000-0000-000040100000}"/>
    <cellStyle name="Percent 16 7 15" xfId="4161" xr:uid="{00000000-0005-0000-0000-000041100000}"/>
    <cellStyle name="Percent 16 7 16" xfId="4162" xr:uid="{00000000-0005-0000-0000-000042100000}"/>
    <cellStyle name="Percent 16 7 17" xfId="4163" xr:uid="{00000000-0005-0000-0000-000043100000}"/>
    <cellStyle name="Percent 16 7 18" xfId="4164" xr:uid="{00000000-0005-0000-0000-000044100000}"/>
    <cellStyle name="Percent 16 7 18 2" xfId="4165" xr:uid="{00000000-0005-0000-0000-000045100000}"/>
    <cellStyle name="Percent 16 7 2" xfId="4166" xr:uid="{00000000-0005-0000-0000-000046100000}"/>
    <cellStyle name="Percent 16 7 2 2" xfId="4167" xr:uid="{00000000-0005-0000-0000-000047100000}"/>
    <cellStyle name="Percent 16 7 2 2 2" xfId="4168" xr:uid="{00000000-0005-0000-0000-000048100000}"/>
    <cellStyle name="Percent 16 7 3" xfId="4169" xr:uid="{00000000-0005-0000-0000-000049100000}"/>
    <cellStyle name="Percent 16 7 3 2" xfId="4170" xr:uid="{00000000-0005-0000-0000-00004A100000}"/>
    <cellStyle name="Percent 16 7 3 2 2" xfId="4171" xr:uid="{00000000-0005-0000-0000-00004B100000}"/>
    <cellStyle name="Percent 16 7 4" xfId="4172" xr:uid="{00000000-0005-0000-0000-00004C100000}"/>
    <cellStyle name="Percent 16 7 5" xfId="4173" xr:uid="{00000000-0005-0000-0000-00004D100000}"/>
    <cellStyle name="Percent 16 7 6" xfId="4174" xr:uid="{00000000-0005-0000-0000-00004E100000}"/>
    <cellStyle name="Percent 16 7 7" xfId="4175" xr:uid="{00000000-0005-0000-0000-00004F100000}"/>
    <cellStyle name="Percent 16 7 8" xfId="4176" xr:uid="{00000000-0005-0000-0000-000050100000}"/>
    <cellStyle name="Percent 16 7 9" xfId="4177" xr:uid="{00000000-0005-0000-0000-000051100000}"/>
    <cellStyle name="Percent 16 8" xfId="4178" xr:uid="{00000000-0005-0000-0000-000052100000}"/>
    <cellStyle name="Percent 16 8 10" xfId="4179" xr:uid="{00000000-0005-0000-0000-000053100000}"/>
    <cellStyle name="Percent 16 8 11" xfId="4180" xr:uid="{00000000-0005-0000-0000-000054100000}"/>
    <cellStyle name="Percent 16 8 12" xfId="4181" xr:uid="{00000000-0005-0000-0000-000055100000}"/>
    <cellStyle name="Percent 16 8 13" xfId="4182" xr:uid="{00000000-0005-0000-0000-000056100000}"/>
    <cellStyle name="Percent 16 8 14" xfId="4183" xr:uid="{00000000-0005-0000-0000-000057100000}"/>
    <cellStyle name="Percent 16 8 15" xfId="4184" xr:uid="{00000000-0005-0000-0000-000058100000}"/>
    <cellStyle name="Percent 16 8 16" xfId="4185" xr:uid="{00000000-0005-0000-0000-000059100000}"/>
    <cellStyle name="Percent 16 8 17" xfId="4186" xr:uid="{00000000-0005-0000-0000-00005A100000}"/>
    <cellStyle name="Percent 16 8 2" xfId="4187" xr:uid="{00000000-0005-0000-0000-00005B100000}"/>
    <cellStyle name="Percent 16 8 3" xfId="4188" xr:uid="{00000000-0005-0000-0000-00005C100000}"/>
    <cellStyle name="Percent 16 8 4" xfId="4189" xr:uid="{00000000-0005-0000-0000-00005D100000}"/>
    <cellStyle name="Percent 16 8 5" xfId="4190" xr:uid="{00000000-0005-0000-0000-00005E100000}"/>
    <cellStyle name="Percent 16 8 6" xfId="4191" xr:uid="{00000000-0005-0000-0000-00005F100000}"/>
    <cellStyle name="Percent 16 8 7" xfId="4192" xr:uid="{00000000-0005-0000-0000-000060100000}"/>
    <cellStyle name="Percent 16 8 8" xfId="4193" xr:uid="{00000000-0005-0000-0000-000061100000}"/>
    <cellStyle name="Percent 16 8 9" xfId="4194" xr:uid="{00000000-0005-0000-0000-000062100000}"/>
    <cellStyle name="Percent 16 9" xfId="4195" xr:uid="{00000000-0005-0000-0000-000063100000}"/>
    <cellStyle name="Percent 16 9 10" xfId="4196" xr:uid="{00000000-0005-0000-0000-000064100000}"/>
    <cellStyle name="Percent 16 9 11" xfId="4197" xr:uid="{00000000-0005-0000-0000-000065100000}"/>
    <cellStyle name="Percent 16 9 12" xfId="4198" xr:uid="{00000000-0005-0000-0000-000066100000}"/>
    <cellStyle name="Percent 16 9 13" xfId="4199" xr:uid="{00000000-0005-0000-0000-000067100000}"/>
    <cellStyle name="Percent 16 9 14" xfId="4200" xr:uid="{00000000-0005-0000-0000-000068100000}"/>
    <cellStyle name="Percent 16 9 15" xfId="4201" xr:uid="{00000000-0005-0000-0000-000069100000}"/>
    <cellStyle name="Percent 16 9 16" xfId="4202" xr:uid="{00000000-0005-0000-0000-00006A100000}"/>
    <cellStyle name="Percent 16 9 17" xfId="4203" xr:uid="{00000000-0005-0000-0000-00006B100000}"/>
    <cellStyle name="Percent 16 9 2" xfId="4204" xr:uid="{00000000-0005-0000-0000-00006C100000}"/>
    <cellStyle name="Percent 16 9 3" xfId="4205" xr:uid="{00000000-0005-0000-0000-00006D100000}"/>
    <cellStyle name="Percent 16 9 4" xfId="4206" xr:uid="{00000000-0005-0000-0000-00006E100000}"/>
    <cellStyle name="Percent 16 9 5" xfId="4207" xr:uid="{00000000-0005-0000-0000-00006F100000}"/>
    <cellStyle name="Percent 16 9 6" xfId="4208" xr:uid="{00000000-0005-0000-0000-000070100000}"/>
    <cellStyle name="Percent 16 9 7" xfId="4209" xr:uid="{00000000-0005-0000-0000-000071100000}"/>
    <cellStyle name="Percent 16 9 8" xfId="4210" xr:uid="{00000000-0005-0000-0000-000072100000}"/>
    <cellStyle name="Percent 16 9 9" xfId="4211" xr:uid="{00000000-0005-0000-0000-000073100000}"/>
    <cellStyle name="Percent 17" xfId="4212" xr:uid="{00000000-0005-0000-0000-000074100000}"/>
    <cellStyle name="Percent 17 2" xfId="4213" xr:uid="{00000000-0005-0000-0000-000075100000}"/>
    <cellStyle name="Percent 17 3" xfId="4214" xr:uid="{00000000-0005-0000-0000-000076100000}"/>
    <cellStyle name="Percent 17 4" xfId="4215" xr:uid="{00000000-0005-0000-0000-000077100000}"/>
    <cellStyle name="Percent 17 5" xfId="4216" xr:uid="{00000000-0005-0000-0000-000078100000}"/>
    <cellStyle name="Percent 17 6" xfId="4217" xr:uid="{00000000-0005-0000-0000-000079100000}"/>
    <cellStyle name="Percent 17 7" xfId="4218" xr:uid="{00000000-0005-0000-0000-00007A100000}"/>
    <cellStyle name="Percent 17 7 2" xfId="4219" xr:uid="{00000000-0005-0000-0000-00007B100000}"/>
    <cellStyle name="Percent 17 7 3" xfId="4220" xr:uid="{00000000-0005-0000-0000-00007C100000}"/>
    <cellStyle name="Percent 17 8" xfId="4221" xr:uid="{00000000-0005-0000-0000-00007D100000}"/>
    <cellStyle name="Percent 17 8 2" xfId="4222" xr:uid="{00000000-0005-0000-0000-00007E100000}"/>
    <cellStyle name="Percent 17 9" xfId="4223" xr:uid="{00000000-0005-0000-0000-00007F100000}"/>
    <cellStyle name="Percent 18" xfId="4224" xr:uid="{00000000-0005-0000-0000-000080100000}"/>
    <cellStyle name="Percent 19" xfId="4225" xr:uid="{00000000-0005-0000-0000-000081100000}"/>
    <cellStyle name="Percent 19 2" xfId="4226" xr:uid="{00000000-0005-0000-0000-000082100000}"/>
    <cellStyle name="Percent 2" xfId="4227" xr:uid="{00000000-0005-0000-0000-000083100000}"/>
    <cellStyle name="Percent 2 10" xfId="4228" xr:uid="{00000000-0005-0000-0000-000084100000}"/>
    <cellStyle name="Percent 2 10 2" xfId="4229" xr:uid="{00000000-0005-0000-0000-000085100000}"/>
    <cellStyle name="Percent 2 10 3" xfId="4230" xr:uid="{00000000-0005-0000-0000-000086100000}"/>
    <cellStyle name="Percent 2 10 4" xfId="4231" xr:uid="{00000000-0005-0000-0000-000087100000}"/>
    <cellStyle name="Percent 2 10 5" xfId="4232" xr:uid="{00000000-0005-0000-0000-000088100000}"/>
    <cellStyle name="Percent 2 10 6" xfId="4233" xr:uid="{00000000-0005-0000-0000-000089100000}"/>
    <cellStyle name="Percent 2 10 7" xfId="4234" xr:uid="{00000000-0005-0000-0000-00008A100000}"/>
    <cellStyle name="Percent 2 10 8" xfId="4235" xr:uid="{00000000-0005-0000-0000-00008B100000}"/>
    <cellStyle name="Percent 2 11" xfId="4236" xr:uid="{00000000-0005-0000-0000-00008C100000}"/>
    <cellStyle name="Percent 2 11 2" xfId="4237" xr:uid="{00000000-0005-0000-0000-00008D100000}"/>
    <cellStyle name="Percent 2 11 3" xfId="4238" xr:uid="{00000000-0005-0000-0000-00008E100000}"/>
    <cellStyle name="Percent 2 11 4" xfId="4239" xr:uid="{00000000-0005-0000-0000-00008F100000}"/>
    <cellStyle name="Percent 2 11 5" xfId="4240" xr:uid="{00000000-0005-0000-0000-000090100000}"/>
    <cellStyle name="Percent 2 11 6" xfId="4241" xr:uid="{00000000-0005-0000-0000-000091100000}"/>
    <cellStyle name="Percent 2 11 7" xfId="4242" xr:uid="{00000000-0005-0000-0000-000092100000}"/>
    <cellStyle name="Percent 2 11 8" xfId="4243" xr:uid="{00000000-0005-0000-0000-000093100000}"/>
    <cellStyle name="Percent 2 12" xfId="4244" xr:uid="{00000000-0005-0000-0000-000094100000}"/>
    <cellStyle name="Percent 2 13" xfId="4245" xr:uid="{00000000-0005-0000-0000-000095100000}"/>
    <cellStyle name="Percent 2 14" xfId="4246" xr:uid="{00000000-0005-0000-0000-000096100000}"/>
    <cellStyle name="Percent 2 15" xfId="4247" xr:uid="{00000000-0005-0000-0000-000097100000}"/>
    <cellStyle name="Percent 2 16" xfId="4248" xr:uid="{00000000-0005-0000-0000-000098100000}"/>
    <cellStyle name="Percent 2 17" xfId="4249" xr:uid="{00000000-0005-0000-0000-000099100000}"/>
    <cellStyle name="Percent 2 18" xfId="4250" xr:uid="{00000000-0005-0000-0000-00009A100000}"/>
    <cellStyle name="Percent 2 19" xfId="4251" xr:uid="{00000000-0005-0000-0000-00009B100000}"/>
    <cellStyle name="Percent 2 2" xfId="4252" xr:uid="{00000000-0005-0000-0000-00009C100000}"/>
    <cellStyle name="Percent 2 2 2" xfId="4253" xr:uid="{00000000-0005-0000-0000-00009D100000}"/>
    <cellStyle name="Percent 2 2 3" xfId="4254" xr:uid="{00000000-0005-0000-0000-00009E100000}"/>
    <cellStyle name="Percent 2 2 3 2" xfId="4255" xr:uid="{00000000-0005-0000-0000-00009F100000}"/>
    <cellStyle name="Percent 2 2 3 3" xfId="4256" xr:uid="{00000000-0005-0000-0000-0000A0100000}"/>
    <cellStyle name="Percent 2 2 3 4" xfId="4257" xr:uid="{00000000-0005-0000-0000-0000A1100000}"/>
    <cellStyle name="Percent 2 2 4" xfId="4258" xr:uid="{00000000-0005-0000-0000-0000A2100000}"/>
    <cellStyle name="Percent 2 2 4 2" xfId="4259" xr:uid="{00000000-0005-0000-0000-0000A3100000}"/>
    <cellStyle name="Percent 2 2 4 2 2" xfId="4260" xr:uid="{00000000-0005-0000-0000-0000A4100000}"/>
    <cellStyle name="Percent 2 2 4 3" xfId="4261" xr:uid="{00000000-0005-0000-0000-0000A5100000}"/>
    <cellStyle name="Percent 2 2 5" xfId="4262" xr:uid="{00000000-0005-0000-0000-0000A6100000}"/>
    <cellStyle name="Percent 2 2 6" xfId="4263" xr:uid="{00000000-0005-0000-0000-0000A7100000}"/>
    <cellStyle name="Percent 2 2 6 2" xfId="4264" xr:uid="{00000000-0005-0000-0000-0000A8100000}"/>
    <cellStyle name="Percent 2 2 6 2 2" xfId="4265" xr:uid="{00000000-0005-0000-0000-0000A9100000}"/>
    <cellStyle name="Percent 2 2 7" xfId="4266" xr:uid="{00000000-0005-0000-0000-0000AA100000}"/>
    <cellStyle name="Percent 2 2 7 2" xfId="4267" xr:uid="{00000000-0005-0000-0000-0000AB100000}"/>
    <cellStyle name="Percent 2 2 7 2 2" xfId="4268" xr:uid="{00000000-0005-0000-0000-0000AC100000}"/>
    <cellStyle name="Percent 2 2 8" xfId="4269" xr:uid="{00000000-0005-0000-0000-0000AD100000}"/>
    <cellStyle name="Percent 2 2 9" xfId="4270" xr:uid="{00000000-0005-0000-0000-0000AE100000}"/>
    <cellStyle name="Percent 2 20" xfId="4271" xr:uid="{00000000-0005-0000-0000-0000AF100000}"/>
    <cellStyle name="Percent 2 21" xfId="4272" xr:uid="{00000000-0005-0000-0000-0000B0100000}"/>
    <cellStyle name="Percent 2 22" xfId="4273" xr:uid="{00000000-0005-0000-0000-0000B1100000}"/>
    <cellStyle name="Percent 2 23" xfId="4274" xr:uid="{00000000-0005-0000-0000-0000B2100000}"/>
    <cellStyle name="Percent 2 24" xfId="4275" xr:uid="{00000000-0005-0000-0000-0000B3100000}"/>
    <cellStyle name="Percent 2 25" xfId="4276" xr:uid="{00000000-0005-0000-0000-0000B4100000}"/>
    <cellStyle name="Percent 2 26" xfId="4277" xr:uid="{00000000-0005-0000-0000-0000B5100000}"/>
    <cellStyle name="Percent 2 27" xfId="4278" xr:uid="{00000000-0005-0000-0000-0000B6100000}"/>
    <cellStyle name="Percent 2 28" xfId="4279" xr:uid="{00000000-0005-0000-0000-0000B7100000}"/>
    <cellStyle name="Percent 2 29" xfId="4280" xr:uid="{00000000-0005-0000-0000-0000B8100000}"/>
    <cellStyle name="Percent 2 3" xfId="4281" xr:uid="{00000000-0005-0000-0000-0000B9100000}"/>
    <cellStyle name="Percent 2 3 10" xfId="4282" xr:uid="{00000000-0005-0000-0000-0000BA100000}"/>
    <cellStyle name="Percent 2 3 11" xfId="4283" xr:uid="{00000000-0005-0000-0000-0000BB100000}"/>
    <cellStyle name="Percent 2 3 12" xfId="4284" xr:uid="{00000000-0005-0000-0000-0000BC100000}"/>
    <cellStyle name="Percent 2 3 13" xfId="4285" xr:uid="{00000000-0005-0000-0000-0000BD100000}"/>
    <cellStyle name="Percent 2 3 14" xfId="4286" xr:uid="{00000000-0005-0000-0000-0000BE100000}"/>
    <cellStyle name="Percent 2 3 15" xfId="4287" xr:uid="{00000000-0005-0000-0000-0000BF100000}"/>
    <cellStyle name="Percent 2 3 16" xfId="4288" xr:uid="{00000000-0005-0000-0000-0000C0100000}"/>
    <cellStyle name="Percent 2 3 2" xfId="4289" xr:uid="{00000000-0005-0000-0000-0000C1100000}"/>
    <cellStyle name="Percent 2 3 3" xfId="4290" xr:uid="{00000000-0005-0000-0000-0000C2100000}"/>
    <cellStyle name="Percent 2 3 3 2" xfId="4291" xr:uid="{00000000-0005-0000-0000-0000C3100000}"/>
    <cellStyle name="Percent 2 3 3 3" xfId="4292" xr:uid="{00000000-0005-0000-0000-0000C4100000}"/>
    <cellStyle name="Percent 2 3 3 3 2" xfId="4293" xr:uid="{00000000-0005-0000-0000-0000C5100000}"/>
    <cellStyle name="Percent 2 3 3 3 3" xfId="4294" xr:uid="{00000000-0005-0000-0000-0000C6100000}"/>
    <cellStyle name="Percent 2 3 3 3 4" xfId="4295" xr:uid="{00000000-0005-0000-0000-0000C7100000}"/>
    <cellStyle name="Percent 2 3 3 3 4 2" xfId="4296" xr:uid="{00000000-0005-0000-0000-0000C8100000}"/>
    <cellStyle name="Percent 2 3 4" xfId="4297" xr:uid="{00000000-0005-0000-0000-0000C9100000}"/>
    <cellStyle name="Percent 2 3 5" xfId="4298" xr:uid="{00000000-0005-0000-0000-0000CA100000}"/>
    <cellStyle name="Percent 2 3 5 2" xfId="4299" xr:uid="{00000000-0005-0000-0000-0000CB100000}"/>
    <cellStyle name="Percent 2 3 6" xfId="4300" xr:uid="{00000000-0005-0000-0000-0000CC100000}"/>
    <cellStyle name="Percent 2 3 7" xfId="4301" xr:uid="{00000000-0005-0000-0000-0000CD100000}"/>
    <cellStyle name="Percent 2 3 8" xfId="4302" xr:uid="{00000000-0005-0000-0000-0000CE100000}"/>
    <cellStyle name="Percent 2 3 9" xfId="4303" xr:uid="{00000000-0005-0000-0000-0000CF100000}"/>
    <cellStyle name="Percent 2 30" xfId="4304" xr:uid="{00000000-0005-0000-0000-0000D0100000}"/>
    <cellStyle name="Percent 2 31" xfId="4305" xr:uid="{00000000-0005-0000-0000-0000D1100000}"/>
    <cellStyle name="Percent 2 32" xfId="4306" xr:uid="{00000000-0005-0000-0000-0000D2100000}"/>
    <cellStyle name="Percent 2 33" xfId="4307" xr:uid="{00000000-0005-0000-0000-0000D3100000}"/>
    <cellStyle name="Percent 2 34" xfId="4308" xr:uid="{00000000-0005-0000-0000-0000D4100000}"/>
    <cellStyle name="Percent 2 35" xfId="4309" xr:uid="{00000000-0005-0000-0000-0000D5100000}"/>
    <cellStyle name="Percent 2 36" xfId="4310" xr:uid="{00000000-0005-0000-0000-0000D6100000}"/>
    <cellStyle name="Percent 2 37" xfId="4311" xr:uid="{00000000-0005-0000-0000-0000D7100000}"/>
    <cellStyle name="Percent 2 38" xfId="4312" xr:uid="{00000000-0005-0000-0000-0000D8100000}"/>
    <cellStyle name="Percent 2 39" xfId="4313" xr:uid="{00000000-0005-0000-0000-0000D9100000}"/>
    <cellStyle name="Percent 2 4" xfId="4314" xr:uid="{00000000-0005-0000-0000-0000DA100000}"/>
    <cellStyle name="Percent 2 4 10" xfId="4315" xr:uid="{00000000-0005-0000-0000-0000DB100000}"/>
    <cellStyle name="Percent 2 4 11" xfId="4316" xr:uid="{00000000-0005-0000-0000-0000DC100000}"/>
    <cellStyle name="Percent 2 4 12" xfId="4317" xr:uid="{00000000-0005-0000-0000-0000DD100000}"/>
    <cellStyle name="Percent 2 4 13" xfId="4318" xr:uid="{00000000-0005-0000-0000-0000DE100000}"/>
    <cellStyle name="Percent 2 4 14" xfId="4319" xr:uid="{00000000-0005-0000-0000-0000DF100000}"/>
    <cellStyle name="Percent 2 4 15" xfId="4320" xr:uid="{00000000-0005-0000-0000-0000E0100000}"/>
    <cellStyle name="Percent 2 4 16" xfId="4321" xr:uid="{00000000-0005-0000-0000-0000E1100000}"/>
    <cellStyle name="Percent 2 4 16 2" xfId="4322" xr:uid="{00000000-0005-0000-0000-0000E2100000}"/>
    <cellStyle name="Percent 2 4 17" xfId="4323" xr:uid="{00000000-0005-0000-0000-0000E3100000}"/>
    <cellStyle name="Percent 2 4 2" xfId="4324" xr:uid="{00000000-0005-0000-0000-0000E4100000}"/>
    <cellStyle name="Percent 2 4 3" xfId="4325" xr:uid="{00000000-0005-0000-0000-0000E5100000}"/>
    <cellStyle name="Percent 2 4 4" xfId="4326" xr:uid="{00000000-0005-0000-0000-0000E6100000}"/>
    <cellStyle name="Percent 2 4 5" xfId="4327" xr:uid="{00000000-0005-0000-0000-0000E7100000}"/>
    <cellStyle name="Percent 2 4 6" xfId="4328" xr:uid="{00000000-0005-0000-0000-0000E8100000}"/>
    <cellStyle name="Percent 2 4 7" xfId="4329" xr:uid="{00000000-0005-0000-0000-0000E9100000}"/>
    <cellStyle name="Percent 2 4 8" xfId="4330" xr:uid="{00000000-0005-0000-0000-0000EA100000}"/>
    <cellStyle name="Percent 2 4 9" xfId="4331" xr:uid="{00000000-0005-0000-0000-0000EB100000}"/>
    <cellStyle name="Percent 2 40" xfId="4332" xr:uid="{00000000-0005-0000-0000-0000EC100000}"/>
    <cellStyle name="Percent 2 41" xfId="4333" xr:uid="{00000000-0005-0000-0000-0000ED100000}"/>
    <cellStyle name="Percent 2 42" xfId="4334" xr:uid="{00000000-0005-0000-0000-0000EE100000}"/>
    <cellStyle name="Percent 2 43" xfId="4335" xr:uid="{00000000-0005-0000-0000-0000EF100000}"/>
    <cellStyle name="Percent 2 44" xfId="4336" xr:uid="{00000000-0005-0000-0000-0000F0100000}"/>
    <cellStyle name="Percent 2 45" xfId="4337" xr:uid="{00000000-0005-0000-0000-0000F1100000}"/>
    <cellStyle name="Percent 2 46" xfId="4338" xr:uid="{00000000-0005-0000-0000-0000F2100000}"/>
    <cellStyle name="Percent 2 47" xfId="4339" xr:uid="{00000000-0005-0000-0000-0000F3100000}"/>
    <cellStyle name="Percent 2 48" xfId="4340" xr:uid="{00000000-0005-0000-0000-0000F4100000}"/>
    <cellStyle name="Percent 2 48 2" xfId="4341" xr:uid="{00000000-0005-0000-0000-0000F5100000}"/>
    <cellStyle name="Percent 2 48 3" xfId="4342" xr:uid="{00000000-0005-0000-0000-0000F6100000}"/>
    <cellStyle name="Percent 2 49" xfId="4343" xr:uid="{00000000-0005-0000-0000-0000F7100000}"/>
    <cellStyle name="Percent 2 49 2" xfId="4344" xr:uid="{00000000-0005-0000-0000-0000F8100000}"/>
    <cellStyle name="Percent 2 5" xfId="4345" xr:uid="{00000000-0005-0000-0000-0000F9100000}"/>
    <cellStyle name="Percent 2 5 10" xfId="4346" xr:uid="{00000000-0005-0000-0000-0000FA100000}"/>
    <cellStyle name="Percent 2 5 11" xfId="4347" xr:uid="{00000000-0005-0000-0000-0000FB100000}"/>
    <cellStyle name="Percent 2 5 12" xfId="4348" xr:uid="{00000000-0005-0000-0000-0000FC100000}"/>
    <cellStyle name="Percent 2 5 13" xfId="4349" xr:uid="{00000000-0005-0000-0000-0000FD100000}"/>
    <cellStyle name="Percent 2 5 14" xfId="4350" xr:uid="{00000000-0005-0000-0000-0000FE100000}"/>
    <cellStyle name="Percent 2 5 15" xfId="4351" xr:uid="{00000000-0005-0000-0000-0000FF100000}"/>
    <cellStyle name="Percent 2 5 2" xfId="4352" xr:uid="{00000000-0005-0000-0000-000000110000}"/>
    <cellStyle name="Percent 2 5 3" xfId="4353" xr:uid="{00000000-0005-0000-0000-000001110000}"/>
    <cellStyle name="Percent 2 5 4" xfId="4354" xr:uid="{00000000-0005-0000-0000-000002110000}"/>
    <cellStyle name="Percent 2 5 5" xfId="4355" xr:uid="{00000000-0005-0000-0000-000003110000}"/>
    <cellStyle name="Percent 2 5 6" xfId="4356" xr:uid="{00000000-0005-0000-0000-000004110000}"/>
    <cellStyle name="Percent 2 5 7" xfId="4357" xr:uid="{00000000-0005-0000-0000-000005110000}"/>
    <cellStyle name="Percent 2 5 7 2" xfId="4358" xr:uid="{00000000-0005-0000-0000-000006110000}"/>
    <cellStyle name="Percent 2 5 8" xfId="4359" xr:uid="{00000000-0005-0000-0000-000007110000}"/>
    <cellStyle name="Percent 2 5 8 2" xfId="4360" xr:uid="{00000000-0005-0000-0000-000008110000}"/>
    <cellStyle name="Percent 2 5 9" xfId="4361" xr:uid="{00000000-0005-0000-0000-000009110000}"/>
    <cellStyle name="Percent 2 5 9 2" xfId="4362" xr:uid="{00000000-0005-0000-0000-00000A110000}"/>
    <cellStyle name="Percent 2 50" xfId="4363" xr:uid="{00000000-0005-0000-0000-00000B110000}"/>
    <cellStyle name="Percent 2 51" xfId="4364" xr:uid="{00000000-0005-0000-0000-00000C110000}"/>
    <cellStyle name="Percent 2 52" xfId="4365" xr:uid="{00000000-0005-0000-0000-00000D110000}"/>
    <cellStyle name="Percent 2 53" xfId="4366" xr:uid="{00000000-0005-0000-0000-00000E110000}"/>
    <cellStyle name="Percent 2 6" xfId="4367" xr:uid="{00000000-0005-0000-0000-00000F110000}"/>
    <cellStyle name="Percent 2 6 10" xfId="4368" xr:uid="{00000000-0005-0000-0000-000010110000}"/>
    <cellStyle name="Percent 2 6 10 2" xfId="4369" xr:uid="{00000000-0005-0000-0000-000011110000}"/>
    <cellStyle name="Percent 2 6 11" xfId="4370" xr:uid="{00000000-0005-0000-0000-000012110000}"/>
    <cellStyle name="Percent 2 6 11 2" xfId="4371" xr:uid="{00000000-0005-0000-0000-000013110000}"/>
    <cellStyle name="Percent 2 6 12" xfId="4372" xr:uid="{00000000-0005-0000-0000-000014110000}"/>
    <cellStyle name="Percent 2 6 12 2" xfId="4373" xr:uid="{00000000-0005-0000-0000-000015110000}"/>
    <cellStyle name="Percent 2 6 13" xfId="4374" xr:uid="{00000000-0005-0000-0000-000016110000}"/>
    <cellStyle name="Percent 2 6 13 2" xfId="4375" xr:uid="{00000000-0005-0000-0000-000017110000}"/>
    <cellStyle name="Percent 2 6 14" xfId="4376" xr:uid="{00000000-0005-0000-0000-000018110000}"/>
    <cellStyle name="Percent 2 6 14 2" xfId="4377" xr:uid="{00000000-0005-0000-0000-000019110000}"/>
    <cellStyle name="Percent 2 6 15" xfId="4378" xr:uid="{00000000-0005-0000-0000-00001A110000}"/>
    <cellStyle name="Percent 2 6 15 2" xfId="4379" xr:uid="{00000000-0005-0000-0000-00001B110000}"/>
    <cellStyle name="Percent 2 6 16" xfId="4380" xr:uid="{00000000-0005-0000-0000-00001C110000}"/>
    <cellStyle name="Percent 2 6 2" xfId="4381" xr:uid="{00000000-0005-0000-0000-00001D110000}"/>
    <cellStyle name="Percent 2 6 2 2" xfId="4382" xr:uid="{00000000-0005-0000-0000-00001E110000}"/>
    <cellStyle name="Percent 2 6 3" xfId="4383" xr:uid="{00000000-0005-0000-0000-00001F110000}"/>
    <cellStyle name="Percent 2 6 3 2" xfId="4384" xr:uid="{00000000-0005-0000-0000-000020110000}"/>
    <cellStyle name="Percent 2 6 4" xfId="4385" xr:uid="{00000000-0005-0000-0000-000021110000}"/>
    <cellStyle name="Percent 2 6 4 2" xfId="4386" xr:uid="{00000000-0005-0000-0000-000022110000}"/>
    <cellStyle name="Percent 2 6 5" xfId="4387" xr:uid="{00000000-0005-0000-0000-000023110000}"/>
    <cellStyle name="Percent 2 6 5 2" xfId="4388" xr:uid="{00000000-0005-0000-0000-000024110000}"/>
    <cellStyle name="Percent 2 6 6" xfId="4389" xr:uid="{00000000-0005-0000-0000-000025110000}"/>
    <cellStyle name="Percent 2 6 6 2" xfId="4390" xr:uid="{00000000-0005-0000-0000-000026110000}"/>
    <cellStyle name="Percent 2 6 7" xfId="4391" xr:uid="{00000000-0005-0000-0000-000027110000}"/>
    <cellStyle name="Percent 2 6 7 2" xfId="4392" xr:uid="{00000000-0005-0000-0000-000028110000}"/>
    <cellStyle name="Percent 2 6 8" xfId="4393" xr:uid="{00000000-0005-0000-0000-000029110000}"/>
    <cellStyle name="Percent 2 6 8 2" xfId="4394" xr:uid="{00000000-0005-0000-0000-00002A110000}"/>
    <cellStyle name="Percent 2 6 9" xfId="4395" xr:uid="{00000000-0005-0000-0000-00002B110000}"/>
    <cellStyle name="Percent 2 6 9 2" xfId="4396" xr:uid="{00000000-0005-0000-0000-00002C110000}"/>
    <cellStyle name="Percent 2 7" xfId="4397" xr:uid="{00000000-0005-0000-0000-00002D110000}"/>
    <cellStyle name="Percent 2 7 2" xfId="4398" xr:uid="{00000000-0005-0000-0000-00002E110000}"/>
    <cellStyle name="Percent 2 7 2 2" xfId="4399" xr:uid="{00000000-0005-0000-0000-00002F110000}"/>
    <cellStyle name="Percent 2 7 3" xfId="4400" xr:uid="{00000000-0005-0000-0000-000030110000}"/>
    <cellStyle name="Percent 2 7 3 2" xfId="4401" xr:uid="{00000000-0005-0000-0000-000031110000}"/>
    <cellStyle name="Percent 2 7 4" xfId="4402" xr:uid="{00000000-0005-0000-0000-000032110000}"/>
    <cellStyle name="Percent 2 7 4 2" xfId="4403" xr:uid="{00000000-0005-0000-0000-000033110000}"/>
    <cellStyle name="Percent 2 7 5" xfId="4404" xr:uid="{00000000-0005-0000-0000-000034110000}"/>
    <cellStyle name="Percent 2 7 5 2" xfId="4405" xr:uid="{00000000-0005-0000-0000-000035110000}"/>
    <cellStyle name="Percent 2 7 6" xfId="4406" xr:uid="{00000000-0005-0000-0000-000036110000}"/>
    <cellStyle name="Percent 2 7 6 2" xfId="4407" xr:uid="{00000000-0005-0000-0000-000037110000}"/>
    <cellStyle name="Percent 2 7 7" xfId="4408" xr:uid="{00000000-0005-0000-0000-000038110000}"/>
    <cellStyle name="Percent 2 7 7 2" xfId="4409" xr:uid="{00000000-0005-0000-0000-000039110000}"/>
    <cellStyle name="Percent 2 7 8" xfId="4410" xr:uid="{00000000-0005-0000-0000-00003A110000}"/>
    <cellStyle name="Percent 2 7 8 2" xfId="4411" xr:uid="{00000000-0005-0000-0000-00003B110000}"/>
    <cellStyle name="Percent 2 7 9" xfId="4412" xr:uid="{00000000-0005-0000-0000-00003C110000}"/>
    <cellStyle name="Percent 2 8" xfId="4413" xr:uid="{00000000-0005-0000-0000-00003D110000}"/>
    <cellStyle name="Percent 2 8 2" xfId="4414" xr:uid="{00000000-0005-0000-0000-00003E110000}"/>
    <cellStyle name="Percent 2 8 2 2" xfId="4415" xr:uid="{00000000-0005-0000-0000-00003F110000}"/>
    <cellStyle name="Percent 2 8 3" xfId="4416" xr:uid="{00000000-0005-0000-0000-000040110000}"/>
    <cellStyle name="Percent 2 8 3 2" xfId="4417" xr:uid="{00000000-0005-0000-0000-000041110000}"/>
    <cellStyle name="Percent 2 8 4" xfId="4418" xr:uid="{00000000-0005-0000-0000-000042110000}"/>
    <cellStyle name="Percent 2 8 4 2" xfId="4419" xr:uid="{00000000-0005-0000-0000-000043110000}"/>
    <cellStyle name="Percent 2 8 5" xfId="4420" xr:uid="{00000000-0005-0000-0000-000044110000}"/>
    <cellStyle name="Percent 2 8 5 2" xfId="4421" xr:uid="{00000000-0005-0000-0000-000045110000}"/>
    <cellStyle name="Percent 2 8 6" xfId="4422" xr:uid="{00000000-0005-0000-0000-000046110000}"/>
    <cellStyle name="Percent 2 8 6 2" xfId="4423" xr:uid="{00000000-0005-0000-0000-000047110000}"/>
    <cellStyle name="Percent 2 8 7" xfId="4424" xr:uid="{00000000-0005-0000-0000-000048110000}"/>
    <cellStyle name="Percent 2 8 7 2" xfId="4425" xr:uid="{00000000-0005-0000-0000-000049110000}"/>
    <cellStyle name="Percent 2 8 8" xfId="4426" xr:uid="{00000000-0005-0000-0000-00004A110000}"/>
    <cellStyle name="Percent 2 8 8 2" xfId="4427" xr:uid="{00000000-0005-0000-0000-00004B110000}"/>
    <cellStyle name="Percent 2 8 9" xfId="4428" xr:uid="{00000000-0005-0000-0000-00004C110000}"/>
    <cellStyle name="Percent 2 9" xfId="4429" xr:uid="{00000000-0005-0000-0000-00004D110000}"/>
    <cellStyle name="Percent 2 9 2" xfId="4430" xr:uid="{00000000-0005-0000-0000-00004E110000}"/>
    <cellStyle name="Percent 2 9 2 2" xfId="4431" xr:uid="{00000000-0005-0000-0000-00004F110000}"/>
    <cellStyle name="Percent 2 9 3" xfId="4432" xr:uid="{00000000-0005-0000-0000-000050110000}"/>
    <cellStyle name="Percent 2 9 3 2" xfId="4433" xr:uid="{00000000-0005-0000-0000-000051110000}"/>
    <cellStyle name="Percent 2 9 4" xfId="4434" xr:uid="{00000000-0005-0000-0000-000052110000}"/>
    <cellStyle name="Percent 2 9 4 2" xfId="4435" xr:uid="{00000000-0005-0000-0000-000053110000}"/>
    <cellStyle name="Percent 2 9 5" xfId="4436" xr:uid="{00000000-0005-0000-0000-000054110000}"/>
    <cellStyle name="Percent 2 9 5 2" xfId="4437" xr:uid="{00000000-0005-0000-0000-000055110000}"/>
    <cellStyle name="Percent 2 9 6" xfId="4438" xr:uid="{00000000-0005-0000-0000-000056110000}"/>
    <cellStyle name="Percent 2 9 6 2" xfId="4439" xr:uid="{00000000-0005-0000-0000-000057110000}"/>
    <cellStyle name="Percent 2 9 7" xfId="4440" xr:uid="{00000000-0005-0000-0000-000058110000}"/>
    <cellStyle name="Percent 2 9 7 2" xfId="4441" xr:uid="{00000000-0005-0000-0000-000059110000}"/>
    <cellStyle name="Percent 2 9 8" xfId="4442" xr:uid="{00000000-0005-0000-0000-00005A110000}"/>
    <cellStyle name="Percent 2 9 8 2" xfId="4443" xr:uid="{00000000-0005-0000-0000-00005B110000}"/>
    <cellStyle name="Percent 2 9 9" xfId="4444" xr:uid="{00000000-0005-0000-0000-00005C110000}"/>
    <cellStyle name="Percent 20" xfId="4445" xr:uid="{00000000-0005-0000-0000-00005D110000}"/>
    <cellStyle name="Percent 20 2" xfId="4446" xr:uid="{00000000-0005-0000-0000-00005E110000}"/>
    <cellStyle name="Percent 20 2 2" xfId="4447" xr:uid="{00000000-0005-0000-0000-00005F110000}"/>
    <cellStyle name="Percent 20 3" xfId="4448" xr:uid="{00000000-0005-0000-0000-000060110000}"/>
    <cellStyle name="Percent 20 3 2" xfId="4449" xr:uid="{00000000-0005-0000-0000-000061110000}"/>
    <cellStyle name="Percent 20 4" xfId="4450" xr:uid="{00000000-0005-0000-0000-000062110000}"/>
    <cellStyle name="Percent 20 4 2" xfId="4451" xr:uid="{00000000-0005-0000-0000-000063110000}"/>
    <cellStyle name="Percent 20 5" xfId="4452" xr:uid="{00000000-0005-0000-0000-000064110000}"/>
    <cellStyle name="Percent 20 5 2" xfId="4453" xr:uid="{00000000-0005-0000-0000-000065110000}"/>
    <cellStyle name="Percent 20 6" xfId="4454" xr:uid="{00000000-0005-0000-0000-000066110000}"/>
    <cellStyle name="Percent 20 6 2" xfId="4455" xr:uid="{00000000-0005-0000-0000-000067110000}"/>
    <cellStyle name="Percent 20 6 3" xfId="4456" xr:uid="{00000000-0005-0000-0000-000068110000}"/>
    <cellStyle name="Percent 20 6 4" xfId="4457" xr:uid="{00000000-0005-0000-0000-000069110000}"/>
    <cellStyle name="Percent 20 7" xfId="4458" xr:uid="{00000000-0005-0000-0000-00006A110000}"/>
    <cellStyle name="Percent 20 7 2" xfId="4459" xr:uid="{00000000-0005-0000-0000-00006B110000}"/>
    <cellStyle name="Percent 20 7 2 2" xfId="4460" xr:uid="{00000000-0005-0000-0000-00006C110000}"/>
    <cellStyle name="Percent 20 7 2 3" xfId="4461" xr:uid="{00000000-0005-0000-0000-00006D110000}"/>
    <cellStyle name="Percent 20 7 2 4" xfId="4462" xr:uid="{00000000-0005-0000-0000-00006E110000}"/>
    <cellStyle name="Percent 20 7 3" xfId="4463" xr:uid="{00000000-0005-0000-0000-00006F110000}"/>
    <cellStyle name="Percent 20 7 3 2" xfId="4464" xr:uid="{00000000-0005-0000-0000-000070110000}"/>
    <cellStyle name="Percent 20 7 3 3" xfId="4465" xr:uid="{00000000-0005-0000-0000-000071110000}"/>
    <cellStyle name="Percent 20 7 3 4" xfId="4466" xr:uid="{00000000-0005-0000-0000-000072110000}"/>
    <cellStyle name="Percent 20 7 4" xfId="4467" xr:uid="{00000000-0005-0000-0000-000073110000}"/>
    <cellStyle name="Percent 20 7 5" xfId="4468" xr:uid="{00000000-0005-0000-0000-000074110000}"/>
    <cellStyle name="Percent 20 7 6" xfId="4469" xr:uid="{00000000-0005-0000-0000-000075110000}"/>
    <cellStyle name="Percent 20 8" xfId="4470" xr:uid="{00000000-0005-0000-0000-000076110000}"/>
    <cellStyle name="Percent 21" xfId="4471" xr:uid="{00000000-0005-0000-0000-000077110000}"/>
    <cellStyle name="Percent 21 10" xfId="4472" xr:uid="{00000000-0005-0000-0000-000078110000}"/>
    <cellStyle name="Percent 21 2" xfId="4473" xr:uid="{00000000-0005-0000-0000-000079110000}"/>
    <cellStyle name="Percent 21 2 2" xfId="4474" xr:uid="{00000000-0005-0000-0000-00007A110000}"/>
    <cellStyle name="Percent 21 2 3" xfId="4475" xr:uid="{00000000-0005-0000-0000-00007B110000}"/>
    <cellStyle name="Percent 21 2 4" xfId="4476" xr:uid="{00000000-0005-0000-0000-00007C110000}"/>
    <cellStyle name="Percent 21 3" xfId="4477" xr:uid="{00000000-0005-0000-0000-00007D110000}"/>
    <cellStyle name="Percent 21 3 2" xfId="4478" xr:uid="{00000000-0005-0000-0000-00007E110000}"/>
    <cellStyle name="Percent 21 3 3" xfId="4479" xr:uid="{00000000-0005-0000-0000-00007F110000}"/>
    <cellStyle name="Percent 21 3 4" xfId="4480" xr:uid="{00000000-0005-0000-0000-000080110000}"/>
    <cellStyle name="Percent 21 4" xfId="4481" xr:uid="{00000000-0005-0000-0000-000081110000}"/>
    <cellStyle name="Percent 21 4 2" xfId="4482" xr:uid="{00000000-0005-0000-0000-000082110000}"/>
    <cellStyle name="Percent 21 4 3" xfId="4483" xr:uid="{00000000-0005-0000-0000-000083110000}"/>
    <cellStyle name="Percent 21 4 4" xfId="4484" xr:uid="{00000000-0005-0000-0000-000084110000}"/>
    <cellStyle name="Percent 21 5" xfId="4485" xr:uid="{00000000-0005-0000-0000-000085110000}"/>
    <cellStyle name="Percent 21 5 2" xfId="4486" xr:uid="{00000000-0005-0000-0000-000086110000}"/>
    <cellStyle name="Percent 21 5 3" xfId="4487" xr:uid="{00000000-0005-0000-0000-000087110000}"/>
    <cellStyle name="Percent 21 5 4" xfId="4488" xr:uid="{00000000-0005-0000-0000-000088110000}"/>
    <cellStyle name="Percent 21 6" xfId="4489" xr:uid="{00000000-0005-0000-0000-000089110000}"/>
    <cellStyle name="Percent 21 6 2" xfId="4490" xr:uid="{00000000-0005-0000-0000-00008A110000}"/>
    <cellStyle name="Percent 21 6 3" xfId="4491" xr:uid="{00000000-0005-0000-0000-00008B110000}"/>
    <cellStyle name="Percent 21 6 4" xfId="4492" xr:uid="{00000000-0005-0000-0000-00008C110000}"/>
    <cellStyle name="Percent 21 7" xfId="4493" xr:uid="{00000000-0005-0000-0000-00008D110000}"/>
    <cellStyle name="Percent 21 7 2" xfId="4494" xr:uid="{00000000-0005-0000-0000-00008E110000}"/>
    <cellStyle name="Percent 21 7 2 2" xfId="4495" xr:uid="{00000000-0005-0000-0000-00008F110000}"/>
    <cellStyle name="Percent 21 7 2 3" xfId="4496" xr:uid="{00000000-0005-0000-0000-000090110000}"/>
    <cellStyle name="Percent 21 7 2 4" xfId="4497" xr:uid="{00000000-0005-0000-0000-000091110000}"/>
    <cellStyle name="Percent 21 7 3" xfId="4498" xr:uid="{00000000-0005-0000-0000-000092110000}"/>
    <cellStyle name="Percent 21 7 3 2" xfId="4499" xr:uid="{00000000-0005-0000-0000-000093110000}"/>
    <cellStyle name="Percent 21 7 3 3" xfId="4500" xr:uid="{00000000-0005-0000-0000-000094110000}"/>
    <cellStyle name="Percent 21 7 3 4" xfId="4501" xr:uid="{00000000-0005-0000-0000-000095110000}"/>
    <cellStyle name="Percent 21 7 4" xfId="4502" xr:uid="{00000000-0005-0000-0000-000096110000}"/>
    <cellStyle name="Percent 21 7 5" xfId="4503" xr:uid="{00000000-0005-0000-0000-000097110000}"/>
    <cellStyle name="Percent 21 7 6" xfId="4504" xr:uid="{00000000-0005-0000-0000-000098110000}"/>
    <cellStyle name="Percent 21 8" xfId="4505" xr:uid="{00000000-0005-0000-0000-000099110000}"/>
    <cellStyle name="Percent 21 9" xfId="4506" xr:uid="{00000000-0005-0000-0000-00009A110000}"/>
    <cellStyle name="Percent 22" xfId="4507" xr:uid="{00000000-0005-0000-0000-00009B110000}"/>
    <cellStyle name="Percent 22 10" xfId="4508" xr:uid="{00000000-0005-0000-0000-00009C110000}"/>
    <cellStyle name="Percent 22 2" xfId="4509" xr:uid="{00000000-0005-0000-0000-00009D110000}"/>
    <cellStyle name="Percent 22 2 2" xfId="4510" xr:uid="{00000000-0005-0000-0000-00009E110000}"/>
    <cellStyle name="Percent 22 2 3" xfId="4511" xr:uid="{00000000-0005-0000-0000-00009F110000}"/>
    <cellStyle name="Percent 22 2 4" xfId="4512" xr:uid="{00000000-0005-0000-0000-0000A0110000}"/>
    <cellStyle name="Percent 22 3" xfId="4513" xr:uid="{00000000-0005-0000-0000-0000A1110000}"/>
    <cellStyle name="Percent 22 3 2" xfId="4514" xr:uid="{00000000-0005-0000-0000-0000A2110000}"/>
    <cellStyle name="Percent 22 3 3" xfId="4515" xr:uid="{00000000-0005-0000-0000-0000A3110000}"/>
    <cellStyle name="Percent 22 3 4" xfId="4516" xr:uid="{00000000-0005-0000-0000-0000A4110000}"/>
    <cellStyle name="Percent 22 4" xfId="4517" xr:uid="{00000000-0005-0000-0000-0000A5110000}"/>
    <cellStyle name="Percent 22 4 2" xfId="4518" xr:uid="{00000000-0005-0000-0000-0000A6110000}"/>
    <cellStyle name="Percent 22 4 3" xfId="4519" xr:uid="{00000000-0005-0000-0000-0000A7110000}"/>
    <cellStyle name="Percent 22 4 4" xfId="4520" xr:uid="{00000000-0005-0000-0000-0000A8110000}"/>
    <cellStyle name="Percent 22 5" xfId="4521" xr:uid="{00000000-0005-0000-0000-0000A9110000}"/>
    <cellStyle name="Percent 22 5 2" xfId="4522" xr:uid="{00000000-0005-0000-0000-0000AA110000}"/>
    <cellStyle name="Percent 22 5 3" xfId="4523" xr:uid="{00000000-0005-0000-0000-0000AB110000}"/>
    <cellStyle name="Percent 22 5 4" xfId="4524" xr:uid="{00000000-0005-0000-0000-0000AC110000}"/>
    <cellStyle name="Percent 22 6" xfId="4525" xr:uid="{00000000-0005-0000-0000-0000AD110000}"/>
    <cellStyle name="Percent 22 6 2" xfId="4526" xr:uid="{00000000-0005-0000-0000-0000AE110000}"/>
    <cellStyle name="Percent 22 6 3" xfId="4527" xr:uid="{00000000-0005-0000-0000-0000AF110000}"/>
    <cellStyle name="Percent 22 6 4" xfId="4528" xr:uid="{00000000-0005-0000-0000-0000B0110000}"/>
    <cellStyle name="Percent 22 7" xfId="4529" xr:uid="{00000000-0005-0000-0000-0000B1110000}"/>
    <cellStyle name="Percent 22 7 2" xfId="4530" xr:uid="{00000000-0005-0000-0000-0000B2110000}"/>
    <cellStyle name="Percent 22 7 2 2" xfId="4531" xr:uid="{00000000-0005-0000-0000-0000B3110000}"/>
    <cellStyle name="Percent 22 7 2 3" xfId="4532" xr:uid="{00000000-0005-0000-0000-0000B4110000}"/>
    <cellStyle name="Percent 22 7 2 4" xfId="4533" xr:uid="{00000000-0005-0000-0000-0000B5110000}"/>
    <cellStyle name="Percent 22 7 3" xfId="4534" xr:uid="{00000000-0005-0000-0000-0000B6110000}"/>
    <cellStyle name="Percent 22 7 3 2" xfId="4535" xr:uid="{00000000-0005-0000-0000-0000B7110000}"/>
    <cellStyle name="Percent 22 7 3 3" xfId="4536" xr:uid="{00000000-0005-0000-0000-0000B8110000}"/>
    <cellStyle name="Percent 22 7 3 4" xfId="4537" xr:uid="{00000000-0005-0000-0000-0000B9110000}"/>
    <cellStyle name="Percent 22 7 4" xfId="4538" xr:uid="{00000000-0005-0000-0000-0000BA110000}"/>
    <cellStyle name="Percent 22 7 5" xfId="4539" xr:uid="{00000000-0005-0000-0000-0000BB110000}"/>
    <cellStyle name="Percent 22 7 6" xfId="4540" xr:uid="{00000000-0005-0000-0000-0000BC110000}"/>
    <cellStyle name="Percent 22 8" xfId="4541" xr:uid="{00000000-0005-0000-0000-0000BD110000}"/>
    <cellStyle name="Percent 22 9" xfId="4542" xr:uid="{00000000-0005-0000-0000-0000BE110000}"/>
    <cellStyle name="Percent 23" xfId="4543" xr:uid="{00000000-0005-0000-0000-0000BF110000}"/>
    <cellStyle name="Percent 23 10" xfId="4544" xr:uid="{00000000-0005-0000-0000-0000C0110000}"/>
    <cellStyle name="Percent 23 2" xfId="4545" xr:uid="{00000000-0005-0000-0000-0000C1110000}"/>
    <cellStyle name="Percent 23 2 2" xfId="4546" xr:uid="{00000000-0005-0000-0000-0000C2110000}"/>
    <cellStyle name="Percent 23 2 3" xfId="4547" xr:uid="{00000000-0005-0000-0000-0000C3110000}"/>
    <cellStyle name="Percent 23 2 4" xfId="4548" xr:uid="{00000000-0005-0000-0000-0000C4110000}"/>
    <cellStyle name="Percent 23 3" xfId="4549" xr:uid="{00000000-0005-0000-0000-0000C5110000}"/>
    <cellStyle name="Percent 23 3 2" xfId="4550" xr:uid="{00000000-0005-0000-0000-0000C6110000}"/>
    <cellStyle name="Percent 23 3 3" xfId="4551" xr:uid="{00000000-0005-0000-0000-0000C7110000}"/>
    <cellStyle name="Percent 23 3 4" xfId="4552" xr:uid="{00000000-0005-0000-0000-0000C8110000}"/>
    <cellStyle name="Percent 23 4" xfId="4553" xr:uid="{00000000-0005-0000-0000-0000C9110000}"/>
    <cellStyle name="Percent 23 4 2" xfId="4554" xr:uid="{00000000-0005-0000-0000-0000CA110000}"/>
    <cellStyle name="Percent 23 4 3" xfId="4555" xr:uid="{00000000-0005-0000-0000-0000CB110000}"/>
    <cellStyle name="Percent 23 4 4" xfId="4556" xr:uid="{00000000-0005-0000-0000-0000CC110000}"/>
    <cellStyle name="Percent 23 5" xfId="4557" xr:uid="{00000000-0005-0000-0000-0000CD110000}"/>
    <cellStyle name="Percent 23 5 2" xfId="4558" xr:uid="{00000000-0005-0000-0000-0000CE110000}"/>
    <cellStyle name="Percent 23 5 3" xfId="4559" xr:uid="{00000000-0005-0000-0000-0000CF110000}"/>
    <cellStyle name="Percent 23 5 4" xfId="4560" xr:uid="{00000000-0005-0000-0000-0000D0110000}"/>
    <cellStyle name="Percent 23 6" xfId="4561" xr:uid="{00000000-0005-0000-0000-0000D1110000}"/>
    <cellStyle name="Percent 23 6 2" xfId="4562" xr:uid="{00000000-0005-0000-0000-0000D2110000}"/>
    <cellStyle name="Percent 23 6 3" xfId="4563" xr:uid="{00000000-0005-0000-0000-0000D3110000}"/>
    <cellStyle name="Percent 23 6 4" xfId="4564" xr:uid="{00000000-0005-0000-0000-0000D4110000}"/>
    <cellStyle name="Percent 23 7" xfId="4565" xr:uid="{00000000-0005-0000-0000-0000D5110000}"/>
    <cellStyle name="Percent 23 7 2" xfId="4566" xr:uid="{00000000-0005-0000-0000-0000D6110000}"/>
    <cellStyle name="Percent 23 7 2 2" xfId="4567" xr:uid="{00000000-0005-0000-0000-0000D7110000}"/>
    <cellStyle name="Percent 23 7 2 3" xfId="4568" xr:uid="{00000000-0005-0000-0000-0000D8110000}"/>
    <cellStyle name="Percent 23 7 2 4" xfId="4569" xr:uid="{00000000-0005-0000-0000-0000D9110000}"/>
    <cellStyle name="Percent 23 7 3" xfId="4570" xr:uid="{00000000-0005-0000-0000-0000DA110000}"/>
    <cellStyle name="Percent 23 7 3 2" xfId="4571" xr:uid="{00000000-0005-0000-0000-0000DB110000}"/>
    <cellStyle name="Percent 23 7 3 3" xfId="4572" xr:uid="{00000000-0005-0000-0000-0000DC110000}"/>
    <cellStyle name="Percent 23 7 3 4" xfId="4573" xr:uid="{00000000-0005-0000-0000-0000DD110000}"/>
    <cellStyle name="Percent 23 7 4" xfId="4574" xr:uid="{00000000-0005-0000-0000-0000DE110000}"/>
    <cellStyle name="Percent 23 7 5" xfId="4575" xr:uid="{00000000-0005-0000-0000-0000DF110000}"/>
    <cellStyle name="Percent 23 7 6" xfId="4576" xr:uid="{00000000-0005-0000-0000-0000E0110000}"/>
    <cellStyle name="Percent 23 8" xfId="4577" xr:uid="{00000000-0005-0000-0000-0000E1110000}"/>
    <cellStyle name="Percent 23 9" xfId="4578" xr:uid="{00000000-0005-0000-0000-0000E2110000}"/>
    <cellStyle name="Percent 24" xfId="4579" xr:uid="{00000000-0005-0000-0000-0000E3110000}"/>
    <cellStyle name="Percent 24 2" xfId="4580" xr:uid="{00000000-0005-0000-0000-0000E4110000}"/>
    <cellStyle name="Percent 24 2 2" xfId="4581" xr:uid="{00000000-0005-0000-0000-0000E5110000}"/>
    <cellStyle name="Percent 24 2 3" xfId="4582" xr:uid="{00000000-0005-0000-0000-0000E6110000}"/>
    <cellStyle name="Percent 24 2 4" xfId="4583" xr:uid="{00000000-0005-0000-0000-0000E7110000}"/>
    <cellStyle name="Percent 24 3" xfId="4584" xr:uid="{00000000-0005-0000-0000-0000E8110000}"/>
    <cellStyle name="Percent 24 3 2" xfId="4585" xr:uid="{00000000-0005-0000-0000-0000E9110000}"/>
    <cellStyle name="Percent 24 3 3" xfId="4586" xr:uid="{00000000-0005-0000-0000-0000EA110000}"/>
    <cellStyle name="Percent 24 3 4" xfId="4587" xr:uid="{00000000-0005-0000-0000-0000EB110000}"/>
    <cellStyle name="Percent 24 4" xfId="4588" xr:uid="{00000000-0005-0000-0000-0000EC110000}"/>
    <cellStyle name="Percent 24 4 2" xfId="4589" xr:uid="{00000000-0005-0000-0000-0000ED110000}"/>
    <cellStyle name="Percent 24 4 3" xfId="4590" xr:uid="{00000000-0005-0000-0000-0000EE110000}"/>
    <cellStyle name="Percent 24 4 4" xfId="4591" xr:uid="{00000000-0005-0000-0000-0000EF110000}"/>
    <cellStyle name="Percent 24 5" xfId="4592" xr:uid="{00000000-0005-0000-0000-0000F0110000}"/>
    <cellStyle name="Percent 24 5 2" xfId="4593" xr:uid="{00000000-0005-0000-0000-0000F1110000}"/>
    <cellStyle name="Percent 24 5 3" xfId="4594" xr:uid="{00000000-0005-0000-0000-0000F2110000}"/>
    <cellStyle name="Percent 24 5 4" xfId="4595" xr:uid="{00000000-0005-0000-0000-0000F3110000}"/>
    <cellStyle name="Percent 24 6" xfId="4596" xr:uid="{00000000-0005-0000-0000-0000F4110000}"/>
    <cellStyle name="Percent 24 6 2" xfId="4597" xr:uid="{00000000-0005-0000-0000-0000F5110000}"/>
    <cellStyle name="Percent 24 6 3" xfId="4598" xr:uid="{00000000-0005-0000-0000-0000F6110000}"/>
    <cellStyle name="Percent 24 6 4" xfId="4599" xr:uid="{00000000-0005-0000-0000-0000F7110000}"/>
    <cellStyle name="Percent 24 7" xfId="4600" xr:uid="{00000000-0005-0000-0000-0000F8110000}"/>
    <cellStyle name="Percent 24 7 2" xfId="4601" xr:uid="{00000000-0005-0000-0000-0000F9110000}"/>
    <cellStyle name="Percent 24 7 2 2" xfId="4602" xr:uid="{00000000-0005-0000-0000-0000FA110000}"/>
    <cellStyle name="Percent 24 7 2 3" xfId="4603" xr:uid="{00000000-0005-0000-0000-0000FB110000}"/>
    <cellStyle name="Percent 24 7 2 4" xfId="4604" xr:uid="{00000000-0005-0000-0000-0000FC110000}"/>
    <cellStyle name="Percent 24 7 3" xfId="4605" xr:uid="{00000000-0005-0000-0000-0000FD110000}"/>
    <cellStyle name="Percent 24 7 3 2" xfId="4606" xr:uid="{00000000-0005-0000-0000-0000FE110000}"/>
    <cellStyle name="Percent 24 7 3 3" xfId="4607" xr:uid="{00000000-0005-0000-0000-0000FF110000}"/>
    <cellStyle name="Percent 24 7 3 4" xfId="4608" xr:uid="{00000000-0005-0000-0000-000000120000}"/>
    <cellStyle name="Percent 24 7 4" xfId="4609" xr:uid="{00000000-0005-0000-0000-000001120000}"/>
    <cellStyle name="Percent 24 7 5" xfId="4610" xr:uid="{00000000-0005-0000-0000-000002120000}"/>
    <cellStyle name="Percent 24 7 6" xfId="4611" xr:uid="{00000000-0005-0000-0000-000003120000}"/>
    <cellStyle name="Percent 25" xfId="4612" xr:uid="{00000000-0005-0000-0000-000004120000}"/>
    <cellStyle name="Percent 25 10" xfId="4613" xr:uid="{00000000-0005-0000-0000-000005120000}"/>
    <cellStyle name="Percent 25 2" xfId="4614" xr:uid="{00000000-0005-0000-0000-000006120000}"/>
    <cellStyle name="Percent 25 2 2" xfId="4615" xr:uid="{00000000-0005-0000-0000-000007120000}"/>
    <cellStyle name="Percent 25 2 3" xfId="4616" xr:uid="{00000000-0005-0000-0000-000008120000}"/>
    <cellStyle name="Percent 25 2 4" xfId="4617" xr:uid="{00000000-0005-0000-0000-000009120000}"/>
    <cellStyle name="Percent 25 3" xfId="4618" xr:uid="{00000000-0005-0000-0000-00000A120000}"/>
    <cellStyle name="Percent 25 3 2" xfId="4619" xr:uid="{00000000-0005-0000-0000-00000B120000}"/>
    <cellStyle name="Percent 25 3 3" xfId="4620" xr:uid="{00000000-0005-0000-0000-00000C120000}"/>
    <cellStyle name="Percent 25 3 4" xfId="4621" xr:uid="{00000000-0005-0000-0000-00000D120000}"/>
    <cellStyle name="Percent 25 4" xfId="4622" xr:uid="{00000000-0005-0000-0000-00000E120000}"/>
    <cellStyle name="Percent 25 4 2" xfId="4623" xr:uid="{00000000-0005-0000-0000-00000F120000}"/>
    <cellStyle name="Percent 25 4 3" xfId="4624" xr:uid="{00000000-0005-0000-0000-000010120000}"/>
    <cellStyle name="Percent 25 4 4" xfId="4625" xr:uid="{00000000-0005-0000-0000-000011120000}"/>
    <cellStyle name="Percent 25 5" xfId="4626" xr:uid="{00000000-0005-0000-0000-000012120000}"/>
    <cellStyle name="Percent 25 5 2" xfId="4627" xr:uid="{00000000-0005-0000-0000-000013120000}"/>
    <cellStyle name="Percent 25 5 3" xfId="4628" xr:uid="{00000000-0005-0000-0000-000014120000}"/>
    <cellStyle name="Percent 25 5 4" xfId="4629" xr:uid="{00000000-0005-0000-0000-000015120000}"/>
    <cellStyle name="Percent 25 6" xfId="4630" xr:uid="{00000000-0005-0000-0000-000016120000}"/>
    <cellStyle name="Percent 25 6 2" xfId="4631" xr:uid="{00000000-0005-0000-0000-000017120000}"/>
    <cellStyle name="Percent 25 6 3" xfId="4632" xr:uid="{00000000-0005-0000-0000-000018120000}"/>
    <cellStyle name="Percent 25 6 4" xfId="4633" xr:uid="{00000000-0005-0000-0000-000019120000}"/>
    <cellStyle name="Percent 25 7" xfId="4634" xr:uid="{00000000-0005-0000-0000-00001A120000}"/>
    <cellStyle name="Percent 25 7 2" xfId="4635" xr:uid="{00000000-0005-0000-0000-00001B120000}"/>
    <cellStyle name="Percent 25 7 2 2" xfId="4636" xr:uid="{00000000-0005-0000-0000-00001C120000}"/>
    <cellStyle name="Percent 25 7 2 3" xfId="4637" xr:uid="{00000000-0005-0000-0000-00001D120000}"/>
    <cellStyle name="Percent 25 7 2 4" xfId="4638" xr:uid="{00000000-0005-0000-0000-00001E120000}"/>
    <cellStyle name="Percent 25 7 3" xfId="4639" xr:uid="{00000000-0005-0000-0000-00001F120000}"/>
    <cellStyle name="Percent 25 7 3 2" xfId="4640" xr:uid="{00000000-0005-0000-0000-000020120000}"/>
    <cellStyle name="Percent 25 7 3 3" xfId="4641" xr:uid="{00000000-0005-0000-0000-000021120000}"/>
    <cellStyle name="Percent 25 7 3 4" xfId="4642" xr:uid="{00000000-0005-0000-0000-000022120000}"/>
    <cellStyle name="Percent 25 7 4" xfId="4643" xr:uid="{00000000-0005-0000-0000-000023120000}"/>
    <cellStyle name="Percent 25 7 5" xfId="4644" xr:uid="{00000000-0005-0000-0000-000024120000}"/>
    <cellStyle name="Percent 25 7 6" xfId="4645" xr:uid="{00000000-0005-0000-0000-000025120000}"/>
    <cellStyle name="Percent 25 8" xfId="4646" xr:uid="{00000000-0005-0000-0000-000026120000}"/>
    <cellStyle name="Percent 25 9" xfId="4647" xr:uid="{00000000-0005-0000-0000-000027120000}"/>
    <cellStyle name="Percent 26" xfId="4648" xr:uid="{00000000-0005-0000-0000-000028120000}"/>
    <cellStyle name="Percent 26 10" xfId="4649" xr:uid="{00000000-0005-0000-0000-000029120000}"/>
    <cellStyle name="Percent 26 2" xfId="4650" xr:uid="{00000000-0005-0000-0000-00002A120000}"/>
    <cellStyle name="Percent 26 2 2" xfId="4651" xr:uid="{00000000-0005-0000-0000-00002B120000}"/>
    <cellStyle name="Percent 26 2 3" xfId="4652" xr:uid="{00000000-0005-0000-0000-00002C120000}"/>
    <cellStyle name="Percent 26 2 4" xfId="4653" xr:uid="{00000000-0005-0000-0000-00002D120000}"/>
    <cellStyle name="Percent 26 3" xfId="4654" xr:uid="{00000000-0005-0000-0000-00002E120000}"/>
    <cellStyle name="Percent 26 3 2" xfId="4655" xr:uid="{00000000-0005-0000-0000-00002F120000}"/>
    <cellStyle name="Percent 26 3 3" xfId="4656" xr:uid="{00000000-0005-0000-0000-000030120000}"/>
    <cellStyle name="Percent 26 3 4" xfId="4657" xr:uid="{00000000-0005-0000-0000-000031120000}"/>
    <cellStyle name="Percent 26 4" xfId="4658" xr:uid="{00000000-0005-0000-0000-000032120000}"/>
    <cellStyle name="Percent 26 4 2" xfId="4659" xr:uid="{00000000-0005-0000-0000-000033120000}"/>
    <cellStyle name="Percent 26 4 3" xfId="4660" xr:uid="{00000000-0005-0000-0000-000034120000}"/>
    <cellStyle name="Percent 26 4 4" xfId="4661" xr:uid="{00000000-0005-0000-0000-000035120000}"/>
    <cellStyle name="Percent 26 5" xfId="4662" xr:uid="{00000000-0005-0000-0000-000036120000}"/>
    <cellStyle name="Percent 26 5 2" xfId="4663" xr:uid="{00000000-0005-0000-0000-000037120000}"/>
    <cellStyle name="Percent 26 5 3" xfId="4664" xr:uid="{00000000-0005-0000-0000-000038120000}"/>
    <cellStyle name="Percent 26 5 4" xfId="4665" xr:uid="{00000000-0005-0000-0000-000039120000}"/>
    <cellStyle name="Percent 26 6" xfId="4666" xr:uid="{00000000-0005-0000-0000-00003A120000}"/>
    <cellStyle name="Percent 26 6 2" xfId="4667" xr:uid="{00000000-0005-0000-0000-00003B120000}"/>
    <cellStyle name="Percent 26 6 3" xfId="4668" xr:uid="{00000000-0005-0000-0000-00003C120000}"/>
    <cellStyle name="Percent 26 6 4" xfId="4669" xr:uid="{00000000-0005-0000-0000-00003D120000}"/>
    <cellStyle name="Percent 26 7" xfId="4670" xr:uid="{00000000-0005-0000-0000-00003E120000}"/>
    <cellStyle name="Percent 26 7 2" xfId="4671" xr:uid="{00000000-0005-0000-0000-00003F120000}"/>
    <cellStyle name="Percent 26 7 2 2" xfId="4672" xr:uid="{00000000-0005-0000-0000-000040120000}"/>
    <cellStyle name="Percent 26 7 2 3" xfId="4673" xr:uid="{00000000-0005-0000-0000-000041120000}"/>
    <cellStyle name="Percent 26 7 2 4" xfId="4674" xr:uid="{00000000-0005-0000-0000-000042120000}"/>
    <cellStyle name="Percent 26 7 3" xfId="4675" xr:uid="{00000000-0005-0000-0000-000043120000}"/>
    <cellStyle name="Percent 26 7 3 2" xfId="4676" xr:uid="{00000000-0005-0000-0000-000044120000}"/>
    <cellStyle name="Percent 26 7 3 3" xfId="4677" xr:uid="{00000000-0005-0000-0000-000045120000}"/>
    <cellStyle name="Percent 26 7 3 4" xfId="4678" xr:uid="{00000000-0005-0000-0000-000046120000}"/>
    <cellStyle name="Percent 26 7 4" xfId="4679" xr:uid="{00000000-0005-0000-0000-000047120000}"/>
    <cellStyle name="Percent 26 7 5" xfId="4680" xr:uid="{00000000-0005-0000-0000-000048120000}"/>
    <cellStyle name="Percent 26 7 6" xfId="4681" xr:uid="{00000000-0005-0000-0000-000049120000}"/>
    <cellStyle name="Percent 26 8" xfId="4682" xr:uid="{00000000-0005-0000-0000-00004A120000}"/>
    <cellStyle name="Percent 26 9" xfId="4683" xr:uid="{00000000-0005-0000-0000-00004B120000}"/>
    <cellStyle name="Percent 27" xfId="4684" xr:uid="{00000000-0005-0000-0000-00004C120000}"/>
    <cellStyle name="Percent 27 2" xfId="4685" xr:uid="{00000000-0005-0000-0000-00004D120000}"/>
    <cellStyle name="Percent 27 3" xfId="4686" xr:uid="{00000000-0005-0000-0000-00004E120000}"/>
    <cellStyle name="Percent 27 4" xfId="4687" xr:uid="{00000000-0005-0000-0000-00004F120000}"/>
    <cellStyle name="Percent 3" xfId="4688" xr:uid="{00000000-0005-0000-0000-000050120000}"/>
    <cellStyle name="Percent 3 10" xfId="4689" xr:uid="{00000000-0005-0000-0000-000051120000}"/>
    <cellStyle name="Percent 3 10 10" xfId="4690" xr:uid="{00000000-0005-0000-0000-000052120000}"/>
    <cellStyle name="Percent 3 10 10 2" xfId="4691" xr:uid="{00000000-0005-0000-0000-000053120000}"/>
    <cellStyle name="Percent 3 10 10 3" xfId="4692" xr:uid="{00000000-0005-0000-0000-000054120000}"/>
    <cellStyle name="Percent 3 10 10 4" xfId="4693" xr:uid="{00000000-0005-0000-0000-000055120000}"/>
    <cellStyle name="Percent 3 10 11" xfId="4694" xr:uid="{00000000-0005-0000-0000-000056120000}"/>
    <cellStyle name="Percent 3 10 11 2" xfId="4695" xr:uid="{00000000-0005-0000-0000-000057120000}"/>
    <cellStyle name="Percent 3 10 11 3" xfId="4696" xr:uid="{00000000-0005-0000-0000-000058120000}"/>
    <cellStyle name="Percent 3 10 11 4" xfId="4697" xr:uid="{00000000-0005-0000-0000-000059120000}"/>
    <cellStyle name="Percent 3 10 12" xfId="4698" xr:uid="{00000000-0005-0000-0000-00005A120000}"/>
    <cellStyle name="Percent 3 10 12 2" xfId="4699" xr:uid="{00000000-0005-0000-0000-00005B120000}"/>
    <cellStyle name="Percent 3 10 12 3" xfId="4700" xr:uid="{00000000-0005-0000-0000-00005C120000}"/>
    <cellStyle name="Percent 3 10 12 4" xfId="4701" xr:uid="{00000000-0005-0000-0000-00005D120000}"/>
    <cellStyle name="Percent 3 10 13" xfId="4702" xr:uid="{00000000-0005-0000-0000-00005E120000}"/>
    <cellStyle name="Percent 3 10 13 2" xfId="4703" xr:uid="{00000000-0005-0000-0000-00005F120000}"/>
    <cellStyle name="Percent 3 10 13 3" xfId="4704" xr:uid="{00000000-0005-0000-0000-000060120000}"/>
    <cellStyle name="Percent 3 10 13 4" xfId="4705" xr:uid="{00000000-0005-0000-0000-000061120000}"/>
    <cellStyle name="Percent 3 10 14" xfId="4706" xr:uid="{00000000-0005-0000-0000-000062120000}"/>
    <cellStyle name="Percent 3 10 14 2" xfId="4707" xr:uid="{00000000-0005-0000-0000-000063120000}"/>
    <cellStyle name="Percent 3 10 14 3" xfId="4708" xr:uid="{00000000-0005-0000-0000-000064120000}"/>
    <cellStyle name="Percent 3 10 14 4" xfId="4709" xr:uid="{00000000-0005-0000-0000-000065120000}"/>
    <cellStyle name="Percent 3 10 15" xfId="4710" xr:uid="{00000000-0005-0000-0000-000066120000}"/>
    <cellStyle name="Percent 3 10 15 2" xfId="4711" xr:uid="{00000000-0005-0000-0000-000067120000}"/>
    <cellStyle name="Percent 3 10 15 3" xfId="4712" xr:uid="{00000000-0005-0000-0000-000068120000}"/>
    <cellStyle name="Percent 3 10 15 4" xfId="4713" xr:uid="{00000000-0005-0000-0000-000069120000}"/>
    <cellStyle name="Percent 3 10 16" xfId="4714" xr:uid="{00000000-0005-0000-0000-00006A120000}"/>
    <cellStyle name="Percent 3 10 17" xfId="4715" xr:uid="{00000000-0005-0000-0000-00006B120000}"/>
    <cellStyle name="Percent 3 10 18" xfId="4716" xr:uid="{00000000-0005-0000-0000-00006C120000}"/>
    <cellStyle name="Percent 3 10 2" xfId="4717" xr:uid="{00000000-0005-0000-0000-00006D120000}"/>
    <cellStyle name="Percent 3 10 2 2" xfId="4718" xr:uid="{00000000-0005-0000-0000-00006E120000}"/>
    <cellStyle name="Percent 3 10 2 3" xfId="4719" xr:uid="{00000000-0005-0000-0000-00006F120000}"/>
    <cellStyle name="Percent 3 10 2 4" xfId="4720" xr:uid="{00000000-0005-0000-0000-000070120000}"/>
    <cellStyle name="Percent 3 10 3" xfId="4721" xr:uid="{00000000-0005-0000-0000-000071120000}"/>
    <cellStyle name="Percent 3 10 3 2" xfId="4722" xr:uid="{00000000-0005-0000-0000-000072120000}"/>
    <cellStyle name="Percent 3 10 3 3" xfId="4723" xr:uid="{00000000-0005-0000-0000-000073120000}"/>
    <cellStyle name="Percent 3 10 3 4" xfId="4724" xr:uid="{00000000-0005-0000-0000-000074120000}"/>
    <cellStyle name="Percent 3 10 4" xfId="4725" xr:uid="{00000000-0005-0000-0000-000075120000}"/>
    <cellStyle name="Percent 3 10 4 2" xfId="4726" xr:uid="{00000000-0005-0000-0000-000076120000}"/>
    <cellStyle name="Percent 3 10 4 3" xfId="4727" xr:uid="{00000000-0005-0000-0000-000077120000}"/>
    <cellStyle name="Percent 3 10 4 4" xfId="4728" xr:uid="{00000000-0005-0000-0000-000078120000}"/>
    <cellStyle name="Percent 3 10 5" xfId="4729" xr:uid="{00000000-0005-0000-0000-000079120000}"/>
    <cellStyle name="Percent 3 10 5 2" xfId="4730" xr:uid="{00000000-0005-0000-0000-00007A120000}"/>
    <cellStyle name="Percent 3 10 5 3" xfId="4731" xr:uid="{00000000-0005-0000-0000-00007B120000}"/>
    <cellStyle name="Percent 3 10 5 4" xfId="4732" xr:uid="{00000000-0005-0000-0000-00007C120000}"/>
    <cellStyle name="Percent 3 10 6" xfId="4733" xr:uid="{00000000-0005-0000-0000-00007D120000}"/>
    <cellStyle name="Percent 3 10 6 2" xfId="4734" xr:uid="{00000000-0005-0000-0000-00007E120000}"/>
    <cellStyle name="Percent 3 10 6 3" xfId="4735" xr:uid="{00000000-0005-0000-0000-00007F120000}"/>
    <cellStyle name="Percent 3 10 6 4" xfId="4736" xr:uid="{00000000-0005-0000-0000-000080120000}"/>
    <cellStyle name="Percent 3 10 7" xfId="4737" xr:uid="{00000000-0005-0000-0000-000081120000}"/>
    <cellStyle name="Percent 3 10 7 2" xfId="4738" xr:uid="{00000000-0005-0000-0000-000082120000}"/>
    <cellStyle name="Percent 3 10 7 3" xfId="4739" xr:uid="{00000000-0005-0000-0000-000083120000}"/>
    <cellStyle name="Percent 3 10 7 4" xfId="4740" xr:uid="{00000000-0005-0000-0000-000084120000}"/>
    <cellStyle name="Percent 3 10 8" xfId="4741" xr:uid="{00000000-0005-0000-0000-000085120000}"/>
    <cellStyle name="Percent 3 10 8 2" xfId="4742" xr:uid="{00000000-0005-0000-0000-000086120000}"/>
    <cellStyle name="Percent 3 10 8 3" xfId="4743" xr:uid="{00000000-0005-0000-0000-000087120000}"/>
    <cellStyle name="Percent 3 10 8 4" xfId="4744" xr:uid="{00000000-0005-0000-0000-000088120000}"/>
    <cellStyle name="Percent 3 10 9" xfId="4745" xr:uid="{00000000-0005-0000-0000-000089120000}"/>
    <cellStyle name="Percent 3 10 9 2" xfId="4746" xr:uid="{00000000-0005-0000-0000-00008A120000}"/>
    <cellStyle name="Percent 3 10 9 3" xfId="4747" xr:uid="{00000000-0005-0000-0000-00008B120000}"/>
    <cellStyle name="Percent 3 10 9 4" xfId="4748" xr:uid="{00000000-0005-0000-0000-00008C120000}"/>
    <cellStyle name="Percent 3 11" xfId="4749" xr:uid="{00000000-0005-0000-0000-00008D120000}"/>
    <cellStyle name="Percent 3 11 2" xfId="4750" xr:uid="{00000000-0005-0000-0000-00008E120000}"/>
    <cellStyle name="Percent 3 11 3" xfId="4751" xr:uid="{00000000-0005-0000-0000-00008F120000}"/>
    <cellStyle name="Percent 3 11 4" xfId="4752" xr:uid="{00000000-0005-0000-0000-000090120000}"/>
    <cellStyle name="Percent 3 12" xfId="4753" xr:uid="{00000000-0005-0000-0000-000091120000}"/>
    <cellStyle name="Percent 3 12 2" xfId="4754" xr:uid="{00000000-0005-0000-0000-000092120000}"/>
    <cellStyle name="Percent 3 12 3" xfId="4755" xr:uid="{00000000-0005-0000-0000-000093120000}"/>
    <cellStyle name="Percent 3 12 4" xfId="4756" xr:uid="{00000000-0005-0000-0000-000094120000}"/>
    <cellStyle name="Percent 3 13" xfId="4757" xr:uid="{00000000-0005-0000-0000-000095120000}"/>
    <cellStyle name="Percent 3 13 2" xfId="4758" xr:uid="{00000000-0005-0000-0000-000096120000}"/>
    <cellStyle name="Percent 3 13 3" xfId="4759" xr:uid="{00000000-0005-0000-0000-000097120000}"/>
    <cellStyle name="Percent 3 13 4" xfId="4760" xr:uid="{00000000-0005-0000-0000-000098120000}"/>
    <cellStyle name="Percent 3 14" xfId="4761" xr:uid="{00000000-0005-0000-0000-000099120000}"/>
    <cellStyle name="Percent 3 14 2" xfId="4762" xr:uid="{00000000-0005-0000-0000-00009A120000}"/>
    <cellStyle name="Percent 3 14 3" xfId="4763" xr:uid="{00000000-0005-0000-0000-00009B120000}"/>
    <cellStyle name="Percent 3 14 4" xfId="4764" xr:uid="{00000000-0005-0000-0000-00009C120000}"/>
    <cellStyle name="Percent 3 15" xfId="4765" xr:uid="{00000000-0005-0000-0000-00009D120000}"/>
    <cellStyle name="Percent 3 15 2" xfId="4766" xr:uid="{00000000-0005-0000-0000-00009E120000}"/>
    <cellStyle name="Percent 3 15 3" xfId="4767" xr:uid="{00000000-0005-0000-0000-00009F120000}"/>
    <cellStyle name="Percent 3 15 4" xfId="4768" xr:uid="{00000000-0005-0000-0000-0000A0120000}"/>
    <cellStyle name="Percent 3 16" xfId="4769" xr:uid="{00000000-0005-0000-0000-0000A1120000}"/>
    <cellStyle name="Percent 3 16 2" xfId="4770" xr:uid="{00000000-0005-0000-0000-0000A2120000}"/>
    <cellStyle name="Percent 3 16 3" xfId="4771" xr:uid="{00000000-0005-0000-0000-0000A3120000}"/>
    <cellStyle name="Percent 3 16 4" xfId="4772" xr:uid="{00000000-0005-0000-0000-0000A4120000}"/>
    <cellStyle name="Percent 3 17" xfId="4773" xr:uid="{00000000-0005-0000-0000-0000A5120000}"/>
    <cellStyle name="Percent 3 17 2" xfId="4774" xr:uid="{00000000-0005-0000-0000-0000A6120000}"/>
    <cellStyle name="Percent 3 17 3" xfId="4775" xr:uid="{00000000-0005-0000-0000-0000A7120000}"/>
    <cellStyle name="Percent 3 17 4" xfId="4776" xr:uid="{00000000-0005-0000-0000-0000A8120000}"/>
    <cellStyle name="Percent 3 18" xfId="4777" xr:uid="{00000000-0005-0000-0000-0000A9120000}"/>
    <cellStyle name="Percent 3 18 2" xfId="4778" xr:uid="{00000000-0005-0000-0000-0000AA120000}"/>
    <cellStyle name="Percent 3 18 3" xfId="4779" xr:uid="{00000000-0005-0000-0000-0000AB120000}"/>
    <cellStyle name="Percent 3 18 4" xfId="4780" xr:uid="{00000000-0005-0000-0000-0000AC120000}"/>
    <cellStyle name="Percent 3 19" xfId="4781" xr:uid="{00000000-0005-0000-0000-0000AD120000}"/>
    <cellStyle name="Percent 3 19 2" xfId="4782" xr:uid="{00000000-0005-0000-0000-0000AE120000}"/>
    <cellStyle name="Percent 3 19 3" xfId="4783" xr:uid="{00000000-0005-0000-0000-0000AF120000}"/>
    <cellStyle name="Percent 3 19 4" xfId="4784" xr:uid="{00000000-0005-0000-0000-0000B0120000}"/>
    <cellStyle name="Percent 3 2" xfId="4785" xr:uid="{00000000-0005-0000-0000-0000B1120000}"/>
    <cellStyle name="Percent 3 2 10" xfId="4786" xr:uid="{00000000-0005-0000-0000-0000B2120000}"/>
    <cellStyle name="Percent 3 2 10 2" xfId="4787" xr:uid="{00000000-0005-0000-0000-0000B3120000}"/>
    <cellStyle name="Percent 3 2 10 3" xfId="4788" xr:uid="{00000000-0005-0000-0000-0000B4120000}"/>
    <cellStyle name="Percent 3 2 10 4" xfId="4789" xr:uid="{00000000-0005-0000-0000-0000B5120000}"/>
    <cellStyle name="Percent 3 2 11" xfId="4790" xr:uid="{00000000-0005-0000-0000-0000B6120000}"/>
    <cellStyle name="Percent 3 2 11 2" xfId="4791" xr:uid="{00000000-0005-0000-0000-0000B7120000}"/>
    <cellStyle name="Percent 3 2 11 3" xfId="4792" xr:uid="{00000000-0005-0000-0000-0000B8120000}"/>
    <cellStyle name="Percent 3 2 11 4" xfId="4793" xr:uid="{00000000-0005-0000-0000-0000B9120000}"/>
    <cellStyle name="Percent 3 2 12" xfId="4794" xr:uid="{00000000-0005-0000-0000-0000BA120000}"/>
    <cellStyle name="Percent 3 2 12 2" xfId="4795" xr:uid="{00000000-0005-0000-0000-0000BB120000}"/>
    <cellStyle name="Percent 3 2 12 3" xfId="4796" xr:uid="{00000000-0005-0000-0000-0000BC120000}"/>
    <cellStyle name="Percent 3 2 12 4" xfId="4797" xr:uid="{00000000-0005-0000-0000-0000BD120000}"/>
    <cellStyle name="Percent 3 2 13" xfId="4798" xr:uid="{00000000-0005-0000-0000-0000BE120000}"/>
    <cellStyle name="Percent 3 2 13 2" xfId="4799" xr:uid="{00000000-0005-0000-0000-0000BF120000}"/>
    <cellStyle name="Percent 3 2 13 3" xfId="4800" xr:uid="{00000000-0005-0000-0000-0000C0120000}"/>
    <cellStyle name="Percent 3 2 13 4" xfId="4801" xr:uid="{00000000-0005-0000-0000-0000C1120000}"/>
    <cellStyle name="Percent 3 2 14" xfId="4802" xr:uid="{00000000-0005-0000-0000-0000C2120000}"/>
    <cellStyle name="Percent 3 2 14 2" xfId="4803" xr:uid="{00000000-0005-0000-0000-0000C3120000}"/>
    <cellStyle name="Percent 3 2 14 3" xfId="4804" xr:uid="{00000000-0005-0000-0000-0000C4120000}"/>
    <cellStyle name="Percent 3 2 14 4" xfId="4805" xr:uid="{00000000-0005-0000-0000-0000C5120000}"/>
    <cellStyle name="Percent 3 2 15" xfId="4806" xr:uid="{00000000-0005-0000-0000-0000C6120000}"/>
    <cellStyle name="Percent 3 2 15 2" xfId="4807" xr:uid="{00000000-0005-0000-0000-0000C7120000}"/>
    <cellStyle name="Percent 3 2 15 3" xfId="4808" xr:uid="{00000000-0005-0000-0000-0000C8120000}"/>
    <cellStyle name="Percent 3 2 15 4" xfId="4809" xr:uid="{00000000-0005-0000-0000-0000C9120000}"/>
    <cellStyle name="Percent 3 2 16" xfId="4810" xr:uid="{00000000-0005-0000-0000-0000CA120000}"/>
    <cellStyle name="Percent 3 2 16 2" xfId="4811" xr:uid="{00000000-0005-0000-0000-0000CB120000}"/>
    <cellStyle name="Percent 3 2 16 3" xfId="4812" xr:uid="{00000000-0005-0000-0000-0000CC120000}"/>
    <cellStyle name="Percent 3 2 16 4" xfId="4813" xr:uid="{00000000-0005-0000-0000-0000CD120000}"/>
    <cellStyle name="Percent 3 2 17" xfId="4814" xr:uid="{00000000-0005-0000-0000-0000CE120000}"/>
    <cellStyle name="Percent 3 2 17 2" xfId="4815" xr:uid="{00000000-0005-0000-0000-0000CF120000}"/>
    <cellStyle name="Percent 3 2 17 3" xfId="4816" xr:uid="{00000000-0005-0000-0000-0000D0120000}"/>
    <cellStyle name="Percent 3 2 18" xfId="4817" xr:uid="{00000000-0005-0000-0000-0000D1120000}"/>
    <cellStyle name="Percent 3 2 18 2" xfId="4818" xr:uid="{00000000-0005-0000-0000-0000D2120000}"/>
    <cellStyle name="Percent 3 2 19" xfId="4819" xr:uid="{00000000-0005-0000-0000-0000D3120000}"/>
    <cellStyle name="Percent 3 2 2" xfId="4820" xr:uid="{00000000-0005-0000-0000-0000D4120000}"/>
    <cellStyle name="Percent 3 2 2 2" xfId="4821" xr:uid="{00000000-0005-0000-0000-0000D5120000}"/>
    <cellStyle name="Percent 3 2 2 2 2" xfId="4822" xr:uid="{00000000-0005-0000-0000-0000D6120000}"/>
    <cellStyle name="Percent 3 2 2 2 2 2" xfId="4823" xr:uid="{00000000-0005-0000-0000-0000D7120000}"/>
    <cellStyle name="Percent 3 2 2 2 3" xfId="4824" xr:uid="{00000000-0005-0000-0000-0000D8120000}"/>
    <cellStyle name="Percent 3 2 2 2 4" xfId="4825" xr:uid="{00000000-0005-0000-0000-0000D9120000}"/>
    <cellStyle name="Percent 3 2 2 3" xfId="4826" xr:uid="{00000000-0005-0000-0000-0000DA120000}"/>
    <cellStyle name="Percent 3 2 2 3 2" xfId="4827" xr:uid="{00000000-0005-0000-0000-0000DB120000}"/>
    <cellStyle name="Percent 3 2 2 4" xfId="4828" xr:uid="{00000000-0005-0000-0000-0000DC120000}"/>
    <cellStyle name="Percent 3 2 2 5" xfId="4829" xr:uid="{00000000-0005-0000-0000-0000DD120000}"/>
    <cellStyle name="Percent 3 2 2 6" xfId="4830" xr:uid="{00000000-0005-0000-0000-0000DE120000}"/>
    <cellStyle name="Percent 3 2 20" xfId="4831" xr:uid="{00000000-0005-0000-0000-0000DF120000}"/>
    <cellStyle name="Percent 3 2 3" xfId="4832" xr:uid="{00000000-0005-0000-0000-0000E0120000}"/>
    <cellStyle name="Percent 3 2 3 2" xfId="4833" xr:uid="{00000000-0005-0000-0000-0000E1120000}"/>
    <cellStyle name="Percent 3 2 3 2 2" xfId="4834" xr:uid="{00000000-0005-0000-0000-0000E2120000}"/>
    <cellStyle name="Percent 3 2 3 2 3" xfId="4835" xr:uid="{00000000-0005-0000-0000-0000E3120000}"/>
    <cellStyle name="Percent 3 2 3 2 4" xfId="4836" xr:uid="{00000000-0005-0000-0000-0000E4120000}"/>
    <cellStyle name="Percent 3 2 3 3" xfId="4837" xr:uid="{00000000-0005-0000-0000-0000E5120000}"/>
    <cellStyle name="Percent 3 2 3 4" xfId="4838" xr:uid="{00000000-0005-0000-0000-0000E6120000}"/>
    <cellStyle name="Percent 3 2 3 5" xfId="4839" xr:uid="{00000000-0005-0000-0000-0000E7120000}"/>
    <cellStyle name="Percent 3 2 4" xfId="4840" xr:uid="{00000000-0005-0000-0000-0000E8120000}"/>
    <cellStyle name="Percent 3 2 4 2" xfId="4841" xr:uid="{00000000-0005-0000-0000-0000E9120000}"/>
    <cellStyle name="Percent 3 2 4 3" xfId="4842" xr:uid="{00000000-0005-0000-0000-0000EA120000}"/>
    <cellStyle name="Percent 3 2 4 4" xfId="4843" xr:uid="{00000000-0005-0000-0000-0000EB120000}"/>
    <cellStyle name="Percent 3 2 5" xfId="4844" xr:uid="{00000000-0005-0000-0000-0000EC120000}"/>
    <cellStyle name="Percent 3 2 5 2" xfId="4845" xr:uid="{00000000-0005-0000-0000-0000ED120000}"/>
    <cellStyle name="Percent 3 2 5 3" xfId="4846" xr:uid="{00000000-0005-0000-0000-0000EE120000}"/>
    <cellStyle name="Percent 3 2 5 4" xfId="4847" xr:uid="{00000000-0005-0000-0000-0000EF120000}"/>
    <cellStyle name="Percent 3 2 6" xfId="4848" xr:uid="{00000000-0005-0000-0000-0000F0120000}"/>
    <cellStyle name="Percent 3 2 6 2" xfId="4849" xr:uid="{00000000-0005-0000-0000-0000F1120000}"/>
    <cellStyle name="Percent 3 2 6 3" xfId="4850" xr:uid="{00000000-0005-0000-0000-0000F2120000}"/>
    <cellStyle name="Percent 3 2 6 4" xfId="4851" xr:uid="{00000000-0005-0000-0000-0000F3120000}"/>
    <cellStyle name="Percent 3 2 7" xfId="4852" xr:uid="{00000000-0005-0000-0000-0000F4120000}"/>
    <cellStyle name="Percent 3 2 7 2" xfId="4853" xr:uid="{00000000-0005-0000-0000-0000F5120000}"/>
    <cellStyle name="Percent 3 2 7 3" xfId="4854" xr:uid="{00000000-0005-0000-0000-0000F6120000}"/>
    <cellStyle name="Percent 3 2 7 4" xfId="4855" xr:uid="{00000000-0005-0000-0000-0000F7120000}"/>
    <cellStyle name="Percent 3 2 8" xfId="4856" xr:uid="{00000000-0005-0000-0000-0000F8120000}"/>
    <cellStyle name="Percent 3 2 8 2" xfId="4857" xr:uid="{00000000-0005-0000-0000-0000F9120000}"/>
    <cellStyle name="Percent 3 2 8 3" xfId="4858" xr:uid="{00000000-0005-0000-0000-0000FA120000}"/>
    <cellStyle name="Percent 3 2 8 4" xfId="4859" xr:uid="{00000000-0005-0000-0000-0000FB120000}"/>
    <cellStyle name="Percent 3 2 9" xfId="4860" xr:uid="{00000000-0005-0000-0000-0000FC120000}"/>
    <cellStyle name="Percent 3 2 9 2" xfId="4861" xr:uid="{00000000-0005-0000-0000-0000FD120000}"/>
    <cellStyle name="Percent 3 2 9 3" xfId="4862" xr:uid="{00000000-0005-0000-0000-0000FE120000}"/>
    <cellStyle name="Percent 3 2 9 4" xfId="4863" xr:uid="{00000000-0005-0000-0000-0000FF120000}"/>
    <cellStyle name="Percent 3 20" xfId="4864" xr:uid="{00000000-0005-0000-0000-000000130000}"/>
    <cellStyle name="Percent 3 20 2" xfId="4865" xr:uid="{00000000-0005-0000-0000-000001130000}"/>
    <cellStyle name="Percent 3 20 3" xfId="4866" xr:uid="{00000000-0005-0000-0000-000002130000}"/>
    <cellStyle name="Percent 3 20 4" xfId="4867" xr:uid="{00000000-0005-0000-0000-000003130000}"/>
    <cellStyle name="Percent 3 21" xfId="4868" xr:uid="{00000000-0005-0000-0000-000004130000}"/>
    <cellStyle name="Percent 3 21 2" xfId="4869" xr:uid="{00000000-0005-0000-0000-000005130000}"/>
    <cellStyle name="Percent 3 21 3" xfId="4870" xr:uid="{00000000-0005-0000-0000-000006130000}"/>
    <cellStyle name="Percent 3 21 4" xfId="4871" xr:uid="{00000000-0005-0000-0000-000007130000}"/>
    <cellStyle name="Percent 3 22" xfId="4872" xr:uid="{00000000-0005-0000-0000-000008130000}"/>
    <cellStyle name="Percent 3 22 2" xfId="4873" xr:uid="{00000000-0005-0000-0000-000009130000}"/>
    <cellStyle name="Percent 3 22 3" xfId="4874" xr:uid="{00000000-0005-0000-0000-00000A130000}"/>
    <cellStyle name="Percent 3 22 4" xfId="4875" xr:uid="{00000000-0005-0000-0000-00000B130000}"/>
    <cellStyle name="Percent 3 23" xfId="4876" xr:uid="{00000000-0005-0000-0000-00000C130000}"/>
    <cellStyle name="Percent 3 23 2" xfId="4877" xr:uid="{00000000-0005-0000-0000-00000D130000}"/>
    <cellStyle name="Percent 3 23 3" xfId="4878" xr:uid="{00000000-0005-0000-0000-00000E130000}"/>
    <cellStyle name="Percent 3 23 4" xfId="4879" xr:uid="{00000000-0005-0000-0000-00000F130000}"/>
    <cellStyle name="Percent 3 24" xfId="4880" xr:uid="{00000000-0005-0000-0000-000010130000}"/>
    <cellStyle name="Percent 3 24 2" xfId="4881" xr:uid="{00000000-0005-0000-0000-000011130000}"/>
    <cellStyle name="Percent 3 24 3" xfId="4882" xr:uid="{00000000-0005-0000-0000-000012130000}"/>
    <cellStyle name="Percent 3 24 4" xfId="4883" xr:uid="{00000000-0005-0000-0000-000013130000}"/>
    <cellStyle name="Percent 3 25" xfId="4884" xr:uid="{00000000-0005-0000-0000-000014130000}"/>
    <cellStyle name="Percent 3 25 2" xfId="4885" xr:uid="{00000000-0005-0000-0000-000015130000}"/>
    <cellStyle name="Percent 3 25 3" xfId="4886" xr:uid="{00000000-0005-0000-0000-000016130000}"/>
    <cellStyle name="Percent 3 25 4" xfId="4887" xr:uid="{00000000-0005-0000-0000-000017130000}"/>
    <cellStyle name="Percent 3 26" xfId="4888" xr:uid="{00000000-0005-0000-0000-000018130000}"/>
    <cellStyle name="Percent 3 26 2" xfId="4889" xr:uid="{00000000-0005-0000-0000-000019130000}"/>
    <cellStyle name="Percent 3 26 3" xfId="4890" xr:uid="{00000000-0005-0000-0000-00001A130000}"/>
    <cellStyle name="Percent 3 26 4" xfId="4891" xr:uid="{00000000-0005-0000-0000-00001B130000}"/>
    <cellStyle name="Percent 3 27" xfId="4892" xr:uid="{00000000-0005-0000-0000-00001C130000}"/>
    <cellStyle name="Percent 3 27 2" xfId="4893" xr:uid="{00000000-0005-0000-0000-00001D130000}"/>
    <cellStyle name="Percent 3 27 3" xfId="4894" xr:uid="{00000000-0005-0000-0000-00001E130000}"/>
    <cellStyle name="Percent 3 27 4" xfId="4895" xr:uid="{00000000-0005-0000-0000-00001F130000}"/>
    <cellStyle name="Percent 3 28" xfId="4896" xr:uid="{00000000-0005-0000-0000-000020130000}"/>
    <cellStyle name="Percent 3 28 2" xfId="4897" xr:uid="{00000000-0005-0000-0000-000021130000}"/>
    <cellStyle name="Percent 3 28 3" xfId="4898" xr:uid="{00000000-0005-0000-0000-000022130000}"/>
    <cellStyle name="Percent 3 28 4" xfId="4899" xr:uid="{00000000-0005-0000-0000-000023130000}"/>
    <cellStyle name="Percent 3 29" xfId="4900" xr:uid="{00000000-0005-0000-0000-000024130000}"/>
    <cellStyle name="Percent 3 29 2" xfId="4901" xr:uid="{00000000-0005-0000-0000-000025130000}"/>
    <cellStyle name="Percent 3 29 3" xfId="4902" xr:uid="{00000000-0005-0000-0000-000026130000}"/>
    <cellStyle name="Percent 3 3" xfId="4903" xr:uid="{00000000-0005-0000-0000-000027130000}"/>
    <cellStyle name="Percent 3 3 10" xfId="4904" xr:uid="{00000000-0005-0000-0000-000028130000}"/>
    <cellStyle name="Percent 3 3 10 2" xfId="4905" xr:uid="{00000000-0005-0000-0000-000029130000}"/>
    <cellStyle name="Percent 3 3 10 3" xfId="4906" xr:uid="{00000000-0005-0000-0000-00002A130000}"/>
    <cellStyle name="Percent 3 3 10 4" xfId="4907" xr:uid="{00000000-0005-0000-0000-00002B130000}"/>
    <cellStyle name="Percent 3 3 11" xfId="4908" xr:uid="{00000000-0005-0000-0000-00002C130000}"/>
    <cellStyle name="Percent 3 3 11 2" xfId="4909" xr:uid="{00000000-0005-0000-0000-00002D130000}"/>
    <cellStyle name="Percent 3 3 11 3" xfId="4910" xr:uid="{00000000-0005-0000-0000-00002E130000}"/>
    <cellStyle name="Percent 3 3 11 4" xfId="4911" xr:uid="{00000000-0005-0000-0000-00002F130000}"/>
    <cellStyle name="Percent 3 3 12" xfId="4912" xr:uid="{00000000-0005-0000-0000-000030130000}"/>
    <cellStyle name="Percent 3 3 12 2" xfId="4913" xr:uid="{00000000-0005-0000-0000-000031130000}"/>
    <cellStyle name="Percent 3 3 12 3" xfId="4914" xr:uid="{00000000-0005-0000-0000-000032130000}"/>
    <cellStyle name="Percent 3 3 12 4" xfId="4915" xr:uid="{00000000-0005-0000-0000-000033130000}"/>
    <cellStyle name="Percent 3 3 13" xfId="4916" xr:uid="{00000000-0005-0000-0000-000034130000}"/>
    <cellStyle name="Percent 3 3 13 2" xfId="4917" xr:uid="{00000000-0005-0000-0000-000035130000}"/>
    <cellStyle name="Percent 3 3 13 3" xfId="4918" xr:uid="{00000000-0005-0000-0000-000036130000}"/>
    <cellStyle name="Percent 3 3 13 4" xfId="4919" xr:uid="{00000000-0005-0000-0000-000037130000}"/>
    <cellStyle name="Percent 3 3 14" xfId="4920" xr:uid="{00000000-0005-0000-0000-000038130000}"/>
    <cellStyle name="Percent 3 3 14 2" xfId="4921" xr:uid="{00000000-0005-0000-0000-000039130000}"/>
    <cellStyle name="Percent 3 3 14 3" xfId="4922" xr:uid="{00000000-0005-0000-0000-00003A130000}"/>
    <cellStyle name="Percent 3 3 14 4" xfId="4923" xr:uid="{00000000-0005-0000-0000-00003B130000}"/>
    <cellStyle name="Percent 3 3 15" xfId="4924" xr:uid="{00000000-0005-0000-0000-00003C130000}"/>
    <cellStyle name="Percent 3 3 15 2" xfId="4925" xr:uid="{00000000-0005-0000-0000-00003D130000}"/>
    <cellStyle name="Percent 3 3 15 3" xfId="4926" xr:uid="{00000000-0005-0000-0000-00003E130000}"/>
    <cellStyle name="Percent 3 3 15 4" xfId="4927" xr:uid="{00000000-0005-0000-0000-00003F130000}"/>
    <cellStyle name="Percent 3 3 16" xfId="4928" xr:uid="{00000000-0005-0000-0000-000040130000}"/>
    <cellStyle name="Percent 3 3 17" xfId="4929" xr:uid="{00000000-0005-0000-0000-000041130000}"/>
    <cellStyle name="Percent 3 3 18" xfId="4930" xr:uid="{00000000-0005-0000-0000-000042130000}"/>
    <cellStyle name="Percent 3 3 2" xfId="4931" xr:uid="{00000000-0005-0000-0000-000043130000}"/>
    <cellStyle name="Percent 3 3 2 2" xfId="4932" xr:uid="{00000000-0005-0000-0000-000044130000}"/>
    <cellStyle name="Percent 3 3 2 3" xfId="4933" xr:uid="{00000000-0005-0000-0000-000045130000}"/>
    <cellStyle name="Percent 3 3 2 4" xfId="4934" xr:uid="{00000000-0005-0000-0000-000046130000}"/>
    <cellStyle name="Percent 3 3 3" xfId="4935" xr:uid="{00000000-0005-0000-0000-000047130000}"/>
    <cellStyle name="Percent 3 3 3 2" xfId="4936" xr:uid="{00000000-0005-0000-0000-000048130000}"/>
    <cellStyle name="Percent 3 3 3 2 2" xfId="4937" xr:uid="{00000000-0005-0000-0000-000049130000}"/>
    <cellStyle name="Percent 3 3 3 2 3" xfId="4938" xr:uid="{00000000-0005-0000-0000-00004A130000}"/>
    <cellStyle name="Percent 3 3 3 2 4" xfId="4939" xr:uid="{00000000-0005-0000-0000-00004B130000}"/>
    <cellStyle name="Percent 3 3 3 3" xfId="4940" xr:uid="{00000000-0005-0000-0000-00004C130000}"/>
    <cellStyle name="Percent 3 3 3 3 2" xfId="4941" xr:uid="{00000000-0005-0000-0000-00004D130000}"/>
    <cellStyle name="Percent 3 3 3 3 2 2" xfId="4942" xr:uid="{00000000-0005-0000-0000-00004E130000}"/>
    <cellStyle name="Percent 3 3 3 3 2 3" xfId="4943" xr:uid="{00000000-0005-0000-0000-00004F130000}"/>
    <cellStyle name="Percent 3 3 3 3 2 4" xfId="4944" xr:uid="{00000000-0005-0000-0000-000050130000}"/>
    <cellStyle name="Percent 3 3 3 3 3" xfId="4945" xr:uid="{00000000-0005-0000-0000-000051130000}"/>
    <cellStyle name="Percent 3 3 3 3 3 2" xfId="4946" xr:uid="{00000000-0005-0000-0000-000052130000}"/>
    <cellStyle name="Percent 3 3 3 3 3 3" xfId="4947" xr:uid="{00000000-0005-0000-0000-000053130000}"/>
    <cellStyle name="Percent 3 3 3 3 3 4" xfId="4948" xr:uid="{00000000-0005-0000-0000-000054130000}"/>
    <cellStyle name="Percent 3 3 3 3 4" xfId="4949" xr:uid="{00000000-0005-0000-0000-000055130000}"/>
    <cellStyle name="Percent 3 3 3 3 4 2" xfId="4950" xr:uid="{00000000-0005-0000-0000-000056130000}"/>
    <cellStyle name="Percent 3 3 3 3 4 2 2" xfId="4951" xr:uid="{00000000-0005-0000-0000-000057130000}"/>
    <cellStyle name="Percent 3 3 3 3 4 3" xfId="4952" xr:uid="{00000000-0005-0000-0000-000058130000}"/>
    <cellStyle name="Percent 3 3 3 3 4 4" xfId="4953" xr:uid="{00000000-0005-0000-0000-000059130000}"/>
    <cellStyle name="Percent 3 3 3 3 5" xfId="4954" xr:uid="{00000000-0005-0000-0000-00005A130000}"/>
    <cellStyle name="Percent 3 3 3 3 6" xfId="4955" xr:uid="{00000000-0005-0000-0000-00005B130000}"/>
    <cellStyle name="Percent 3 3 3 3 7" xfId="4956" xr:uid="{00000000-0005-0000-0000-00005C130000}"/>
    <cellStyle name="Percent 3 3 3 4" xfId="4957" xr:uid="{00000000-0005-0000-0000-00005D130000}"/>
    <cellStyle name="Percent 3 3 3 5" xfId="4958" xr:uid="{00000000-0005-0000-0000-00005E130000}"/>
    <cellStyle name="Percent 3 3 3 6" xfId="4959" xr:uid="{00000000-0005-0000-0000-00005F130000}"/>
    <cellStyle name="Percent 3 3 4" xfId="4960" xr:uid="{00000000-0005-0000-0000-000060130000}"/>
    <cellStyle name="Percent 3 3 4 2" xfId="4961" xr:uid="{00000000-0005-0000-0000-000061130000}"/>
    <cellStyle name="Percent 3 3 4 2 2" xfId="4962" xr:uid="{00000000-0005-0000-0000-000062130000}"/>
    <cellStyle name="Percent 3 3 4 2 3" xfId="4963" xr:uid="{00000000-0005-0000-0000-000063130000}"/>
    <cellStyle name="Percent 3 3 4 2 4" xfId="4964" xr:uid="{00000000-0005-0000-0000-000064130000}"/>
    <cellStyle name="Percent 3 3 4 3" xfId="4965" xr:uid="{00000000-0005-0000-0000-000065130000}"/>
    <cellStyle name="Percent 3 3 4 4" xfId="4966" xr:uid="{00000000-0005-0000-0000-000066130000}"/>
    <cellStyle name="Percent 3 3 4 5" xfId="4967" xr:uid="{00000000-0005-0000-0000-000067130000}"/>
    <cellStyle name="Percent 3 3 5" xfId="4968" xr:uid="{00000000-0005-0000-0000-000068130000}"/>
    <cellStyle name="Percent 3 3 5 2" xfId="4969" xr:uid="{00000000-0005-0000-0000-000069130000}"/>
    <cellStyle name="Percent 3 3 5 3" xfId="4970" xr:uid="{00000000-0005-0000-0000-00006A130000}"/>
    <cellStyle name="Percent 3 3 5 4" xfId="4971" xr:uid="{00000000-0005-0000-0000-00006B130000}"/>
    <cellStyle name="Percent 3 3 6" xfId="4972" xr:uid="{00000000-0005-0000-0000-00006C130000}"/>
    <cellStyle name="Percent 3 3 6 2" xfId="4973" xr:uid="{00000000-0005-0000-0000-00006D130000}"/>
    <cellStyle name="Percent 3 3 6 2 2" xfId="4974" xr:uid="{00000000-0005-0000-0000-00006E130000}"/>
    <cellStyle name="Percent 3 3 6 3" xfId="4975" xr:uid="{00000000-0005-0000-0000-00006F130000}"/>
    <cellStyle name="Percent 3 3 6 4" xfId="4976" xr:uid="{00000000-0005-0000-0000-000070130000}"/>
    <cellStyle name="Percent 3 3 6 5" xfId="4977" xr:uid="{00000000-0005-0000-0000-000071130000}"/>
    <cellStyle name="Percent 3 3 7" xfId="4978" xr:uid="{00000000-0005-0000-0000-000072130000}"/>
    <cellStyle name="Percent 3 3 7 2" xfId="4979" xr:uid="{00000000-0005-0000-0000-000073130000}"/>
    <cellStyle name="Percent 3 3 7 3" xfId="4980" xr:uid="{00000000-0005-0000-0000-000074130000}"/>
    <cellStyle name="Percent 3 3 7 4" xfId="4981" xr:uid="{00000000-0005-0000-0000-000075130000}"/>
    <cellStyle name="Percent 3 3 8" xfId="4982" xr:uid="{00000000-0005-0000-0000-000076130000}"/>
    <cellStyle name="Percent 3 3 8 2" xfId="4983" xr:uid="{00000000-0005-0000-0000-000077130000}"/>
    <cellStyle name="Percent 3 3 8 3" xfId="4984" xr:uid="{00000000-0005-0000-0000-000078130000}"/>
    <cellStyle name="Percent 3 3 8 4" xfId="4985" xr:uid="{00000000-0005-0000-0000-000079130000}"/>
    <cellStyle name="Percent 3 3 9" xfId="4986" xr:uid="{00000000-0005-0000-0000-00007A130000}"/>
    <cellStyle name="Percent 3 3 9 2" xfId="4987" xr:uid="{00000000-0005-0000-0000-00007B130000}"/>
    <cellStyle name="Percent 3 3 9 3" xfId="4988" xr:uid="{00000000-0005-0000-0000-00007C130000}"/>
    <cellStyle name="Percent 3 3 9 4" xfId="4989" xr:uid="{00000000-0005-0000-0000-00007D130000}"/>
    <cellStyle name="Percent 3 30" xfId="4990" xr:uid="{00000000-0005-0000-0000-00007E130000}"/>
    <cellStyle name="Percent 3 30 2" xfId="4991" xr:uid="{00000000-0005-0000-0000-00007F130000}"/>
    <cellStyle name="Percent 3 30 3" xfId="4992" xr:uid="{00000000-0005-0000-0000-000080130000}"/>
    <cellStyle name="Percent 3 31" xfId="4993" xr:uid="{00000000-0005-0000-0000-000081130000}"/>
    <cellStyle name="Percent 3 31 2" xfId="4994" xr:uid="{00000000-0005-0000-0000-000082130000}"/>
    <cellStyle name="Percent 3 32" xfId="4995" xr:uid="{00000000-0005-0000-0000-000083130000}"/>
    <cellStyle name="Percent 3 33" xfId="4996" xr:uid="{00000000-0005-0000-0000-000084130000}"/>
    <cellStyle name="Percent 3 4" xfId="4997" xr:uid="{00000000-0005-0000-0000-000085130000}"/>
    <cellStyle name="Percent 3 4 10" xfId="4998" xr:uid="{00000000-0005-0000-0000-000086130000}"/>
    <cellStyle name="Percent 3 4 10 2" xfId="4999" xr:uid="{00000000-0005-0000-0000-000087130000}"/>
    <cellStyle name="Percent 3 4 10 3" xfId="5000" xr:uid="{00000000-0005-0000-0000-000088130000}"/>
    <cellStyle name="Percent 3 4 10 4" xfId="5001" xr:uid="{00000000-0005-0000-0000-000089130000}"/>
    <cellStyle name="Percent 3 4 11" xfId="5002" xr:uid="{00000000-0005-0000-0000-00008A130000}"/>
    <cellStyle name="Percent 3 4 11 2" xfId="5003" xr:uid="{00000000-0005-0000-0000-00008B130000}"/>
    <cellStyle name="Percent 3 4 11 3" xfId="5004" xr:uid="{00000000-0005-0000-0000-00008C130000}"/>
    <cellStyle name="Percent 3 4 11 4" xfId="5005" xr:uid="{00000000-0005-0000-0000-00008D130000}"/>
    <cellStyle name="Percent 3 4 12" xfId="5006" xr:uid="{00000000-0005-0000-0000-00008E130000}"/>
    <cellStyle name="Percent 3 4 12 2" xfId="5007" xr:uid="{00000000-0005-0000-0000-00008F130000}"/>
    <cellStyle name="Percent 3 4 12 3" xfId="5008" xr:uid="{00000000-0005-0000-0000-000090130000}"/>
    <cellStyle name="Percent 3 4 12 4" xfId="5009" xr:uid="{00000000-0005-0000-0000-000091130000}"/>
    <cellStyle name="Percent 3 4 13" xfId="5010" xr:uid="{00000000-0005-0000-0000-000092130000}"/>
    <cellStyle name="Percent 3 4 13 2" xfId="5011" xr:uid="{00000000-0005-0000-0000-000093130000}"/>
    <cellStyle name="Percent 3 4 13 3" xfId="5012" xr:uid="{00000000-0005-0000-0000-000094130000}"/>
    <cellStyle name="Percent 3 4 13 4" xfId="5013" xr:uid="{00000000-0005-0000-0000-000095130000}"/>
    <cellStyle name="Percent 3 4 14" xfId="5014" xr:uid="{00000000-0005-0000-0000-000096130000}"/>
    <cellStyle name="Percent 3 4 14 2" xfId="5015" xr:uid="{00000000-0005-0000-0000-000097130000}"/>
    <cellStyle name="Percent 3 4 14 3" xfId="5016" xr:uid="{00000000-0005-0000-0000-000098130000}"/>
    <cellStyle name="Percent 3 4 14 4" xfId="5017" xr:uid="{00000000-0005-0000-0000-000099130000}"/>
    <cellStyle name="Percent 3 4 15" xfId="5018" xr:uid="{00000000-0005-0000-0000-00009A130000}"/>
    <cellStyle name="Percent 3 4 15 2" xfId="5019" xr:uid="{00000000-0005-0000-0000-00009B130000}"/>
    <cellStyle name="Percent 3 4 15 3" xfId="5020" xr:uid="{00000000-0005-0000-0000-00009C130000}"/>
    <cellStyle name="Percent 3 4 15 4" xfId="5021" xr:uid="{00000000-0005-0000-0000-00009D130000}"/>
    <cellStyle name="Percent 3 4 16" xfId="5022" xr:uid="{00000000-0005-0000-0000-00009E130000}"/>
    <cellStyle name="Percent 3 4 17" xfId="5023" xr:uid="{00000000-0005-0000-0000-00009F130000}"/>
    <cellStyle name="Percent 3 4 18" xfId="5024" xr:uid="{00000000-0005-0000-0000-0000A0130000}"/>
    <cellStyle name="Percent 3 4 2" xfId="5025" xr:uid="{00000000-0005-0000-0000-0000A1130000}"/>
    <cellStyle name="Percent 3 4 2 2" xfId="5026" xr:uid="{00000000-0005-0000-0000-0000A2130000}"/>
    <cellStyle name="Percent 3 4 2 3" xfId="5027" xr:uid="{00000000-0005-0000-0000-0000A3130000}"/>
    <cellStyle name="Percent 3 4 2 4" xfId="5028" xr:uid="{00000000-0005-0000-0000-0000A4130000}"/>
    <cellStyle name="Percent 3 4 3" xfId="5029" xr:uid="{00000000-0005-0000-0000-0000A5130000}"/>
    <cellStyle name="Percent 3 4 3 2" xfId="5030" xr:uid="{00000000-0005-0000-0000-0000A6130000}"/>
    <cellStyle name="Percent 3 4 3 3" xfId="5031" xr:uid="{00000000-0005-0000-0000-0000A7130000}"/>
    <cellStyle name="Percent 3 4 3 4" xfId="5032" xr:uid="{00000000-0005-0000-0000-0000A8130000}"/>
    <cellStyle name="Percent 3 4 4" xfId="5033" xr:uid="{00000000-0005-0000-0000-0000A9130000}"/>
    <cellStyle name="Percent 3 4 4 2" xfId="5034" xr:uid="{00000000-0005-0000-0000-0000AA130000}"/>
    <cellStyle name="Percent 3 4 4 2 2" xfId="5035" xr:uid="{00000000-0005-0000-0000-0000AB130000}"/>
    <cellStyle name="Percent 3 4 4 3" xfId="5036" xr:uid="{00000000-0005-0000-0000-0000AC130000}"/>
    <cellStyle name="Percent 3 4 4 4" xfId="5037" xr:uid="{00000000-0005-0000-0000-0000AD130000}"/>
    <cellStyle name="Percent 3 4 4 5" xfId="5038" xr:uid="{00000000-0005-0000-0000-0000AE130000}"/>
    <cellStyle name="Percent 3 4 5" xfId="5039" xr:uid="{00000000-0005-0000-0000-0000AF130000}"/>
    <cellStyle name="Percent 3 4 5 2" xfId="5040" xr:uid="{00000000-0005-0000-0000-0000B0130000}"/>
    <cellStyle name="Percent 3 4 5 3" xfId="5041" xr:uid="{00000000-0005-0000-0000-0000B1130000}"/>
    <cellStyle name="Percent 3 4 5 4" xfId="5042" xr:uid="{00000000-0005-0000-0000-0000B2130000}"/>
    <cellStyle name="Percent 3 4 6" xfId="5043" xr:uid="{00000000-0005-0000-0000-0000B3130000}"/>
    <cellStyle name="Percent 3 4 6 2" xfId="5044" xr:uid="{00000000-0005-0000-0000-0000B4130000}"/>
    <cellStyle name="Percent 3 4 6 3" xfId="5045" xr:uid="{00000000-0005-0000-0000-0000B5130000}"/>
    <cellStyle name="Percent 3 4 6 4" xfId="5046" xr:uid="{00000000-0005-0000-0000-0000B6130000}"/>
    <cellStyle name="Percent 3 4 7" xfId="5047" xr:uid="{00000000-0005-0000-0000-0000B7130000}"/>
    <cellStyle name="Percent 3 4 7 2" xfId="5048" xr:uid="{00000000-0005-0000-0000-0000B8130000}"/>
    <cellStyle name="Percent 3 4 7 3" xfId="5049" xr:uid="{00000000-0005-0000-0000-0000B9130000}"/>
    <cellStyle name="Percent 3 4 7 4" xfId="5050" xr:uid="{00000000-0005-0000-0000-0000BA130000}"/>
    <cellStyle name="Percent 3 4 8" xfId="5051" xr:uid="{00000000-0005-0000-0000-0000BB130000}"/>
    <cellStyle name="Percent 3 4 8 2" xfId="5052" xr:uid="{00000000-0005-0000-0000-0000BC130000}"/>
    <cellStyle name="Percent 3 4 8 3" xfId="5053" xr:uid="{00000000-0005-0000-0000-0000BD130000}"/>
    <cellStyle name="Percent 3 4 8 4" xfId="5054" xr:uid="{00000000-0005-0000-0000-0000BE130000}"/>
    <cellStyle name="Percent 3 4 9" xfId="5055" xr:uid="{00000000-0005-0000-0000-0000BF130000}"/>
    <cellStyle name="Percent 3 4 9 2" xfId="5056" xr:uid="{00000000-0005-0000-0000-0000C0130000}"/>
    <cellStyle name="Percent 3 4 9 3" xfId="5057" xr:uid="{00000000-0005-0000-0000-0000C1130000}"/>
    <cellStyle name="Percent 3 4 9 4" xfId="5058" xr:uid="{00000000-0005-0000-0000-0000C2130000}"/>
    <cellStyle name="Percent 3 5" xfId="5059" xr:uid="{00000000-0005-0000-0000-0000C3130000}"/>
    <cellStyle name="Percent 3 5 10" xfId="5060" xr:uid="{00000000-0005-0000-0000-0000C4130000}"/>
    <cellStyle name="Percent 3 5 10 2" xfId="5061" xr:uid="{00000000-0005-0000-0000-0000C5130000}"/>
    <cellStyle name="Percent 3 5 10 3" xfId="5062" xr:uid="{00000000-0005-0000-0000-0000C6130000}"/>
    <cellStyle name="Percent 3 5 10 4" xfId="5063" xr:uid="{00000000-0005-0000-0000-0000C7130000}"/>
    <cellStyle name="Percent 3 5 11" xfId="5064" xr:uid="{00000000-0005-0000-0000-0000C8130000}"/>
    <cellStyle name="Percent 3 5 11 2" xfId="5065" xr:uid="{00000000-0005-0000-0000-0000C9130000}"/>
    <cellStyle name="Percent 3 5 11 3" xfId="5066" xr:uid="{00000000-0005-0000-0000-0000CA130000}"/>
    <cellStyle name="Percent 3 5 11 4" xfId="5067" xr:uid="{00000000-0005-0000-0000-0000CB130000}"/>
    <cellStyle name="Percent 3 5 12" xfId="5068" xr:uid="{00000000-0005-0000-0000-0000CC130000}"/>
    <cellStyle name="Percent 3 5 12 2" xfId="5069" xr:uid="{00000000-0005-0000-0000-0000CD130000}"/>
    <cellStyle name="Percent 3 5 12 3" xfId="5070" xr:uid="{00000000-0005-0000-0000-0000CE130000}"/>
    <cellStyle name="Percent 3 5 12 4" xfId="5071" xr:uid="{00000000-0005-0000-0000-0000CF130000}"/>
    <cellStyle name="Percent 3 5 13" xfId="5072" xr:uid="{00000000-0005-0000-0000-0000D0130000}"/>
    <cellStyle name="Percent 3 5 13 2" xfId="5073" xr:uid="{00000000-0005-0000-0000-0000D1130000}"/>
    <cellStyle name="Percent 3 5 13 3" xfId="5074" xr:uid="{00000000-0005-0000-0000-0000D2130000}"/>
    <cellStyle name="Percent 3 5 13 4" xfId="5075" xr:uid="{00000000-0005-0000-0000-0000D3130000}"/>
    <cellStyle name="Percent 3 5 14" xfId="5076" xr:uid="{00000000-0005-0000-0000-0000D4130000}"/>
    <cellStyle name="Percent 3 5 14 2" xfId="5077" xr:uid="{00000000-0005-0000-0000-0000D5130000}"/>
    <cellStyle name="Percent 3 5 14 3" xfId="5078" xr:uid="{00000000-0005-0000-0000-0000D6130000}"/>
    <cellStyle name="Percent 3 5 14 4" xfId="5079" xr:uid="{00000000-0005-0000-0000-0000D7130000}"/>
    <cellStyle name="Percent 3 5 15" xfId="5080" xr:uid="{00000000-0005-0000-0000-0000D8130000}"/>
    <cellStyle name="Percent 3 5 15 2" xfId="5081" xr:uid="{00000000-0005-0000-0000-0000D9130000}"/>
    <cellStyle name="Percent 3 5 15 3" xfId="5082" xr:uid="{00000000-0005-0000-0000-0000DA130000}"/>
    <cellStyle name="Percent 3 5 15 4" xfId="5083" xr:uid="{00000000-0005-0000-0000-0000DB130000}"/>
    <cellStyle name="Percent 3 5 16" xfId="5084" xr:uid="{00000000-0005-0000-0000-0000DC130000}"/>
    <cellStyle name="Percent 3 5 16 2" xfId="5085" xr:uid="{00000000-0005-0000-0000-0000DD130000}"/>
    <cellStyle name="Percent 3 5 16 3" xfId="5086" xr:uid="{00000000-0005-0000-0000-0000DE130000}"/>
    <cellStyle name="Percent 3 5 16 4" xfId="5087" xr:uid="{00000000-0005-0000-0000-0000DF130000}"/>
    <cellStyle name="Percent 3 5 17" xfId="5088" xr:uid="{00000000-0005-0000-0000-0000E0130000}"/>
    <cellStyle name="Percent 3 5 17 2" xfId="5089" xr:uid="{00000000-0005-0000-0000-0000E1130000}"/>
    <cellStyle name="Percent 3 5 18" xfId="5090" xr:uid="{00000000-0005-0000-0000-0000E2130000}"/>
    <cellStyle name="Percent 3 5 19" xfId="5091" xr:uid="{00000000-0005-0000-0000-0000E3130000}"/>
    <cellStyle name="Percent 3 5 2" xfId="5092" xr:uid="{00000000-0005-0000-0000-0000E4130000}"/>
    <cellStyle name="Percent 3 5 2 2" xfId="5093" xr:uid="{00000000-0005-0000-0000-0000E5130000}"/>
    <cellStyle name="Percent 3 5 2 3" xfId="5094" xr:uid="{00000000-0005-0000-0000-0000E6130000}"/>
    <cellStyle name="Percent 3 5 2 4" xfId="5095" xr:uid="{00000000-0005-0000-0000-0000E7130000}"/>
    <cellStyle name="Percent 3 5 3" xfId="5096" xr:uid="{00000000-0005-0000-0000-0000E8130000}"/>
    <cellStyle name="Percent 3 5 3 2" xfId="5097" xr:uid="{00000000-0005-0000-0000-0000E9130000}"/>
    <cellStyle name="Percent 3 5 3 3" xfId="5098" xr:uid="{00000000-0005-0000-0000-0000EA130000}"/>
    <cellStyle name="Percent 3 5 3 4" xfId="5099" xr:uid="{00000000-0005-0000-0000-0000EB130000}"/>
    <cellStyle name="Percent 3 5 4" xfId="5100" xr:uid="{00000000-0005-0000-0000-0000EC130000}"/>
    <cellStyle name="Percent 3 5 4 2" xfId="5101" xr:uid="{00000000-0005-0000-0000-0000ED130000}"/>
    <cellStyle name="Percent 3 5 4 3" xfId="5102" xr:uid="{00000000-0005-0000-0000-0000EE130000}"/>
    <cellStyle name="Percent 3 5 4 4" xfId="5103" xr:uid="{00000000-0005-0000-0000-0000EF130000}"/>
    <cellStyle name="Percent 3 5 5" xfId="5104" xr:uid="{00000000-0005-0000-0000-0000F0130000}"/>
    <cellStyle name="Percent 3 5 5 2" xfId="5105" xr:uid="{00000000-0005-0000-0000-0000F1130000}"/>
    <cellStyle name="Percent 3 5 5 3" xfId="5106" xr:uid="{00000000-0005-0000-0000-0000F2130000}"/>
    <cellStyle name="Percent 3 5 5 4" xfId="5107" xr:uid="{00000000-0005-0000-0000-0000F3130000}"/>
    <cellStyle name="Percent 3 5 6" xfId="5108" xr:uid="{00000000-0005-0000-0000-0000F4130000}"/>
    <cellStyle name="Percent 3 5 6 2" xfId="5109" xr:uid="{00000000-0005-0000-0000-0000F5130000}"/>
    <cellStyle name="Percent 3 5 6 3" xfId="5110" xr:uid="{00000000-0005-0000-0000-0000F6130000}"/>
    <cellStyle name="Percent 3 5 6 4" xfId="5111" xr:uid="{00000000-0005-0000-0000-0000F7130000}"/>
    <cellStyle name="Percent 3 5 7" xfId="5112" xr:uid="{00000000-0005-0000-0000-0000F8130000}"/>
    <cellStyle name="Percent 3 5 7 2" xfId="5113" xr:uid="{00000000-0005-0000-0000-0000F9130000}"/>
    <cellStyle name="Percent 3 5 7 3" xfId="5114" xr:uid="{00000000-0005-0000-0000-0000FA130000}"/>
    <cellStyle name="Percent 3 5 7 4" xfId="5115" xr:uid="{00000000-0005-0000-0000-0000FB130000}"/>
    <cellStyle name="Percent 3 5 8" xfId="5116" xr:uid="{00000000-0005-0000-0000-0000FC130000}"/>
    <cellStyle name="Percent 3 5 8 2" xfId="5117" xr:uid="{00000000-0005-0000-0000-0000FD130000}"/>
    <cellStyle name="Percent 3 5 8 3" xfId="5118" xr:uid="{00000000-0005-0000-0000-0000FE130000}"/>
    <cellStyle name="Percent 3 5 8 4" xfId="5119" xr:uid="{00000000-0005-0000-0000-0000FF130000}"/>
    <cellStyle name="Percent 3 5 9" xfId="5120" xr:uid="{00000000-0005-0000-0000-000000140000}"/>
    <cellStyle name="Percent 3 5 9 2" xfId="5121" xr:uid="{00000000-0005-0000-0000-000001140000}"/>
    <cellStyle name="Percent 3 5 9 3" xfId="5122" xr:uid="{00000000-0005-0000-0000-000002140000}"/>
    <cellStyle name="Percent 3 5 9 4" xfId="5123" xr:uid="{00000000-0005-0000-0000-000003140000}"/>
    <cellStyle name="Percent 3 6" xfId="5124" xr:uid="{00000000-0005-0000-0000-000004140000}"/>
    <cellStyle name="Percent 3 6 10" xfId="5125" xr:uid="{00000000-0005-0000-0000-000005140000}"/>
    <cellStyle name="Percent 3 6 10 2" xfId="5126" xr:uid="{00000000-0005-0000-0000-000006140000}"/>
    <cellStyle name="Percent 3 6 10 3" xfId="5127" xr:uid="{00000000-0005-0000-0000-000007140000}"/>
    <cellStyle name="Percent 3 6 10 4" xfId="5128" xr:uid="{00000000-0005-0000-0000-000008140000}"/>
    <cellStyle name="Percent 3 6 11" xfId="5129" xr:uid="{00000000-0005-0000-0000-000009140000}"/>
    <cellStyle name="Percent 3 6 11 2" xfId="5130" xr:uid="{00000000-0005-0000-0000-00000A140000}"/>
    <cellStyle name="Percent 3 6 11 3" xfId="5131" xr:uid="{00000000-0005-0000-0000-00000B140000}"/>
    <cellStyle name="Percent 3 6 11 4" xfId="5132" xr:uid="{00000000-0005-0000-0000-00000C140000}"/>
    <cellStyle name="Percent 3 6 12" xfId="5133" xr:uid="{00000000-0005-0000-0000-00000D140000}"/>
    <cellStyle name="Percent 3 6 12 2" xfId="5134" xr:uid="{00000000-0005-0000-0000-00000E140000}"/>
    <cellStyle name="Percent 3 6 12 3" xfId="5135" xr:uid="{00000000-0005-0000-0000-00000F140000}"/>
    <cellStyle name="Percent 3 6 12 4" xfId="5136" xr:uid="{00000000-0005-0000-0000-000010140000}"/>
    <cellStyle name="Percent 3 6 13" xfId="5137" xr:uid="{00000000-0005-0000-0000-000011140000}"/>
    <cellStyle name="Percent 3 6 13 2" xfId="5138" xr:uid="{00000000-0005-0000-0000-000012140000}"/>
    <cellStyle name="Percent 3 6 13 3" xfId="5139" xr:uid="{00000000-0005-0000-0000-000013140000}"/>
    <cellStyle name="Percent 3 6 13 4" xfId="5140" xr:uid="{00000000-0005-0000-0000-000014140000}"/>
    <cellStyle name="Percent 3 6 14" xfId="5141" xr:uid="{00000000-0005-0000-0000-000015140000}"/>
    <cellStyle name="Percent 3 6 14 2" xfId="5142" xr:uid="{00000000-0005-0000-0000-000016140000}"/>
    <cellStyle name="Percent 3 6 14 3" xfId="5143" xr:uid="{00000000-0005-0000-0000-000017140000}"/>
    <cellStyle name="Percent 3 6 14 4" xfId="5144" xr:uid="{00000000-0005-0000-0000-000018140000}"/>
    <cellStyle name="Percent 3 6 15" xfId="5145" xr:uid="{00000000-0005-0000-0000-000019140000}"/>
    <cellStyle name="Percent 3 6 15 2" xfId="5146" xr:uid="{00000000-0005-0000-0000-00001A140000}"/>
    <cellStyle name="Percent 3 6 15 3" xfId="5147" xr:uid="{00000000-0005-0000-0000-00001B140000}"/>
    <cellStyle name="Percent 3 6 15 4" xfId="5148" xr:uid="{00000000-0005-0000-0000-00001C140000}"/>
    <cellStyle name="Percent 3 6 16" xfId="5149" xr:uid="{00000000-0005-0000-0000-00001D140000}"/>
    <cellStyle name="Percent 3 6 17" xfId="5150" xr:uid="{00000000-0005-0000-0000-00001E140000}"/>
    <cellStyle name="Percent 3 6 18" xfId="5151" xr:uid="{00000000-0005-0000-0000-00001F140000}"/>
    <cellStyle name="Percent 3 6 2" xfId="5152" xr:uid="{00000000-0005-0000-0000-000020140000}"/>
    <cellStyle name="Percent 3 6 2 2" xfId="5153" xr:uid="{00000000-0005-0000-0000-000021140000}"/>
    <cellStyle name="Percent 3 6 2 3" xfId="5154" xr:uid="{00000000-0005-0000-0000-000022140000}"/>
    <cellStyle name="Percent 3 6 2 4" xfId="5155" xr:uid="{00000000-0005-0000-0000-000023140000}"/>
    <cellStyle name="Percent 3 6 3" xfId="5156" xr:uid="{00000000-0005-0000-0000-000024140000}"/>
    <cellStyle name="Percent 3 6 3 2" xfId="5157" xr:uid="{00000000-0005-0000-0000-000025140000}"/>
    <cellStyle name="Percent 3 6 3 3" xfId="5158" xr:uid="{00000000-0005-0000-0000-000026140000}"/>
    <cellStyle name="Percent 3 6 3 4" xfId="5159" xr:uid="{00000000-0005-0000-0000-000027140000}"/>
    <cellStyle name="Percent 3 6 4" xfId="5160" xr:uid="{00000000-0005-0000-0000-000028140000}"/>
    <cellStyle name="Percent 3 6 4 2" xfId="5161" xr:uid="{00000000-0005-0000-0000-000029140000}"/>
    <cellStyle name="Percent 3 6 4 3" xfId="5162" xr:uid="{00000000-0005-0000-0000-00002A140000}"/>
    <cellStyle name="Percent 3 6 4 4" xfId="5163" xr:uid="{00000000-0005-0000-0000-00002B140000}"/>
    <cellStyle name="Percent 3 6 5" xfId="5164" xr:uid="{00000000-0005-0000-0000-00002C140000}"/>
    <cellStyle name="Percent 3 6 5 2" xfId="5165" xr:uid="{00000000-0005-0000-0000-00002D140000}"/>
    <cellStyle name="Percent 3 6 5 3" xfId="5166" xr:uid="{00000000-0005-0000-0000-00002E140000}"/>
    <cellStyle name="Percent 3 6 5 4" xfId="5167" xr:uid="{00000000-0005-0000-0000-00002F140000}"/>
    <cellStyle name="Percent 3 6 6" xfId="5168" xr:uid="{00000000-0005-0000-0000-000030140000}"/>
    <cellStyle name="Percent 3 6 6 2" xfId="5169" xr:uid="{00000000-0005-0000-0000-000031140000}"/>
    <cellStyle name="Percent 3 6 6 3" xfId="5170" xr:uid="{00000000-0005-0000-0000-000032140000}"/>
    <cellStyle name="Percent 3 6 6 4" xfId="5171" xr:uid="{00000000-0005-0000-0000-000033140000}"/>
    <cellStyle name="Percent 3 6 7" xfId="5172" xr:uid="{00000000-0005-0000-0000-000034140000}"/>
    <cellStyle name="Percent 3 6 7 2" xfId="5173" xr:uid="{00000000-0005-0000-0000-000035140000}"/>
    <cellStyle name="Percent 3 6 7 3" xfId="5174" xr:uid="{00000000-0005-0000-0000-000036140000}"/>
    <cellStyle name="Percent 3 6 7 4" xfId="5175" xr:uid="{00000000-0005-0000-0000-000037140000}"/>
    <cellStyle name="Percent 3 6 8" xfId="5176" xr:uid="{00000000-0005-0000-0000-000038140000}"/>
    <cellStyle name="Percent 3 6 8 2" xfId="5177" xr:uid="{00000000-0005-0000-0000-000039140000}"/>
    <cellStyle name="Percent 3 6 8 3" xfId="5178" xr:uid="{00000000-0005-0000-0000-00003A140000}"/>
    <cellStyle name="Percent 3 6 8 4" xfId="5179" xr:uid="{00000000-0005-0000-0000-00003B140000}"/>
    <cellStyle name="Percent 3 6 9" xfId="5180" xr:uid="{00000000-0005-0000-0000-00003C140000}"/>
    <cellStyle name="Percent 3 6 9 2" xfId="5181" xr:uid="{00000000-0005-0000-0000-00003D140000}"/>
    <cellStyle name="Percent 3 6 9 3" xfId="5182" xr:uid="{00000000-0005-0000-0000-00003E140000}"/>
    <cellStyle name="Percent 3 6 9 4" xfId="5183" xr:uid="{00000000-0005-0000-0000-00003F140000}"/>
    <cellStyle name="Percent 3 7" xfId="5184" xr:uid="{00000000-0005-0000-0000-000040140000}"/>
    <cellStyle name="Percent 3 7 10" xfId="5185" xr:uid="{00000000-0005-0000-0000-000041140000}"/>
    <cellStyle name="Percent 3 7 10 2" xfId="5186" xr:uid="{00000000-0005-0000-0000-000042140000}"/>
    <cellStyle name="Percent 3 7 10 3" xfId="5187" xr:uid="{00000000-0005-0000-0000-000043140000}"/>
    <cellStyle name="Percent 3 7 10 4" xfId="5188" xr:uid="{00000000-0005-0000-0000-000044140000}"/>
    <cellStyle name="Percent 3 7 11" xfId="5189" xr:uid="{00000000-0005-0000-0000-000045140000}"/>
    <cellStyle name="Percent 3 7 11 2" xfId="5190" xr:uid="{00000000-0005-0000-0000-000046140000}"/>
    <cellStyle name="Percent 3 7 11 3" xfId="5191" xr:uid="{00000000-0005-0000-0000-000047140000}"/>
    <cellStyle name="Percent 3 7 11 4" xfId="5192" xr:uid="{00000000-0005-0000-0000-000048140000}"/>
    <cellStyle name="Percent 3 7 12" xfId="5193" xr:uid="{00000000-0005-0000-0000-000049140000}"/>
    <cellStyle name="Percent 3 7 12 2" xfId="5194" xr:uid="{00000000-0005-0000-0000-00004A140000}"/>
    <cellStyle name="Percent 3 7 12 3" xfId="5195" xr:uid="{00000000-0005-0000-0000-00004B140000}"/>
    <cellStyle name="Percent 3 7 12 4" xfId="5196" xr:uid="{00000000-0005-0000-0000-00004C140000}"/>
    <cellStyle name="Percent 3 7 13" xfId="5197" xr:uid="{00000000-0005-0000-0000-00004D140000}"/>
    <cellStyle name="Percent 3 7 13 2" xfId="5198" xr:uid="{00000000-0005-0000-0000-00004E140000}"/>
    <cellStyle name="Percent 3 7 13 3" xfId="5199" xr:uid="{00000000-0005-0000-0000-00004F140000}"/>
    <cellStyle name="Percent 3 7 13 4" xfId="5200" xr:uid="{00000000-0005-0000-0000-000050140000}"/>
    <cellStyle name="Percent 3 7 14" xfId="5201" xr:uid="{00000000-0005-0000-0000-000051140000}"/>
    <cellStyle name="Percent 3 7 14 2" xfId="5202" xr:uid="{00000000-0005-0000-0000-000052140000}"/>
    <cellStyle name="Percent 3 7 14 3" xfId="5203" xr:uid="{00000000-0005-0000-0000-000053140000}"/>
    <cellStyle name="Percent 3 7 14 4" xfId="5204" xr:uid="{00000000-0005-0000-0000-000054140000}"/>
    <cellStyle name="Percent 3 7 15" xfId="5205" xr:uid="{00000000-0005-0000-0000-000055140000}"/>
    <cellStyle name="Percent 3 7 15 2" xfId="5206" xr:uid="{00000000-0005-0000-0000-000056140000}"/>
    <cellStyle name="Percent 3 7 15 3" xfId="5207" xr:uid="{00000000-0005-0000-0000-000057140000}"/>
    <cellStyle name="Percent 3 7 15 4" xfId="5208" xr:uid="{00000000-0005-0000-0000-000058140000}"/>
    <cellStyle name="Percent 3 7 16" xfId="5209" xr:uid="{00000000-0005-0000-0000-000059140000}"/>
    <cellStyle name="Percent 3 7 17" xfId="5210" xr:uid="{00000000-0005-0000-0000-00005A140000}"/>
    <cellStyle name="Percent 3 7 18" xfId="5211" xr:uid="{00000000-0005-0000-0000-00005B140000}"/>
    <cellStyle name="Percent 3 7 2" xfId="5212" xr:uid="{00000000-0005-0000-0000-00005C140000}"/>
    <cellStyle name="Percent 3 7 2 2" xfId="5213" xr:uid="{00000000-0005-0000-0000-00005D140000}"/>
    <cellStyle name="Percent 3 7 2 3" xfId="5214" xr:uid="{00000000-0005-0000-0000-00005E140000}"/>
    <cellStyle name="Percent 3 7 2 4" xfId="5215" xr:uid="{00000000-0005-0000-0000-00005F140000}"/>
    <cellStyle name="Percent 3 7 3" xfId="5216" xr:uid="{00000000-0005-0000-0000-000060140000}"/>
    <cellStyle name="Percent 3 7 3 2" xfId="5217" xr:uid="{00000000-0005-0000-0000-000061140000}"/>
    <cellStyle name="Percent 3 7 3 3" xfId="5218" xr:uid="{00000000-0005-0000-0000-000062140000}"/>
    <cellStyle name="Percent 3 7 3 4" xfId="5219" xr:uid="{00000000-0005-0000-0000-000063140000}"/>
    <cellStyle name="Percent 3 7 4" xfId="5220" xr:uid="{00000000-0005-0000-0000-000064140000}"/>
    <cellStyle name="Percent 3 7 4 2" xfId="5221" xr:uid="{00000000-0005-0000-0000-000065140000}"/>
    <cellStyle name="Percent 3 7 4 3" xfId="5222" xr:uid="{00000000-0005-0000-0000-000066140000}"/>
    <cellStyle name="Percent 3 7 4 4" xfId="5223" xr:uid="{00000000-0005-0000-0000-000067140000}"/>
    <cellStyle name="Percent 3 7 5" xfId="5224" xr:uid="{00000000-0005-0000-0000-000068140000}"/>
    <cellStyle name="Percent 3 7 5 2" xfId="5225" xr:uid="{00000000-0005-0000-0000-000069140000}"/>
    <cellStyle name="Percent 3 7 5 3" xfId="5226" xr:uid="{00000000-0005-0000-0000-00006A140000}"/>
    <cellStyle name="Percent 3 7 5 4" xfId="5227" xr:uid="{00000000-0005-0000-0000-00006B140000}"/>
    <cellStyle name="Percent 3 7 6" xfId="5228" xr:uid="{00000000-0005-0000-0000-00006C140000}"/>
    <cellStyle name="Percent 3 7 6 2" xfId="5229" xr:uid="{00000000-0005-0000-0000-00006D140000}"/>
    <cellStyle name="Percent 3 7 6 3" xfId="5230" xr:uid="{00000000-0005-0000-0000-00006E140000}"/>
    <cellStyle name="Percent 3 7 6 4" xfId="5231" xr:uid="{00000000-0005-0000-0000-00006F140000}"/>
    <cellStyle name="Percent 3 7 7" xfId="5232" xr:uid="{00000000-0005-0000-0000-000070140000}"/>
    <cellStyle name="Percent 3 7 7 2" xfId="5233" xr:uid="{00000000-0005-0000-0000-000071140000}"/>
    <cellStyle name="Percent 3 7 7 3" xfId="5234" xr:uid="{00000000-0005-0000-0000-000072140000}"/>
    <cellStyle name="Percent 3 7 7 4" xfId="5235" xr:uid="{00000000-0005-0000-0000-000073140000}"/>
    <cellStyle name="Percent 3 7 8" xfId="5236" xr:uid="{00000000-0005-0000-0000-000074140000}"/>
    <cellStyle name="Percent 3 7 8 2" xfId="5237" xr:uid="{00000000-0005-0000-0000-000075140000}"/>
    <cellStyle name="Percent 3 7 8 3" xfId="5238" xr:uid="{00000000-0005-0000-0000-000076140000}"/>
    <cellStyle name="Percent 3 7 8 4" xfId="5239" xr:uid="{00000000-0005-0000-0000-000077140000}"/>
    <cellStyle name="Percent 3 7 9" xfId="5240" xr:uid="{00000000-0005-0000-0000-000078140000}"/>
    <cellStyle name="Percent 3 7 9 2" xfId="5241" xr:uid="{00000000-0005-0000-0000-000079140000}"/>
    <cellStyle name="Percent 3 7 9 3" xfId="5242" xr:uid="{00000000-0005-0000-0000-00007A140000}"/>
    <cellStyle name="Percent 3 7 9 4" xfId="5243" xr:uid="{00000000-0005-0000-0000-00007B140000}"/>
    <cellStyle name="Percent 3 8" xfId="5244" xr:uid="{00000000-0005-0000-0000-00007C140000}"/>
    <cellStyle name="Percent 3 8 10" xfId="5245" xr:uid="{00000000-0005-0000-0000-00007D140000}"/>
    <cellStyle name="Percent 3 8 10 2" xfId="5246" xr:uid="{00000000-0005-0000-0000-00007E140000}"/>
    <cellStyle name="Percent 3 8 10 3" xfId="5247" xr:uid="{00000000-0005-0000-0000-00007F140000}"/>
    <cellStyle name="Percent 3 8 10 4" xfId="5248" xr:uid="{00000000-0005-0000-0000-000080140000}"/>
    <cellStyle name="Percent 3 8 11" xfId="5249" xr:uid="{00000000-0005-0000-0000-000081140000}"/>
    <cellStyle name="Percent 3 8 11 2" xfId="5250" xr:uid="{00000000-0005-0000-0000-000082140000}"/>
    <cellStyle name="Percent 3 8 11 3" xfId="5251" xr:uid="{00000000-0005-0000-0000-000083140000}"/>
    <cellStyle name="Percent 3 8 11 4" xfId="5252" xr:uid="{00000000-0005-0000-0000-000084140000}"/>
    <cellStyle name="Percent 3 8 12" xfId="5253" xr:uid="{00000000-0005-0000-0000-000085140000}"/>
    <cellStyle name="Percent 3 8 12 2" xfId="5254" xr:uid="{00000000-0005-0000-0000-000086140000}"/>
    <cellStyle name="Percent 3 8 12 3" xfId="5255" xr:uid="{00000000-0005-0000-0000-000087140000}"/>
    <cellStyle name="Percent 3 8 12 4" xfId="5256" xr:uid="{00000000-0005-0000-0000-000088140000}"/>
    <cellStyle name="Percent 3 8 13" xfId="5257" xr:uid="{00000000-0005-0000-0000-000089140000}"/>
    <cellStyle name="Percent 3 8 13 2" xfId="5258" xr:uid="{00000000-0005-0000-0000-00008A140000}"/>
    <cellStyle name="Percent 3 8 13 3" xfId="5259" xr:uid="{00000000-0005-0000-0000-00008B140000}"/>
    <cellStyle name="Percent 3 8 13 4" xfId="5260" xr:uid="{00000000-0005-0000-0000-00008C140000}"/>
    <cellStyle name="Percent 3 8 14" xfId="5261" xr:uid="{00000000-0005-0000-0000-00008D140000}"/>
    <cellStyle name="Percent 3 8 14 2" xfId="5262" xr:uid="{00000000-0005-0000-0000-00008E140000}"/>
    <cellStyle name="Percent 3 8 14 3" xfId="5263" xr:uid="{00000000-0005-0000-0000-00008F140000}"/>
    <cellStyle name="Percent 3 8 14 4" xfId="5264" xr:uid="{00000000-0005-0000-0000-000090140000}"/>
    <cellStyle name="Percent 3 8 15" xfId="5265" xr:uid="{00000000-0005-0000-0000-000091140000}"/>
    <cellStyle name="Percent 3 8 15 2" xfId="5266" xr:uid="{00000000-0005-0000-0000-000092140000}"/>
    <cellStyle name="Percent 3 8 15 3" xfId="5267" xr:uid="{00000000-0005-0000-0000-000093140000}"/>
    <cellStyle name="Percent 3 8 15 4" xfId="5268" xr:uid="{00000000-0005-0000-0000-000094140000}"/>
    <cellStyle name="Percent 3 8 16" xfId="5269" xr:uid="{00000000-0005-0000-0000-000095140000}"/>
    <cellStyle name="Percent 3 8 17" xfId="5270" xr:uid="{00000000-0005-0000-0000-000096140000}"/>
    <cellStyle name="Percent 3 8 18" xfId="5271" xr:uid="{00000000-0005-0000-0000-000097140000}"/>
    <cellStyle name="Percent 3 8 2" xfId="5272" xr:uid="{00000000-0005-0000-0000-000098140000}"/>
    <cellStyle name="Percent 3 8 2 2" xfId="5273" xr:uid="{00000000-0005-0000-0000-000099140000}"/>
    <cellStyle name="Percent 3 8 2 3" xfId="5274" xr:uid="{00000000-0005-0000-0000-00009A140000}"/>
    <cellStyle name="Percent 3 8 2 4" xfId="5275" xr:uid="{00000000-0005-0000-0000-00009B140000}"/>
    <cellStyle name="Percent 3 8 3" xfId="5276" xr:uid="{00000000-0005-0000-0000-00009C140000}"/>
    <cellStyle name="Percent 3 8 3 2" xfId="5277" xr:uid="{00000000-0005-0000-0000-00009D140000}"/>
    <cellStyle name="Percent 3 8 3 3" xfId="5278" xr:uid="{00000000-0005-0000-0000-00009E140000}"/>
    <cellStyle name="Percent 3 8 3 4" xfId="5279" xr:uid="{00000000-0005-0000-0000-00009F140000}"/>
    <cellStyle name="Percent 3 8 4" xfId="5280" xr:uid="{00000000-0005-0000-0000-0000A0140000}"/>
    <cellStyle name="Percent 3 8 4 2" xfId="5281" xr:uid="{00000000-0005-0000-0000-0000A1140000}"/>
    <cellStyle name="Percent 3 8 4 3" xfId="5282" xr:uid="{00000000-0005-0000-0000-0000A2140000}"/>
    <cellStyle name="Percent 3 8 4 4" xfId="5283" xr:uid="{00000000-0005-0000-0000-0000A3140000}"/>
    <cellStyle name="Percent 3 8 5" xfId="5284" xr:uid="{00000000-0005-0000-0000-0000A4140000}"/>
    <cellStyle name="Percent 3 8 5 2" xfId="5285" xr:uid="{00000000-0005-0000-0000-0000A5140000}"/>
    <cellStyle name="Percent 3 8 5 3" xfId="5286" xr:uid="{00000000-0005-0000-0000-0000A6140000}"/>
    <cellStyle name="Percent 3 8 5 4" xfId="5287" xr:uid="{00000000-0005-0000-0000-0000A7140000}"/>
    <cellStyle name="Percent 3 8 6" xfId="5288" xr:uid="{00000000-0005-0000-0000-0000A8140000}"/>
    <cellStyle name="Percent 3 8 6 2" xfId="5289" xr:uid="{00000000-0005-0000-0000-0000A9140000}"/>
    <cellStyle name="Percent 3 8 6 3" xfId="5290" xr:uid="{00000000-0005-0000-0000-0000AA140000}"/>
    <cellStyle name="Percent 3 8 6 4" xfId="5291" xr:uid="{00000000-0005-0000-0000-0000AB140000}"/>
    <cellStyle name="Percent 3 8 7" xfId="5292" xr:uid="{00000000-0005-0000-0000-0000AC140000}"/>
    <cellStyle name="Percent 3 8 7 2" xfId="5293" xr:uid="{00000000-0005-0000-0000-0000AD140000}"/>
    <cellStyle name="Percent 3 8 7 3" xfId="5294" xr:uid="{00000000-0005-0000-0000-0000AE140000}"/>
    <cellStyle name="Percent 3 8 7 4" xfId="5295" xr:uid="{00000000-0005-0000-0000-0000AF140000}"/>
    <cellStyle name="Percent 3 8 8" xfId="5296" xr:uid="{00000000-0005-0000-0000-0000B0140000}"/>
    <cellStyle name="Percent 3 8 8 2" xfId="5297" xr:uid="{00000000-0005-0000-0000-0000B1140000}"/>
    <cellStyle name="Percent 3 8 8 3" xfId="5298" xr:uid="{00000000-0005-0000-0000-0000B2140000}"/>
    <cellStyle name="Percent 3 8 8 4" xfId="5299" xr:uid="{00000000-0005-0000-0000-0000B3140000}"/>
    <cellStyle name="Percent 3 8 9" xfId="5300" xr:uid="{00000000-0005-0000-0000-0000B4140000}"/>
    <cellStyle name="Percent 3 8 9 2" xfId="5301" xr:uid="{00000000-0005-0000-0000-0000B5140000}"/>
    <cellStyle name="Percent 3 8 9 3" xfId="5302" xr:uid="{00000000-0005-0000-0000-0000B6140000}"/>
    <cellStyle name="Percent 3 8 9 4" xfId="5303" xr:uid="{00000000-0005-0000-0000-0000B7140000}"/>
    <cellStyle name="Percent 3 9" xfId="5304" xr:uid="{00000000-0005-0000-0000-0000B8140000}"/>
    <cellStyle name="Percent 3 9 10" xfId="5305" xr:uid="{00000000-0005-0000-0000-0000B9140000}"/>
    <cellStyle name="Percent 3 9 10 2" xfId="5306" xr:uid="{00000000-0005-0000-0000-0000BA140000}"/>
    <cellStyle name="Percent 3 9 10 3" xfId="5307" xr:uid="{00000000-0005-0000-0000-0000BB140000}"/>
    <cellStyle name="Percent 3 9 10 4" xfId="5308" xr:uid="{00000000-0005-0000-0000-0000BC140000}"/>
    <cellStyle name="Percent 3 9 11" xfId="5309" xr:uid="{00000000-0005-0000-0000-0000BD140000}"/>
    <cellStyle name="Percent 3 9 11 2" xfId="5310" xr:uid="{00000000-0005-0000-0000-0000BE140000}"/>
    <cellStyle name="Percent 3 9 11 3" xfId="5311" xr:uid="{00000000-0005-0000-0000-0000BF140000}"/>
    <cellStyle name="Percent 3 9 11 4" xfId="5312" xr:uid="{00000000-0005-0000-0000-0000C0140000}"/>
    <cellStyle name="Percent 3 9 12" xfId="5313" xr:uid="{00000000-0005-0000-0000-0000C1140000}"/>
    <cellStyle name="Percent 3 9 12 2" xfId="5314" xr:uid="{00000000-0005-0000-0000-0000C2140000}"/>
    <cellStyle name="Percent 3 9 12 3" xfId="5315" xr:uid="{00000000-0005-0000-0000-0000C3140000}"/>
    <cellStyle name="Percent 3 9 12 4" xfId="5316" xr:uid="{00000000-0005-0000-0000-0000C4140000}"/>
    <cellStyle name="Percent 3 9 13" xfId="5317" xr:uid="{00000000-0005-0000-0000-0000C5140000}"/>
    <cellStyle name="Percent 3 9 13 2" xfId="5318" xr:uid="{00000000-0005-0000-0000-0000C6140000}"/>
    <cellStyle name="Percent 3 9 13 3" xfId="5319" xr:uid="{00000000-0005-0000-0000-0000C7140000}"/>
    <cellStyle name="Percent 3 9 13 4" xfId="5320" xr:uid="{00000000-0005-0000-0000-0000C8140000}"/>
    <cellStyle name="Percent 3 9 14" xfId="5321" xr:uid="{00000000-0005-0000-0000-0000C9140000}"/>
    <cellStyle name="Percent 3 9 14 2" xfId="5322" xr:uid="{00000000-0005-0000-0000-0000CA140000}"/>
    <cellStyle name="Percent 3 9 14 3" xfId="5323" xr:uid="{00000000-0005-0000-0000-0000CB140000}"/>
    <cellStyle name="Percent 3 9 14 4" xfId="5324" xr:uid="{00000000-0005-0000-0000-0000CC140000}"/>
    <cellStyle name="Percent 3 9 15" xfId="5325" xr:uid="{00000000-0005-0000-0000-0000CD140000}"/>
    <cellStyle name="Percent 3 9 15 2" xfId="5326" xr:uid="{00000000-0005-0000-0000-0000CE140000}"/>
    <cellStyle name="Percent 3 9 15 3" xfId="5327" xr:uid="{00000000-0005-0000-0000-0000CF140000}"/>
    <cellStyle name="Percent 3 9 15 4" xfId="5328" xr:uid="{00000000-0005-0000-0000-0000D0140000}"/>
    <cellStyle name="Percent 3 9 16" xfId="5329" xr:uid="{00000000-0005-0000-0000-0000D1140000}"/>
    <cellStyle name="Percent 3 9 17" xfId="5330" xr:uid="{00000000-0005-0000-0000-0000D2140000}"/>
    <cellStyle name="Percent 3 9 18" xfId="5331" xr:uid="{00000000-0005-0000-0000-0000D3140000}"/>
    <cellStyle name="Percent 3 9 2" xfId="5332" xr:uid="{00000000-0005-0000-0000-0000D4140000}"/>
    <cellStyle name="Percent 3 9 2 2" xfId="5333" xr:uid="{00000000-0005-0000-0000-0000D5140000}"/>
    <cellStyle name="Percent 3 9 2 3" xfId="5334" xr:uid="{00000000-0005-0000-0000-0000D6140000}"/>
    <cellStyle name="Percent 3 9 2 4" xfId="5335" xr:uid="{00000000-0005-0000-0000-0000D7140000}"/>
    <cellStyle name="Percent 3 9 3" xfId="5336" xr:uid="{00000000-0005-0000-0000-0000D8140000}"/>
    <cellStyle name="Percent 3 9 3 2" xfId="5337" xr:uid="{00000000-0005-0000-0000-0000D9140000}"/>
    <cellStyle name="Percent 3 9 3 3" xfId="5338" xr:uid="{00000000-0005-0000-0000-0000DA140000}"/>
    <cellStyle name="Percent 3 9 3 4" xfId="5339" xr:uid="{00000000-0005-0000-0000-0000DB140000}"/>
    <cellStyle name="Percent 3 9 4" xfId="5340" xr:uid="{00000000-0005-0000-0000-0000DC140000}"/>
    <cellStyle name="Percent 3 9 4 2" xfId="5341" xr:uid="{00000000-0005-0000-0000-0000DD140000}"/>
    <cellStyle name="Percent 3 9 4 3" xfId="5342" xr:uid="{00000000-0005-0000-0000-0000DE140000}"/>
    <cellStyle name="Percent 3 9 4 4" xfId="5343" xr:uid="{00000000-0005-0000-0000-0000DF140000}"/>
    <cellStyle name="Percent 3 9 5" xfId="5344" xr:uid="{00000000-0005-0000-0000-0000E0140000}"/>
    <cellStyle name="Percent 3 9 5 2" xfId="5345" xr:uid="{00000000-0005-0000-0000-0000E1140000}"/>
    <cellStyle name="Percent 3 9 5 3" xfId="5346" xr:uid="{00000000-0005-0000-0000-0000E2140000}"/>
    <cellStyle name="Percent 3 9 5 4" xfId="5347" xr:uid="{00000000-0005-0000-0000-0000E3140000}"/>
    <cellStyle name="Percent 3 9 6" xfId="5348" xr:uid="{00000000-0005-0000-0000-0000E4140000}"/>
    <cellStyle name="Percent 3 9 6 2" xfId="5349" xr:uid="{00000000-0005-0000-0000-0000E5140000}"/>
    <cellStyle name="Percent 3 9 6 3" xfId="5350" xr:uid="{00000000-0005-0000-0000-0000E6140000}"/>
    <cellStyle name="Percent 3 9 6 4" xfId="5351" xr:uid="{00000000-0005-0000-0000-0000E7140000}"/>
    <cellStyle name="Percent 3 9 7" xfId="5352" xr:uid="{00000000-0005-0000-0000-0000E8140000}"/>
    <cellStyle name="Percent 3 9 7 2" xfId="5353" xr:uid="{00000000-0005-0000-0000-0000E9140000}"/>
    <cellStyle name="Percent 3 9 7 3" xfId="5354" xr:uid="{00000000-0005-0000-0000-0000EA140000}"/>
    <cellStyle name="Percent 3 9 7 4" xfId="5355" xr:uid="{00000000-0005-0000-0000-0000EB140000}"/>
    <cellStyle name="Percent 3 9 8" xfId="5356" xr:uid="{00000000-0005-0000-0000-0000EC140000}"/>
    <cellStyle name="Percent 3 9 8 2" xfId="5357" xr:uid="{00000000-0005-0000-0000-0000ED140000}"/>
    <cellStyle name="Percent 3 9 8 3" xfId="5358" xr:uid="{00000000-0005-0000-0000-0000EE140000}"/>
    <cellStyle name="Percent 3 9 8 4" xfId="5359" xr:uid="{00000000-0005-0000-0000-0000EF140000}"/>
    <cellStyle name="Percent 3 9 9" xfId="5360" xr:uid="{00000000-0005-0000-0000-0000F0140000}"/>
    <cellStyle name="Percent 3 9 9 2" xfId="5361" xr:uid="{00000000-0005-0000-0000-0000F1140000}"/>
    <cellStyle name="Percent 3 9 9 3" xfId="5362" xr:uid="{00000000-0005-0000-0000-0000F2140000}"/>
    <cellStyle name="Percent 3 9 9 4" xfId="5363" xr:uid="{00000000-0005-0000-0000-0000F3140000}"/>
    <cellStyle name="Percent 31" xfId="5364" xr:uid="{00000000-0005-0000-0000-0000F4140000}"/>
    <cellStyle name="Percent 31 2" xfId="5365" xr:uid="{00000000-0005-0000-0000-0000F5140000}"/>
    <cellStyle name="Percent 31 3" xfId="5366" xr:uid="{00000000-0005-0000-0000-0000F6140000}"/>
    <cellStyle name="Percent 31 4" xfId="5367" xr:uid="{00000000-0005-0000-0000-0000F7140000}"/>
    <cellStyle name="Percent 4" xfId="5368" xr:uid="{00000000-0005-0000-0000-0000F8140000}"/>
    <cellStyle name="Percent 4 10" xfId="5369" xr:uid="{00000000-0005-0000-0000-0000F9140000}"/>
    <cellStyle name="Percent 4 10 2" xfId="5370" xr:uid="{00000000-0005-0000-0000-0000FA140000}"/>
    <cellStyle name="Percent 4 10 3" xfId="5371" xr:uid="{00000000-0005-0000-0000-0000FB140000}"/>
    <cellStyle name="Percent 4 10 4" xfId="5372" xr:uid="{00000000-0005-0000-0000-0000FC140000}"/>
    <cellStyle name="Percent 4 11" xfId="5373" xr:uid="{00000000-0005-0000-0000-0000FD140000}"/>
    <cellStyle name="Percent 4 11 2" xfId="5374" xr:uid="{00000000-0005-0000-0000-0000FE140000}"/>
    <cellStyle name="Percent 4 11 3" xfId="5375" xr:uid="{00000000-0005-0000-0000-0000FF140000}"/>
    <cellStyle name="Percent 4 11 4" xfId="5376" xr:uid="{00000000-0005-0000-0000-000000150000}"/>
    <cellStyle name="Percent 4 12" xfId="5377" xr:uid="{00000000-0005-0000-0000-000001150000}"/>
    <cellStyle name="Percent 4 12 2" xfId="5378" xr:uid="{00000000-0005-0000-0000-000002150000}"/>
    <cellStyle name="Percent 4 12 3" xfId="5379" xr:uid="{00000000-0005-0000-0000-000003150000}"/>
    <cellStyle name="Percent 4 12 4" xfId="5380" xr:uid="{00000000-0005-0000-0000-000004150000}"/>
    <cellStyle name="Percent 4 13" xfId="5381" xr:uid="{00000000-0005-0000-0000-000005150000}"/>
    <cellStyle name="Percent 4 13 2" xfId="5382" xr:uid="{00000000-0005-0000-0000-000006150000}"/>
    <cellStyle name="Percent 4 13 3" xfId="5383" xr:uid="{00000000-0005-0000-0000-000007150000}"/>
    <cellStyle name="Percent 4 13 4" xfId="5384" xr:uid="{00000000-0005-0000-0000-000008150000}"/>
    <cellStyle name="Percent 4 14" xfId="5385" xr:uid="{00000000-0005-0000-0000-000009150000}"/>
    <cellStyle name="Percent 4 14 2" xfId="5386" xr:uid="{00000000-0005-0000-0000-00000A150000}"/>
    <cellStyle name="Percent 4 14 3" xfId="5387" xr:uid="{00000000-0005-0000-0000-00000B150000}"/>
    <cellStyle name="Percent 4 14 4" xfId="5388" xr:uid="{00000000-0005-0000-0000-00000C150000}"/>
    <cellStyle name="Percent 4 15" xfId="5389" xr:uid="{00000000-0005-0000-0000-00000D150000}"/>
    <cellStyle name="Percent 4 15 2" xfId="5390" xr:uid="{00000000-0005-0000-0000-00000E150000}"/>
    <cellStyle name="Percent 4 15 3" xfId="5391" xr:uid="{00000000-0005-0000-0000-00000F150000}"/>
    <cellStyle name="Percent 4 15 4" xfId="5392" xr:uid="{00000000-0005-0000-0000-000010150000}"/>
    <cellStyle name="Percent 4 16" xfId="5393" xr:uid="{00000000-0005-0000-0000-000011150000}"/>
    <cellStyle name="Percent 4 16 2" xfId="5394" xr:uid="{00000000-0005-0000-0000-000012150000}"/>
    <cellStyle name="Percent 4 16 2 2" xfId="5395" xr:uid="{00000000-0005-0000-0000-000013150000}"/>
    <cellStyle name="Percent 4 16 3" xfId="5396" xr:uid="{00000000-0005-0000-0000-000014150000}"/>
    <cellStyle name="Percent 4 16 4" xfId="5397" xr:uid="{00000000-0005-0000-0000-000015150000}"/>
    <cellStyle name="Percent 4 16 5" xfId="5398" xr:uid="{00000000-0005-0000-0000-000016150000}"/>
    <cellStyle name="Percent 4 17" xfId="5399" xr:uid="{00000000-0005-0000-0000-000017150000}"/>
    <cellStyle name="Percent 4 17 2" xfId="5400" xr:uid="{00000000-0005-0000-0000-000018150000}"/>
    <cellStyle name="Percent 4 17 3" xfId="5401" xr:uid="{00000000-0005-0000-0000-000019150000}"/>
    <cellStyle name="Percent 4 17 4" xfId="5402" xr:uid="{00000000-0005-0000-0000-00001A150000}"/>
    <cellStyle name="Percent 4 18" xfId="5403" xr:uid="{00000000-0005-0000-0000-00001B150000}"/>
    <cellStyle name="Percent 4 18 2" xfId="5404" xr:uid="{00000000-0005-0000-0000-00001C150000}"/>
    <cellStyle name="Percent 4 18 3" xfId="5405" xr:uid="{00000000-0005-0000-0000-00001D150000}"/>
    <cellStyle name="Percent 4 18 4" xfId="5406" xr:uid="{00000000-0005-0000-0000-00001E150000}"/>
    <cellStyle name="Percent 4 19" xfId="5407" xr:uid="{00000000-0005-0000-0000-00001F150000}"/>
    <cellStyle name="Percent 4 19 2" xfId="5408" xr:uid="{00000000-0005-0000-0000-000020150000}"/>
    <cellStyle name="Percent 4 19 3" xfId="5409" xr:uid="{00000000-0005-0000-0000-000021150000}"/>
    <cellStyle name="Percent 4 19 4" xfId="5410" xr:uid="{00000000-0005-0000-0000-000022150000}"/>
    <cellStyle name="Percent 4 2" xfId="5411" xr:uid="{00000000-0005-0000-0000-000023150000}"/>
    <cellStyle name="Percent 4 2 10" xfId="5412" xr:uid="{00000000-0005-0000-0000-000024150000}"/>
    <cellStyle name="Percent 4 2 11" xfId="5413" xr:uid="{00000000-0005-0000-0000-000025150000}"/>
    <cellStyle name="Percent 4 2 12" xfId="5414" xr:uid="{00000000-0005-0000-0000-000026150000}"/>
    <cellStyle name="Percent 4 2 2" xfId="5415" xr:uid="{00000000-0005-0000-0000-000027150000}"/>
    <cellStyle name="Percent 4 2 2 2" xfId="5416" xr:uid="{00000000-0005-0000-0000-000028150000}"/>
    <cellStyle name="Percent 4 2 2 3" xfId="5417" xr:uid="{00000000-0005-0000-0000-000029150000}"/>
    <cellStyle name="Percent 4 2 2 4" xfId="5418" xr:uid="{00000000-0005-0000-0000-00002A150000}"/>
    <cellStyle name="Percent 4 2 3" xfId="5419" xr:uid="{00000000-0005-0000-0000-00002B150000}"/>
    <cellStyle name="Percent 4 2 3 2" xfId="5420" xr:uid="{00000000-0005-0000-0000-00002C150000}"/>
    <cellStyle name="Percent 4 2 3 3" xfId="5421" xr:uid="{00000000-0005-0000-0000-00002D150000}"/>
    <cellStyle name="Percent 4 2 3 4" xfId="5422" xr:uid="{00000000-0005-0000-0000-00002E150000}"/>
    <cellStyle name="Percent 4 2 4" xfId="5423" xr:uid="{00000000-0005-0000-0000-00002F150000}"/>
    <cellStyle name="Percent 4 2 4 2" xfId="5424" xr:uid="{00000000-0005-0000-0000-000030150000}"/>
    <cellStyle name="Percent 4 2 4 2 2" xfId="5425" xr:uid="{00000000-0005-0000-0000-000031150000}"/>
    <cellStyle name="Percent 4 2 4 2 3" xfId="5426" xr:uid="{00000000-0005-0000-0000-000032150000}"/>
    <cellStyle name="Percent 4 2 4 3" xfId="5427" xr:uid="{00000000-0005-0000-0000-000033150000}"/>
    <cellStyle name="Percent 4 2 4 3 2" xfId="5428" xr:uid="{00000000-0005-0000-0000-000034150000}"/>
    <cellStyle name="Percent 4 2 4 4" xfId="5429" xr:uid="{00000000-0005-0000-0000-000035150000}"/>
    <cellStyle name="Percent 4 2 4 5" xfId="5430" xr:uid="{00000000-0005-0000-0000-000036150000}"/>
    <cellStyle name="Percent 4 2 5" xfId="5431" xr:uid="{00000000-0005-0000-0000-000037150000}"/>
    <cellStyle name="Percent 4 2 5 2" xfId="5432" xr:uid="{00000000-0005-0000-0000-000038150000}"/>
    <cellStyle name="Percent 4 2 5 3" xfId="5433" xr:uid="{00000000-0005-0000-0000-000039150000}"/>
    <cellStyle name="Percent 4 2 6" xfId="5434" xr:uid="{00000000-0005-0000-0000-00003A150000}"/>
    <cellStyle name="Percent 4 2 6 2" xfId="5435" xr:uid="{00000000-0005-0000-0000-00003B150000}"/>
    <cellStyle name="Percent 4 2 6 2 2" xfId="5436" xr:uid="{00000000-0005-0000-0000-00003C150000}"/>
    <cellStyle name="Percent 4 2 6 3" xfId="5437" xr:uid="{00000000-0005-0000-0000-00003D150000}"/>
    <cellStyle name="Percent 4 2 6 4" xfId="5438" xr:uid="{00000000-0005-0000-0000-00003E150000}"/>
    <cellStyle name="Percent 4 2 7" xfId="5439" xr:uid="{00000000-0005-0000-0000-00003F150000}"/>
    <cellStyle name="Percent 4 2 7 2" xfId="5440" xr:uid="{00000000-0005-0000-0000-000040150000}"/>
    <cellStyle name="Percent 4 2 7 3" xfId="5441" xr:uid="{00000000-0005-0000-0000-000041150000}"/>
    <cellStyle name="Percent 4 2 8" xfId="5442" xr:uid="{00000000-0005-0000-0000-000042150000}"/>
    <cellStyle name="Percent 4 2 8 2" xfId="5443" xr:uid="{00000000-0005-0000-0000-000043150000}"/>
    <cellStyle name="Percent 4 2 8 3" xfId="5444" xr:uid="{00000000-0005-0000-0000-000044150000}"/>
    <cellStyle name="Percent 4 2 9" xfId="5445" xr:uid="{00000000-0005-0000-0000-000045150000}"/>
    <cellStyle name="Percent 4 2 9 2" xfId="5446" xr:uid="{00000000-0005-0000-0000-000046150000}"/>
    <cellStyle name="Percent 4 2 9 3" xfId="5447" xr:uid="{00000000-0005-0000-0000-000047150000}"/>
    <cellStyle name="Percent 4 20" xfId="5448" xr:uid="{00000000-0005-0000-0000-000048150000}"/>
    <cellStyle name="Percent 4 20 2" xfId="5449" xr:uid="{00000000-0005-0000-0000-000049150000}"/>
    <cellStyle name="Percent 4 20 3" xfId="5450" xr:uid="{00000000-0005-0000-0000-00004A150000}"/>
    <cellStyle name="Percent 4 20 4" xfId="5451" xr:uid="{00000000-0005-0000-0000-00004B150000}"/>
    <cellStyle name="Percent 4 21" xfId="5452" xr:uid="{00000000-0005-0000-0000-00004C150000}"/>
    <cellStyle name="Percent 4 21 2" xfId="5453" xr:uid="{00000000-0005-0000-0000-00004D150000}"/>
    <cellStyle name="Percent 4 21 3" xfId="5454" xr:uid="{00000000-0005-0000-0000-00004E150000}"/>
    <cellStyle name="Percent 4 21 4" xfId="5455" xr:uid="{00000000-0005-0000-0000-00004F150000}"/>
    <cellStyle name="Percent 4 22" xfId="5456" xr:uid="{00000000-0005-0000-0000-000050150000}"/>
    <cellStyle name="Percent 4 22 2" xfId="5457" xr:uid="{00000000-0005-0000-0000-000051150000}"/>
    <cellStyle name="Percent 4 22 3" xfId="5458" xr:uid="{00000000-0005-0000-0000-000052150000}"/>
    <cellStyle name="Percent 4 22 4" xfId="5459" xr:uid="{00000000-0005-0000-0000-000053150000}"/>
    <cellStyle name="Percent 4 23" xfId="5460" xr:uid="{00000000-0005-0000-0000-000054150000}"/>
    <cellStyle name="Percent 4 23 2" xfId="5461" xr:uid="{00000000-0005-0000-0000-000055150000}"/>
    <cellStyle name="Percent 4 23 3" xfId="5462" xr:uid="{00000000-0005-0000-0000-000056150000}"/>
    <cellStyle name="Percent 4 23 4" xfId="5463" xr:uid="{00000000-0005-0000-0000-000057150000}"/>
    <cellStyle name="Percent 4 24" xfId="5464" xr:uid="{00000000-0005-0000-0000-000058150000}"/>
    <cellStyle name="Percent 4 24 2" xfId="5465" xr:uid="{00000000-0005-0000-0000-000059150000}"/>
    <cellStyle name="Percent 4 24 3" xfId="5466" xr:uid="{00000000-0005-0000-0000-00005A150000}"/>
    <cellStyle name="Percent 4 24 4" xfId="5467" xr:uid="{00000000-0005-0000-0000-00005B150000}"/>
    <cellStyle name="Percent 4 25" xfId="5468" xr:uid="{00000000-0005-0000-0000-00005C150000}"/>
    <cellStyle name="Percent 4 25 2" xfId="5469" xr:uid="{00000000-0005-0000-0000-00005D150000}"/>
    <cellStyle name="Percent 4 25 3" xfId="5470" xr:uid="{00000000-0005-0000-0000-00005E150000}"/>
    <cellStyle name="Percent 4 25 4" xfId="5471" xr:uid="{00000000-0005-0000-0000-00005F150000}"/>
    <cellStyle name="Percent 4 26" xfId="5472" xr:uid="{00000000-0005-0000-0000-000060150000}"/>
    <cellStyle name="Percent 4 26 2" xfId="5473" xr:uid="{00000000-0005-0000-0000-000061150000}"/>
    <cellStyle name="Percent 4 26 3" xfId="5474" xr:uid="{00000000-0005-0000-0000-000062150000}"/>
    <cellStyle name="Percent 4 26 4" xfId="5475" xr:uid="{00000000-0005-0000-0000-000063150000}"/>
    <cellStyle name="Percent 4 27" xfId="5476" xr:uid="{00000000-0005-0000-0000-000064150000}"/>
    <cellStyle name="Percent 4 27 2" xfId="5477" xr:uid="{00000000-0005-0000-0000-000065150000}"/>
    <cellStyle name="Percent 4 27 3" xfId="5478" xr:uid="{00000000-0005-0000-0000-000066150000}"/>
    <cellStyle name="Percent 4 27 4" xfId="5479" xr:uid="{00000000-0005-0000-0000-000067150000}"/>
    <cellStyle name="Percent 4 28" xfId="5480" xr:uid="{00000000-0005-0000-0000-000068150000}"/>
    <cellStyle name="Percent 4 28 2" xfId="5481" xr:uid="{00000000-0005-0000-0000-000069150000}"/>
    <cellStyle name="Percent 4 28 3" xfId="5482" xr:uid="{00000000-0005-0000-0000-00006A150000}"/>
    <cellStyle name="Percent 4 28 4" xfId="5483" xr:uid="{00000000-0005-0000-0000-00006B150000}"/>
    <cellStyle name="Percent 4 29" xfId="5484" xr:uid="{00000000-0005-0000-0000-00006C150000}"/>
    <cellStyle name="Percent 4 29 2" xfId="5485" xr:uid="{00000000-0005-0000-0000-00006D150000}"/>
    <cellStyle name="Percent 4 29 2 2" xfId="5486" xr:uid="{00000000-0005-0000-0000-00006E150000}"/>
    <cellStyle name="Percent 4 29 2 3" xfId="5487" xr:uid="{00000000-0005-0000-0000-00006F150000}"/>
    <cellStyle name="Percent 4 29 3" xfId="5488" xr:uid="{00000000-0005-0000-0000-000070150000}"/>
    <cellStyle name="Percent 4 29 3 2" xfId="5489" xr:uid="{00000000-0005-0000-0000-000071150000}"/>
    <cellStyle name="Percent 4 29 4" xfId="5490" xr:uid="{00000000-0005-0000-0000-000072150000}"/>
    <cellStyle name="Percent 4 3" xfId="5491" xr:uid="{00000000-0005-0000-0000-000073150000}"/>
    <cellStyle name="Percent 4 3 10" xfId="5492" xr:uid="{00000000-0005-0000-0000-000074150000}"/>
    <cellStyle name="Percent 4 3 11" xfId="5493" xr:uid="{00000000-0005-0000-0000-000075150000}"/>
    <cellStyle name="Percent 4 3 2" xfId="5494" xr:uid="{00000000-0005-0000-0000-000076150000}"/>
    <cellStyle name="Percent 4 3 2 2" xfId="5495" xr:uid="{00000000-0005-0000-0000-000077150000}"/>
    <cellStyle name="Percent 4 3 2 3" xfId="5496" xr:uid="{00000000-0005-0000-0000-000078150000}"/>
    <cellStyle name="Percent 4 3 3" xfId="5497" xr:uid="{00000000-0005-0000-0000-000079150000}"/>
    <cellStyle name="Percent 4 3 3 2" xfId="5498" xr:uid="{00000000-0005-0000-0000-00007A150000}"/>
    <cellStyle name="Percent 4 3 3 3" xfId="5499" xr:uid="{00000000-0005-0000-0000-00007B150000}"/>
    <cellStyle name="Percent 4 3 4" xfId="5500" xr:uid="{00000000-0005-0000-0000-00007C150000}"/>
    <cellStyle name="Percent 4 3 4 2" xfId="5501" xr:uid="{00000000-0005-0000-0000-00007D150000}"/>
    <cellStyle name="Percent 4 3 4 3" xfId="5502" xr:uid="{00000000-0005-0000-0000-00007E150000}"/>
    <cellStyle name="Percent 4 3 5" xfId="5503" xr:uid="{00000000-0005-0000-0000-00007F150000}"/>
    <cellStyle name="Percent 4 3 5 2" xfId="5504" xr:uid="{00000000-0005-0000-0000-000080150000}"/>
    <cellStyle name="Percent 4 3 5 3" xfId="5505" xr:uid="{00000000-0005-0000-0000-000081150000}"/>
    <cellStyle name="Percent 4 3 6" xfId="5506" xr:uid="{00000000-0005-0000-0000-000082150000}"/>
    <cellStyle name="Percent 4 3 6 2" xfId="5507" xr:uid="{00000000-0005-0000-0000-000083150000}"/>
    <cellStyle name="Percent 4 3 6 3" xfId="5508" xr:uid="{00000000-0005-0000-0000-000084150000}"/>
    <cellStyle name="Percent 4 3 7" xfId="5509" xr:uid="{00000000-0005-0000-0000-000085150000}"/>
    <cellStyle name="Percent 4 3 7 2" xfId="5510" xr:uid="{00000000-0005-0000-0000-000086150000}"/>
    <cellStyle name="Percent 4 3 7 3" xfId="5511" xr:uid="{00000000-0005-0000-0000-000087150000}"/>
    <cellStyle name="Percent 4 3 8" xfId="5512" xr:uid="{00000000-0005-0000-0000-000088150000}"/>
    <cellStyle name="Percent 4 3 8 2" xfId="5513" xr:uid="{00000000-0005-0000-0000-000089150000}"/>
    <cellStyle name="Percent 4 3 8 3" xfId="5514" xr:uid="{00000000-0005-0000-0000-00008A150000}"/>
    <cellStyle name="Percent 4 3 9" xfId="5515" xr:uid="{00000000-0005-0000-0000-00008B150000}"/>
    <cellStyle name="Percent 4 30" xfId="5516" xr:uid="{00000000-0005-0000-0000-00008C150000}"/>
    <cellStyle name="Percent 4 30 2" xfId="5517" xr:uid="{00000000-0005-0000-0000-00008D150000}"/>
    <cellStyle name="Percent 4 30 3" xfId="5518" xr:uid="{00000000-0005-0000-0000-00008E150000}"/>
    <cellStyle name="Percent 4 31" xfId="5519" xr:uid="{00000000-0005-0000-0000-00008F150000}"/>
    <cellStyle name="Percent 4 32" xfId="5520" xr:uid="{00000000-0005-0000-0000-000090150000}"/>
    <cellStyle name="Percent 4 33" xfId="5521" xr:uid="{00000000-0005-0000-0000-000091150000}"/>
    <cellStyle name="Percent 4 4" xfId="5522" xr:uid="{00000000-0005-0000-0000-000092150000}"/>
    <cellStyle name="Percent 4 4 10" xfId="5523" xr:uid="{00000000-0005-0000-0000-000093150000}"/>
    <cellStyle name="Percent 4 4 11" xfId="5524" xr:uid="{00000000-0005-0000-0000-000094150000}"/>
    <cellStyle name="Percent 4 4 2" xfId="5525" xr:uid="{00000000-0005-0000-0000-000095150000}"/>
    <cellStyle name="Percent 4 4 2 2" xfId="5526" xr:uid="{00000000-0005-0000-0000-000096150000}"/>
    <cellStyle name="Percent 4 4 2 3" xfId="5527" xr:uid="{00000000-0005-0000-0000-000097150000}"/>
    <cellStyle name="Percent 4 4 2 4" xfId="5528" xr:uid="{00000000-0005-0000-0000-000098150000}"/>
    <cellStyle name="Percent 4 4 3" xfId="5529" xr:uid="{00000000-0005-0000-0000-000099150000}"/>
    <cellStyle name="Percent 4 4 3 2" xfId="5530" xr:uid="{00000000-0005-0000-0000-00009A150000}"/>
    <cellStyle name="Percent 4 4 3 3" xfId="5531" xr:uid="{00000000-0005-0000-0000-00009B150000}"/>
    <cellStyle name="Percent 4 4 4" xfId="5532" xr:uid="{00000000-0005-0000-0000-00009C150000}"/>
    <cellStyle name="Percent 4 4 4 2" xfId="5533" xr:uid="{00000000-0005-0000-0000-00009D150000}"/>
    <cellStyle name="Percent 4 4 4 3" xfId="5534" xr:uid="{00000000-0005-0000-0000-00009E150000}"/>
    <cellStyle name="Percent 4 4 5" xfId="5535" xr:uid="{00000000-0005-0000-0000-00009F150000}"/>
    <cellStyle name="Percent 4 4 5 2" xfId="5536" xr:uid="{00000000-0005-0000-0000-0000A0150000}"/>
    <cellStyle name="Percent 4 4 5 3" xfId="5537" xr:uid="{00000000-0005-0000-0000-0000A1150000}"/>
    <cellStyle name="Percent 4 4 6" xfId="5538" xr:uid="{00000000-0005-0000-0000-0000A2150000}"/>
    <cellStyle name="Percent 4 4 6 2" xfId="5539" xr:uid="{00000000-0005-0000-0000-0000A3150000}"/>
    <cellStyle name="Percent 4 4 6 3" xfId="5540" xr:uid="{00000000-0005-0000-0000-0000A4150000}"/>
    <cellStyle name="Percent 4 4 7" xfId="5541" xr:uid="{00000000-0005-0000-0000-0000A5150000}"/>
    <cellStyle name="Percent 4 4 7 2" xfId="5542" xr:uid="{00000000-0005-0000-0000-0000A6150000}"/>
    <cellStyle name="Percent 4 4 7 3" xfId="5543" xr:uid="{00000000-0005-0000-0000-0000A7150000}"/>
    <cellStyle name="Percent 4 4 8" xfId="5544" xr:uid="{00000000-0005-0000-0000-0000A8150000}"/>
    <cellStyle name="Percent 4 4 8 2" xfId="5545" xr:uid="{00000000-0005-0000-0000-0000A9150000}"/>
    <cellStyle name="Percent 4 4 8 3" xfId="5546" xr:uid="{00000000-0005-0000-0000-0000AA150000}"/>
    <cellStyle name="Percent 4 4 9" xfId="5547" xr:uid="{00000000-0005-0000-0000-0000AB150000}"/>
    <cellStyle name="Percent 4 4 9 2" xfId="5548" xr:uid="{00000000-0005-0000-0000-0000AC150000}"/>
    <cellStyle name="Percent 4 5" xfId="5549" xr:uid="{00000000-0005-0000-0000-0000AD150000}"/>
    <cellStyle name="Percent 4 5 10" xfId="5550" xr:uid="{00000000-0005-0000-0000-0000AE150000}"/>
    <cellStyle name="Percent 4 5 11" xfId="5551" xr:uid="{00000000-0005-0000-0000-0000AF150000}"/>
    <cellStyle name="Percent 4 5 2" xfId="5552" xr:uid="{00000000-0005-0000-0000-0000B0150000}"/>
    <cellStyle name="Percent 4 5 2 2" xfId="5553" xr:uid="{00000000-0005-0000-0000-0000B1150000}"/>
    <cellStyle name="Percent 4 5 2 3" xfId="5554" xr:uid="{00000000-0005-0000-0000-0000B2150000}"/>
    <cellStyle name="Percent 4 5 3" xfId="5555" xr:uid="{00000000-0005-0000-0000-0000B3150000}"/>
    <cellStyle name="Percent 4 5 3 2" xfId="5556" xr:uid="{00000000-0005-0000-0000-0000B4150000}"/>
    <cellStyle name="Percent 4 5 3 3" xfId="5557" xr:uid="{00000000-0005-0000-0000-0000B5150000}"/>
    <cellStyle name="Percent 4 5 4" xfId="5558" xr:uid="{00000000-0005-0000-0000-0000B6150000}"/>
    <cellStyle name="Percent 4 5 4 2" xfId="5559" xr:uid="{00000000-0005-0000-0000-0000B7150000}"/>
    <cellStyle name="Percent 4 5 4 3" xfId="5560" xr:uid="{00000000-0005-0000-0000-0000B8150000}"/>
    <cellStyle name="Percent 4 5 5" xfId="5561" xr:uid="{00000000-0005-0000-0000-0000B9150000}"/>
    <cellStyle name="Percent 4 5 5 2" xfId="5562" xr:uid="{00000000-0005-0000-0000-0000BA150000}"/>
    <cellStyle name="Percent 4 5 5 3" xfId="5563" xr:uid="{00000000-0005-0000-0000-0000BB150000}"/>
    <cellStyle name="Percent 4 5 6" xfId="5564" xr:uid="{00000000-0005-0000-0000-0000BC150000}"/>
    <cellStyle name="Percent 4 5 6 2" xfId="5565" xr:uid="{00000000-0005-0000-0000-0000BD150000}"/>
    <cellStyle name="Percent 4 5 6 3" xfId="5566" xr:uid="{00000000-0005-0000-0000-0000BE150000}"/>
    <cellStyle name="Percent 4 5 7" xfId="5567" xr:uid="{00000000-0005-0000-0000-0000BF150000}"/>
    <cellStyle name="Percent 4 5 7 2" xfId="5568" xr:uid="{00000000-0005-0000-0000-0000C0150000}"/>
    <cellStyle name="Percent 4 5 7 3" xfId="5569" xr:uid="{00000000-0005-0000-0000-0000C1150000}"/>
    <cellStyle name="Percent 4 5 8" xfId="5570" xr:uid="{00000000-0005-0000-0000-0000C2150000}"/>
    <cellStyle name="Percent 4 5 8 2" xfId="5571" xr:uid="{00000000-0005-0000-0000-0000C3150000}"/>
    <cellStyle name="Percent 4 5 8 3" xfId="5572" xr:uid="{00000000-0005-0000-0000-0000C4150000}"/>
    <cellStyle name="Percent 4 5 9" xfId="5573" xr:uid="{00000000-0005-0000-0000-0000C5150000}"/>
    <cellStyle name="Percent 4 5 9 2" xfId="5574" xr:uid="{00000000-0005-0000-0000-0000C6150000}"/>
    <cellStyle name="Percent 4 6" xfId="5575" xr:uid="{00000000-0005-0000-0000-0000C7150000}"/>
    <cellStyle name="Percent 4 6 10" xfId="5576" xr:uid="{00000000-0005-0000-0000-0000C8150000}"/>
    <cellStyle name="Percent 4 6 11" xfId="5577" xr:uid="{00000000-0005-0000-0000-0000C9150000}"/>
    <cellStyle name="Percent 4 6 2" xfId="5578" xr:uid="{00000000-0005-0000-0000-0000CA150000}"/>
    <cellStyle name="Percent 4 6 2 2" xfId="5579" xr:uid="{00000000-0005-0000-0000-0000CB150000}"/>
    <cellStyle name="Percent 4 6 2 3" xfId="5580" xr:uid="{00000000-0005-0000-0000-0000CC150000}"/>
    <cellStyle name="Percent 4 6 3" xfId="5581" xr:uid="{00000000-0005-0000-0000-0000CD150000}"/>
    <cellStyle name="Percent 4 6 3 2" xfId="5582" xr:uid="{00000000-0005-0000-0000-0000CE150000}"/>
    <cellStyle name="Percent 4 6 3 3" xfId="5583" xr:uid="{00000000-0005-0000-0000-0000CF150000}"/>
    <cellStyle name="Percent 4 6 4" xfId="5584" xr:uid="{00000000-0005-0000-0000-0000D0150000}"/>
    <cellStyle name="Percent 4 6 4 2" xfId="5585" xr:uid="{00000000-0005-0000-0000-0000D1150000}"/>
    <cellStyle name="Percent 4 6 4 3" xfId="5586" xr:uid="{00000000-0005-0000-0000-0000D2150000}"/>
    <cellStyle name="Percent 4 6 5" xfId="5587" xr:uid="{00000000-0005-0000-0000-0000D3150000}"/>
    <cellStyle name="Percent 4 6 5 2" xfId="5588" xr:uid="{00000000-0005-0000-0000-0000D4150000}"/>
    <cellStyle name="Percent 4 6 5 3" xfId="5589" xr:uid="{00000000-0005-0000-0000-0000D5150000}"/>
    <cellStyle name="Percent 4 6 6" xfId="5590" xr:uid="{00000000-0005-0000-0000-0000D6150000}"/>
    <cellStyle name="Percent 4 6 6 2" xfId="5591" xr:uid="{00000000-0005-0000-0000-0000D7150000}"/>
    <cellStyle name="Percent 4 6 6 3" xfId="5592" xr:uid="{00000000-0005-0000-0000-0000D8150000}"/>
    <cellStyle name="Percent 4 6 7" xfId="5593" xr:uid="{00000000-0005-0000-0000-0000D9150000}"/>
    <cellStyle name="Percent 4 6 7 2" xfId="5594" xr:uid="{00000000-0005-0000-0000-0000DA150000}"/>
    <cellStyle name="Percent 4 6 7 3" xfId="5595" xr:uid="{00000000-0005-0000-0000-0000DB150000}"/>
    <cellStyle name="Percent 4 6 8" xfId="5596" xr:uid="{00000000-0005-0000-0000-0000DC150000}"/>
    <cellStyle name="Percent 4 6 8 2" xfId="5597" xr:uid="{00000000-0005-0000-0000-0000DD150000}"/>
    <cellStyle name="Percent 4 6 8 3" xfId="5598" xr:uid="{00000000-0005-0000-0000-0000DE150000}"/>
    <cellStyle name="Percent 4 6 9" xfId="5599" xr:uid="{00000000-0005-0000-0000-0000DF150000}"/>
    <cellStyle name="Percent 4 7" xfId="5600" xr:uid="{00000000-0005-0000-0000-0000E0150000}"/>
    <cellStyle name="Percent 4 7 2" xfId="5601" xr:uid="{00000000-0005-0000-0000-0000E1150000}"/>
    <cellStyle name="Percent 4 7 3" xfId="5602" xr:uid="{00000000-0005-0000-0000-0000E2150000}"/>
    <cellStyle name="Percent 4 7 4" xfId="5603" xr:uid="{00000000-0005-0000-0000-0000E3150000}"/>
    <cellStyle name="Percent 4 8" xfId="5604" xr:uid="{00000000-0005-0000-0000-0000E4150000}"/>
    <cellStyle name="Percent 4 8 2" xfId="5605" xr:uid="{00000000-0005-0000-0000-0000E5150000}"/>
    <cellStyle name="Percent 4 8 3" xfId="5606" xr:uid="{00000000-0005-0000-0000-0000E6150000}"/>
    <cellStyle name="Percent 4 8 4" xfId="5607" xr:uid="{00000000-0005-0000-0000-0000E7150000}"/>
    <cellStyle name="Percent 4 9" xfId="5608" xr:uid="{00000000-0005-0000-0000-0000E8150000}"/>
    <cellStyle name="Percent 4 9 2" xfId="5609" xr:uid="{00000000-0005-0000-0000-0000E9150000}"/>
    <cellStyle name="Percent 4 9 3" xfId="5610" xr:uid="{00000000-0005-0000-0000-0000EA150000}"/>
    <cellStyle name="Percent 4 9 4" xfId="5611" xr:uid="{00000000-0005-0000-0000-0000EB150000}"/>
    <cellStyle name="Percent 5" xfId="5612" xr:uid="{00000000-0005-0000-0000-0000EC150000}"/>
    <cellStyle name="Percent 5 10" xfId="5613" xr:uid="{00000000-0005-0000-0000-0000ED150000}"/>
    <cellStyle name="Percent 5 10 2" xfId="5614" xr:uid="{00000000-0005-0000-0000-0000EE150000}"/>
    <cellStyle name="Percent 5 11" xfId="5615" xr:uid="{00000000-0005-0000-0000-0000EF150000}"/>
    <cellStyle name="Percent 5 11 2" xfId="5616" xr:uid="{00000000-0005-0000-0000-0000F0150000}"/>
    <cellStyle name="Percent 5 12" xfId="5617" xr:uid="{00000000-0005-0000-0000-0000F1150000}"/>
    <cellStyle name="Percent 5 13" xfId="5618" xr:uid="{00000000-0005-0000-0000-0000F2150000}"/>
    <cellStyle name="Percent 5 14" xfId="5619" xr:uid="{00000000-0005-0000-0000-0000F3150000}"/>
    <cellStyle name="Percent 5 2" xfId="5620" xr:uid="{00000000-0005-0000-0000-0000F4150000}"/>
    <cellStyle name="Percent 5 2 2" xfId="5621" xr:uid="{00000000-0005-0000-0000-0000F5150000}"/>
    <cellStyle name="Percent 5 2 3" xfId="5622" xr:uid="{00000000-0005-0000-0000-0000F6150000}"/>
    <cellStyle name="Percent 5 2 4" xfId="5623" xr:uid="{00000000-0005-0000-0000-0000F7150000}"/>
    <cellStyle name="Percent 5 3" xfId="5624" xr:uid="{00000000-0005-0000-0000-0000F8150000}"/>
    <cellStyle name="Percent 5 3 2" xfId="5625" xr:uid="{00000000-0005-0000-0000-0000F9150000}"/>
    <cellStyle name="Percent 5 3 2 2" xfId="5626" xr:uid="{00000000-0005-0000-0000-0000FA150000}"/>
    <cellStyle name="Percent 5 3 2 3" xfId="5627" xr:uid="{00000000-0005-0000-0000-0000FB150000}"/>
    <cellStyle name="Percent 5 3 3" xfId="5628" xr:uid="{00000000-0005-0000-0000-0000FC150000}"/>
    <cellStyle name="Percent 5 3 4" xfId="5629" xr:uid="{00000000-0005-0000-0000-0000FD150000}"/>
    <cellStyle name="Percent 5 3 5" xfId="5630" xr:uid="{00000000-0005-0000-0000-0000FE150000}"/>
    <cellStyle name="Percent 5 4" xfId="5631" xr:uid="{00000000-0005-0000-0000-0000FF150000}"/>
    <cellStyle name="Percent 5 4 2" xfId="5632" xr:uid="{00000000-0005-0000-0000-000000160000}"/>
    <cellStyle name="Percent 5 4 2 2" xfId="5633" xr:uid="{00000000-0005-0000-0000-000001160000}"/>
    <cellStyle name="Percent 5 4 3" xfId="5634" xr:uid="{00000000-0005-0000-0000-000002160000}"/>
    <cellStyle name="Percent 5 4 4" xfId="5635" xr:uid="{00000000-0005-0000-0000-000003160000}"/>
    <cellStyle name="Percent 5 5" xfId="5636" xr:uid="{00000000-0005-0000-0000-000004160000}"/>
    <cellStyle name="Percent 5 5 2" xfId="5637" xr:uid="{00000000-0005-0000-0000-000005160000}"/>
    <cellStyle name="Percent 5 5 2 2" xfId="5638" xr:uid="{00000000-0005-0000-0000-000006160000}"/>
    <cellStyle name="Percent 5 5 3" xfId="5639" xr:uid="{00000000-0005-0000-0000-000007160000}"/>
    <cellStyle name="Percent 5 5 4" xfId="5640" xr:uid="{00000000-0005-0000-0000-000008160000}"/>
    <cellStyle name="Percent 5 6" xfId="5641" xr:uid="{00000000-0005-0000-0000-000009160000}"/>
    <cellStyle name="Percent 5 6 2" xfId="5642" xr:uid="{00000000-0005-0000-0000-00000A160000}"/>
    <cellStyle name="Percent 5 6 3" xfId="5643" xr:uid="{00000000-0005-0000-0000-00000B160000}"/>
    <cellStyle name="Percent 5 7" xfId="5644" xr:uid="{00000000-0005-0000-0000-00000C160000}"/>
    <cellStyle name="Percent 5 7 2" xfId="5645" xr:uid="{00000000-0005-0000-0000-00000D160000}"/>
    <cellStyle name="Percent 5 7 3" xfId="5646" xr:uid="{00000000-0005-0000-0000-00000E160000}"/>
    <cellStyle name="Percent 5 8" xfId="5647" xr:uid="{00000000-0005-0000-0000-00000F160000}"/>
    <cellStyle name="Percent 5 8 2" xfId="5648" xr:uid="{00000000-0005-0000-0000-000010160000}"/>
    <cellStyle name="Percent 5 8 3" xfId="5649" xr:uid="{00000000-0005-0000-0000-000011160000}"/>
    <cellStyle name="Percent 5 9" xfId="5650" xr:uid="{00000000-0005-0000-0000-000012160000}"/>
    <cellStyle name="Percent 5 9 2" xfId="5651" xr:uid="{00000000-0005-0000-0000-000013160000}"/>
    <cellStyle name="Percent 5 9 2 2" xfId="5652" xr:uid="{00000000-0005-0000-0000-000014160000}"/>
    <cellStyle name="Percent 5 9 3" xfId="5653" xr:uid="{00000000-0005-0000-0000-000015160000}"/>
    <cellStyle name="Percent 5 9 4" xfId="5654" xr:uid="{00000000-0005-0000-0000-000016160000}"/>
    <cellStyle name="Percent 6" xfId="5655" xr:uid="{00000000-0005-0000-0000-000017160000}"/>
    <cellStyle name="Percent 6 10" xfId="5656" xr:uid="{00000000-0005-0000-0000-000018160000}"/>
    <cellStyle name="Percent 6 2" xfId="5657" xr:uid="{00000000-0005-0000-0000-000019160000}"/>
    <cellStyle name="Percent 6 2 2" xfId="5658" xr:uid="{00000000-0005-0000-0000-00001A160000}"/>
    <cellStyle name="Percent 6 2 3" xfId="5659" xr:uid="{00000000-0005-0000-0000-00001B160000}"/>
    <cellStyle name="Percent 6 3" xfId="5660" xr:uid="{00000000-0005-0000-0000-00001C160000}"/>
    <cellStyle name="Percent 6 3 2" xfId="5661" xr:uid="{00000000-0005-0000-0000-00001D160000}"/>
    <cellStyle name="Percent 6 3 2 2" xfId="5662" xr:uid="{00000000-0005-0000-0000-00001E160000}"/>
    <cellStyle name="Percent 6 3 3" xfId="5663" xr:uid="{00000000-0005-0000-0000-00001F160000}"/>
    <cellStyle name="Percent 6 3 4" xfId="5664" xr:uid="{00000000-0005-0000-0000-000020160000}"/>
    <cellStyle name="Percent 6 4" xfId="5665" xr:uid="{00000000-0005-0000-0000-000021160000}"/>
    <cellStyle name="Percent 6 4 2" xfId="5666" xr:uid="{00000000-0005-0000-0000-000022160000}"/>
    <cellStyle name="Percent 6 4 3" xfId="5667" xr:uid="{00000000-0005-0000-0000-000023160000}"/>
    <cellStyle name="Percent 6 5" xfId="5668" xr:uid="{00000000-0005-0000-0000-000024160000}"/>
    <cellStyle name="Percent 6 5 2" xfId="5669" xr:uid="{00000000-0005-0000-0000-000025160000}"/>
    <cellStyle name="Percent 6 5 3" xfId="5670" xr:uid="{00000000-0005-0000-0000-000026160000}"/>
    <cellStyle name="Percent 6 6" xfId="5671" xr:uid="{00000000-0005-0000-0000-000027160000}"/>
    <cellStyle name="Percent 6 6 2" xfId="5672" xr:uid="{00000000-0005-0000-0000-000028160000}"/>
    <cellStyle name="Percent 6 6 3" xfId="5673" xr:uid="{00000000-0005-0000-0000-000029160000}"/>
    <cellStyle name="Percent 6 7" xfId="5674" xr:uid="{00000000-0005-0000-0000-00002A160000}"/>
    <cellStyle name="Percent 6 7 2" xfId="5675" xr:uid="{00000000-0005-0000-0000-00002B160000}"/>
    <cellStyle name="Percent 6 7 3" xfId="5676" xr:uid="{00000000-0005-0000-0000-00002C160000}"/>
    <cellStyle name="Percent 6 8" xfId="5677" xr:uid="{00000000-0005-0000-0000-00002D160000}"/>
    <cellStyle name="Percent 6 8 2" xfId="5678" xr:uid="{00000000-0005-0000-0000-00002E160000}"/>
    <cellStyle name="Percent 6 8 3" xfId="5679" xr:uid="{00000000-0005-0000-0000-00002F160000}"/>
    <cellStyle name="Percent 6 9" xfId="5680" xr:uid="{00000000-0005-0000-0000-000030160000}"/>
    <cellStyle name="Percent 6 9 2" xfId="5681" xr:uid="{00000000-0005-0000-0000-000031160000}"/>
    <cellStyle name="Percent 7" xfId="5682" xr:uid="{00000000-0005-0000-0000-000032160000}"/>
    <cellStyle name="Percent 7 10" xfId="5683" xr:uid="{00000000-0005-0000-0000-000033160000}"/>
    <cellStyle name="Percent 7 2" xfId="5684" xr:uid="{00000000-0005-0000-0000-000034160000}"/>
    <cellStyle name="Percent 7 2 2" xfId="5685" xr:uid="{00000000-0005-0000-0000-000035160000}"/>
    <cellStyle name="Percent 7 2 3" xfId="5686" xr:uid="{00000000-0005-0000-0000-000036160000}"/>
    <cellStyle name="Percent 7 3" xfId="5687" xr:uid="{00000000-0005-0000-0000-000037160000}"/>
    <cellStyle name="Percent 7 3 2" xfId="5688" xr:uid="{00000000-0005-0000-0000-000038160000}"/>
    <cellStyle name="Percent 7 3 3" xfId="5689" xr:uid="{00000000-0005-0000-0000-000039160000}"/>
    <cellStyle name="Percent 7 4" xfId="5690" xr:uid="{00000000-0005-0000-0000-00003A160000}"/>
    <cellStyle name="Percent 7 4 2" xfId="5691" xr:uid="{00000000-0005-0000-0000-00003B160000}"/>
    <cellStyle name="Percent 7 4 3" xfId="5692" xr:uid="{00000000-0005-0000-0000-00003C160000}"/>
    <cellStyle name="Percent 7 5" xfId="5693" xr:uid="{00000000-0005-0000-0000-00003D160000}"/>
    <cellStyle name="Percent 7 5 2" xfId="5694" xr:uid="{00000000-0005-0000-0000-00003E160000}"/>
    <cellStyle name="Percent 7 5 3" xfId="5695" xr:uid="{00000000-0005-0000-0000-00003F160000}"/>
    <cellStyle name="Percent 7 6" xfId="5696" xr:uid="{00000000-0005-0000-0000-000040160000}"/>
    <cellStyle name="Percent 7 6 2" xfId="5697" xr:uid="{00000000-0005-0000-0000-000041160000}"/>
    <cellStyle name="Percent 7 6 3" xfId="5698" xr:uid="{00000000-0005-0000-0000-000042160000}"/>
    <cellStyle name="Percent 7 7" xfId="5699" xr:uid="{00000000-0005-0000-0000-000043160000}"/>
    <cellStyle name="Percent 7 7 2" xfId="5700" xr:uid="{00000000-0005-0000-0000-000044160000}"/>
    <cellStyle name="Percent 7 7 3" xfId="5701" xr:uid="{00000000-0005-0000-0000-000045160000}"/>
    <cellStyle name="Percent 7 8" xfId="5702" xr:uid="{00000000-0005-0000-0000-000046160000}"/>
    <cellStyle name="Percent 7 8 2" xfId="5703" xr:uid="{00000000-0005-0000-0000-000047160000}"/>
    <cellStyle name="Percent 7 8 3" xfId="5704" xr:uid="{00000000-0005-0000-0000-000048160000}"/>
    <cellStyle name="Percent 7 9" xfId="5705" xr:uid="{00000000-0005-0000-0000-000049160000}"/>
    <cellStyle name="Percent 8" xfId="5706" xr:uid="{00000000-0005-0000-0000-00004A160000}"/>
    <cellStyle name="Percent 8 10" xfId="5707" xr:uid="{00000000-0005-0000-0000-00004B160000}"/>
    <cellStyle name="Percent 8 2" xfId="5708" xr:uid="{00000000-0005-0000-0000-00004C160000}"/>
    <cellStyle name="Percent 8 2 2" xfId="5709" xr:uid="{00000000-0005-0000-0000-00004D160000}"/>
    <cellStyle name="Percent 8 2 3" xfId="5710" xr:uid="{00000000-0005-0000-0000-00004E160000}"/>
    <cellStyle name="Percent 8 3" xfId="5711" xr:uid="{00000000-0005-0000-0000-00004F160000}"/>
    <cellStyle name="Percent 8 3 2" xfId="5712" xr:uid="{00000000-0005-0000-0000-000050160000}"/>
    <cellStyle name="Percent 8 3 3" xfId="5713" xr:uid="{00000000-0005-0000-0000-000051160000}"/>
    <cellStyle name="Percent 8 4" xfId="5714" xr:uid="{00000000-0005-0000-0000-000052160000}"/>
    <cellStyle name="Percent 8 4 2" xfId="5715" xr:uid="{00000000-0005-0000-0000-000053160000}"/>
    <cellStyle name="Percent 8 4 3" xfId="5716" xr:uid="{00000000-0005-0000-0000-000054160000}"/>
    <cellStyle name="Percent 8 5" xfId="5717" xr:uid="{00000000-0005-0000-0000-000055160000}"/>
    <cellStyle name="Percent 8 5 2" xfId="5718" xr:uid="{00000000-0005-0000-0000-000056160000}"/>
    <cellStyle name="Percent 8 5 3" xfId="5719" xr:uid="{00000000-0005-0000-0000-000057160000}"/>
    <cellStyle name="Percent 8 6" xfId="5720" xr:uid="{00000000-0005-0000-0000-000058160000}"/>
    <cellStyle name="Percent 8 6 2" xfId="5721" xr:uid="{00000000-0005-0000-0000-000059160000}"/>
    <cellStyle name="Percent 8 6 3" xfId="5722" xr:uid="{00000000-0005-0000-0000-00005A160000}"/>
    <cellStyle name="Percent 8 7" xfId="5723" xr:uid="{00000000-0005-0000-0000-00005B160000}"/>
    <cellStyle name="Percent 8 7 2" xfId="5724" xr:uid="{00000000-0005-0000-0000-00005C160000}"/>
    <cellStyle name="Percent 8 7 3" xfId="5725" xr:uid="{00000000-0005-0000-0000-00005D160000}"/>
    <cellStyle name="Percent 8 8" xfId="5726" xr:uid="{00000000-0005-0000-0000-00005E160000}"/>
    <cellStyle name="Percent 8 8 2" xfId="5727" xr:uid="{00000000-0005-0000-0000-00005F160000}"/>
    <cellStyle name="Percent 8 8 3" xfId="5728" xr:uid="{00000000-0005-0000-0000-000060160000}"/>
    <cellStyle name="Percent 8 9" xfId="5729" xr:uid="{00000000-0005-0000-0000-000061160000}"/>
    <cellStyle name="Percent 9" xfId="5730" xr:uid="{00000000-0005-0000-0000-000062160000}"/>
    <cellStyle name="Percent 9 10" xfId="5731" xr:uid="{00000000-0005-0000-0000-000063160000}"/>
    <cellStyle name="Percent 9 10 2" xfId="5732" xr:uid="{00000000-0005-0000-0000-000064160000}"/>
    <cellStyle name="Percent 9 10 3" xfId="5733" xr:uid="{00000000-0005-0000-0000-000065160000}"/>
    <cellStyle name="Percent 9 10 4" xfId="5734" xr:uid="{00000000-0005-0000-0000-000066160000}"/>
    <cellStyle name="Percent 9 11" xfId="5735" xr:uid="{00000000-0005-0000-0000-000067160000}"/>
    <cellStyle name="Percent 9 11 2" xfId="5736" xr:uid="{00000000-0005-0000-0000-000068160000}"/>
    <cellStyle name="Percent 9 11 3" xfId="5737" xr:uid="{00000000-0005-0000-0000-000069160000}"/>
    <cellStyle name="Percent 9 11 4" xfId="5738" xr:uid="{00000000-0005-0000-0000-00006A160000}"/>
    <cellStyle name="Percent 9 12" xfId="5739" xr:uid="{00000000-0005-0000-0000-00006B160000}"/>
    <cellStyle name="Percent 9 12 2" xfId="5740" xr:uid="{00000000-0005-0000-0000-00006C160000}"/>
    <cellStyle name="Percent 9 12 3" xfId="5741" xr:uid="{00000000-0005-0000-0000-00006D160000}"/>
    <cellStyle name="Percent 9 12 4" xfId="5742" xr:uid="{00000000-0005-0000-0000-00006E160000}"/>
    <cellStyle name="Percent 9 13" xfId="5743" xr:uid="{00000000-0005-0000-0000-00006F160000}"/>
    <cellStyle name="Percent 9 13 2" xfId="5744" xr:uid="{00000000-0005-0000-0000-000070160000}"/>
    <cellStyle name="Percent 9 13 3" xfId="5745" xr:uid="{00000000-0005-0000-0000-000071160000}"/>
    <cellStyle name="Percent 9 13 4" xfId="5746" xr:uid="{00000000-0005-0000-0000-000072160000}"/>
    <cellStyle name="Percent 9 14" xfId="5747" xr:uid="{00000000-0005-0000-0000-000073160000}"/>
    <cellStyle name="Percent 9 14 2" xfId="5748" xr:uid="{00000000-0005-0000-0000-000074160000}"/>
    <cellStyle name="Percent 9 14 3" xfId="5749" xr:uid="{00000000-0005-0000-0000-000075160000}"/>
    <cellStyle name="Percent 9 14 4" xfId="5750" xr:uid="{00000000-0005-0000-0000-000076160000}"/>
    <cellStyle name="Percent 9 15" xfId="5751" xr:uid="{00000000-0005-0000-0000-000077160000}"/>
    <cellStyle name="Percent 9 15 2" xfId="5752" xr:uid="{00000000-0005-0000-0000-000078160000}"/>
    <cellStyle name="Percent 9 15 3" xfId="5753" xr:uid="{00000000-0005-0000-0000-000079160000}"/>
    <cellStyle name="Percent 9 15 4" xfId="5754" xr:uid="{00000000-0005-0000-0000-00007A160000}"/>
    <cellStyle name="Percent 9 16" xfId="5755" xr:uid="{00000000-0005-0000-0000-00007B160000}"/>
    <cellStyle name="Percent 9 16 2" xfId="5756" xr:uid="{00000000-0005-0000-0000-00007C160000}"/>
    <cellStyle name="Percent 9 16 3" xfId="5757" xr:uid="{00000000-0005-0000-0000-00007D160000}"/>
    <cellStyle name="Percent 9 16 4" xfId="5758" xr:uid="{00000000-0005-0000-0000-00007E160000}"/>
    <cellStyle name="Percent 9 17" xfId="5759" xr:uid="{00000000-0005-0000-0000-00007F160000}"/>
    <cellStyle name="Percent 9 17 2" xfId="5760" xr:uid="{00000000-0005-0000-0000-000080160000}"/>
    <cellStyle name="Percent 9 17 3" xfId="5761" xr:uid="{00000000-0005-0000-0000-000081160000}"/>
    <cellStyle name="Percent 9 17 4" xfId="5762" xr:uid="{00000000-0005-0000-0000-000082160000}"/>
    <cellStyle name="Percent 9 18" xfId="5763" xr:uid="{00000000-0005-0000-0000-000083160000}"/>
    <cellStyle name="Percent 9 18 2" xfId="5764" xr:uid="{00000000-0005-0000-0000-000084160000}"/>
    <cellStyle name="Percent 9 18 3" xfId="5765" xr:uid="{00000000-0005-0000-0000-000085160000}"/>
    <cellStyle name="Percent 9 18 4" xfId="5766" xr:uid="{00000000-0005-0000-0000-000086160000}"/>
    <cellStyle name="Percent 9 19" xfId="5767" xr:uid="{00000000-0005-0000-0000-000087160000}"/>
    <cellStyle name="Percent 9 19 2" xfId="5768" xr:uid="{00000000-0005-0000-0000-000088160000}"/>
    <cellStyle name="Percent 9 19 3" xfId="5769" xr:uid="{00000000-0005-0000-0000-000089160000}"/>
    <cellStyle name="Percent 9 19 4" xfId="5770" xr:uid="{00000000-0005-0000-0000-00008A160000}"/>
    <cellStyle name="Percent 9 2" xfId="5771" xr:uid="{00000000-0005-0000-0000-00008B160000}"/>
    <cellStyle name="Percent 9 2 2" xfId="5772" xr:uid="{00000000-0005-0000-0000-00008C160000}"/>
    <cellStyle name="Percent 9 2 2 2" xfId="5773" xr:uid="{00000000-0005-0000-0000-00008D160000}"/>
    <cellStyle name="Percent 9 2 2 3" xfId="5774" xr:uid="{00000000-0005-0000-0000-00008E160000}"/>
    <cellStyle name="Percent 9 2 3" xfId="5775" xr:uid="{00000000-0005-0000-0000-00008F160000}"/>
    <cellStyle name="Percent 9 2 4" xfId="5776" xr:uid="{00000000-0005-0000-0000-000090160000}"/>
    <cellStyle name="Percent 9 2 5" xfId="5777" xr:uid="{00000000-0005-0000-0000-000091160000}"/>
    <cellStyle name="Percent 9 20" xfId="5778" xr:uid="{00000000-0005-0000-0000-000092160000}"/>
    <cellStyle name="Percent 9 20 2" xfId="5779" xr:uid="{00000000-0005-0000-0000-000093160000}"/>
    <cellStyle name="Percent 9 20 3" xfId="5780" xr:uid="{00000000-0005-0000-0000-000094160000}"/>
    <cellStyle name="Percent 9 20 4" xfId="5781" xr:uid="{00000000-0005-0000-0000-000095160000}"/>
    <cellStyle name="Percent 9 21" xfId="5782" xr:uid="{00000000-0005-0000-0000-000096160000}"/>
    <cellStyle name="Percent 9 21 2" xfId="5783" xr:uid="{00000000-0005-0000-0000-000097160000}"/>
    <cellStyle name="Percent 9 21 3" xfId="5784" xr:uid="{00000000-0005-0000-0000-000098160000}"/>
    <cellStyle name="Percent 9 22" xfId="5785" xr:uid="{00000000-0005-0000-0000-000099160000}"/>
    <cellStyle name="Percent 9 23" xfId="5786" xr:uid="{00000000-0005-0000-0000-00009A160000}"/>
    <cellStyle name="Percent 9 3" xfId="5787" xr:uid="{00000000-0005-0000-0000-00009B160000}"/>
    <cellStyle name="Percent 9 3 2" xfId="5788" xr:uid="{00000000-0005-0000-0000-00009C160000}"/>
    <cellStyle name="Percent 9 3 2 2" xfId="5789" xr:uid="{00000000-0005-0000-0000-00009D160000}"/>
    <cellStyle name="Percent 9 3 2 3" xfId="5790" xr:uid="{00000000-0005-0000-0000-00009E160000}"/>
    <cellStyle name="Percent 9 3 3" xfId="5791" xr:uid="{00000000-0005-0000-0000-00009F160000}"/>
    <cellStyle name="Percent 9 3 4" xfId="5792" xr:uid="{00000000-0005-0000-0000-0000A0160000}"/>
    <cellStyle name="Percent 9 3 5" xfId="5793" xr:uid="{00000000-0005-0000-0000-0000A1160000}"/>
    <cellStyle name="Percent 9 4" xfId="5794" xr:uid="{00000000-0005-0000-0000-0000A2160000}"/>
    <cellStyle name="Percent 9 4 2" xfId="5795" xr:uid="{00000000-0005-0000-0000-0000A3160000}"/>
    <cellStyle name="Percent 9 4 2 2" xfId="5796" xr:uid="{00000000-0005-0000-0000-0000A4160000}"/>
    <cellStyle name="Percent 9 4 2 3" xfId="5797" xr:uid="{00000000-0005-0000-0000-0000A5160000}"/>
    <cellStyle name="Percent 9 4 3" xfId="5798" xr:uid="{00000000-0005-0000-0000-0000A6160000}"/>
    <cellStyle name="Percent 9 4 4" xfId="5799" xr:uid="{00000000-0005-0000-0000-0000A7160000}"/>
    <cellStyle name="Percent 9 4 5" xfId="5800" xr:uid="{00000000-0005-0000-0000-0000A8160000}"/>
    <cellStyle name="Percent 9 5" xfId="5801" xr:uid="{00000000-0005-0000-0000-0000A9160000}"/>
    <cellStyle name="Percent 9 5 2" xfId="5802" xr:uid="{00000000-0005-0000-0000-0000AA160000}"/>
    <cellStyle name="Percent 9 5 2 2" xfId="5803" xr:uid="{00000000-0005-0000-0000-0000AB160000}"/>
    <cellStyle name="Percent 9 5 2 3" xfId="5804" xr:uid="{00000000-0005-0000-0000-0000AC160000}"/>
    <cellStyle name="Percent 9 5 3" xfId="5805" xr:uid="{00000000-0005-0000-0000-0000AD160000}"/>
    <cellStyle name="Percent 9 5 4" xfId="5806" xr:uid="{00000000-0005-0000-0000-0000AE160000}"/>
    <cellStyle name="Percent 9 5 5" xfId="5807" xr:uid="{00000000-0005-0000-0000-0000AF160000}"/>
    <cellStyle name="Percent 9 6" xfId="5808" xr:uid="{00000000-0005-0000-0000-0000B0160000}"/>
    <cellStyle name="Percent 9 6 2" xfId="5809" xr:uid="{00000000-0005-0000-0000-0000B1160000}"/>
    <cellStyle name="Percent 9 6 2 2" xfId="5810" xr:uid="{00000000-0005-0000-0000-0000B2160000}"/>
    <cellStyle name="Percent 9 6 2 3" xfId="5811" xr:uid="{00000000-0005-0000-0000-0000B3160000}"/>
    <cellStyle name="Percent 9 6 3" xfId="5812" xr:uid="{00000000-0005-0000-0000-0000B4160000}"/>
    <cellStyle name="Percent 9 6 4" xfId="5813" xr:uid="{00000000-0005-0000-0000-0000B5160000}"/>
    <cellStyle name="Percent 9 6 5" xfId="5814" xr:uid="{00000000-0005-0000-0000-0000B6160000}"/>
    <cellStyle name="Percent 9 7" xfId="5815" xr:uid="{00000000-0005-0000-0000-0000B7160000}"/>
    <cellStyle name="Percent 9 7 2" xfId="5816" xr:uid="{00000000-0005-0000-0000-0000B8160000}"/>
    <cellStyle name="Percent 9 7 2 2" xfId="5817" xr:uid="{00000000-0005-0000-0000-0000B9160000}"/>
    <cellStyle name="Percent 9 7 2 3" xfId="5818" xr:uid="{00000000-0005-0000-0000-0000BA160000}"/>
    <cellStyle name="Percent 9 7 2 4" xfId="5819" xr:uid="{00000000-0005-0000-0000-0000BB160000}"/>
    <cellStyle name="Percent 9 7 3" xfId="5820" xr:uid="{00000000-0005-0000-0000-0000BC160000}"/>
    <cellStyle name="Percent 9 7 3 2" xfId="5821" xr:uid="{00000000-0005-0000-0000-0000BD160000}"/>
    <cellStyle name="Percent 9 7 3 3" xfId="5822" xr:uid="{00000000-0005-0000-0000-0000BE160000}"/>
    <cellStyle name="Percent 9 7 3 4" xfId="5823" xr:uid="{00000000-0005-0000-0000-0000BF160000}"/>
    <cellStyle name="Percent 9 7 4" xfId="5824" xr:uid="{00000000-0005-0000-0000-0000C0160000}"/>
    <cellStyle name="Percent 9 7 4 2" xfId="5825" xr:uid="{00000000-0005-0000-0000-0000C1160000}"/>
    <cellStyle name="Percent 9 7 4 3" xfId="5826" xr:uid="{00000000-0005-0000-0000-0000C2160000}"/>
    <cellStyle name="Percent 9 7 5" xfId="5827" xr:uid="{00000000-0005-0000-0000-0000C3160000}"/>
    <cellStyle name="Percent 9 7 6" xfId="5828" xr:uid="{00000000-0005-0000-0000-0000C4160000}"/>
    <cellStyle name="Percent 9 7 7" xfId="5829" xr:uid="{00000000-0005-0000-0000-0000C5160000}"/>
    <cellStyle name="Percent 9 8" xfId="5830" xr:uid="{00000000-0005-0000-0000-0000C6160000}"/>
    <cellStyle name="Percent 9 8 2" xfId="5831" xr:uid="{00000000-0005-0000-0000-0000C7160000}"/>
    <cellStyle name="Percent 9 8 2 2" xfId="5832" xr:uid="{00000000-0005-0000-0000-0000C8160000}"/>
    <cellStyle name="Percent 9 8 2 3" xfId="5833" xr:uid="{00000000-0005-0000-0000-0000C9160000}"/>
    <cellStyle name="Percent 9 8 3" xfId="5834" xr:uid="{00000000-0005-0000-0000-0000CA160000}"/>
    <cellStyle name="Percent 9 8 4" xfId="5835" xr:uid="{00000000-0005-0000-0000-0000CB160000}"/>
    <cellStyle name="Percent 9 8 5" xfId="5836" xr:uid="{00000000-0005-0000-0000-0000CC160000}"/>
    <cellStyle name="Percent 9 9" xfId="5837" xr:uid="{00000000-0005-0000-0000-0000CD160000}"/>
    <cellStyle name="Percent 9 9 2" xfId="5838" xr:uid="{00000000-0005-0000-0000-0000CE160000}"/>
    <cellStyle name="Percent 9 9 3" xfId="5839" xr:uid="{00000000-0005-0000-0000-0000CF160000}"/>
    <cellStyle name="Percent 9 9 4" xfId="5840" xr:uid="{00000000-0005-0000-0000-0000D0160000}"/>
    <cellStyle name="Percentagem 2 2" xfId="5841" xr:uid="{00000000-0005-0000-0000-0000D1160000}"/>
    <cellStyle name="Percentagem 2 2 2" xfId="5842" xr:uid="{00000000-0005-0000-0000-0000D2160000}"/>
    <cellStyle name="Percentagem 2 2 3" xfId="5843" xr:uid="{00000000-0005-0000-0000-0000D3160000}"/>
    <cellStyle name="Percentagem 2 2 4" xfId="5844" xr:uid="{00000000-0005-0000-0000-0000D4160000}"/>
    <cellStyle name="Percentagem 2 3" xfId="5845" xr:uid="{00000000-0005-0000-0000-0000D5160000}"/>
    <cellStyle name="Percentagem 2 3 2" xfId="5846" xr:uid="{00000000-0005-0000-0000-0000D6160000}"/>
    <cellStyle name="Percentagem 2 3 3" xfId="5847" xr:uid="{00000000-0005-0000-0000-0000D7160000}"/>
    <cellStyle name="Percentagem 2 3 4" xfId="5848" xr:uid="{00000000-0005-0000-0000-0000D8160000}"/>
    <cellStyle name="Pilkku_Layo9704" xfId="5849" xr:uid="{00000000-0005-0000-0000-0000D9160000}"/>
    <cellStyle name="Pyör. luku_Layo9704" xfId="5850" xr:uid="{00000000-0005-0000-0000-0000DA160000}"/>
    <cellStyle name="Pyör. valuutta_Layo9704" xfId="5851" xr:uid="{00000000-0005-0000-0000-0000DB160000}"/>
    <cellStyle name="Schlecht" xfId="5852" xr:uid="{00000000-0005-0000-0000-0000DC160000}"/>
    <cellStyle name="Schlecht 2" xfId="5853" xr:uid="{00000000-0005-0000-0000-0000DD160000}"/>
    <cellStyle name="Schlecht 3" xfId="5854" xr:uid="{00000000-0005-0000-0000-0000DE160000}"/>
    <cellStyle name="Shade" xfId="5855" xr:uid="{00000000-0005-0000-0000-0000DF160000}"/>
    <cellStyle name="Shade 2" xfId="5856" xr:uid="{00000000-0005-0000-0000-0000E0160000}"/>
    <cellStyle name="Shade 3" xfId="5857" xr:uid="{00000000-0005-0000-0000-0000E1160000}"/>
    <cellStyle name="Shade 4" xfId="5858" xr:uid="{00000000-0005-0000-0000-0000E2160000}"/>
    <cellStyle name="source" xfId="5859" xr:uid="{00000000-0005-0000-0000-0000E3160000}"/>
    <cellStyle name="source 2" xfId="5860" xr:uid="{00000000-0005-0000-0000-0000E4160000}"/>
    <cellStyle name="source 2 2" xfId="5861" xr:uid="{00000000-0005-0000-0000-0000E5160000}"/>
    <cellStyle name="source 2 2 2" xfId="5862" xr:uid="{00000000-0005-0000-0000-0000E6160000}"/>
    <cellStyle name="source 2 3" xfId="5863" xr:uid="{00000000-0005-0000-0000-0000E7160000}"/>
    <cellStyle name="source 3" xfId="5864" xr:uid="{00000000-0005-0000-0000-0000E8160000}"/>
    <cellStyle name="source 4" xfId="5865" xr:uid="{00000000-0005-0000-0000-0000E9160000}"/>
    <cellStyle name="source 5" xfId="5866" xr:uid="{00000000-0005-0000-0000-0000EA160000}"/>
    <cellStyle name="Standaard_Blad1" xfId="5867" xr:uid="{00000000-0005-0000-0000-0000EB160000}"/>
    <cellStyle name="Standard 2" xfId="5868" xr:uid="{00000000-0005-0000-0000-0000EC160000}"/>
    <cellStyle name="Standard 2 2" xfId="5869" xr:uid="{00000000-0005-0000-0000-0000ED160000}"/>
    <cellStyle name="Standard 2 3" xfId="5870" xr:uid="{00000000-0005-0000-0000-0000EE160000}"/>
    <cellStyle name="Standard 2 4" xfId="5871" xr:uid="{00000000-0005-0000-0000-0000EF160000}"/>
    <cellStyle name="Standard 3" xfId="5872" xr:uid="{00000000-0005-0000-0000-0000F0160000}"/>
    <cellStyle name="Standard 3 2" xfId="5873" xr:uid="{00000000-0005-0000-0000-0000F1160000}"/>
    <cellStyle name="Standard 3 3" xfId="5874" xr:uid="{00000000-0005-0000-0000-0000F2160000}"/>
    <cellStyle name="Standard 3 4" xfId="5875" xr:uid="{00000000-0005-0000-0000-0000F3160000}"/>
    <cellStyle name="Standard_FI00EU01" xfId="5876" xr:uid="{00000000-0005-0000-0000-0000F4160000}"/>
    <cellStyle name="Style 1" xfId="5877" xr:uid="{00000000-0005-0000-0000-0000F5160000}"/>
    <cellStyle name="Style 1 2" xfId="5878" xr:uid="{00000000-0005-0000-0000-0000F6160000}"/>
    <cellStyle name="Style 1 3" xfId="5879" xr:uid="{00000000-0005-0000-0000-0000F7160000}"/>
    <cellStyle name="Style 1 4" xfId="5880" xr:uid="{00000000-0005-0000-0000-0000F8160000}"/>
    <cellStyle name="Style 103" xfId="5881" xr:uid="{00000000-0005-0000-0000-0000F9160000}"/>
    <cellStyle name="Style 103 2" xfId="5882" xr:uid="{00000000-0005-0000-0000-0000FA160000}"/>
    <cellStyle name="Style 103 2 2" xfId="5883" xr:uid="{00000000-0005-0000-0000-0000FB160000}"/>
    <cellStyle name="Style 103 2 3" xfId="5884" xr:uid="{00000000-0005-0000-0000-0000FC160000}"/>
    <cellStyle name="Style 103 3" xfId="5885" xr:uid="{00000000-0005-0000-0000-0000FD160000}"/>
    <cellStyle name="Style 103 3 2" xfId="5886" xr:uid="{00000000-0005-0000-0000-0000FE160000}"/>
    <cellStyle name="Style 103 3 3" xfId="5887" xr:uid="{00000000-0005-0000-0000-0000FF160000}"/>
    <cellStyle name="Style 103 4" xfId="5888" xr:uid="{00000000-0005-0000-0000-000000170000}"/>
    <cellStyle name="Style 103 5" xfId="5889" xr:uid="{00000000-0005-0000-0000-000001170000}"/>
    <cellStyle name="Style 104" xfId="5890" xr:uid="{00000000-0005-0000-0000-000002170000}"/>
    <cellStyle name="Style 104 2" xfId="5891" xr:uid="{00000000-0005-0000-0000-000003170000}"/>
    <cellStyle name="Style 104 2 2" xfId="5892" xr:uid="{00000000-0005-0000-0000-000004170000}"/>
    <cellStyle name="Style 104 2 3" xfId="5893" xr:uid="{00000000-0005-0000-0000-000005170000}"/>
    <cellStyle name="Style 104 3" xfId="5894" xr:uid="{00000000-0005-0000-0000-000006170000}"/>
    <cellStyle name="Style 104 3 2" xfId="5895" xr:uid="{00000000-0005-0000-0000-000007170000}"/>
    <cellStyle name="Style 104 3 3" xfId="5896" xr:uid="{00000000-0005-0000-0000-000008170000}"/>
    <cellStyle name="Style 104 4" xfId="5897" xr:uid="{00000000-0005-0000-0000-000009170000}"/>
    <cellStyle name="Style 104 5" xfId="5898" xr:uid="{00000000-0005-0000-0000-00000A170000}"/>
    <cellStyle name="Style 105" xfId="5899" xr:uid="{00000000-0005-0000-0000-00000B170000}"/>
    <cellStyle name="Style 105 2" xfId="5900" xr:uid="{00000000-0005-0000-0000-00000C170000}"/>
    <cellStyle name="Style 105 2 2" xfId="5901" xr:uid="{00000000-0005-0000-0000-00000D170000}"/>
    <cellStyle name="Style 105 2 3" xfId="5902" xr:uid="{00000000-0005-0000-0000-00000E170000}"/>
    <cellStyle name="Style 105 3" xfId="5903" xr:uid="{00000000-0005-0000-0000-00000F170000}"/>
    <cellStyle name="Style 105 4" xfId="5904" xr:uid="{00000000-0005-0000-0000-000010170000}"/>
    <cellStyle name="Style 106" xfId="5905" xr:uid="{00000000-0005-0000-0000-000011170000}"/>
    <cellStyle name="Style 106 2" xfId="5906" xr:uid="{00000000-0005-0000-0000-000012170000}"/>
    <cellStyle name="Style 106 2 2" xfId="5907" xr:uid="{00000000-0005-0000-0000-000013170000}"/>
    <cellStyle name="Style 106 2 3" xfId="5908" xr:uid="{00000000-0005-0000-0000-000014170000}"/>
    <cellStyle name="Style 106 3" xfId="5909" xr:uid="{00000000-0005-0000-0000-000015170000}"/>
    <cellStyle name="Style 106 4" xfId="5910" xr:uid="{00000000-0005-0000-0000-000016170000}"/>
    <cellStyle name="Style 107" xfId="5911" xr:uid="{00000000-0005-0000-0000-000017170000}"/>
    <cellStyle name="Style 107 2" xfId="5912" xr:uid="{00000000-0005-0000-0000-000018170000}"/>
    <cellStyle name="Style 107 2 2" xfId="5913" xr:uid="{00000000-0005-0000-0000-000019170000}"/>
    <cellStyle name="Style 107 2 3" xfId="5914" xr:uid="{00000000-0005-0000-0000-00001A170000}"/>
    <cellStyle name="Style 107 3" xfId="5915" xr:uid="{00000000-0005-0000-0000-00001B170000}"/>
    <cellStyle name="Style 107 4" xfId="5916" xr:uid="{00000000-0005-0000-0000-00001C170000}"/>
    <cellStyle name="Style 108" xfId="5917" xr:uid="{00000000-0005-0000-0000-00001D170000}"/>
    <cellStyle name="Style 108 2" xfId="5918" xr:uid="{00000000-0005-0000-0000-00001E170000}"/>
    <cellStyle name="Style 108 2 2" xfId="5919" xr:uid="{00000000-0005-0000-0000-00001F170000}"/>
    <cellStyle name="Style 108 2 3" xfId="5920" xr:uid="{00000000-0005-0000-0000-000020170000}"/>
    <cellStyle name="Style 108 3" xfId="5921" xr:uid="{00000000-0005-0000-0000-000021170000}"/>
    <cellStyle name="Style 108 3 2" xfId="5922" xr:uid="{00000000-0005-0000-0000-000022170000}"/>
    <cellStyle name="Style 108 3 3" xfId="5923" xr:uid="{00000000-0005-0000-0000-000023170000}"/>
    <cellStyle name="Style 108 4" xfId="5924" xr:uid="{00000000-0005-0000-0000-000024170000}"/>
    <cellStyle name="Style 108 5" xfId="5925" xr:uid="{00000000-0005-0000-0000-000025170000}"/>
    <cellStyle name="Style 109" xfId="5926" xr:uid="{00000000-0005-0000-0000-000026170000}"/>
    <cellStyle name="Style 109 2" xfId="5927" xr:uid="{00000000-0005-0000-0000-000027170000}"/>
    <cellStyle name="Style 109 2 2" xfId="5928" xr:uid="{00000000-0005-0000-0000-000028170000}"/>
    <cellStyle name="Style 109 2 3" xfId="5929" xr:uid="{00000000-0005-0000-0000-000029170000}"/>
    <cellStyle name="Style 109 3" xfId="5930" xr:uid="{00000000-0005-0000-0000-00002A170000}"/>
    <cellStyle name="Style 109 4" xfId="5931" xr:uid="{00000000-0005-0000-0000-00002B170000}"/>
    <cellStyle name="Style 110" xfId="5932" xr:uid="{00000000-0005-0000-0000-00002C170000}"/>
    <cellStyle name="Style 110 2" xfId="5933" xr:uid="{00000000-0005-0000-0000-00002D170000}"/>
    <cellStyle name="Style 110 2 2" xfId="5934" xr:uid="{00000000-0005-0000-0000-00002E170000}"/>
    <cellStyle name="Style 110 2 3" xfId="5935" xr:uid="{00000000-0005-0000-0000-00002F170000}"/>
    <cellStyle name="Style 110 3" xfId="5936" xr:uid="{00000000-0005-0000-0000-000030170000}"/>
    <cellStyle name="Style 110 4" xfId="5937" xr:uid="{00000000-0005-0000-0000-000031170000}"/>
    <cellStyle name="Style 114" xfId="5938" xr:uid="{00000000-0005-0000-0000-000032170000}"/>
    <cellStyle name="Style 114 2" xfId="5939" xr:uid="{00000000-0005-0000-0000-000033170000}"/>
    <cellStyle name="Style 114 2 2" xfId="5940" xr:uid="{00000000-0005-0000-0000-000034170000}"/>
    <cellStyle name="Style 114 2 3" xfId="5941" xr:uid="{00000000-0005-0000-0000-000035170000}"/>
    <cellStyle name="Style 114 3" xfId="5942" xr:uid="{00000000-0005-0000-0000-000036170000}"/>
    <cellStyle name="Style 114 3 2" xfId="5943" xr:uid="{00000000-0005-0000-0000-000037170000}"/>
    <cellStyle name="Style 114 3 3" xfId="5944" xr:uid="{00000000-0005-0000-0000-000038170000}"/>
    <cellStyle name="Style 114 4" xfId="5945" xr:uid="{00000000-0005-0000-0000-000039170000}"/>
    <cellStyle name="Style 114 5" xfId="5946" xr:uid="{00000000-0005-0000-0000-00003A170000}"/>
    <cellStyle name="Style 115" xfId="5947" xr:uid="{00000000-0005-0000-0000-00003B170000}"/>
    <cellStyle name="Style 115 2" xfId="5948" xr:uid="{00000000-0005-0000-0000-00003C170000}"/>
    <cellStyle name="Style 115 2 2" xfId="5949" xr:uid="{00000000-0005-0000-0000-00003D170000}"/>
    <cellStyle name="Style 115 2 3" xfId="5950" xr:uid="{00000000-0005-0000-0000-00003E170000}"/>
    <cellStyle name="Style 115 3" xfId="5951" xr:uid="{00000000-0005-0000-0000-00003F170000}"/>
    <cellStyle name="Style 115 3 2" xfId="5952" xr:uid="{00000000-0005-0000-0000-000040170000}"/>
    <cellStyle name="Style 115 3 3" xfId="5953" xr:uid="{00000000-0005-0000-0000-000041170000}"/>
    <cellStyle name="Style 115 4" xfId="5954" xr:uid="{00000000-0005-0000-0000-000042170000}"/>
    <cellStyle name="Style 115 5" xfId="5955" xr:uid="{00000000-0005-0000-0000-000043170000}"/>
    <cellStyle name="Style 116" xfId="5956" xr:uid="{00000000-0005-0000-0000-000044170000}"/>
    <cellStyle name="Style 116 2" xfId="5957" xr:uid="{00000000-0005-0000-0000-000045170000}"/>
    <cellStyle name="Style 116 2 2" xfId="5958" xr:uid="{00000000-0005-0000-0000-000046170000}"/>
    <cellStyle name="Style 116 2 3" xfId="5959" xr:uid="{00000000-0005-0000-0000-000047170000}"/>
    <cellStyle name="Style 116 3" xfId="5960" xr:uid="{00000000-0005-0000-0000-000048170000}"/>
    <cellStyle name="Style 116 4" xfId="5961" xr:uid="{00000000-0005-0000-0000-000049170000}"/>
    <cellStyle name="Style 117" xfId="5962" xr:uid="{00000000-0005-0000-0000-00004A170000}"/>
    <cellStyle name="Style 117 2" xfId="5963" xr:uid="{00000000-0005-0000-0000-00004B170000}"/>
    <cellStyle name="Style 117 2 2" xfId="5964" xr:uid="{00000000-0005-0000-0000-00004C170000}"/>
    <cellStyle name="Style 117 2 3" xfId="5965" xr:uid="{00000000-0005-0000-0000-00004D170000}"/>
    <cellStyle name="Style 117 3" xfId="5966" xr:uid="{00000000-0005-0000-0000-00004E170000}"/>
    <cellStyle name="Style 117 4" xfId="5967" xr:uid="{00000000-0005-0000-0000-00004F170000}"/>
    <cellStyle name="Style 118" xfId="5968" xr:uid="{00000000-0005-0000-0000-000050170000}"/>
    <cellStyle name="Style 118 2" xfId="5969" xr:uid="{00000000-0005-0000-0000-000051170000}"/>
    <cellStyle name="Style 118 2 2" xfId="5970" xr:uid="{00000000-0005-0000-0000-000052170000}"/>
    <cellStyle name="Style 118 2 3" xfId="5971" xr:uid="{00000000-0005-0000-0000-000053170000}"/>
    <cellStyle name="Style 118 3" xfId="5972" xr:uid="{00000000-0005-0000-0000-000054170000}"/>
    <cellStyle name="Style 118 4" xfId="5973" xr:uid="{00000000-0005-0000-0000-000055170000}"/>
    <cellStyle name="Style 119" xfId="5974" xr:uid="{00000000-0005-0000-0000-000056170000}"/>
    <cellStyle name="Style 119 2" xfId="5975" xr:uid="{00000000-0005-0000-0000-000057170000}"/>
    <cellStyle name="Style 119 2 2" xfId="5976" xr:uid="{00000000-0005-0000-0000-000058170000}"/>
    <cellStyle name="Style 119 2 3" xfId="5977" xr:uid="{00000000-0005-0000-0000-000059170000}"/>
    <cellStyle name="Style 119 3" xfId="5978" xr:uid="{00000000-0005-0000-0000-00005A170000}"/>
    <cellStyle name="Style 119 3 2" xfId="5979" xr:uid="{00000000-0005-0000-0000-00005B170000}"/>
    <cellStyle name="Style 119 3 3" xfId="5980" xr:uid="{00000000-0005-0000-0000-00005C170000}"/>
    <cellStyle name="Style 119 4" xfId="5981" xr:uid="{00000000-0005-0000-0000-00005D170000}"/>
    <cellStyle name="Style 119 5" xfId="5982" xr:uid="{00000000-0005-0000-0000-00005E170000}"/>
    <cellStyle name="Style 120" xfId="5983" xr:uid="{00000000-0005-0000-0000-00005F170000}"/>
    <cellStyle name="Style 120 2" xfId="5984" xr:uid="{00000000-0005-0000-0000-000060170000}"/>
    <cellStyle name="Style 120 2 2" xfId="5985" xr:uid="{00000000-0005-0000-0000-000061170000}"/>
    <cellStyle name="Style 120 2 3" xfId="5986" xr:uid="{00000000-0005-0000-0000-000062170000}"/>
    <cellStyle name="Style 120 3" xfId="5987" xr:uid="{00000000-0005-0000-0000-000063170000}"/>
    <cellStyle name="Style 120 4" xfId="5988" xr:uid="{00000000-0005-0000-0000-000064170000}"/>
    <cellStyle name="Style 121" xfId="5989" xr:uid="{00000000-0005-0000-0000-000065170000}"/>
    <cellStyle name="Style 121 2" xfId="5990" xr:uid="{00000000-0005-0000-0000-000066170000}"/>
    <cellStyle name="Style 121 2 2" xfId="5991" xr:uid="{00000000-0005-0000-0000-000067170000}"/>
    <cellStyle name="Style 121 2 3" xfId="5992" xr:uid="{00000000-0005-0000-0000-000068170000}"/>
    <cellStyle name="Style 121 3" xfId="5993" xr:uid="{00000000-0005-0000-0000-000069170000}"/>
    <cellStyle name="Style 121 4" xfId="5994" xr:uid="{00000000-0005-0000-0000-00006A170000}"/>
    <cellStyle name="Style 126" xfId="5995" xr:uid="{00000000-0005-0000-0000-00006B170000}"/>
    <cellStyle name="Style 126 2" xfId="5996" xr:uid="{00000000-0005-0000-0000-00006C170000}"/>
    <cellStyle name="Style 126 2 2" xfId="5997" xr:uid="{00000000-0005-0000-0000-00006D170000}"/>
    <cellStyle name="Style 126 2 3" xfId="5998" xr:uid="{00000000-0005-0000-0000-00006E170000}"/>
    <cellStyle name="Style 126 3" xfId="5999" xr:uid="{00000000-0005-0000-0000-00006F170000}"/>
    <cellStyle name="Style 126 3 2" xfId="6000" xr:uid="{00000000-0005-0000-0000-000070170000}"/>
    <cellStyle name="Style 126 3 3" xfId="6001" xr:uid="{00000000-0005-0000-0000-000071170000}"/>
    <cellStyle name="Style 126 4" xfId="6002" xr:uid="{00000000-0005-0000-0000-000072170000}"/>
    <cellStyle name="Style 126 5" xfId="6003" xr:uid="{00000000-0005-0000-0000-000073170000}"/>
    <cellStyle name="Style 127" xfId="6004" xr:uid="{00000000-0005-0000-0000-000074170000}"/>
    <cellStyle name="Style 127 2" xfId="6005" xr:uid="{00000000-0005-0000-0000-000075170000}"/>
    <cellStyle name="Style 127 2 2" xfId="6006" xr:uid="{00000000-0005-0000-0000-000076170000}"/>
    <cellStyle name="Style 127 2 3" xfId="6007" xr:uid="{00000000-0005-0000-0000-000077170000}"/>
    <cellStyle name="Style 127 3" xfId="6008" xr:uid="{00000000-0005-0000-0000-000078170000}"/>
    <cellStyle name="Style 127 4" xfId="6009" xr:uid="{00000000-0005-0000-0000-000079170000}"/>
    <cellStyle name="Style 128" xfId="6010" xr:uid="{00000000-0005-0000-0000-00007A170000}"/>
    <cellStyle name="Style 128 2" xfId="6011" xr:uid="{00000000-0005-0000-0000-00007B170000}"/>
    <cellStyle name="Style 128 2 2" xfId="6012" xr:uid="{00000000-0005-0000-0000-00007C170000}"/>
    <cellStyle name="Style 128 2 3" xfId="6013" xr:uid="{00000000-0005-0000-0000-00007D170000}"/>
    <cellStyle name="Style 128 3" xfId="6014" xr:uid="{00000000-0005-0000-0000-00007E170000}"/>
    <cellStyle name="Style 128 4" xfId="6015" xr:uid="{00000000-0005-0000-0000-00007F170000}"/>
    <cellStyle name="Style 129" xfId="6016" xr:uid="{00000000-0005-0000-0000-000080170000}"/>
    <cellStyle name="Style 129 2" xfId="6017" xr:uid="{00000000-0005-0000-0000-000081170000}"/>
    <cellStyle name="Style 129 2 2" xfId="6018" xr:uid="{00000000-0005-0000-0000-000082170000}"/>
    <cellStyle name="Style 129 2 3" xfId="6019" xr:uid="{00000000-0005-0000-0000-000083170000}"/>
    <cellStyle name="Style 129 3" xfId="6020" xr:uid="{00000000-0005-0000-0000-000084170000}"/>
    <cellStyle name="Style 129 4" xfId="6021" xr:uid="{00000000-0005-0000-0000-000085170000}"/>
    <cellStyle name="Style 130" xfId="6022" xr:uid="{00000000-0005-0000-0000-000086170000}"/>
    <cellStyle name="Style 130 2" xfId="6023" xr:uid="{00000000-0005-0000-0000-000087170000}"/>
    <cellStyle name="Style 130 2 2" xfId="6024" xr:uid="{00000000-0005-0000-0000-000088170000}"/>
    <cellStyle name="Style 130 2 3" xfId="6025" xr:uid="{00000000-0005-0000-0000-000089170000}"/>
    <cellStyle name="Style 130 3" xfId="6026" xr:uid="{00000000-0005-0000-0000-00008A170000}"/>
    <cellStyle name="Style 130 3 2" xfId="6027" xr:uid="{00000000-0005-0000-0000-00008B170000}"/>
    <cellStyle name="Style 130 3 3" xfId="6028" xr:uid="{00000000-0005-0000-0000-00008C170000}"/>
    <cellStyle name="Style 130 4" xfId="6029" xr:uid="{00000000-0005-0000-0000-00008D170000}"/>
    <cellStyle name="Style 130 5" xfId="6030" xr:uid="{00000000-0005-0000-0000-00008E170000}"/>
    <cellStyle name="Style 131" xfId="6031" xr:uid="{00000000-0005-0000-0000-00008F170000}"/>
    <cellStyle name="Style 131 2" xfId="6032" xr:uid="{00000000-0005-0000-0000-000090170000}"/>
    <cellStyle name="Style 131 2 2" xfId="6033" xr:uid="{00000000-0005-0000-0000-000091170000}"/>
    <cellStyle name="Style 131 2 3" xfId="6034" xr:uid="{00000000-0005-0000-0000-000092170000}"/>
    <cellStyle name="Style 131 3" xfId="6035" xr:uid="{00000000-0005-0000-0000-000093170000}"/>
    <cellStyle name="Style 131 4" xfId="6036" xr:uid="{00000000-0005-0000-0000-000094170000}"/>
    <cellStyle name="Style 132" xfId="6037" xr:uid="{00000000-0005-0000-0000-000095170000}"/>
    <cellStyle name="Style 132 2" xfId="6038" xr:uid="{00000000-0005-0000-0000-000096170000}"/>
    <cellStyle name="Style 132 2 2" xfId="6039" xr:uid="{00000000-0005-0000-0000-000097170000}"/>
    <cellStyle name="Style 132 2 3" xfId="6040" xr:uid="{00000000-0005-0000-0000-000098170000}"/>
    <cellStyle name="Style 132 3" xfId="6041" xr:uid="{00000000-0005-0000-0000-000099170000}"/>
    <cellStyle name="Style 132 4" xfId="6042" xr:uid="{00000000-0005-0000-0000-00009A170000}"/>
    <cellStyle name="Style 137" xfId="6043" xr:uid="{00000000-0005-0000-0000-00009B170000}"/>
    <cellStyle name="Style 137 2" xfId="6044" xr:uid="{00000000-0005-0000-0000-00009C170000}"/>
    <cellStyle name="Style 137 2 2" xfId="6045" xr:uid="{00000000-0005-0000-0000-00009D170000}"/>
    <cellStyle name="Style 137 2 3" xfId="6046" xr:uid="{00000000-0005-0000-0000-00009E170000}"/>
    <cellStyle name="Style 137 3" xfId="6047" xr:uid="{00000000-0005-0000-0000-00009F170000}"/>
    <cellStyle name="Style 137 3 2" xfId="6048" xr:uid="{00000000-0005-0000-0000-0000A0170000}"/>
    <cellStyle name="Style 137 3 3" xfId="6049" xr:uid="{00000000-0005-0000-0000-0000A1170000}"/>
    <cellStyle name="Style 137 4" xfId="6050" xr:uid="{00000000-0005-0000-0000-0000A2170000}"/>
    <cellStyle name="Style 137 5" xfId="6051" xr:uid="{00000000-0005-0000-0000-0000A3170000}"/>
    <cellStyle name="Style 138" xfId="6052" xr:uid="{00000000-0005-0000-0000-0000A4170000}"/>
    <cellStyle name="Style 138 2" xfId="6053" xr:uid="{00000000-0005-0000-0000-0000A5170000}"/>
    <cellStyle name="Style 138 2 2" xfId="6054" xr:uid="{00000000-0005-0000-0000-0000A6170000}"/>
    <cellStyle name="Style 138 2 3" xfId="6055" xr:uid="{00000000-0005-0000-0000-0000A7170000}"/>
    <cellStyle name="Style 138 3" xfId="6056" xr:uid="{00000000-0005-0000-0000-0000A8170000}"/>
    <cellStyle name="Style 138 4" xfId="6057" xr:uid="{00000000-0005-0000-0000-0000A9170000}"/>
    <cellStyle name="Style 139" xfId="6058" xr:uid="{00000000-0005-0000-0000-0000AA170000}"/>
    <cellStyle name="Style 139 2" xfId="6059" xr:uid="{00000000-0005-0000-0000-0000AB170000}"/>
    <cellStyle name="Style 139 2 2" xfId="6060" xr:uid="{00000000-0005-0000-0000-0000AC170000}"/>
    <cellStyle name="Style 139 2 3" xfId="6061" xr:uid="{00000000-0005-0000-0000-0000AD170000}"/>
    <cellStyle name="Style 139 3" xfId="6062" xr:uid="{00000000-0005-0000-0000-0000AE170000}"/>
    <cellStyle name="Style 139 4" xfId="6063" xr:uid="{00000000-0005-0000-0000-0000AF170000}"/>
    <cellStyle name="Style 140" xfId="6064" xr:uid="{00000000-0005-0000-0000-0000B0170000}"/>
    <cellStyle name="Style 140 2" xfId="6065" xr:uid="{00000000-0005-0000-0000-0000B1170000}"/>
    <cellStyle name="Style 140 2 2" xfId="6066" xr:uid="{00000000-0005-0000-0000-0000B2170000}"/>
    <cellStyle name="Style 140 2 3" xfId="6067" xr:uid="{00000000-0005-0000-0000-0000B3170000}"/>
    <cellStyle name="Style 140 3" xfId="6068" xr:uid="{00000000-0005-0000-0000-0000B4170000}"/>
    <cellStyle name="Style 140 4" xfId="6069" xr:uid="{00000000-0005-0000-0000-0000B5170000}"/>
    <cellStyle name="Style 141" xfId="6070" xr:uid="{00000000-0005-0000-0000-0000B6170000}"/>
    <cellStyle name="Style 141 2" xfId="6071" xr:uid="{00000000-0005-0000-0000-0000B7170000}"/>
    <cellStyle name="Style 141 2 2" xfId="6072" xr:uid="{00000000-0005-0000-0000-0000B8170000}"/>
    <cellStyle name="Style 141 2 3" xfId="6073" xr:uid="{00000000-0005-0000-0000-0000B9170000}"/>
    <cellStyle name="Style 141 3" xfId="6074" xr:uid="{00000000-0005-0000-0000-0000BA170000}"/>
    <cellStyle name="Style 141 3 2" xfId="6075" xr:uid="{00000000-0005-0000-0000-0000BB170000}"/>
    <cellStyle name="Style 141 3 3" xfId="6076" xr:uid="{00000000-0005-0000-0000-0000BC170000}"/>
    <cellStyle name="Style 141 4" xfId="6077" xr:uid="{00000000-0005-0000-0000-0000BD170000}"/>
    <cellStyle name="Style 141 5" xfId="6078" xr:uid="{00000000-0005-0000-0000-0000BE170000}"/>
    <cellStyle name="Style 142" xfId="6079" xr:uid="{00000000-0005-0000-0000-0000BF170000}"/>
    <cellStyle name="Style 142 2" xfId="6080" xr:uid="{00000000-0005-0000-0000-0000C0170000}"/>
    <cellStyle name="Style 142 2 2" xfId="6081" xr:uid="{00000000-0005-0000-0000-0000C1170000}"/>
    <cellStyle name="Style 142 2 3" xfId="6082" xr:uid="{00000000-0005-0000-0000-0000C2170000}"/>
    <cellStyle name="Style 142 3" xfId="6083" xr:uid="{00000000-0005-0000-0000-0000C3170000}"/>
    <cellStyle name="Style 142 4" xfId="6084" xr:uid="{00000000-0005-0000-0000-0000C4170000}"/>
    <cellStyle name="Style 143" xfId="6085" xr:uid="{00000000-0005-0000-0000-0000C5170000}"/>
    <cellStyle name="Style 143 2" xfId="6086" xr:uid="{00000000-0005-0000-0000-0000C6170000}"/>
    <cellStyle name="Style 143 2 2" xfId="6087" xr:uid="{00000000-0005-0000-0000-0000C7170000}"/>
    <cellStyle name="Style 143 2 3" xfId="6088" xr:uid="{00000000-0005-0000-0000-0000C8170000}"/>
    <cellStyle name="Style 143 3" xfId="6089" xr:uid="{00000000-0005-0000-0000-0000C9170000}"/>
    <cellStyle name="Style 143 4" xfId="6090" xr:uid="{00000000-0005-0000-0000-0000CA170000}"/>
    <cellStyle name="Style 148" xfId="6091" xr:uid="{00000000-0005-0000-0000-0000CB170000}"/>
    <cellStyle name="Style 148 2" xfId="6092" xr:uid="{00000000-0005-0000-0000-0000CC170000}"/>
    <cellStyle name="Style 148 2 2" xfId="6093" xr:uid="{00000000-0005-0000-0000-0000CD170000}"/>
    <cellStyle name="Style 148 2 3" xfId="6094" xr:uid="{00000000-0005-0000-0000-0000CE170000}"/>
    <cellStyle name="Style 148 3" xfId="6095" xr:uid="{00000000-0005-0000-0000-0000CF170000}"/>
    <cellStyle name="Style 148 3 2" xfId="6096" xr:uid="{00000000-0005-0000-0000-0000D0170000}"/>
    <cellStyle name="Style 148 3 3" xfId="6097" xr:uid="{00000000-0005-0000-0000-0000D1170000}"/>
    <cellStyle name="Style 148 4" xfId="6098" xr:uid="{00000000-0005-0000-0000-0000D2170000}"/>
    <cellStyle name="Style 148 5" xfId="6099" xr:uid="{00000000-0005-0000-0000-0000D3170000}"/>
    <cellStyle name="Style 149" xfId="6100" xr:uid="{00000000-0005-0000-0000-0000D4170000}"/>
    <cellStyle name="Style 149 2" xfId="6101" xr:uid="{00000000-0005-0000-0000-0000D5170000}"/>
    <cellStyle name="Style 149 2 2" xfId="6102" xr:uid="{00000000-0005-0000-0000-0000D6170000}"/>
    <cellStyle name="Style 149 2 3" xfId="6103" xr:uid="{00000000-0005-0000-0000-0000D7170000}"/>
    <cellStyle name="Style 149 3" xfId="6104" xr:uid="{00000000-0005-0000-0000-0000D8170000}"/>
    <cellStyle name="Style 149 4" xfId="6105" xr:uid="{00000000-0005-0000-0000-0000D9170000}"/>
    <cellStyle name="Style 150" xfId="6106" xr:uid="{00000000-0005-0000-0000-0000DA170000}"/>
    <cellStyle name="Style 150 2" xfId="6107" xr:uid="{00000000-0005-0000-0000-0000DB170000}"/>
    <cellStyle name="Style 150 2 2" xfId="6108" xr:uid="{00000000-0005-0000-0000-0000DC170000}"/>
    <cellStyle name="Style 150 2 3" xfId="6109" xr:uid="{00000000-0005-0000-0000-0000DD170000}"/>
    <cellStyle name="Style 150 3" xfId="6110" xr:uid="{00000000-0005-0000-0000-0000DE170000}"/>
    <cellStyle name="Style 150 4" xfId="6111" xr:uid="{00000000-0005-0000-0000-0000DF170000}"/>
    <cellStyle name="Style 151" xfId="6112" xr:uid="{00000000-0005-0000-0000-0000E0170000}"/>
    <cellStyle name="Style 151 2" xfId="6113" xr:uid="{00000000-0005-0000-0000-0000E1170000}"/>
    <cellStyle name="Style 151 2 2" xfId="6114" xr:uid="{00000000-0005-0000-0000-0000E2170000}"/>
    <cellStyle name="Style 151 2 3" xfId="6115" xr:uid="{00000000-0005-0000-0000-0000E3170000}"/>
    <cellStyle name="Style 151 3" xfId="6116" xr:uid="{00000000-0005-0000-0000-0000E4170000}"/>
    <cellStyle name="Style 151 4" xfId="6117" xr:uid="{00000000-0005-0000-0000-0000E5170000}"/>
    <cellStyle name="Style 152" xfId="6118" xr:uid="{00000000-0005-0000-0000-0000E6170000}"/>
    <cellStyle name="Style 152 2" xfId="6119" xr:uid="{00000000-0005-0000-0000-0000E7170000}"/>
    <cellStyle name="Style 152 2 2" xfId="6120" xr:uid="{00000000-0005-0000-0000-0000E8170000}"/>
    <cellStyle name="Style 152 2 3" xfId="6121" xr:uid="{00000000-0005-0000-0000-0000E9170000}"/>
    <cellStyle name="Style 152 3" xfId="6122" xr:uid="{00000000-0005-0000-0000-0000EA170000}"/>
    <cellStyle name="Style 152 3 2" xfId="6123" xr:uid="{00000000-0005-0000-0000-0000EB170000}"/>
    <cellStyle name="Style 152 3 3" xfId="6124" xr:uid="{00000000-0005-0000-0000-0000EC170000}"/>
    <cellStyle name="Style 152 4" xfId="6125" xr:uid="{00000000-0005-0000-0000-0000ED170000}"/>
    <cellStyle name="Style 152 5" xfId="6126" xr:uid="{00000000-0005-0000-0000-0000EE170000}"/>
    <cellStyle name="Style 153" xfId="6127" xr:uid="{00000000-0005-0000-0000-0000EF170000}"/>
    <cellStyle name="Style 153 2" xfId="6128" xr:uid="{00000000-0005-0000-0000-0000F0170000}"/>
    <cellStyle name="Style 153 2 2" xfId="6129" xr:uid="{00000000-0005-0000-0000-0000F1170000}"/>
    <cellStyle name="Style 153 2 3" xfId="6130" xr:uid="{00000000-0005-0000-0000-0000F2170000}"/>
    <cellStyle name="Style 153 3" xfId="6131" xr:uid="{00000000-0005-0000-0000-0000F3170000}"/>
    <cellStyle name="Style 153 4" xfId="6132" xr:uid="{00000000-0005-0000-0000-0000F4170000}"/>
    <cellStyle name="Style 154" xfId="6133" xr:uid="{00000000-0005-0000-0000-0000F5170000}"/>
    <cellStyle name="Style 154 2" xfId="6134" xr:uid="{00000000-0005-0000-0000-0000F6170000}"/>
    <cellStyle name="Style 154 2 2" xfId="6135" xr:uid="{00000000-0005-0000-0000-0000F7170000}"/>
    <cellStyle name="Style 154 2 3" xfId="6136" xr:uid="{00000000-0005-0000-0000-0000F8170000}"/>
    <cellStyle name="Style 154 3" xfId="6137" xr:uid="{00000000-0005-0000-0000-0000F9170000}"/>
    <cellStyle name="Style 154 4" xfId="6138" xr:uid="{00000000-0005-0000-0000-0000FA170000}"/>
    <cellStyle name="Style 159" xfId="6139" xr:uid="{00000000-0005-0000-0000-0000FB170000}"/>
    <cellStyle name="Style 159 2" xfId="6140" xr:uid="{00000000-0005-0000-0000-0000FC170000}"/>
    <cellStyle name="Style 159 2 2" xfId="6141" xr:uid="{00000000-0005-0000-0000-0000FD170000}"/>
    <cellStyle name="Style 159 2 3" xfId="6142" xr:uid="{00000000-0005-0000-0000-0000FE170000}"/>
    <cellStyle name="Style 159 3" xfId="6143" xr:uid="{00000000-0005-0000-0000-0000FF170000}"/>
    <cellStyle name="Style 159 3 2" xfId="6144" xr:uid="{00000000-0005-0000-0000-000000180000}"/>
    <cellStyle name="Style 159 3 3" xfId="6145" xr:uid="{00000000-0005-0000-0000-000001180000}"/>
    <cellStyle name="Style 159 4" xfId="6146" xr:uid="{00000000-0005-0000-0000-000002180000}"/>
    <cellStyle name="Style 159 5" xfId="6147" xr:uid="{00000000-0005-0000-0000-000003180000}"/>
    <cellStyle name="Style 160" xfId="6148" xr:uid="{00000000-0005-0000-0000-000004180000}"/>
    <cellStyle name="Style 160 2" xfId="6149" xr:uid="{00000000-0005-0000-0000-000005180000}"/>
    <cellStyle name="Style 160 2 2" xfId="6150" xr:uid="{00000000-0005-0000-0000-000006180000}"/>
    <cellStyle name="Style 160 2 3" xfId="6151" xr:uid="{00000000-0005-0000-0000-000007180000}"/>
    <cellStyle name="Style 160 3" xfId="6152" xr:uid="{00000000-0005-0000-0000-000008180000}"/>
    <cellStyle name="Style 160 4" xfId="6153" xr:uid="{00000000-0005-0000-0000-000009180000}"/>
    <cellStyle name="Style 161" xfId="6154" xr:uid="{00000000-0005-0000-0000-00000A180000}"/>
    <cellStyle name="Style 161 2" xfId="6155" xr:uid="{00000000-0005-0000-0000-00000B180000}"/>
    <cellStyle name="Style 161 2 2" xfId="6156" xr:uid="{00000000-0005-0000-0000-00000C180000}"/>
    <cellStyle name="Style 161 2 3" xfId="6157" xr:uid="{00000000-0005-0000-0000-00000D180000}"/>
    <cellStyle name="Style 161 3" xfId="6158" xr:uid="{00000000-0005-0000-0000-00000E180000}"/>
    <cellStyle name="Style 161 4" xfId="6159" xr:uid="{00000000-0005-0000-0000-00000F180000}"/>
    <cellStyle name="Style 162" xfId="6160" xr:uid="{00000000-0005-0000-0000-000010180000}"/>
    <cellStyle name="Style 162 2" xfId="6161" xr:uid="{00000000-0005-0000-0000-000011180000}"/>
    <cellStyle name="Style 162 2 2" xfId="6162" xr:uid="{00000000-0005-0000-0000-000012180000}"/>
    <cellStyle name="Style 162 2 3" xfId="6163" xr:uid="{00000000-0005-0000-0000-000013180000}"/>
    <cellStyle name="Style 162 3" xfId="6164" xr:uid="{00000000-0005-0000-0000-000014180000}"/>
    <cellStyle name="Style 162 4" xfId="6165" xr:uid="{00000000-0005-0000-0000-000015180000}"/>
    <cellStyle name="Style 163" xfId="6166" xr:uid="{00000000-0005-0000-0000-000016180000}"/>
    <cellStyle name="Style 163 2" xfId="6167" xr:uid="{00000000-0005-0000-0000-000017180000}"/>
    <cellStyle name="Style 163 2 2" xfId="6168" xr:uid="{00000000-0005-0000-0000-000018180000}"/>
    <cellStyle name="Style 163 2 3" xfId="6169" xr:uid="{00000000-0005-0000-0000-000019180000}"/>
    <cellStyle name="Style 163 3" xfId="6170" xr:uid="{00000000-0005-0000-0000-00001A180000}"/>
    <cellStyle name="Style 163 3 2" xfId="6171" xr:uid="{00000000-0005-0000-0000-00001B180000}"/>
    <cellStyle name="Style 163 3 3" xfId="6172" xr:uid="{00000000-0005-0000-0000-00001C180000}"/>
    <cellStyle name="Style 163 4" xfId="6173" xr:uid="{00000000-0005-0000-0000-00001D180000}"/>
    <cellStyle name="Style 163 5" xfId="6174" xr:uid="{00000000-0005-0000-0000-00001E180000}"/>
    <cellStyle name="Style 164" xfId="6175" xr:uid="{00000000-0005-0000-0000-00001F180000}"/>
    <cellStyle name="Style 164 2" xfId="6176" xr:uid="{00000000-0005-0000-0000-000020180000}"/>
    <cellStyle name="Style 164 2 2" xfId="6177" xr:uid="{00000000-0005-0000-0000-000021180000}"/>
    <cellStyle name="Style 164 2 3" xfId="6178" xr:uid="{00000000-0005-0000-0000-000022180000}"/>
    <cellStyle name="Style 164 3" xfId="6179" xr:uid="{00000000-0005-0000-0000-000023180000}"/>
    <cellStyle name="Style 164 4" xfId="6180" xr:uid="{00000000-0005-0000-0000-000024180000}"/>
    <cellStyle name="Style 165" xfId="6181" xr:uid="{00000000-0005-0000-0000-000025180000}"/>
    <cellStyle name="Style 165 2" xfId="6182" xr:uid="{00000000-0005-0000-0000-000026180000}"/>
    <cellStyle name="Style 165 2 2" xfId="6183" xr:uid="{00000000-0005-0000-0000-000027180000}"/>
    <cellStyle name="Style 165 2 3" xfId="6184" xr:uid="{00000000-0005-0000-0000-000028180000}"/>
    <cellStyle name="Style 165 3" xfId="6185" xr:uid="{00000000-0005-0000-0000-000029180000}"/>
    <cellStyle name="Style 165 4" xfId="6186" xr:uid="{00000000-0005-0000-0000-00002A180000}"/>
    <cellStyle name="Style 21" xfId="6187" xr:uid="{00000000-0005-0000-0000-00002B180000}"/>
    <cellStyle name="Style 21 2" xfId="6188" xr:uid="{00000000-0005-0000-0000-00002C180000}"/>
    <cellStyle name="Style 21 2 2" xfId="6189" xr:uid="{00000000-0005-0000-0000-00002D180000}"/>
    <cellStyle name="Style 21 2 2 2" xfId="6190" xr:uid="{00000000-0005-0000-0000-00002E180000}"/>
    <cellStyle name="Style 21 2 2 3" xfId="6191" xr:uid="{00000000-0005-0000-0000-00002F180000}"/>
    <cellStyle name="Style 21 2 3" xfId="6192" xr:uid="{00000000-0005-0000-0000-000030180000}"/>
    <cellStyle name="Style 21 2 3 2" xfId="6193" xr:uid="{00000000-0005-0000-0000-000031180000}"/>
    <cellStyle name="Style 21 2 3 3" xfId="6194" xr:uid="{00000000-0005-0000-0000-000032180000}"/>
    <cellStyle name="Style 21 2 4" xfId="6195" xr:uid="{00000000-0005-0000-0000-000033180000}"/>
    <cellStyle name="Style 21 2 5" xfId="6196" xr:uid="{00000000-0005-0000-0000-000034180000}"/>
    <cellStyle name="Style 21 2 6" xfId="6197" xr:uid="{00000000-0005-0000-0000-000035180000}"/>
    <cellStyle name="Style 21 3" xfId="6198" xr:uid="{00000000-0005-0000-0000-000036180000}"/>
    <cellStyle name="Style 21 3 2" xfId="6199" xr:uid="{00000000-0005-0000-0000-000037180000}"/>
    <cellStyle name="Style 21 3 2 2" xfId="6200" xr:uid="{00000000-0005-0000-0000-000038180000}"/>
    <cellStyle name="Style 21 3 3" xfId="6201" xr:uid="{00000000-0005-0000-0000-000039180000}"/>
    <cellStyle name="Style 21 3 4" xfId="6202" xr:uid="{00000000-0005-0000-0000-00003A180000}"/>
    <cellStyle name="Style 21 4" xfId="6203" xr:uid="{00000000-0005-0000-0000-00003B180000}"/>
    <cellStyle name="Style 21 4 2" xfId="6204" xr:uid="{00000000-0005-0000-0000-00003C180000}"/>
    <cellStyle name="Style 21 4 3" xfId="6205" xr:uid="{00000000-0005-0000-0000-00003D180000}"/>
    <cellStyle name="Style 21 5" xfId="6206" xr:uid="{00000000-0005-0000-0000-00003E180000}"/>
    <cellStyle name="Style 21 5 2" xfId="6207" xr:uid="{00000000-0005-0000-0000-00003F180000}"/>
    <cellStyle name="Style 21 5 3" xfId="6208" xr:uid="{00000000-0005-0000-0000-000040180000}"/>
    <cellStyle name="Style 21 6" xfId="6209" xr:uid="{00000000-0005-0000-0000-000041180000}"/>
    <cellStyle name="Style 21 7" xfId="6210" xr:uid="{00000000-0005-0000-0000-000042180000}"/>
    <cellStyle name="Style 21 8" xfId="6211" xr:uid="{00000000-0005-0000-0000-000043180000}"/>
    <cellStyle name="Style 22" xfId="6212" xr:uid="{00000000-0005-0000-0000-000044180000}"/>
    <cellStyle name="Style 22 2" xfId="6213" xr:uid="{00000000-0005-0000-0000-000045180000}"/>
    <cellStyle name="Style 22 2 2" xfId="6214" xr:uid="{00000000-0005-0000-0000-000046180000}"/>
    <cellStyle name="Style 22 2 3" xfId="6215" xr:uid="{00000000-0005-0000-0000-000047180000}"/>
    <cellStyle name="Style 22 3" xfId="6216" xr:uid="{00000000-0005-0000-0000-000048180000}"/>
    <cellStyle name="Style 22 3 2" xfId="6217" xr:uid="{00000000-0005-0000-0000-000049180000}"/>
    <cellStyle name="Style 22 3 3" xfId="6218" xr:uid="{00000000-0005-0000-0000-00004A180000}"/>
    <cellStyle name="Style 22 4" xfId="6219" xr:uid="{00000000-0005-0000-0000-00004B180000}"/>
    <cellStyle name="Style 22 5" xfId="6220" xr:uid="{00000000-0005-0000-0000-00004C180000}"/>
    <cellStyle name="Style 22 6" xfId="6221" xr:uid="{00000000-0005-0000-0000-00004D180000}"/>
    <cellStyle name="Style 23" xfId="6222" xr:uid="{00000000-0005-0000-0000-00004E180000}"/>
    <cellStyle name="Style 23 2" xfId="6223" xr:uid="{00000000-0005-0000-0000-00004F180000}"/>
    <cellStyle name="Style 23 2 2" xfId="6224" xr:uid="{00000000-0005-0000-0000-000050180000}"/>
    <cellStyle name="Style 23 2 3" xfId="6225" xr:uid="{00000000-0005-0000-0000-000051180000}"/>
    <cellStyle name="Style 23 3" xfId="6226" xr:uid="{00000000-0005-0000-0000-000052180000}"/>
    <cellStyle name="Style 23 3 2" xfId="6227" xr:uid="{00000000-0005-0000-0000-000053180000}"/>
    <cellStyle name="Style 23 3 3" xfId="6228" xr:uid="{00000000-0005-0000-0000-000054180000}"/>
    <cellStyle name="Style 23 4" xfId="6229" xr:uid="{00000000-0005-0000-0000-000055180000}"/>
    <cellStyle name="Style 23 5" xfId="6230" xr:uid="{00000000-0005-0000-0000-000056180000}"/>
    <cellStyle name="Style 23 6" xfId="6231" xr:uid="{00000000-0005-0000-0000-000057180000}"/>
    <cellStyle name="Style 24" xfId="6232" xr:uid="{00000000-0005-0000-0000-000058180000}"/>
    <cellStyle name="Style 24 2" xfId="6233" xr:uid="{00000000-0005-0000-0000-000059180000}"/>
    <cellStyle name="Style 24 2 2" xfId="6234" xr:uid="{00000000-0005-0000-0000-00005A180000}"/>
    <cellStyle name="Style 24 2 3" xfId="6235" xr:uid="{00000000-0005-0000-0000-00005B180000}"/>
    <cellStyle name="Style 24 3" xfId="6236" xr:uid="{00000000-0005-0000-0000-00005C180000}"/>
    <cellStyle name="Style 24 3 2" xfId="6237" xr:uid="{00000000-0005-0000-0000-00005D180000}"/>
    <cellStyle name="Style 24 3 3" xfId="6238" xr:uid="{00000000-0005-0000-0000-00005E180000}"/>
    <cellStyle name="Style 24 4" xfId="6239" xr:uid="{00000000-0005-0000-0000-00005F180000}"/>
    <cellStyle name="Style 24 5" xfId="6240" xr:uid="{00000000-0005-0000-0000-000060180000}"/>
    <cellStyle name="Style 24 6" xfId="6241" xr:uid="{00000000-0005-0000-0000-000061180000}"/>
    <cellStyle name="Style 25" xfId="6242" xr:uid="{00000000-0005-0000-0000-000062180000}"/>
    <cellStyle name="Style 25 2" xfId="6243" xr:uid="{00000000-0005-0000-0000-000063180000}"/>
    <cellStyle name="Style 25 2 2" xfId="6244" xr:uid="{00000000-0005-0000-0000-000064180000}"/>
    <cellStyle name="Style 25 2 2 2" xfId="6245" xr:uid="{00000000-0005-0000-0000-000065180000}"/>
    <cellStyle name="Style 25 2 3" xfId="6246" xr:uid="{00000000-0005-0000-0000-000066180000}"/>
    <cellStyle name="Style 25 2 4" xfId="6247" xr:uid="{00000000-0005-0000-0000-000067180000}"/>
    <cellStyle name="Style 25 2 5" xfId="6248" xr:uid="{00000000-0005-0000-0000-000068180000}"/>
    <cellStyle name="Style 25 3" xfId="6249" xr:uid="{00000000-0005-0000-0000-000069180000}"/>
    <cellStyle name="Style 25 3 2" xfId="6250" xr:uid="{00000000-0005-0000-0000-00006A180000}"/>
    <cellStyle name="Style 25 3 2 2" xfId="6251" xr:uid="{00000000-0005-0000-0000-00006B180000}"/>
    <cellStyle name="Style 25 3 3" xfId="6252" xr:uid="{00000000-0005-0000-0000-00006C180000}"/>
    <cellStyle name="Style 25 3 4" xfId="6253" xr:uid="{00000000-0005-0000-0000-00006D180000}"/>
    <cellStyle name="Style 25 4" xfId="6254" xr:uid="{00000000-0005-0000-0000-00006E180000}"/>
    <cellStyle name="Style 25 4 2" xfId="6255" xr:uid="{00000000-0005-0000-0000-00006F180000}"/>
    <cellStyle name="Style 25 4 3" xfId="6256" xr:uid="{00000000-0005-0000-0000-000070180000}"/>
    <cellStyle name="Style 25 5" xfId="6257" xr:uid="{00000000-0005-0000-0000-000071180000}"/>
    <cellStyle name="Style 25 6" xfId="6258" xr:uid="{00000000-0005-0000-0000-000072180000}"/>
    <cellStyle name="Style 25 7" xfId="6259" xr:uid="{00000000-0005-0000-0000-000073180000}"/>
    <cellStyle name="Style 26" xfId="6260" xr:uid="{00000000-0005-0000-0000-000074180000}"/>
    <cellStyle name="Style 26 2" xfId="6261" xr:uid="{00000000-0005-0000-0000-000075180000}"/>
    <cellStyle name="Style 26 2 2" xfId="6262" xr:uid="{00000000-0005-0000-0000-000076180000}"/>
    <cellStyle name="Style 26 2 3" xfId="6263" xr:uid="{00000000-0005-0000-0000-000077180000}"/>
    <cellStyle name="Style 26 3" xfId="6264" xr:uid="{00000000-0005-0000-0000-000078180000}"/>
    <cellStyle name="Style 26 3 2" xfId="6265" xr:uid="{00000000-0005-0000-0000-000079180000}"/>
    <cellStyle name="Style 26 3 3" xfId="6266" xr:uid="{00000000-0005-0000-0000-00007A180000}"/>
    <cellStyle name="Style 26 4" xfId="6267" xr:uid="{00000000-0005-0000-0000-00007B180000}"/>
    <cellStyle name="Style 26 5" xfId="6268" xr:uid="{00000000-0005-0000-0000-00007C180000}"/>
    <cellStyle name="Style 26 6" xfId="6269" xr:uid="{00000000-0005-0000-0000-00007D180000}"/>
    <cellStyle name="Style 27" xfId="6270" xr:uid="{00000000-0005-0000-0000-00007E180000}"/>
    <cellStyle name="Style 27 2" xfId="6271" xr:uid="{00000000-0005-0000-0000-00007F180000}"/>
    <cellStyle name="Style 27 2 2" xfId="6272" xr:uid="{00000000-0005-0000-0000-000080180000}"/>
    <cellStyle name="Style 27 2 3" xfId="6273" xr:uid="{00000000-0005-0000-0000-000081180000}"/>
    <cellStyle name="Style 27 3" xfId="6274" xr:uid="{00000000-0005-0000-0000-000082180000}"/>
    <cellStyle name="Style 27 4" xfId="6275" xr:uid="{00000000-0005-0000-0000-000083180000}"/>
    <cellStyle name="Style 35" xfId="6276" xr:uid="{00000000-0005-0000-0000-000084180000}"/>
    <cellStyle name="Style 35 2" xfId="6277" xr:uid="{00000000-0005-0000-0000-000085180000}"/>
    <cellStyle name="Style 35 2 2" xfId="6278" xr:uid="{00000000-0005-0000-0000-000086180000}"/>
    <cellStyle name="Style 35 2 3" xfId="6279" xr:uid="{00000000-0005-0000-0000-000087180000}"/>
    <cellStyle name="Style 35 3" xfId="6280" xr:uid="{00000000-0005-0000-0000-000088180000}"/>
    <cellStyle name="Style 35 3 2" xfId="6281" xr:uid="{00000000-0005-0000-0000-000089180000}"/>
    <cellStyle name="Style 35 3 3" xfId="6282" xr:uid="{00000000-0005-0000-0000-00008A180000}"/>
    <cellStyle name="Style 35 4" xfId="6283" xr:uid="{00000000-0005-0000-0000-00008B180000}"/>
    <cellStyle name="Style 35 5" xfId="6284" xr:uid="{00000000-0005-0000-0000-00008C180000}"/>
    <cellStyle name="Style 36" xfId="6285" xr:uid="{00000000-0005-0000-0000-00008D180000}"/>
    <cellStyle name="Style 36 2" xfId="6286" xr:uid="{00000000-0005-0000-0000-00008E180000}"/>
    <cellStyle name="Style 36 2 2" xfId="6287" xr:uid="{00000000-0005-0000-0000-00008F180000}"/>
    <cellStyle name="Style 36 2 3" xfId="6288" xr:uid="{00000000-0005-0000-0000-000090180000}"/>
    <cellStyle name="Style 36 3" xfId="6289" xr:uid="{00000000-0005-0000-0000-000091180000}"/>
    <cellStyle name="Style 36 4" xfId="6290" xr:uid="{00000000-0005-0000-0000-000092180000}"/>
    <cellStyle name="Style 37" xfId="6291" xr:uid="{00000000-0005-0000-0000-000093180000}"/>
    <cellStyle name="Style 37 2" xfId="6292" xr:uid="{00000000-0005-0000-0000-000094180000}"/>
    <cellStyle name="Style 37 2 2" xfId="6293" xr:uid="{00000000-0005-0000-0000-000095180000}"/>
    <cellStyle name="Style 37 2 3" xfId="6294" xr:uid="{00000000-0005-0000-0000-000096180000}"/>
    <cellStyle name="Style 37 3" xfId="6295" xr:uid="{00000000-0005-0000-0000-000097180000}"/>
    <cellStyle name="Style 37 4" xfId="6296" xr:uid="{00000000-0005-0000-0000-000098180000}"/>
    <cellStyle name="Style 38" xfId="6297" xr:uid="{00000000-0005-0000-0000-000099180000}"/>
    <cellStyle name="Style 38 2" xfId="6298" xr:uid="{00000000-0005-0000-0000-00009A180000}"/>
    <cellStyle name="Style 38 2 2" xfId="6299" xr:uid="{00000000-0005-0000-0000-00009B180000}"/>
    <cellStyle name="Style 38 2 3" xfId="6300" xr:uid="{00000000-0005-0000-0000-00009C180000}"/>
    <cellStyle name="Style 38 3" xfId="6301" xr:uid="{00000000-0005-0000-0000-00009D180000}"/>
    <cellStyle name="Style 38 4" xfId="6302" xr:uid="{00000000-0005-0000-0000-00009E180000}"/>
    <cellStyle name="Style 39" xfId="6303" xr:uid="{00000000-0005-0000-0000-00009F180000}"/>
    <cellStyle name="Style 39 2" xfId="6304" xr:uid="{00000000-0005-0000-0000-0000A0180000}"/>
    <cellStyle name="Style 39 2 2" xfId="6305" xr:uid="{00000000-0005-0000-0000-0000A1180000}"/>
    <cellStyle name="Style 39 2 3" xfId="6306" xr:uid="{00000000-0005-0000-0000-0000A2180000}"/>
    <cellStyle name="Style 39 3" xfId="6307" xr:uid="{00000000-0005-0000-0000-0000A3180000}"/>
    <cellStyle name="Style 39 3 2" xfId="6308" xr:uid="{00000000-0005-0000-0000-0000A4180000}"/>
    <cellStyle name="Style 39 3 3" xfId="6309" xr:uid="{00000000-0005-0000-0000-0000A5180000}"/>
    <cellStyle name="Style 39 4" xfId="6310" xr:uid="{00000000-0005-0000-0000-0000A6180000}"/>
    <cellStyle name="Style 39 5" xfId="6311" xr:uid="{00000000-0005-0000-0000-0000A7180000}"/>
    <cellStyle name="Style 40" xfId="6312" xr:uid="{00000000-0005-0000-0000-0000A8180000}"/>
    <cellStyle name="Style 40 2" xfId="6313" xr:uid="{00000000-0005-0000-0000-0000A9180000}"/>
    <cellStyle name="Style 40 2 2" xfId="6314" xr:uid="{00000000-0005-0000-0000-0000AA180000}"/>
    <cellStyle name="Style 40 2 3" xfId="6315" xr:uid="{00000000-0005-0000-0000-0000AB180000}"/>
    <cellStyle name="Style 40 3" xfId="6316" xr:uid="{00000000-0005-0000-0000-0000AC180000}"/>
    <cellStyle name="Style 40 4" xfId="6317" xr:uid="{00000000-0005-0000-0000-0000AD180000}"/>
    <cellStyle name="Style 41" xfId="6318" xr:uid="{00000000-0005-0000-0000-0000AE180000}"/>
    <cellStyle name="Style 41 2" xfId="6319" xr:uid="{00000000-0005-0000-0000-0000AF180000}"/>
    <cellStyle name="Style 41 2 2" xfId="6320" xr:uid="{00000000-0005-0000-0000-0000B0180000}"/>
    <cellStyle name="Style 41 2 3" xfId="6321" xr:uid="{00000000-0005-0000-0000-0000B1180000}"/>
    <cellStyle name="Style 41 3" xfId="6322" xr:uid="{00000000-0005-0000-0000-0000B2180000}"/>
    <cellStyle name="Style 41 4" xfId="6323" xr:uid="{00000000-0005-0000-0000-0000B3180000}"/>
    <cellStyle name="Style 46" xfId="6324" xr:uid="{00000000-0005-0000-0000-0000B4180000}"/>
    <cellStyle name="Style 46 2" xfId="6325" xr:uid="{00000000-0005-0000-0000-0000B5180000}"/>
    <cellStyle name="Style 46 2 2" xfId="6326" xr:uid="{00000000-0005-0000-0000-0000B6180000}"/>
    <cellStyle name="Style 46 2 3" xfId="6327" xr:uid="{00000000-0005-0000-0000-0000B7180000}"/>
    <cellStyle name="Style 46 3" xfId="6328" xr:uid="{00000000-0005-0000-0000-0000B8180000}"/>
    <cellStyle name="Style 46 3 2" xfId="6329" xr:uid="{00000000-0005-0000-0000-0000B9180000}"/>
    <cellStyle name="Style 46 3 3" xfId="6330" xr:uid="{00000000-0005-0000-0000-0000BA180000}"/>
    <cellStyle name="Style 46 4" xfId="6331" xr:uid="{00000000-0005-0000-0000-0000BB180000}"/>
    <cellStyle name="Style 46 5" xfId="6332" xr:uid="{00000000-0005-0000-0000-0000BC180000}"/>
    <cellStyle name="Style 47" xfId="6333" xr:uid="{00000000-0005-0000-0000-0000BD180000}"/>
    <cellStyle name="Style 47 2" xfId="6334" xr:uid="{00000000-0005-0000-0000-0000BE180000}"/>
    <cellStyle name="Style 47 2 2" xfId="6335" xr:uid="{00000000-0005-0000-0000-0000BF180000}"/>
    <cellStyle name="Style 47 2 3" xfId="6336" xr:uid="{00000000-0005-0000-0000-0000C0180000}"/>
    <cellStyle name="Style 47 3" xfId="6337" xr:uid="{00000000-0005-0000-0000-0000C1180000}"/>
    <cellStyle name="Style 47 4" xfId="6338" xr:uid="{00000000-0005-0000-0000-0000C2180000}"/>
    <cellStyle name="Style 48" xfId="6339" xr:uid="{00000000-0005-0000-0000-0000C3180000}"/>
    <cellStyle name="Style 48 2" xfId="6340" xr:uid="{00000000-0005-0000-0000-0000C4180000}"/>
    <cellStyle name="Style 48 2 2" xfId="6341" xr:uid="{00000000-0005-0000-0000-0000C5180000}"/>
    <cellStyle name="Style 48 2 3" xfId="6342" xr:uid="{00000000-0005-0000-0000-0000C6180000}"/>
    <cellStyle name="Style 48 3" xfId="6343" xr:uid="{00000000-0005-0000-0000-0000C7180000}"/>
    <cellStyle name="Style 48 4" xfId="6344" xr:uid="{00000000-0005-0000-0000-0000C8180000}"/>
    <cellStyle name="Style 49" xfId="6345" xr:uid="{00000000-0005-0000-0000-0000C9180000}"/>
    <cellStyle name="Style 49 2" xfId="6346" xr:uid="{00000000-0005-0000-0000-0000CA180000}"/>
    <cellStyle name="Style 49 2 2" xfId="6347" xr:uid="{00000000-0005-0000-0000-0000CB180000}"/>
    <cellStyle name="Style 49 2 3" xfId="6348" xr:uid="{00000000-0005-0000-0000-0000CC180000}"/>
    <cellStyle name="Style 49 3" xfId="6349" xr:uid="{00000000-0005-0000-0000-0000CD180000}"/>
    <cellStyle name="Style 49 4" xfId="6350" xr:uid="{00000000-0005-0000-0000-0000CE180000}"/>
    <cellStyle name="Style 50" xfId="6351" xr:uid="{00000000-0005-0000-0000-0000CF180000}"/>
    <cellStyle name="Style 50 2" xfId="6352" xr:uid="{00000000-0005-0000-0000-0000D0180000}"/>
    <cellStyle name="Style 50 2 2" xfId="6353" xr:uid="{00000000-0005-0000-0000-0000D1180000}"/>
    <cellStyle name="Style 50 2 3" xfId="6354" xr:uid="{00000000-0005-0000-0000-0000D2180000}"/>
    <cellStyle name="Style 50 3" xfId="6355" xr:uid="{00000000-0005-0000-0000-0000D3180000}"/>
    <cellStyle name="Style 50 3 2" xfId="6356" xr:uid="{00000000-0005-0000-0000-0000D4180000}"/>
    <cellStyle name="Style 50 3 3" xfId="6357" xr:uid="{00000000-0005-0000-0000-0000D5180000}"/>
    <cellStyle name="Style 50 4" xfId="6358" xr:uid="{00000000-0005-0000-0000-0000D6180000}"/>
    <cellStyle name="Style 50 5" xfId="6359" xr:uid="{00000000-0005-0000-0000-0000D7180000}"/>
    <cellStyle name="Style 51" xfId="6360" xr:uid="{00000000-0005-0000-0000-0000D8180000}"/>
    <cellStyle name="Style 51 2" xfId="6361" xr:uid="{00000000-0005-0000-0000-0000D9180000}"/>
    <cellStyle name="Style 51 2 2" xfId="6362" xr:uid="{00000000-0005-0000-0000-0000DA180000}"/>
    <cellStyle name="Style 51 2 3" xfId="6363" xr:uid="{00000000-0005-0000-0000-0000DB180000}"/>
    <cellStyle name="Style 51 3" xfId="6364" xr:uid="{00000000-0005-0000-0000-0000DC180000}"/>
    <cellStyle name="Style 51 4" xfId="6365" xr:uid="{00000000-0005-0000-0000-0000DD180000}"/>
    <cellStyle name="Style 52" xfId="6366" xr:uid="{00000000-0005-0000-0000-0000DE180000}"/>
    <cellStyle name="Style 52 2" xfId="6367" xr:uid="{00000000-0005-0000-0000-0000DF180000}"/>
    <cellStyle name="Style 52 2 2" xfId="6368" xr:uid="{00000000-0005-0000-0000-0000E0180000}"/>
    <cellStyle name="Style 52 2 3" xfId="6369" xr:uid="{00000000-0005-0000-0000-0000E1180000}"/>
    <cellStyle name="Style 52 3" xfId="6370" xr:uid="{00000000-0005-0000-0000-0000E2180000}"/>
    <cellStyle name="Style 52 4" xfId="6371" xr:uid="{00000000-0005-0000-0000-0000E3180000}"/>
    <cellStyle name="Style 58" xfId="6372" xr:uid="{00000000-0005-0000-0000-0000E4180000}"/>
    <cellStyle name="Style 58 2" xfId="6373" xr:uid="{00000000-0005-0000-0000-0000E5180000}"/>
    <cellStyle name="Style 58 2 2" xfId="6374" xr:uid="{00000000-0005-0000-0000-0000E6180000}"/>
    <cellStyle name="Style 58 2 3" xfId="6375" xr:uid="{00000000-0005-0000-0000-0000E7180000}"/>
    <cellStyle name="Style 58 3" xfId="6376" xr:uid="{00000000-0005-0000-0000-0000E8180000}"/>
    <cellStyle name="Style 58 3 2" xfId="6377" xr:uid="{00000000-0005-0000-0000-0000E9180000}"/>
    <cellStyle name="Style 58 3 3" xfId="6378" xr:uid="{00000000-0005-0000-0000-0000EA180000}"/>
    <cellStyle name="Style 58 4" xfId="6379" xr:uid="{00000000-0005-0000-0000-0000EB180000}"/>
    <cellStyle name="Style 58 5" xfId="6380" xr:uid="{00000000-0005-0000-0000-0000EC180000}"/>
    <cellStyle name="Style 59" xfId="6381" xr:uid="{00000000-0005-0000-0000-0000ED180000}"/>
    <cellStyle name="Style 59 2" xfId="6382" xr:uid="{00000000-0005-0000-0000-0000EE180000}"/>
    <cellStyle name="Style 59 2 2" xfId="6383" xr:uid="{00000000-0005-0000-0000-0000EF180000}"/>
    <cellStyle name="Style 59 2 3" xfId="6384" xr:uid="{00000000-0005-0000-0000-0000F0180000}"/>
    <cellStyle name="Style 59 3" xfId="6385" xr:uid="{00000000-0005-0000-0000-0000F1180000}"/>
    <cellStyle name="Style 59 4" xfId="6386" xr:uid="{00000000-0005-0000-0000-0000F2180000}"/>
    <cellStyle name="Style 60" xfId="6387" xr:uid="{00000000-0005-0000-0000-0000F3180000}"/>
    <cellStyle name="Style 60 2" xfId="6388" xr:uid="{00000000-0005-0000-0000-0000F4180000}"/>
    <cellStyle name="Style 60 2 2" xfId="6389" xr:uid="{00000000-0005-0000-0000-0000F5180000}"/>
    <cellStyle name="Style 60 2 3" xfId="6390" xr:uid="{00000000-0005-0000-0000-0000F6180000}"/>
    <cellStyle name="Style 60 3" xfId="6391" xr:uid="{00000000-0005-0000-0000-0000F7180000}"/>
    <cellStyle name="Style 60 4" xfId="6392" xr:uid="{00000000-0005-0000-0000-0000F8180000}"/>
    <cellStyle name="Style 61" xfId="6393" xr:uid="{00000000-0005-0000-0000-0000F9180000}"/>
    <cellStyle name="Style 61 2" xfId="6394" xr:uid="{00000000-0005-0000-0000-0000FA180000}"/>
    <cellStyle name="Style 61 2 2" xfId="6395" xr:uid="{00000000-0005-0000-0000-0000FB180000}"/>
    <cellStyle name="Style 61 2 3" xfId="6396" xr:uid="{00000000-0005-0000-0000-0000FC180000}"/>
    <cellStyle name="Style 61 3" xfId="6397" xr:uid="{00000000-0005-0000-0000-0000FD180000}"/>
    <cellStyle name="Style 61 4" xfId="6398" xr:uid="{00000000-0005-0000-0000-0000FE180000}"/>
    <cellStyle name="Style 62" xfId="6399" xr:uid="{00000000-0005-0000-0000-0000FF180000}"/>
    <cellStyle name="Style 62 2" xfId="6400" xr:uid="{00000000-0005-0000-0000-000000190000}"/>
    <cellStyle name="Style 62 2 2" xfId="6401" xr:uid="{00000000-0005-0000-0000-000001190000}"/>
    <cellStyle name="Style 62 2 3" xfId="6402" xr:uid="{00000000-0005-0000-0000-000002190000}"/>
    <cellStyle name="Style 62 3" xfId="6403" xr:uid="{00000000-0005-0000-0000-000003190000}"/>
    <cellStyle name="Style 62 3 2" xfId="6404" xr:uid="{00000000-0005-0000-0000-000004190000}"/>
    <cellStyle name="Style 62 3 3" xfId="6405" xr:uid="{00000000-0005-0000-0000-000005190000}"/>
    <cellStyle name="Style 62 4" xfId="6406" xr:uid="{00000000-0005-0000-0000-000006190000}"/>
    <cellStyle name="Style 62 5" xfId="6407" xr:uid="{00000000-0005-0000-0000-000007190000}"/>
    <cellStyle name="Style 63" xfId="6408" xr:uid="{00000000-0005-0000-0000-000008190000}"/>
    <cellStyle name="Style 63 2" xfId="6409" xr:uid="{00000000-0005-0000-0000-000009190000}"/>
    <cellStyle name="Style 63 2 2" xfId="6410" xr:uid="{00000000-0005-0000-0000-00000A190000}"/>
    <cellStyle name="Style 63 2 3" xfId="6411" xr:uid="{00000000-0005-0000-0000-00000B190000}"/>
    <cellStyle name="Style 63 3" xfId="6412" xr:uid="{00000000-0005-0000-0000-00000C190000}"/>
    <cellStyle name="Style 63 4" xfId="6413" xr:uid="{00000000-0005-0000-0000-00000D190000}"/>
    <cellStyle name="Style 64" xfId="6414" xr:uid="{00000000-0005-0000-0000-00000E190000}"/>
    <cellStyle name="Style 64 2" xfId="6415" xr:uid="{00000000-0005-0000-0000-00000F190000}"/>
    <cellStyle name="Style 64 2 2" xfId="6416" xr:uid="{00000000-0005-0000-0000-000010190000}"/>
    <cellStyle name="Style 64 2 3" xfId="6417" xr:uid="{00000000-0005-0000-0000-000011190000}"/>
    <cellStyle name="Style 64 3" xfId="6418" xr:uid="{00000000-0005-0000-0000-000012190000}"/>
    <cellStyle name="Style 64 4" xfId="6419" xr:uid="{00000000-0005-0000-0000-000013190000}"/>
    <cellStyle name="Style 69" xfId="6420" xr:uid="{00000000-0005-0000-0000-000014190000}"/>
    <cellStyle name="Style 69 2" xfId="6421" xr:uid="{00000000-0005-0000-0000-000015190000}"/>
    <cellStyle name="Style 69 2 2" xfId="6422" xr:uid="{00000000-0005-0000-0000-000016190000}"/>
    <cellStyle name="Style 69 2 3" xfId="6423" xr:uid="{00000000-0005-0000-0000-000017190000}"/>
    <cellStyle name="Style 69 3" xfId="6424" xr:uid="{00000000-0005-0000-0000-000018190000}"/>
    <cellStyle name="Style 69 3 2" xfId="6425" xr:uid="{00000000-0005-0000-0000-000019190000}"/>
    <cellStyle name="Style 69 3 3" xfId="6426" xr:uid="{00000000-0005-0000-0000-00001A190000}"/>
    <cellStyle name="Style 69 4" xfId="6427" xr:uid="{00000000-0005-0000-0000-00001B190000}"/>
    <cellStyle name="Style 69 5" xfId="6428" xr:uid="{00000000-0005-0000-0000-00001C190000}"/>
    <cellStyle name="Style 70" xfId="6429" xr:uid="{00000000-0005-0000-0000-00001D190000}"/>
    <cellStyle name="Style 70 2" xfId="6430" xr:uid="{00000000-0005-0000-0000-00001E190000}"/>
    <cellStyle name="Style 70 2 2" xfId="6431" xr:uid="{00000000-0005-0000-0000-00001F190000}"/>
    <cellStyle name="Style 70 2 3" xfId="6432" xr:uid="{00000000-0005-0000-0000-000020190000}"/>
    <cellStyle name="Style 70 3" xfId="6433" xr:uid="{00000000-0005-0000-0000-000021190000}"/>
    <cellStyle name="Style 70 4" xfId="6434" xr:uid="{00000000-0005-0000-0000-000022190000}"/>
    <cellStyle name="Style 71" xfId="6435" xr:uid="{00000000-0005-0000-0000-000023190000}"/>
    <cellStyle name="Style 71 2" xfId="6436" xr:uid="{00000000-0005-0000-0000-000024190000}"/>
    <cellStyle name="Style 71 2 2" xfId="6437" xr:uid="{00000000-0005-0000-0000-000025190000}"/>
    <cellStyle name="Style 71 2 3" xfId="6438" xr:uid="{00000000-0005-0000-0000-000026190000}"/>
    <cellStyle name="Style 71 3" xfId="6439" xr:uid="{00000000-0005-0000-0000-000027190000}"/>
    <cellStyle name="Style 71 4" xfId="6440" xr:uid="{00000000-0005-0000-0000-000028190000}"/>
    <cellStyle name="Style 72" xfId="6441" xr:uid="{00000000-0005-0000-0000-000029190000}"/>
    <cellStyle name="Style 72 2" xfId="6442" xr:uid="{00000000-0005-0000-0000-00002A190000}"/>
    <cellStyle name="Style 72 2 2" xfId="6443" xr:uid="{00000000-0005-0000-0000-00002B190000}"/>
    <cellStyle name="Style 72 2 3" xfId="6444" xr:uid="{00000000-0005-0000-0000-00002C190000}"/>
    <cellStyle name="Style 72 3" xfId="6445" xr:uid="{00000000-0005-0000-0000-00002D190000}"/>
    <cellStyle name="Style 72 4" xfId="6446" xr:uid="{00000000-0005-0000-0000-00002E190000}"/>
    <cellStyle name="Style 73" xfId="6447" xr:uid="{00000000-0005-0000-0000-00002F190000}"/>
    <cellStyle name="Style 73 2" xfId="6448" xr:uid="{00000000-0005-0000-0000-000030190000}"/>
    <cellStyle name="Style 73 2 2" xfId="6449" xr:uid="{00000000-0005-0000-0000-000031190000}"/>
    <cellStyle name="Style 73 2 3" xfId="6450" xr:uid="{00000000-0005-0000-0000-000032190000}"/>
    <cellStyle name="Style 73 3" xfId="6451" xr:uid="{00000000-0005-0000-0000-000033190000}"/>
    <cellStyle name="Style 73 3 2" xfId="6452" xr:uid="{00000000-0005-0000-0000-000034190000}"/>
    <cellStyle name="Style 73 3 3" xfId="6453" xr:uid="{00000000-0005-0000-0000-000035190000}"/>
    <cellStyle name="Style 73 4" xfId="6454" xr:uid="{00000000-0005-0000-0000-000036190000}"/>
    <cellStyle name="Style 73 5" xfId="6455" xr:uid="{00000000-0005-0000-0000-000037190000}"/>
    <cellStyle name="Style 74" xfId="6456" xr:uid="{00000000-0005-0000-0000-000038190000}"/>
    <cellStyle name="Style 74 2" xfId="6457" xr:uid="{00000000-0005-0000-0000-000039190000}"/>
    <cellStyle name="Style 74 2 2" xfId="6458" xr:uid="{00000000-0005-0000-0000-00003A190000}"/>
    <cellStyle name="Style 74 2 3" xfId="6459" xr:uid="{00000000-0005-0000-0000-00003B190000}"/>
    <cellStyle name="Style 74 3" xfId="6460" xr:uid="{00000000-0005-0000-0000-00003C190000}"/>
    <cellStyle name="Style 74 4" xfId="6461" xr:uid="{00000000-0005-0000-0000-00003D190000}"/>
    <cellStyle name="Style 75" xfId="6462" xr:uid="{00000000-0005-0000-0000-00003E190000}"/>
    <cellStyle name="Style 75 2" xfId="6463" xr:uid="{00000000-0005-0000-0000-00003F190000}"/>
    <cellStyle name="Style 75 2 2" xfId="6464" xr:uid="{00000000-0005-0000-0000-000040190000}"/>
    <cellStyle name="Style 75 2 3" xfId="6465" xr:uid="{00000000-0005-0000-0000-000041190000}"/>
    <cellStyle name="Style 75 3" xfId="6466" xr:uid="{00000000-0005-0000-0000-000042190000}"/>
    <cellStyle name="Style 75 4" xfId="6467" xr:uid="{00000000-0005-0000-0000-000043190000}"/>
    <cellStyle name="Style 80" xfId="6468" xr:uid="{00000000-0005-0000-0000-000044190000}"/>
    <cellStyle name="Style 80 2" xfId="6469" xr:uid="{00000000-0005-0000-0000-000045190000}"/>
    <cellStyle name="Style 80 2 2" xfId="6470" xr:uid="{00000000-0005-0000-0000-000046190000}"/>
    <cellStyle name="Style 80 2 3" xfId="6471" xr:uid="{00000000-0005-0000-0000-000047190000}"/>
    <cellStyle name="Style 80 3" xfId="6472" xr:uid="{00000000-0005-0000-0000-000048190000}"/>
    <cellStyle name="Style 80 3 2" xfId="6473" xr:uid="{00000000-0005-0000-0000-000049190000}"/>
    <cellStyle name="Style 80 3 3" xfId="6474" xr:uid="{00000000-0005-0000-0000-00004A190000}"/>
    <cellStyle name="Style 80 4" xfId="6475" xr:uid="{00000000-0005-0000-0000-00004B190000}"/>
    <cellStyle name="Style 80 5" xfId="6476" xr:uid="{00000000-0005-0000-0000-00004C190000}"/>
    <cellStyle name="Style 81" xfId="6477" xr:uid="{00000000-0005-0000-0000-00004D190000}"/>
    <cellStyle name="Style 81 2" xfId="6478" xr:uid="{00000000-0005-0000-0000-00004E190000}"/>
    <cellStyle name="Style 81 2 2" xfId="6479" xr:uid="{00000000-0005-0000-0000-00004F190000}"/>
    <cellStyle name="Style 81 2 3" xfId="6480" xr:uid="{00000000-0005-0000-0000-000050190000}"/>
    <cellStyle name="Style 81 3" xfId="6481" xr:uid="{00000000-0005-0000-0000-000051190000}"/>
    <cellStyle name="Style 81 3 2" xfId="6482" xr:uid="{00000000-0005-0000-0000-000052190000}"/>
    <cellStyle name="Style 81 3 3" xfId="6483" xr:uid="{00000000-0005-0000-0000-000053190000}"/>
    <cellStyle name="Style 81 4" xfId="6484" xr:uid="{00000000-0005-0000-0000-000054190000}"/>
    <cellStyle name="Style 81 5" xfId="6485" xr:uid="{00000000-0005-0000-0000-000055190000}"/>
    <cellStyle name="Style 82" xfId="6486" xr:uid="{00000000-0005-0000-0000-000056190000}"/>
    <cellStyle name="Style 82 2" xfId="6487" xr:uid="{00000000-0005-0000-0000-000057190000}"/>
    <cellStyle name="Style 82 2 2" xfId="6488" xr:uid="{00000000-0005-0000-0000-000058190000}"/>
    <cellStyle name="Style 82 2 3" xfId="6489" xr:uid="{00000000-0005-0000-0000-000059190000}"/>
    <cellStyle name="Style 82 3" xfId="6490" xr:uid="{00000000-0005-0000-0000-00005A190000}"/>
    <cellStyle name="Style 82 4" xfId="6491" xr:uid="{00000000-0005-0000-0000-00005B190000}"/>
    <cellStyle name="Style 83" xfId="6492" xr:uid="{00000000-0005-0000-0000-00005C190000}"/>
    <cellStyle name="Style 83 2" xfId="6493" xr:uid="{00000000-0005-0000-0000-00005D190000}"/>
    <cellStyle name="Style 83 2 2" xfId="6494" xr:uid="{00000000-0005-0000-0000-00005E190000}"/>
    <cellStyle name="Style 83 2 3" xfId="6495" xr:uid="{00000000-0005-0000-0000-00005F190000}"/>
    <cellStyle name="Style 83 3" xfId="6496" xr:uid="{00000000-0005-0000-0000-000060190000}"/>
    <cellStyle name="Style 83 4" xfId="6497" xr:uid="{00000000-0005-0000-0000-000061190000}"/>
    <cellStyle name="Style 84" xfId="6498" xr:uid="{00000000-0005-0000-0000-000062190000}"/>
    <cellStyle name="Style 84 2" xfId="6499" xr:uid="{00000000-0005-0000-0000-000063190000}"/>
    <cellStyle name="Style 84 2 2" xfId="6500" xr:uid="{00000000-0005-0000-0000-000064190000}"/>
    <cellStyle name="Style 84 2 3" xfId="6501" xr:uid="{00000000-0005-0000-0000-000065190000}"/>
    <cellStyle name="Style 84 3" xfId="6502" xr:uid="{00000000-0005-0000-0000-000066190000}"/>
    <cellStyle name="Style 84 4" xfId="6503" xr:uid="{00000000-0005-0000-0000-000067190000}"/>
    <cellStyle name="Style 85" xfId="6504" xr:uid="{00000000-0005-0000-0000-000068190000}"/>
    <cellStyle name="Style 85 2" xfId="6505" xr:uid="{00000000-0005-0000-0000-000069190000}"/>
    <cellStyle name="Style 85 2 2" xfId="6506" xr:uid="{00000000-0005-0000-0000-00006A190000}"/>
    <cellStyle name="Style 85 2 3" xfId="6507" xr:uid="{00000000-0005-0000-0000-00006B190000}"/>
    <cellStyle name="Style 85 3" xfId="6508" xr:uid="{00000000-0005-0000-0000-00006C190000}"/>
    <cellStyle name="Style 85 3 2" xfId="6509" xr:uid="{00000000-0005-0000-0000-00006D190000}"/>
    <cellStyle name="Style 85 3 3" xfId="6510" xr:uid="{00000000-0005-0000-0000-00006E190000}"/>
    <cellStyle name="Style 85 4" xfId="6511" xr:uid="{00000000-0005-0000-0000-00006F190000}"/>
    <cellStyle name="Style 85 5" xfId="6512" xr:uid="{00000000-0005-0000-0000-000070190000}"/>
    <cellStyle name="Style 86" xfId="6513" xr:uid="{00000000-0005-0000-0000-000071190000}"/>
    <cellStyle name="Style 86 2" xfId="6514" xr:uid="{00000000-0005-0000-0000-000072190000}"/>
    <cellStyle name="Style 86 2 2" xfId="6515" xr:uid="{00000000-0005-0000-0000-000073190000}"/>
    <cellStyle name="Style 86 2 3" xfId="6516" xr:uid="{00000000-0005-0000-0000-000074190000}"/>
    <cellStyle name="Style 86 3" xfId="6517" xr:uid="{00000000-0005-0000-0000-000075190000}"/>
    <cellStyle name="Style 86 4" xfId="6518" xr:uid="{00000000-0005-0000-0000-000076190000}"/>
    <cellStyle name="Style 87" xfId="6519" xr:uid="{00000000-0005-0000-0000-000077190000}"/>
    <cellStyle name="Style 87 2" xfId="6520" xr:uid="{00000000-0005-0000-0000-000078190000}"/>
    <cellStyle name="Style 87 2 2" xfId="6521" xr:uid="{00000000-0005-0000-0000-000079190000}"/>
    <cellStyle name="Style 87 2 3" xfId="6522" xr:uid="{00000000-0005-0000-0000-00007A190000}"/>
    <cellStyle name="Style 87 3" xfId="6523" xr:uid="{00000000-0005-0000-0000-00007B190000}"/>
    <cellStyle name="Style 87 4" xfId="6524" xr:uid="{00000000-0005-0000-0000-00007C190000}"/>
    <cellStyle name="Style 93" xfId="6525" xr:uid="{00000000-0005-0000-0000-00007D190000}"/>
    <cellStyle name="Style 93 2" xfId="6526" xr:uid="{00000000-0005-0000-0000-00007E190000}"/>
    <cellStyle name="Style 93 2 2" xfId="6527" xr:uid="{00000000-0005-0000-0000-00007F190000}"/>
    <cellStyle name="Style 93 2 3" xfId="6528" xr:uid="{00000000-0005-0000-0000-000080190000}"/>
    <cellStyle name="Style 93 3" xfId="6529" xr:uid="{00000000-0005-0000-0000-000081190000}"/>
    <cellStyle name="Style 93 3 2" xfId="6530" xr:uid="{00000000-0005-0000-0000-000082190000}"/>
    <cellStyle name="Style 93 3 3" xfId="6531" xr:uid="{00000000-0005-0000-0000-000083190000}"/>
    <cellStyle name="Style 93 4" xfId="6532" xr:uid="{00000000-0005-0000-0000-000084190000}"/>
    <cellStyle name="Style 93 5" xfId="6533" xr:uid="{00000000-0005-0000-0000-000085190000}"/>
    <cellStyle name="Style 94" xfId="6534" xr:uid="{00000000-0005-0000-0000-000086190000}"/>
    <cellStyle name="Style 94 2" xfId="6535" xr:uid="{00000000-0005-0000-0000-000087190000}"/>
    <cellStyle name="Style 94 2 2" xfId="6536" xr:uid="{00000000-0005-0000-0000-000088190000}"/>
    <cellStyle name="Style 94 2 3" xfId="6537" xr:uid="{00000000-0005-0000-0000-000089190000}"/>
    <cellStyle name="Style 94 3" xfId="6538" xr:uid="{00000000-0005-0000-0000-00008A190000}"/>
    <cellStyle name="Style 94 4" xfId="6539" xr:uid="{00000000-0005-0000-0000-00008B190000}"/>
    <cellStyle name="Style 95" xfId="6540" xr:uid="{00000000-0005-0000-0000-00008C190000}"/>
    <cellStyle name="Style 95 2" xfId="6541" xr:uid="{00000000-0005-0000-0000-00008D190000}"/>
    <cellStyle name="Style 95 2 2" xfId="6542" xr:uid="{00000000-0005-0000-0000-00008E190000}"/>
    <cellStyle name="Style 95 2 3" xfId="6543" xr:uid="{00000000-0005-0000-0000-00008F190000}"/>
    <cellStyle name="Style 95 3" xfId="6544" xr:uid="{00000000-0005-0000-0000-000090190000}"/>
    <cellStyle name="Style 95 4" xfId="6545" xr:uid="{00000000-0005-0000-0000-000091190000}"/>
    <cellStyle name="Style 96" xfId="6546" xr:uid="{00000000-0005-0000-0000-000092190000}"/>
    <cellStyle name="Style 96 2" xfId="6547" xr:uid="{00000000-0005-0000-0000-000093190000}"/>
    <cellStyle name="Style 96 2 2" xfId="6548" xr:uid="{00000000-0005-0000-0000-000094190000}"/>
    <cellStyle name="Style 96 2 3" xfId="6549" xr:uid="{00000000-0005-0000-0000-000095190000}"/>
    <cellStyle name="Style 96 3" xfId="6550" xr:uid="{00000000-0005-0000-0000-000096190000}"/>
    <cellStyle name="Style 96 4" xfId="6551" xr:uid="{00000000-0005-0000-0000-000097190000}"/>
    <cellStyle name="Style 97" xfId="6552" xr:uid="{00000000-0005-0000-0000-000098190000}"/>
    <cellStyle name="Style 97 2" xfId="6553" xr:uid="{00000000-0005-0000-0000-000099190000}"/>
    <cellStyle name="Style 97 2 2" xfId="6554" xr:uid="{00000000-0005-0000-0000-00009A190000}"/>
    <cellStyle name="Style 97 2 3" xfId="6555" xr:uid="{00000000-0005-0000-0000-00009B190000}"/>
    <cellStyle name="Style 97 3" xfId="6556" xr:uid="{00000000-0005-0000-0000-00009C190000}"/>
    <cellStyle name="Style 97 3 2" xfId="6557" xr:uid="{00000000-0005-0000-0000-00009D190000}"/>
    <cellStyle name="Style 97 3 3" xfId="6558" xr:uid="{00000000-0005-0000-0000-00009E190000}"/>
    <cellStyle name="Style 97 4" xfId="6559" xr:uid="{00000000-0005-0000-0000-00009F190000}"/>
    <cellStyle name="Style 97 5" xfId="6560" xr:uid="{00000000-0005-0000-0000-0000A0190000}"/>
    <cellStyle name="Style 98" xfId="6561" xr:uid="{00000000-0005-0000-0000-0000A1190000}"/>
    <cellStyle name="Style 98 2" xfId="6562" xr:uid="{00000000-0005-0000-0000-0000A2190000}"/>
    <cellStyle name="Style 98 2 2" xfId="6563" xr:uid="{00000000-0005-0000-0000-0000A3190000}"/>
    <cellStyle name="Style 98 2 3" xfId="6564" xr:uid="{00000000-0005-0000-0000-0000A4190000}"/>
    <cellStyle name="Style 98 3" xfId="6565" xr:uid="{00000000-0005-0000-0000-0000A5190000}"/>
    <cellStyle name="Style 98 4" xfId="6566" xr:uid="{00000000-0005-0000-0000-0000A6190000}"/>
    <cellStyle name="Style 99" xfId="6567" xr:uid="{00000000-0005-0000-0000-0000A7190000}"/>
    <cellStyle name="Style 99 2" xfId="6568" xr:uid="{00000000-0005-0000-0000-0000A8190000}"/>
    <cellStyle name="Style 99 2 2" xfId="6569" xr:uid="{00000000-0005-0000-0000-0000A9190000}"/>
    <cellStyle name="Style 99 2 3" xfId="6570" xr:uid="{00000000-0005-0000-0000-0000AA190000}"/>
    <cellStyle name="Style 99 3" xfId="6571" xr:uid="{00000000-0005-0000-0000-0000AB190000}"/>
    <cellStyle name="Style 99 4" xfId="6572" xr:uid="{00000000-0005-0000-0000-0000AC190000}"/>
    <cellStyle name="tableau | cellule | normal | decimal 1" xfId="6573" xr:uid="{00000000-0005-0000-0000-0000AD190000}"/>
    <cellStyle name="tableau | cellule | normal | decimal 1 2" xfId="6574" xr:uid="{00000000-0005-0000-0000-0000AE190000}"/>
    <cellStyle name="tableau | cellule | normal | decimal 1 3" xfId="6575" xr:uid="{00000000-0005-0000-0000-0000AF190000}"/>
    <cellStyle name="tableau | cellule | normal | decimal 1 4" xfId="6576" xr:uid="{00000000-0005-0000-0000-0000B0190000}"/>
    <cellStyle name="tableau | cellule | normal | pourcentage | decimal 1" xfId="6577" xr:uid="{00000000-0005-0000-0000-0000B1190000}"/>
    <cellStyle name="tableau | cellule | normal | pourcentage | decimal 1 2" xfId="6578" xr:uid="{00000000-0005-0000-0000-0000B2190000}"/>
    <cellStyle name="tableau | cellule | normal | pourcentage | decimal 1 3" xfId="6579" xr:uid="{00000000-0005-0000-0000-0000B3190000}"/>
    <cellStyle name="tableau | cellule | normal | pourcentage | decimal 1 4" xfId="6580" xr:uid="{00000000-0005-0000-0000-0000B4190000}"/>
    <cellStyle name="tableau | cellule | total | decimal 1" xfId="6581" xr:uid="{00000000-0005-0000-0000-0000B5190000}"/>
    <cellStyle name="tableau | cellule | total | decimal 1 2" xfId="6582" xr:uid="{00000000-0005-0000-0000-0000B6190000}"/>
    <cellStyle name="tableau | cellule | total | decimal 1 3" xfId="6583" xr:uid="{00000000-0005-0000-0000-0000B7190000}"/>
    <cellStyle name="tableau | cellule | total | decimal 1 4" xfId="6584" xr:uid="{00000000-0005-0000-0000-0000B8190000}"/>
    <cellStyle name="tableau | coin superieur gauche" xfId="6585" xr:uid="{00000000-0005-0000-0000-0000B9190000}"/>
    <cellStyle name="tableau | coin superieur gauche 2" xfId="6586" xr:uid="{00000000-0005-0000-0000-0000BA190000}"/>
    <cellStyle name="tableau | coin superieur gauche 3" xfId="6587" xr:uid="{00000000-0005-0000-0000-0000BB190000}"/>
    <cellStyle name="tableau | coin superieur gauche 4" xfId="6588" xr:uid="{00000000-0005-0000-0000-0000BC190000}"/>
    <cellStyle name="tableau | entete-colonne | series" xfId="6589" xr:uid="{00000000-0005-0000-0000-0000BD190000}"/>
    <cellStyle name="tableau | entete-colonne | series 2" xfId="6590" xr:uid="{00000000-0005-0000-0000-0000BE190000}"/>
    <cellStyle name="tableau | entete-colonne | series 3" xfId="6591" xr:uid="{00000000-0005-0000-0000-0000BF190000}"/>
    <cellStyle name="tableau | entete-colonne | series 4" xfId="6592" xr:uid="{00000000-0005-0000-0000-0000C0190000}"/>
    <cellStyle name="tableau | entete-ligne | normal" xfId="6593" xr:uid="{00000000-0005-0000-0000-0000C1190000}"/>
    <cellStyle name="tableau | entete-ligne | normal 2" xfId="6594" xr:uid="{00000000-0005-0000-0000-0000C2190000}"/>
    <cellStyle name="tableau | entete-ligne | normal 3" xfId="6595" xr:uid="{00000000-0005-0000-0000-0000C3190000}"/>
    <cellStyle name="tableau | entete-ligne | normal 4" xfId="6596" xr:uid="{00000000-0005-0000-0000-0000C4190000}"/>
    <cellStyle name="tableau | entete-ligne | total" xfId="6597" xr:uid="{00000000-0005-0000-0000-0000C5190000}"/>
    <cellStyle name="tableau | entete-ligne | total 2" xfId="6598" xr:uid="{00000000-0005-0000-0000-0000C6190000}"/>
    <cellStyle name="tableau | entete-ligne | total 3" xfId="6599" xr:uid="{00000000-0005-0000-0000-0000C7190000}"/>
    <cellStyle name="tableau | entete-ligne | total 4" xfId="6600" xr:uid="{00000000-0005-0000-0000-0000C8190000}"/>
    <cellStyle name="tableau | ligne-titre | niveau1" xfId="6601" xr:uid="{00000000-0005-0000-0000-0000C9190000}"/>
    <cellStyle name="tableau | ligne-titre | niveau1 2" xfId="6602" xr:uid="{00000000-0005-0000-0000-0000CA190000}"/>
    <cellStyle name="tableau | ligne-titre | niveau1 3" xfId="6603" xr:uid="{00000000-0005-0000-0000-0000CB190000}"/>
    <cellStyle name="tableau | ligne-titre | niveau1 4" xfId="6604" xr:uid="{00000000-0005-0000-0000-0000CC190000}"/>
    <cellStyle name="tableau | ligne-titre | niveau2" xfId="6605" xr:uid="{00000000-0005-0000-0000-0000CD190000}"/>
    <cellStyle name="tableau | ligne-titre | niveau2 2" xfId="6606" xr:uid="{00000000-0005-0000-0000-0000CE190000}"/>
    <cellStyle name="tableau | ligne-titre | niveau2 3" xfId="6607" xr:uid="{00000000-0005-0000-0000-0000CF190000}"/>
    <cellStyle name="tableau | ligne-titre | niveau2 4" xfId="6608" xr:uid="{00000000-0005-0000-0000-0000D0190000}"/>
    <cellStyle name="Title 10" xfId="6609" xr:uid="{00000000-0005-0000-0000-0000D1190000}"/>
    <cellStyle name="Title 10 2" xfId="6610" xr:uid="{00000000-0005-0000-0000-0000D2190000}"/>
    <cellStyle name="Title 10 3" xfId="6611" xr:uid="{00000000-0005-0000-0000-0000D3190000}"/>
    <cellStyle name="Title 10 4" xfId="6612" xr:uid="{00000000-0005-0000-0000-0000D4190000}"/>
    <cellStyle name="Title 11" xfId="6613" xr:uid="{00000000-0005-0000-0000-0000D5190000}"/>
    <cellStyle name="Title 11 2" xfId="6614" xr:uid="{00000000-0005-0000-0000-0000D6190000}"/>
    <cellStyle name="Title 11 3" xfId="6615" xr:uid="{00000000-0005-0000-0000-0000D7190000}"/>
    <cellStyle name="Title 11 4" xfId="6616" xr:uid="{00000000-0005-0000-0000-0000D8190000}"/>
    <cellStyle name="Title 12" xfId="6617" xr:uid="{00000000-0005-0000-0000-0000D9190000}"/>
    <cellStyle name="Title 12 2" xfId="6618" xr:uid="{00000000-0005-0000-0000-0000DA190000}"/>
    <cellStyle name="Title 12 3" xfId="6619" xr:uid="{00000000-0005-0000-0000-0000DB190000}"/>
    <cellStyle name="Title 12 4" xfId="6620" xr:uid="{00000000-0005-0000-0000-0000DC190000}"/>
    <cellStyle name="Title 13" xfId="6621" xr:uid="{00000000-0005-0000-0000-0000DD190000}"/>
    <cellStyle name="Title 13 2" xfId="6622" xr:uid="{00000000-0005-0000-0000-0000DE190000}"/>
    <cellStyle name="Title 13 3" xfId="6623" xr:uid="{00000000-0005-0000-0000-0000DF190000}"/>
    <cellStyle name="Title 13 4" xfId="6624" xr:uid="{00000000-0005-0000-0000-0000E0190000}"/>
    <cellStyle name="Title 14" xfId="6625" xr:uid="{00000000-0005-0000-0000-0000E1190000}"/>
    <cellStyle name="Title 14 2" xfId="6626" xr:uid="{00000000-0005-0000-0000-0000E2190000}"/>
    <cellStyle name="Title 14 3" xfId="6627" xr:uid="{00000000-0005-0000-0000-0000E3190000}"/>
    <cellStyle name="Title 14 4" xfId="6628" xr:uid="{00000000-0005-0000-0000-0000E4190000}"/>
    <cellStyle name="Title 15" xfId="6629" xr:uid="{00000000-0005-0000-0000-0000E5190000}"/>
    <cellStyle name="Title 15 2" xfId="6630" xr:uid="{00000000-0005-0000-0000-0000E6190000}"/>
    <cellStyle name="Title 15 3" xfId="6631" xr:uid="{00000000-0005-0000-0000-0000E7190000}"/>
    <cellStyle name="Title 15 4" xfId="6632" xr:uid="{00000000-0005-0000-0000-0000E8190000}"/>
    <cellStyle name="Title 16" xfId="6633" xr:uid="{00000000-0005-0000-0000-0000E9190000}"/>
    <cellStyle name="Title 16 2" xfId="6634" xr:uid="{00000000-0005-0000-0000-0000EA190000}"/>
    <cellStyle name="Title 16 3" xfId="6635" xr:uid="{00000000-0005-0000-0000-0000EB190000}"/>
    <cellStyle name="Title 16 4" xfId="6636" xr:uid="{00000000-0005-0000-0000-0000EC190000}"/>
    <cellStyle name="Title 17" xfId="6637" xr:uid="{00000000-0005-0000-0000-0000ED190000}"/>
    <cellStyle name="Title 17 2" xfId="6638" xr:uid="{00000000-0005-0000-0000-0000EE190000}"/>
    <cellStyle name="Title 17 3" xfId="6639" xr:uid="{00000000-0005-0000-0000-0000EF190000}"/>
    <cellStyle name="Title 17 4" xfId="6640" xr:uid="{00000000-0005-0000-0000-0000F0190000}"/>
    <cellStyle name="Title 18" xfId="6641" xr:uid="{00000000-0005-0000-0000-0000F1190000}"/>
    <cellStyle name="Title 18 2" xfId="6642" xr:uid="{00000000-0005-0000-0000-0000F2190000}"/>
    <cellStyle name="Title 18 3" xfId="6643" xr:uid="{00000000-0005-0000-0000-0000F3190000}"/>
    <cellStyle name="Title 18 4" xfId="6644" xr:uid="{00000000-0005-0000-0000-0000F4190000}"/>
    <cellStyle name="Title 19" xfId="6645" xr:uid="{00000000-0005-0000-0000-0000F5190000}"/>
    <cellStyle name="Title 19 2" xfId="6646" xr:uid="{00000000-0005-0000-0000-0000F6190000}"/>
    <cellStyle name="Title 19 3" xfId="6647" xr:uid="{00000000-0005-0000-0000-0000F7190000}"/>
    <cellStyle name="Title 19 4" xfId="6648" xr:uid="{00000000-0005-0000-0000-0000F8190000}"/>
    <cellStyle name="Title 2" xfId="6649" xr:uid="{00000000-0005-0000-0000-0000F9190000}"/>
    <cellStyle name="Title 2 10" xfId="6650" xr:uid="{00000000-0005-0000-0000-0000FA190000}"/>
    <cellStyle name="Title 2 10 2" xfId="6651" xr:uid="{00000000-0005-0000-0000-0000FB190000}"/>
    <cellStyle name="Title 2 10 3" xfId="6652" xr:uid="{00000000-0005-0000-0000-0000FC190000}"/>
    <cellStyle name="Title 2 11" xfId="6653" xr:uid="{00000000-0005-0000-0000-0000FD190000}"/>
    <cellStyle name="Title 2 12" xfId="6654" xr:uid="{00000000-0005-0000-0000-0000FE190000}"/>
    <cellStyle name="Title 2 13" xfId="6655" xr:uid="{00000000-0005-0000-0000-0000FF190000}"/>
    <cellStyle name="Title 2 2" xfId="6656" xr:uid="{00000000-0005-0000-0000-0000001A0000}"/>
    <cellStyle name="Title 2 2 2" xfId="6657" xr:uid="{00000000-0005-0000-0000-0000011A0000}"/>
    <cellStyle name="Title 2 2 2 2" xfId="6658" xr:uid="{00000000-0005-0000-0000-0000021A0000}"/>
    <cellStyle name="Title 2 2 3" xfId="6659" xr:uid="{00000000-0005-0000-0000-0000031A0000}"/>
    <cellStyle name="Title 2 3" xfId="6660" xr:uid="{00000000-0005-0000-0000-0000041A0000}"/>
    <cellStyle name="Title 2 3 2" xfId="6661" xr:uid="{00000000-0005-0000-0000-0000051A0000}"/>
    <cellStyle name="Title 2 3 3" xfId="6662" xr:uid="{00000000-0005-0000-0000-0000061A0000}"/>
    <cellStyle name="Title 2 4" xfId="6663" xr:uid="{00000000-0005-0000-0000-0000071A0000}"/>
    <cellStyle name="Title 2 4 2" xfId="6664" xr:uid="{00000000-0005-0000-0000-0000081A0000}"/>
    <cellStyle name="Title 2 4 3" xfId="6665" xr:uid="{00000000-0005-0000-0000-0000091A0000}"/>
    <cellStyle name="Title 2 5" xfId="6666" xr:uid="{00000000-0005-0000-0000-00000A1A0000}"/>
    <cellStyle name="Title 2 5 2" xfId="6667" xr:uid="{00000000-0005-0000-0000-00000B1A0000}"/>
    <cellStyle name="Title 2 5 3" xfId="6668" xr:uid="{00000000-0005-0000-0000-00000C1A0000}"/>
    <cellStyle name="Title 2 6" xfId="6669" xr:uid="{00000000-0005-0000-0000-00000D1A0000}"/>
    <cellStyle name="Title 2 6 2" xfId="6670" xr:uid="{00000000-0005-0000-0000-00000E1A0000}"/>
    <cellStyle name="Title 2 6 3" xfId="6671" xr:uid="{00000000-0005-0000-0000-00000F1A0000}"/>
    <cellStyle name="Title 2 7" xfId="6672" xr:uid="{00000000-0005-0000-0000-0000101A0000}"/>
    <cellStyle name="Title 2 7 2" xfId="6673" xr:uid="{00000000-0005-0000-0000-0000111A0000}"/>
    <cellStyle name="Title 2 7 3" xfId="6674" xr:uid="{00000000-0005-0000-0000-0000121A0000}"/>
    <cellStyle name="Title 2 8" xfId="6675" xr:uid="{00000000-0005-0000-0000-0000131A0000}"/>
    <cellStyle name="Title 2 8 2" xfId="6676" xr:uid="{00000000-0005-0000-0000-0000141A0000}"/>
    <cellStyle name="Title 2 8 3" xfId="6677" xr:uid="{00000000-0005-0000-0000-0000151A0000}"/>
    <cellStyle name="Title 2 9" xfId="6678" xr:uid="{00000000-0005-0000-0000-0000161A0000}"/>
    <cellStyle name="Title 2 9 2" xfId="6679" xr:uid="{00000000-0005-0000-0000-0000171A0000}"/>
    <cellStyle name="Title 2 9 3" xfId="6680" xr:uid="{00000000-0005-0000-0000-0000181A0000}"/>
    <cellStyle name="Title 20" xfId="6681" xr:uid="{00000000-0005-0000-0000-0000191A0000}"/>
    <cellStyle name="Title 20 2" xfId="6682" xr:uid="{00000000-0005-0000-0000-00001A1A0000}"/>
    <cellStyle name="Title 20 3" xfId="6683" xr:uid="{00000000-0005-0000-0000-00001B1A0000}"/>
    <cellStyle name="Title 20 4" xfId="6684" xr:uid="{00000000-0005-0000-0000-00001C1A0000}"/>
    <cellStyle name="Title 21" xfId="6685" xr:uid="{00000000-0005-0000-0000-00001D1A0000}"/>
    <cellStyle name="Title 21 2" xfId="6686" xr:uid="{00000000-0005-0000-0000-00001E1A0000}"/>
    <cellStyle name="Title 21 3" xfId="6687" xr:uid="{00000000-0005-0000-0000-00001F1A0000}"/>
    <cellStyle name="Title 21 4" xfId="6688" xr:uid="{00000000-0005-0000-0000-0000201A0000}"/>
    <cellStyle name="Title 22" xfId="6689" xr:uid="{00000000-0005-0000-0000-0000211A0000}"/>
    <cellStyle name="Title 22 2" xfId="6690" xr:uid="{00000000-0005-0000-0000-0000221A0000}"/>
    <cellStyle name="Title 22 3" xfId="6691" xr:uid="{00000000-0005-0000-0000-0000231A0000}"/>
    <cellStyle name="Title 22 4" xfId="6692" xr:uid="{00000000-0005-0000-0000-0000241A0000}"/>
    <cellStyle name="Title 23" xfId="6693" xr:uid="{00000000-0005-0000-0000-0000251A0000}"/>
    <cellStyle name="Title 23 2" xfId="6694" xr:uid="{00000000-0005-0000-0000-0000261A0000}"/>
    <cellStyle name="Title 23 3" xfId="6695" xr:uid="{00000000-0005-0000-0000-0000271A0000}"/>
    <cellStyle name="Title 23 4" xfId="6696" xr:uid="{00000000-0005-0000-0000-0000281A0000}"/>
    <cellStyle name="Title 24" xfId="6697" xr:uid="{00000000-0005-0000-0000-0000291A0000}"/>
    <cellStyle name="Title 24 2" xfId="6698" xr:uid="{00000000-0005-0000-0000-00002A1A0000}"/>
    <cellStyle name="Title 24 3" xfId="6699" xr:uid="{00000000-0005-0000-0000-00002B1A0000}"/>
    <cellStyle name="Title 24 4" xfId="6700" xr:uid="{00000000-0005-0000-0000-00002C1A0000}"/>
    <cellStyle name="Title 25" xfId="6701" xr:uid="{00000000-0005-0000-0000-00002D1A0000}"/>
    <cellStyle name="Title 25 2" xfId="6702" xr:uid="{00000000-0005-0000-0000-00002E1A0000}"/>
    <cellStyle name="Title 25 3" xfId="6703" xr:uid="{00000000-0005-0000-0000-00002F1A0000}"/>
    <cellStyle name="Title 25 4" xfId="6704" xr:uid="{00000000-0005-0000-0000-0000301A0000}"/>
    <cellStyle name="Title 26" xfId="6705" xr:uid="{00000000-0005-0000-0000-0000311A0000}"/>
    <cellStyle name="Title 26 2" xfId="6706" xr:uid="{00000000-0005-0000-0000-0000321A0000}"/>
    <cellStyle name="Title 26 3" xfId="6707" xr:uid="{00000000-0005-0000-0000-0000331A0000}"/>
    <cellStyle name="Title 26 4" xfId="6708" xr:uid="{00000000-0005-0000-0000-0000341A0000}"/>
    <cellStyle name="Title 27" xfId="6709" xr:uid="{00000000-0005-0000-0000-0000351A0000}"/>
    <cellStyle name="Title 27 2" xfId="6710" xr:uid="{00000000-0005-0000-0000-0000361A0000}"/>
    <cellStyle name="Title 27 3" xfId="6711" xr:uid="{00000000-0005-0000-0000-0000371A0000}"/>
    <cellStyle name="Title 27 4" xfId="6712" xr:uid="{00000000-0005-0000-0000-0000381A0000}"/>
    <cellStyle name="Title 28" xfId="6713" xr:uid="{00000000-0005-0000-0000-0000391A0000}"/>
    <cellStyle name="Title 28 2" xfId="6714" xr:uid="{00000000-0005-0000-0000-00003A1A0000}"/>
    <cellStyle name="Title 28 3" xfId="6715" xr:uid="{00000000-0005-0000-0000-00003B1A0000}"/>
    <cellStyle name="Title 28 4" xfId="6716" xr:uid="{00000000-0005-0000-0000-00003C1A0000}"/>
    <cellStyle name="Title 29" xfId="6717" xr:uid="{00000000-0005-0000-0000-00003D1A0000}"/>
    <cellStyle name="Title 29 2" xfId="6718" xr:uid="{00000000-0005-0000-0000-00003E1A0000}"/>
    <cellStyle name="Title 29 3" xfId="6719" xr:uid="{00000000-0005-0000-0000-00003F1A0000}"/>
    <cellStyle name="Title 29 4" xfId="6720" xr:uid="{00000000-0005-0000-0000-0000401A0000}"/>
    <cellStyle name="Title 3" xfId="6721" xr:uid="{00000000-0005-0000-0000-0000411A0000}"/>
    <cellStyle name="Title 3 2" xfId="6722" xr:uid="{00000000-0005-0000-0000-0000421A0000}"/>
    <cellStyle name="Title 3 2 2" xfId="6723" xr:uid="{00000000-0005-0000-0000-0000431A0000}"/>
    <cellStyle name="Title 3 2 3" xfId="6724" xr:uid="{00000000-0005-0000-0000-0000441A0000}"/>
    <cellStyle name="Title 3 3" xfId="6725" xr:uid="{00000000-0005-0000-0000-0000451A0000}"/>
    <cellStyle name="Title 3 3 2" xfId="6726" xr:uid="{00000000-0005-0000-0000-0000461A0000}"/>
    <cellStyle name="Title 3 3 3" xfId="6727" xr:uid="{00000000-0005-0000-0000-0000471A0000}"/>
    <cellStyle name="Title 3 4" xfId="6728" xr:uid="{00000000-0005-0000-0000-0000481A0000}"/>
    <cellStyle name="Title 3 5" xfId="6729" xr:uid="{00000000-0005-0000-0000-0000491A0000}"/>
    <cellStyle name="Title 3 6" xfId="6730" xr:uid="{00000000-0005-0000-0000-00004A1A0000}"/>
    <cellStyle name="Title 30" xfId="6731" xr:uid="{00000000-0005-0000-0000-00004B1A0000}"/>
    <cellStyle name="Title 30 2" xfId="6732" xr:uid="{00000000-0005-0000-0000-00004C1A0000}"/>
    <cellStyle name="Title 30 3" xfId="6733" xr:uid="{00000000-0005-0000-0000-00004D1A0000}"/>
    <cellStyle name="Title 30 4" xfId="6734" xr:uid="{00000000-0005-0000-0000-00004E1A0000}"/>
    <cellStyle name="Title 31" xfId="6735" xr:uid="{00000000-0005-0000-0000-00004F1A0000}"/>
    <cellStyle name="Title 31 2" xfId="6736" xr:uid="{00000000-0005-0000-0000-0000501A0000}"/>
    <cellStyle name="Title 31 3" xfId="6737" xr:uid="{00000000-0005-0000-0000-0000511A0000}"/>
    <cellStyle name="Title 31 4" xfId="6738" xr:uid="{00000000-0005-0000-0000-0000521A0000}"/>
    <cellStyle name="Title 32" xfId="6739" xr:uid="{00000000-0005-0000-0000-0000531A0000}"/>
    <cellStyle name="Title 32 2" xfId="6740" xr:uid="{00000000-0005-0000-0000-0000541A0000}"/>
    <cellStyle name="Title 32 3" xfId="6741" xr:uid="{00000000-0005-0000-0000-0000551A0000}"/>
    <cellStyle name="Title 32 4" xfId="6742" xr:uid="{00000000-0005-0000-0000-0000561A0000}"/>
    <cellStyle name="Title 33" xfId="6743" xr:uid="{00000000-0005-0000-0000-0000571A0000}"/>
    <cellStyle name="Title 33 2" xfId="6744" xr:uid="{00000000-0005-0000-0000-0000581A0000}"/>
    <cellStyle name="Title 33 3" xfId="6745" xr:uid="{00000000-0005-0000-0000-0000591A0000}"/>
    <cellStyle name="Title 33 4" xfId="6746" xr:uid="{00000000-0005-0000-0000-00005A1A0000}"/>
    <cellStyle name="Title 34" xfId="6747" xr:uid="{00000000-0005-0000-0000-00005B1A0000}"/>
    <cellStyle name="Title 34 2" xfId="6748" xr:uid="{00000000-0005-0000-0000-00005C1A0000}"/>
    <cellStyle name="Title 34 3" xfId="6749" xr:uid="{00000000-0005-0000-0000-00005D1A0000}"/>
    <cellStyle name="Title 34 4" xfId="6750" xr:uid="{00000000-0005-0000-0000-00005E1A0000}"/>
    <cellStyle name="Title 35" xfId="6751" xr:uid="{00000000-0005-0000-0000-00005F1A0000}"/>
    <cellStyle name="Title 35 2" xfId="6752" xr:uid="{00000000-0005-0000-0000-0000601A0000}"/>
    <cellStyle name="Title 35 3" xfId="6753" xr:uid="{00000000-0005-0000-0000-0000611A0000}"/>
    <cellStyle name="Title 35 4" xfId="6754" xr:uid="{00000000-0005-0000-0000-0000621A0000}"/>
    <cellStyle name="Title 36" xfId="6755" xr:uid="{00000000-0005-0000-0000-0000631A0000}"/>
    <cellStyle name="Title 36 2" xfId="6756" xr:uid="{00000000-0005-0000-0000-0000641A0000}"/>
    <cellStyle name="Title 36 3" xfId="6757" xr:uid="{00000000-0005-0000-0000-0000651A0000}"/>
    <cellStyle name="Title 36 4" xfId="6758" xr:uid="{00000000-0005-0000-0000-0000661A0000}"/>
    <cellStyle name="Title 37" xfId="6759" xr:uid="{00000000-0005-0000-0000-0000671A0000}"/>
    <cellStyle name="Title 37 2" xfId="6760" xr:uid="{00000000-0005-0000-0000-0000681A0000}"/>
    <cellStyle name="Title 37 3" xfId="6761" xr:uid="{00000000-0005-0000-0000-0000691A0000}"/>
    <cellStyle name="Title 37 4" xfId="6762" xr:uid="{00000000-0005-0000-0000-00006A1A0000}"/>
    <cellStyle name="Title 38" xfId="6763" xr:uid="{00000000-0005-0000-0000-00006B1A0000}"/>
    <cellStyle name="Title 38 2" xfId="6764" xr:uid="{00000000-0005-0000-0000-00006C1A0000}"/>
    <cellStyle name="Title 38 3" xfId="6765" xr:uid="{00000000-0005-0000-0000-00006D1A0000}"/>
    <cellStyle name="Title 38 4" xfId="6766" xr:uid="{00000000-0005-0000-0000-00006E1A0000}"/>
    <cellStyle name="Title 39" xfId="6767" xr:uid="{00000000-0005-0000-0000-00006F1A0000}"/>
    <cellStyle name="Title 39 2" xfId="6768" xr:uid="{00000000-0005-0000-0000-0000701A0000}"/>
    <cellStyle name="Title 39 3" xfId="6769" xr:uid="{00000000-0005-0000-0000-0000711A0000}"/>
    <cellStyle name="Title 39 4" xfId="6770" xr:uid="{00000000-0005-0000-0000-0000721A0000}"/>
    <cellStyle name="Title 4" xfId="6771" xr:uid="{00000000-0005-0000-0000-0000731A0000}"/>
    <cellStyle name="Title 4 2" xfId="6772" xr:uid="{00000000-0005-0000-0000-0000741A0000}"/>
    <cellStyle name="Title 4 3" xfId="6773" xr:uid="{00000000-0005-0000-0000-0000751A0000}"/>
    <cellStyle name="Title 4 4" xfId="6774" xr:uid="{00000000-0005-0000-0000-0000761A0000}"/>
    <cellStyle name="Title 40" xfId="6775" xr:uid="{00000000-0005-0000-0000-0000771A0000}"/>
    <cellStyle name="Title 40 2" xfId="6776" xr:uid="{00000000-0005-0000-0000-0000781A0000}"/>
    <cellStyle name="Title 40 3" xfId="6777" xr:uid="{00000000-0005-0000-0000-0000791A0000}"/>
    <cellStyle name="Title 40 4" xfId="6778" xr:uid="{00000000-0005-0000-0000-00007A1A0000}"/>
    <cellStyle name="Title 41" xfId="6779" xr:uid="{00000000-0005-0000-0000-00007B1A0000}"/>
    <cellStyle name="Title 41 2" xfId="6780" xr:uid="{00000000-0005-0000-0000-00007C1A0000}"/>
    <cellStyle name="Title 41 3" xfId="6781" xr:uid="{00000000-0005-0000-0000-00007D1A0000}"/>
    <cellStyle name="Title 41 4" xfId="6782" xr:uid="{00000000-0005-0000-0000-00007E1A0000}"/>
    <cellStyle name="Title 42" xfId="6783" xr:uid="{00000000-0005-0000-0000-00007F1A0000}"/>
    <cellStyle name="Title 42 2" xfId="6784" xr:uid="{00000000-0005-0000-0000-0000801A0000}"/>
    <cellStyle name="Title 42 3" xfId="6785" xr:uid="{00000000-0005-0000-0000-0000811A0000}"/>
    <cellStyle name="Title 42 4" xfId="6786" xr:uid="{00000000-0005-0000-0000-0000821A0000}"/>
    <cellStyle name="Title 43" xfId="6787" xr:uid="{00000000-0005-0000-0000-0000831A0000}"/>
    <cellStyle name="Title 43 2" xfId="6788" xr:uid="{00000000-0005-0000-0000-0000841A0000}"/>
    <cellStyle name="Title 43 3" xfId="6789" xr:uid="{00000000-0005-0000-0000-0000851A0000}"/>
    <cellStyle name="Title 43 4" xfId="6790" xr:uid="{00000000-0005-0000-0000-0000861A0000}"/>
    <cellStyle name="Title 44" xfId="6791" xr:uid="{00000000-0005-0000-0000-0000871A0000}"/>
    <cellStyle name="Title 5" xfId="6792" xr:uid="{00000000-0005-0000-0000-0000881A0000}"/>
    <cellStyle name="Title 5 2" xfId="6793" xr:uid="{00000000-0005-0000-0000-0000891A0000}"/>
    <cellStyle name="Title 5 3" xfId="6794" xr:uid="{00000000-0005-0000-0000-00008A1A0000}"/>
    <cellStyle name="Title 5 4" xfId="6795" xr:uid="{00000000-0005-0000-0000-00008B1A0000}"/>
    <cellStyle name="Title 6" xfId="6796" xr:uid="{00000000-0005-0000-0000-00008C1A0000}"/>
    <cellStyle name="Title 6 2" xfId="6797" xr:uid="{00000000-0005-0000-0000-00008D1A0000}"/>
    <cellStyle name="Title 6 3" xfId="6798" xr:uid="{00000000-0005-0000-0000-00008E1A0000}"/>
    <cellStyle name="Title 6 4" xfId="6799" xr:uid="{00000000-0005-0000-0000-00008F1A0000}"/>
    <cellStyle name="Title 7" xfId="6800" xr:uid="{00000000-0005-0000-0000-0000901A0000}"/>
    <cellStyle name="Title 7 2" xfId="6801" xr:uid="{00000000-0005-0000-0000-0000911A0000}"/>
    <cellStyle name="Title 7 3" xfId="6802" xr:uid="{00000000-0005-0000-0000-0000921A0000}"/>
    <cellStyle name="Title 7 4" xfId="6803" xr:uid="{00000000-0005-0000-0000-0000931A0000}"/>
    <cellStyle name="Title 8" xfId="6804" xr:uid="{00000000-0005-0000-0000-0000941A0000}"/>
    <cellStyle name="Title 8 2" xfId="6805" xr:uid="{00000000-0005-0000-0000-0000951A0000}"/>
    <cellStyle name="Title 8 3" xfId="6806" xr:uid="{00000000-0005-0000-0000-0000961A0000}"/>
    <cellStyle name="Title 8 4" xfId="6807" xr:uid="{00000000-0005-0000-0000-0000971A0000}"/>
    <cellStyle name="Title 9" xfId="6808" xr:uid="{00000000-0005-0000-0000-0000981A0000}"/>
    <cellStyle name="Title 9 2" xfId="6809" xr:uid="{00000000-0005-0000-0000-0000991A0000}"/>
    <cellStyle name="Title 9 3" xfId="6810" xr:uid="{00000000-0005-0000-0000-00009A1A0000}"/>
    <cellStyle name="Title 9 4" xfId="6811" xr:uid="{00000000-0005-0000-0000-00009B1A0000}"/>
    <cellStyle name="Total 10" xfId="6812" xr:uid="{00000000-0005-0000-0000-00009C1A0000}"/>
    <cellStyle name="Total 10 2" xfId="6813" xr:uid="{00000000-0005-0000-0000-00009D1A0000}"/>
    <cellStyle name="Total 10 3" xfId="6814" xr:uid="{00000000-0005-0000-0000-00009E1A0000}"/>
    <cellStyle name="Total 10 4" xfId="6815" xr:uid="{00000000-0005-0000-0000-00009F1A0000}"/>
    <cellStyle name="Total 11" xfId="6816" xr:uid="{00000000-0005-0000-0000-0000A01A0000}"/>
    <cellStyle name="Total 11 2" xfId="6817" xr:uid="{00000000-0005-0000-0000-0000A11A0000}"/>
    <cellStyle name="Total 11 3" xfId="6818" xr:uid="{00000000-0005-0000-0000-0000A21A0000}"/>
    <cellStyle name="Total 11 4" xfId="6819" xr:uid="{00000000-0005-0000-0000-0000A31A0000}"/>
    <cellStyle name="Total 12" xfId="6820" xr:uid="{00000000-0005-0000-0000-0000A41A0000}"/>
    <cellStyle name="Total 12 2" xfId="6821" xr:uid="{00000000-0005-0000-0000-0000A51A0000}"/>
    <cellStyle name="Total 12 3" xfId="6822" xr:uid="{00000000-0005-0000-0000-0000A61A0000}"/>
    <cellStyle name="Total 12 4" xfId="6823" xr:uid="{00000000-0005-0000-0000-0000A71A0000}"/>
    <cellStyle name="Total 13" xfId="6824" xr:uid="{00000000-0005-0000-0000-0000A81A0000}"/>
    <cellStyle name="Total 13 2" xfId="6825" xr:uid="{00000000-0005-0000-0000-0000A91A0000}"/>
    <cellStyle name="Total 13 3" xfId="6826" xr:uid="{00000000-0005-0000-0000-0000AA1A0000}"/>
    <cellStyle name="Total 13 4" xfId="6827" xr:uid="{00000000-0005-0000-0000-0000AB1A0000}"/>
    <cellStyle name="Total 14" xfId="6828" xr:uid="{00000000-0005-0000-0000-0000AC1A0000}"/>
    <cellStyle name="Total 14 2" xfId="6829" xr:uid="{00000000-0005-0000-0000-0000AD1A0000}"/>
    <cellStyle name="Total 14 3" xfId="6830" xr:uid="{00000000-0005-0000-0000-0000AE1A0000}"/>
    <cellStyle name="Total 14 4" xfId="6831" xr:uid="{00000000-0005-0000-0000-0000AF1A0000}"/>
    <cellStyle name="Total 15" xfId="6832" xr:uid="{00000000-0005-0000-0000-0000B01A0000}"/>
    <cellStyle name="Total 15 2" xfId="6833" xr:uid="{00000000-0005-0000-0000-0000B11A0000}"/>
    <cellStyle name="Total 15 3" xfId="6834" xr:uid="{00000000-0005-0000-0000-0000B21A0000}"/>
    <cellStyle name="Total 15 4" xfId="6835" xr:uid="{00000000-0005-0000-0000-0000B31A0000}"/>
    <cellStyle name="Total 16" xfId="6836" xr:uid="{00000000-0005-0000-0000-0000B41A0000}"/>
    <cellStyle name="Total 16 2" xfId="6837" xr:uid="{00000000-0005-0000-0000-0000B51A0000}"/>
    <cellStyle name="Total 16 3" xfId="6838" xr:uid="{00000000-0005-0000-0000-0000B61A0000}"/>
    <cellStyle name="Total 16 4" xfId="6839" xr:uid="{00000000-0005-0000-0000-0000B71A0000}"/>
    <cellStyle name="Total 17" xfId="6840" xr:uid="{00000000-0005-0000-0000-0000B81A0000}"/>
    <cellStyle name="Total 17 2" xfId="6841" xr:uid="{00000000-0005-0000-0000-0000B91A0000}"/>
    <cellStyle name="Total 17 3" xfId="6842" xr:uid="{00000000-0005-0000-0000-0000BA1A0000}"/>
    <cellStyle name="Total 17 4" xfId="6843" xr:uid="{00000000-0005-0000-0000-0000BB1A0000}"/>
    <cellStyle name="Total 18" xfId="6844" xr:uid="{00000000-0005-0000-0000-0000BC1A0000}"/>
    <cellStyle name="Total 18 2" xfId="6845" xr:uid="{00000000-0005-0000-0000-0000BD1A0000}"/>
    <cellStyle name="Total 18 3" xfId="6846" xr:uid="{00000000-0005-0000-0000-0000BE1A0000}"/>
    <cellStyle name="Total 18 4" xfId="6847" xr:uid="{00000000-0005-0000-0000-0000BF1A0000}"/>
    <cellStyle name="Total 19" xfId="6848" xr:uid="{00000000-0005-0000-0000-0000C01A0000}"/>
    <cellStyle name="Total 19 2" xfId="6849" xr:uid="{00000000-0005-0000-0000-0000C11A0000}"/>
    <cellStyle name="Total 19 3" xfId="6850" xr:uid="{00000000-0005-0000-0000-0000C21A0000}"/>
    <cellStyle name="Total 19 4" xfId="6851" xr:uid="{00000000-0005-0000-0000-0000C31A0000}"/>
    <cellStyle name="Total 2" xfId="6852" xr:uid="{00000000-0005-0000-0000-0000C41A0000}"/>
    <cellStyle name="Total 2 10" xfId="6853" xr:uid="{00000000-0005-0000-0000-0000C51A0000}"/>
    <cellStyle name="Total 2 10 2" xfId="6854" xr:uid="{00000000-0005-0000-0000-0000C61A0000}"/>
    <cellStyle name="Total 2 10 3" xfId="6855" xr:uid="{00000000-0005-0000-0000-0000C71A0000}"/>
    <cellStyle name="Total 2 11" xfId="6856" xr:uid="{00000000-0005-0000-0000-0000C81A0000}"/>
    <cellStyle name="Total 2 12" xfId="6857" xr:uid="{00000000-0005-0000-0000-0000C91A0000}"/>
    <cellStyle name="Total 2 13" xfId="6858" xr:uid="{00000000-0005-0000-0000-0000CA1A0000}"/>
    <cellStyle name="Total 2 2" xfId="6859" xr:uid="{00000000-0005-0000-0000-0000CB1A0000}"/>
    <cellStyle name="Total 2 2 2" xfId="6860" xr:uid="{00000000-0005-0000-0000-0000CC1A0000}"/>
    <cellStyle name="Total 2 2 2 2" xfId="6861" xr:uid="{00000000-0005-0000-0000-0000CD1A0000}"/>
    <cellStyle name="Total 2 2 3" xfId="6862" xr:uid="{00000000-0005-0000-0000-0000CE1A0000}"/>
    <cellStyle name="Total 2 3" xfId="6863" xr:uid="{00000000-0005-0000-0000-0000CF1A0000}"/>
    <cellStyle name="Total 2 3 2" xfId="6864" xr:uid="{00000000-0005-0000-0000-0000D01A0000}"/>
    <cellStyle name="Total 2 3 3" xfId="6865" xr:uid="{00000000-0005-0000-0000-0000D11A0000}"/>
    <cellStyle name="Total 2 4" xfId="6866" xr:uid="{00000000-0005-0000-0000-0000D21A0000}"/>
    <cellStyle name="Total 2 4 2" xfId="6867" xr:uid="{00000000-0005-0000-0000-0000D31A0000}"/>
    <cellStyle name="Total 2 4 3" xfId="6868" xr:uid="{00000000-0005-0000-0000-0000D41A0000}"/>
    <cellStyle name="Total 2 5" xfId="6869" xr:uid="{00000000-0005-0000-0000-0000D51A0000}"/>
    <cellStyle name="Total 2 5 2" xfId="6870" xr:uid="{00000000-0005-0000-0000-0000D61A0000}"/>
    <cellStyle name="Total 2 5 3" xfId="6871" xr:uid="{00000000-0005-0000-0000-0000D71A0000}"/>
    <cellStyle name="Total 2 6" xfId="6872" xr:uid="{00000000-0005-0000-0000-0000D81A0000}"/>
    <cellStyle name="Total 2 6 2" xfId="6873" xr:uid="{00000000-0005-0000-0000-0000D91A0000}"/>
    <cellStyle name="Total 2 6 3" xfId="6874" xr:uid="{00000000-0005-0000-0000-0000DA1A0000}"/>
    <cellStyle name="Total 2 7" xfId="6875" xr:uid="{00000000-0005-0000-0000-0000DB1A0000}"/>
    <cellStyle name="Total 2 7 2" xfId="6876" xr:uid="{00000000-0005-0000-0000-0000DC1A0000}"/>
    <cellStyle name="Total 2 7 3" xfId="6877" xr:uid="{00000000-0005-0000-0000-0000DD1A0000}"/>
    <cellStyle name="Total 2 8" xfId="6878" xr:uid="{00000000-0005-0000-0000-0000DE1A0000}"/>
    <cellStyle name="Total 2 8 2" xfId="6879" xr:uid="{00000000-0005-0000-0000-0000DF1A0000}"/>
    <cellStyle name="Total 2 8 3" xfId="6880" xr:uid="{00000000-0005-0000-0000-0000E01A0000}"/>
    <cellStyle name="Total 2 9" xfId="6881" xr:uid="{00000000-0005-0000-0000-0000E11A0000}"/>
    <cellStyle name="Total 2 9 2" xfId="6882" xr:uid="{00000000-0005-0000-0000-0000E21A0000}"/>
    <cellStyle name="Total 2 9 3" xfId="6883" xr:uid="{00000000-0005-0000-0000-0000E31A0000}"/>
    <cellStyle name="Total 20" xfId="6884" xr:uid="{00000000-0005-0000-0000-0000E41A0000}"/>
    <cellStyle name="Total 20 2" xfId="6885" xr:uid="{00000000-0005-0000-0000-0000E51A0000}"/>
    <cellStyle name="Total 20 3" xfId="6886" xr:uid="{00000000-0005-0000-0000-0000E61A0000}"/>
    <cellStyle name="Total 20 4" xfId="6887" xr:uid="{00000000-0005-0000-0000-0000E71A0000}"/>
    <cellStyle name="Total 21" xfId="6888" xr:uid="{00000000-0005-0000-0000-0000E81A0000}"/>
    <cellStyle name="Total 21 2" xfId="6889" xr:uid="{00000000-0005-0000-0000-0000E91A0000}"/>
    <cellStyle name="Total 21 3" xfId="6890" xr:uid="{00000000-0005-0000-0000-0000EA1A0000}"/>
    <cellStyle name="Total 21 4" xfId="6891" xr:uid="{00000000-0005-0000-0000-0000EB1A0000}"/>
    <cellStyle name="Total 22" xfId="6892" xr:uid="{00000000-0005-0000-0000-0000EC1A0000}"/>
    <cellStyle name="Total 22 2" xfId="6893" xr:uid="{00000000-0005-0000-0000-0000ED1A0000}"/>
    <cellStyle name="Total 22 3" xfId="6894" xr:uid="{00000000-0005-0000-0000-0000EE1A0000}"/>
    <cellStyle name="Total 22 4" xfId="6895" xr:uid="{00000000-0005-0000-0000-0000EF1A0000}"/>
    <cellStyle name="Total 23" xfId="6896" xr:uid="{00000000-0005-0000-0000-0000F01A0000}"/>
    <cellStyle name="Total 23 2" xfId="6897" xr:uid="{00000000-0005-0000-0000-0000F11A0000}"/>
    <cellStyle name="Total 23 3" xfId="6898" xr:uid="{00000000-0005-0000-0000-0000F21A0000}"/>
    <cellStyle name="Total 23 4" xfId="6899" xr:uid="{00000000-0005-0000-0000-0000F31A0000}"/>
    <cellStyle name="Total 24" xfId="6900" xr:uid="{00000000-0005-0000-0000-0000F41A0000}"/>
    <cellStyle name="Total 24 2" xfId="6901" xr:uid="{00000000-0005-0000-0000-0000F51A0000}"/>
    <cellStyle name="Total 24 3" xfId="6902" xr:uid="{00000000-0005-0000-0000-0000F61A0000}"/>
    <cellStyle name="Total 24 4" xfId="6903" xr:uid="{00000000-0005-0000-0000-0000F71A0000}"/>
    <cellStyle name="Total 25" xfId="6904" xr:uid="{00000000-0005-0000-0000-0000F81A0000}"/>
    <cellStyle name="Total 25 2" xfId="6905" xr:uid="{00000000-0005-0000-0000-0000F91A0000}"/>
    <cellStyle name="Total 25 3" xfId="6906" xr:uid="{00000000-0005-0000-0000-0000FA1A0000}"/>
    <cellStyle name="Total 25 4" xfId="6907" xr:uid="{00000000-0005-0000-0000-0000FB1A0000}"/>
    <cellStyle name="Total 26" xfId="6908" xr:uid="{00000000-0005-0000-0000-0000FC1A0000}"/>
    <cellStyle name="Total 26 2" xfId="6909" xr:uid="{00000000-0005-0000-0000-0000FD1A0000}"/>
    <cellStyle name="Total 26 3" xfId="6910" xr:uid="{00000000-0005-0000-0000-0000FE1A0000}"/>
    <cellStyle name="Total 26 4" xfId="6911" xr:uid="{00000000-0005-0000-0000-0000FF1A0000}"/>
    <cellStyle name="Total 27" xfId="6912" xr:uid="{00000000-0005-0000-0000-0000001B0000}"/>
    <cellStyle name="Total 27 2" xfId="6913" xr:uid="{00000000-0005-0000-0000-0000011B0000}"/>
    <cellStyle name="Total 27 3" xfId="6914" xr:uid="{00000000-0005-0000-0000-0000021B0000}"/>
    <cellStyle name="Total 27 4" xfId="6915" xr:uid="{00000000-0005-0000-0000-0000031B0000}"/>
    <cellStyle name="Total 28" xfId="6916" xr:uid="{00000000-0005-0000-0000-0000041B0000}"/>
    <cellStyle name="Total 28 2" xfId="6917" xr:uid="{00000000-0005-0000-0000-0000051B0000}"/>
    <cellStyle name="Total 28 3" xfId="6918" xr:uid="{00000000-0005-0000-0000-0000061B0000}"/>
    <cellStyle name="Total 28 4" xfId="6919" xr:uid="{00000000-0005-0000-0000-0000071B0000}"/>
    <cellStyle name="Total 29" xfId="6920" xr:uid="{00000000-0005-0000-0000-0000081B0000}"/>
    <cellStyle name="Total 29 2" xfId="6921" xr:uid="{00000000-0005-0000-0000-0000091B0000}"/>
    <cellStyle name="Total 29 3" xfId="6922" xr:uid="{00000000-0005-0000-0000-00000A1B0000}"/>
    <cellStyle name="Total 29 4" xfId="6923" xr:uid="{00000000-0005-0000-0000-00000B1B0000}"/>
    <cellStyle name="Total 3" xfId="6924" xr:uid="{00000000-0005-0000-0000-00000C1B0000}"/>
    <cellStyle name="Total 3 2" xfId="6925" xr:uid="{00000000-0005-0000-0000-00000D1B0000}"/>
    <cellStyle name="Total 3 2 2" xfId="6926" xr:uid="{00000000-0005-0000-0000-00000E1B0000}"/>
    <cellStyle name="Total 3 2 3" xfId="6927" xr:uid="{00000000-0005-0000-0000-00000F1B0000}"/>
    <cellStyle name="Total 3 3" xfId="6928" xr:uid="{00000000-0005-0000-0000-0000101B0000}"/>
    <cellStyle name="Total 3 3 2" xfId="6929" xr:uid="{00000000-0005-0000-0000-0000111B0000}"/>
    <cellStyle name="Total 3 3 3" xfId="6930" xr:uid="{00000000-0005-0000-0000-0000121B0000}"/>
    <cellStyle name="Total 3 4" xfId="6931" xr:uid="{00000000-0005-0000-0000-0000131B0000}"/>
    <cellStyle name="Total 3 5" xfId="6932" xr:uid="{00000000-0005-0000-0000-0000141B0000}"/>
    <cellStyle name="Total 3 6" xfId="6933" xr:uid="{00000000-0005-0000-0000-0000151B0000}"/>
    <cellStyle name="Total 30" xfId="6934" xr:uid="{00000000-0005-0000-0000-0000161B0000}"/>
    <cellStyle name="Total 30 2" xfId="6935" xr:uid="{00000000-0005-0000-0000-0000171B0000}"/>
    <cellStyle name="Total 30 3" xfId="6936" xr:uid="{00000000-0005-0000-0000-0000181B0000}"/>
    <cellStyle name="Total 30 4" xfId="6937" xr:uid="{00000000-0005-0000-0000-0000191B0000}"/>
    <cellStyle name="Total 31" xfId="6938" xr:uid="{00000000-0005-0000-0000-00001A1B0000}"/>
    <cellStyle name="Total 31 2" xfId="6939" xr:uid="{00000000-0005-0000-0000-00001B1B0000}"/>
    <cellStyle name="Total 31 3" xfId="6940" xr:uid="{00000000-0005-0000-0000-00001C1B0000}"/>
    <cellStyle name="Total 31 4" xfId="6941" xr:uid="{00000000-0005-0000-0000-00001D1B0000}"/>
    <cellStyle name="Total 32" xfId="6942" xr:uid="{00000000-0005-0000-0000-00001E1B0000}"/>
    <cellStyle name="Total 32 2" xfId="6943" xr:uid="{00000000-0005-0000-0000-00001F1B0000}"/>
    <cellStyle name="Total 32 3" xfId="6944" xr:uid="{00000000-0005-0000-0000-0000201B0000}"/>
    <cellStyle name="Total 32 4" xfId="6945" xr:uid="{00000000-0005-0000-0000-0000211B0000}"/>
    <cellStyle name="Total 33" xfId="6946" xr:uid="{00000000-0005-0000-0000-0000221B0000}"/>
    <cellStyle name="Total 33 2" xfId="6947" xr:uid="{00000000-0005-0000-0000-0000231B0000}"/>
    <cellStyle name="Total 33 3" xfId="6948" xr:uid="{00000000-0005-0000-0000-0000241B0000}"/>
    <cellStyle name="Total 33 4" xfId="6949" xr:uid="{00000000-0005-0000-0000-0000251B0000}"/>
    <cellStyle name="Total 34" xfId="6950" xr:uid="{00000000-0005-0000-0000-0000261B0000}"/>
    <cellStyle name="Total 34 2" xfId="6951" xr:uid="{00000000-0005-0000-0000-0000271B0000}"/>
    <cellStyle name="Total 34 3" xfId="6952" xr:uid="{00000000-0005-0000-0000-0000281B0000}"/>
    <cellStyle name="Total 34 4" xfId="6953" xr:uid="{00000000-0005-0000-0000-0000291B0000}"/>
    <cellStyle name="Total 35" xfId="6954" xr:uid="{00000000-0005-0000-0000-00002A1B0000}"/>
    <cellStyle name="Total 35 2" xfId="6955" xr:uid="{00000000-0005-0000-0000-00002B1B0000}"/>
    <cellStyle name="Total 35 3" xfId="6956" xr:uid="{00000000-0005-0000-0000-00002C1B0000}"/>
    <cellStyle name="Total 35 4" xfId="6957" xr:uid="{00000000-0005-0000-0000-00002D1B0000}"/>
    <cellStyle name="Total 36" xfId="6958" xr:uid="{00000000-0005-0000-0000-00002E1B0000}"/>
    <cellStyle name="Total 36 2" xfId="6959" xr:uid="{00000000-0005-0000-0000-00002F1B0000}"/>
    <cellStyle name="Total 36 3" xfId="6960" xr:uid="{00000000-0005-0000-0000-0000301B0000}"/>
    <cellStyle name="Total 36 4" xfId="6961" xr:uid="{00000000-0005-0000-0000-0000311B0000}"/>
    <cellStyle name="Total 37" xfId="6962" xr:uid="{00000000-0005-0000-0000-0000321B0000}"/>
    <cellStyle name="Total 37 2" xfId="6963" xr:uid="{00000000-0005-0000-0000-0000331B0000}"/>
    <cellStyle name="Total 37 3" xfId="6964" xr:uid="{00000000-0005-0000-0000-0000341B0000}"/>
    <cellStyle name="Total 37 4" xfId="6965" xr:uid="{00000000-0005-0000-0000-0000351B0000}"/>
    <cellStyle name="Total 38" xfId="6966" xr:uid="{00000000-0005-0000-0000-0000361B0000}"/>
    <cellStyle name="Total 38 2" xfId="6967" xr:uid="{00000000-0005-0000-0000-0000371B0000}"/>
    <cellStyle name="Total 38 3" xfId="6968" xr:uid="{00000000-0005-0000-0000-0000381B0000}"/>
    <cellStyle name="Total 38 4" xfId="6969" xr:uid="{00000000-0005-0000-0000-0000391B0000}"/>
    <cellStyle name="Total 39" xfId="6970" xr:uid="{00000000-0005-0000-0000-00003A1B0000}"/>
    <cellStyle name="Total 39 2" xfId="6971" xr:uid="{00000000-0005-0000-0000-00003B1B0000}"/>
    <cellStyle name="Total 39 3" xfId="6972" xr:uid="{00000000-0005-0000-0000-00003C1B0000}"/>
    <cellStyle name="Total 39 4" xfId="6973" xr:uid="{00000000-0005-0000-0000-00003D1B0000}"/>
    <cellStyle name="Total 4" xfId="6974" xr:uid="{00000000-0005-0000-0000-00003E1B0000}"/>
    <cellStyle name="Total 4 2" xfId="6975" xr:uid="{00000000-0005-0000-0000-00003F1B0000}"/>
    <cellStyle name="Total 4 3" xfId="6976" xr:uid="{00000000-0005-0000-0000-0000401B0000}"/>
    <cellStyle name="Total 4 4" xfId="6977" xr:uid="{00000000-0005-0000-0000-0000411B0000}"/>
    <cellStyle name="Total 40" xfId="6978" xr:uid="{00000000-0005-0000-0000-0000421B0000}"/>
    <cellStyle name="Total 40 2" xfId="6979" xr:uid="{00000000-0005-0000-0000-0000431B0000}"/>
    <cellStyle name="Total 40 3" xfId="6980" xr:uid="{00000000-0005-0000-0000-0000441B0000}"/>
    <cellStyle name="Total 40 4" xfId="6981" xr:uid="{00000000-0005-0000-0000-0000451B0000}"/>
    <cellStyle name="Total 41" xfId="6982" xr:uid="{00000000-0005-0000-0000-0000461B0000}"/>
    <cellStyle name="Total 41 2" xfId="6983" xr:uid="{00000000-0005-0000-0000-0000471B0000}"/>
    <cellStyle name="Total 41 3" xfId="6984" xr:uid="{00000000-0005-0000-0000-0000481B0000}"/>
    <cellStyle name="Total 41 4" xfId="6985" xr:uid="{00000000-0005-0000-0000-0000491B0000}"/>
    <cellStyle name="Total 42" xfId="6986" xr:uid="{00000000-0005-0000-0000-00004A1B0000}"/>
    <cellStyle name="Total 42 2" xfId="6987" xr:uid="{00000000-0005-0000-0000-00004B1B0000}"/>
    <cellStyle name="Total 42 3" xfId="6988" xr:uid="{00000000-0005-0000-0000-00004C1B0000}"/>
    <cellStyle name="Total 42 4" xfId="6989" xr:uid="{00000000-0005-0000-0000-00004D1B0000}"/>
    <cellStyle name="Total 43" xfId="6990" xr:uid="{00000000-0005-0000-0000-00004E1B0000}"/>
    <cellStyle name="Total 5" xfId="6991" xr:uid="{00000000-0005-0000-0000-00004F1B0000}"/>
    <cellStyle name="Total 5 2" xfId="6992" xr:uid="{00000000-0005-0000-0000-0000501B0000}"/>
    <cellStyle name="Total 5 3" xfId="6993" xr:uid="{00000000-0005-0000-0000-0000511B0000}"/>
    <cellStyle name="Total 5 4" xfId="6994" xr:uid="{00000000-0005-0000-0000-0000521B0000}"/>
    <cellStyle name="Total 6" xfId="6995" xr:uid="{00000000-0005-0000-0000-0000531B0000}"/>
    <cellStyle name="Total 6 2" xfId="6996" xr:uid="{00000000-0005-0000-0000-0000541B0000}"/>
    <cellStyle name="Total 6 3" xfId="6997" xr:uid="{00000000-0005-0000-0000-0000551B0000}"/>
    <cellStyle name="Total 6 4" xfId="6998" xr:uid="{00000000-0005-0000-0000-0000561B0000}"/>
    <cellStyle name="Total 7" xfId="6999" xr:uid="{00000000-0005-0000-0000-0000571B0000}"/>
    <cellStyle name="Total 7 2" xfId="7000" xr:uid="{00000000-0005-0000-0000-0000581B0000}"/>
    <cellStyle name="Total 7 3" xfId="7001" xr:uid="{00000000-0005-0000-0000-0000591B0000}"/>
    <cellStyle name="Total 7 4" xfId="7002" xr:uid="{00000000-0005-0000-0000-00005A1B0000}"/>
    <cellStyle name="Total 8" xfId="7003" xr:uid="{00000000-0005-0000-0000-00005B1B0000}"/>
    <cellStyle name="Total 8 2" xfId="7004" xr:uid="{00000000-0005-0000-0000-00005C1B0000}"/>
    <cellStyle name="Total 8 3" xfId="7005" xr:uid="{00000000-0005-0000-0000-00005D1B0000}"/>
    <cellStyle name="Total 8 4" xfId="7006" xr:uid="{00000000-0005-0000-0000-00005E1B0000}"/>
    <cellStyle name="Total 9" xfId="7007" xr:uid="{00000000-0005-0000-0000-00005F1B0000}"/>
    <cellStyle name="Total 9 2" xfId="7008" xr:uid="{00000000-0005-0000-0000-0000601B0000}"/>
    <cellStyle name="Total 9 3" xfId="7009" xr:uid="{00000000-0005-0000-0000-0000611B0000}"/>
    <cellStyle name="Total 9 4" xfId="7010" xr:uid="{00000000-0005-0000-0000-0000621B0000}"/>
    <cellStyle name="Überschrift" xfId="7011" xr:uid="{00000000-0005-0000-0000-0000631B0000}"/>
    <cellStyle name="Überschrift 1" xfId="7012" xr:uid="{00000000-0005-0000-0000-0000641B0000}"/>
    <cellStyle name="Überschrift 1 2" xfId="7013" xr:uid="{00000000-0005-0000-0000-0000651B0000}"/>
    <cellStyle name="Überschrift 1 3" xfId="7014" xr:uid="{00000000-0005-0000-0000-0000661B0000}"/>
    <cellStyle name="Überschrift 2" xfId="7015" xr:uid="{00000000-0005-0000-0000-0000671B0000}"/>
    <cellStyle name="Überschrift 2 2" xfId="7016" xr:uid="{00000000-0005-0000-0000-0000681B0000}"/>
    <cellStyle name="Überschrift 2 3" xfId="7017" xr:uid="{00000000-0005-0000-0000-0000691B0000}"/>
    <cellStyle name="Überschrift 3" xfId="7018" xr:uid="{00000000-0005-0000-0000-00006A1B0000}"/>
    <cellStyle name="Überschrift 3 2" xfId="7019" xr:uid="{00000000-0005-0000-0000-00006B1B0000}"/>
    <cellStyle name="Überschrift 3 3" xfId="7020" xr:uid="{00000000-0005-0000-0000-00006C1B0000}"/>
    <cellStyle name="Überschrift 4" xfId="7021" xr:uid="{00000000-0005-0000-0000-00006D1B0000}"/>
    <cellStyle name="Überschrift 4 2" xfId="7022" xr:uid="{00000000-0005-0000-0000-00006E1B0000}"/>
    <cellStyle name="Überschrift 4 3" xfId="7023" xr:uid="{00000000-0005-0000-0000-00006F1B0000}"/>
    <cellStyle name="Überschrift 5" xfId="7024" xr:uid="{00000000-0005-0000-0000-0000701B0000}"/>
    <cellStyle name="Überschrift 6" xfId="7025" xr:uid="{00000000-0005-0000-0000-0000711B0000}"/>
    <cellStyle name="UserInput" xfId="7026" xr:uid="{00000000-0005-0000-0000-0000721B0000}"/>
    <cellStyle name="Valuutta_Layo9704" xfId="7027" xr:uid="{00000000-0005-0000-0000-0000731B0000}"/>
    <cellStyle name="Verknüpfte Zelle" xfId="7028" xr:uid="{00000000-0005-0000-0000-0000741B0000}"/>
    <cellStyle name="Verknüpfte Zelle 2" xfId="7029" xr:uid="{00000000-0005-0000-0000-0000751B0000}"/>
    <cellStyle name="Verknüpfte Zelle 3" xfId="7030" xr:uid="{00000000-0005-0000-0000-0000761B0000}"/>
    <cellStyle name="Warnender Text" xfId="7031" xr:uid="{00000000-0005-0000-0000-0000771B0000}"/>
    <cellStyle name="Warnender Text 2" xfId="7032" xr:uid="{00000000-0005-0000-0000-0000781B0000}"/>
    <cellStyle name="Warnender Text 3" xfId="7033" xr:uid="{00000000-0005-0000-0000-0000791B0000}"/>
    <cellStyle name="Warning Text 10" xfId="7034" xr:uid="{00000000-0005-0000-0000-00007A1B0000}"/>
    <cellStyle name="Warning Text 10 2" xfId="7035" xr:uid="{00000000-0005-0000-0000-00007B1B0000}"/>
    <cellStyle name="Warning Text 10 3" xfId="7036" xr:uid="{00000000-0005-0000-0000-00007C1B0000}"/>
    <cellStyle name="Warning Text 10 4" xfId="7037" xr:uid="{00000000-0005-0000-0000-00007D1B0000}"/>
    <cellStyle name="Warning Text 11" xfId="7038" xr:uid="{00000000-0005-0000-0000-00007E1B0000}"/>
    <cellStyle name="Warning Text 11 2" xfId="7039" xr:uid="{00000000-0005-0000-0000-00007F1B0000}"/>
    <cellStyle name="Warning Text 11 3" xfId="7040" xr:uid="{00000000-0005-0000-0000-0000801B0000}"/>
    <cellStyle name="Warning Text 11 4" xfId="7041" xr:uid="{00000000-0005-0000-0000-0000811B0000}"/>
    <cellStyle name="Warning Text 12" xfId="7042" xr:uid="{00000000-0005-0000-0000-0000821B0000}"/>
    <cellStyle name="Warning Text 12 2" xfId="7043" xr:uid="{00000000-0005-0000-0000-0000831B0000}"/>
    <cellStyle name="Warning Text 12 3" xfId="7044" xr:uid="{00000000-0005-0000-0000-0000841B0000}"/>
    <cellStyle name="Warning Text 12 4" xfId="7045" xr:uid="{00000000-0005-0000-0000-0000851B0000}"/>
    <cellStyle name="Warning Text 13" xfId="7046" xr:uid="{00000000-0005-0000-0000-0000861B0000}"/>
    <cellStyle name="Warning Text 13 2" xfId="7047" xr:uid="{00000000-0005-0000-0000-0000871B0000}"/>
    <cellStyle name="Warning Text 13 3" xfId="7048" xr:uid="{00000000-0005-0000-0000-0000881B0000}"/>
    <cellStyle name="Warning Text 13 4" xfId="7049" xr:uid="{00000000-0005-0000-0000-0000891B0000}"/>
    <cellStyle name="Warning Text 14" xfId="7050" xr:uid="{00000000-0005-0000-0000-00008A1B0000}"/>
    <cellStyle name="Warning Text 14 2" xfId="7051" xr:uid="{00000000-0005-0000-0000-00008B1B0000}"/>
    <cellStyle name="Warning Text 14 3" xfId="7052" xr:uid="{00000000-0005-0000-0000-00008C1B0000}"/>
    <cellStyle name="Warning Text 14 4" xfId="7053" xr:uid="{00000000-0005-0000-0000-00008D1B0000}"/>
    <cellStyle name="Warning Text 15" xfId="7054" xr:uid="{00000000-0005-0000-0000-00008E1B0000}"/>
    <cellStyle name="Warning Text 15 2" xfId="7055" xr:uid="{00000000-0005-0000-0000-00008F1B0000}"/>
    <cellStyle name="Warning Text 15 3" xfId="7056" xr:uid="{00000000-0005-0000-0000-0000901B0000}"/>
    <cellStyle name="Warning Text 15 4" xfId="7057" xr:uid="{00000000-0005-0000-0000-0000911B0000}"/>
    <cellStyle name="Warning Text 16" xfId="7058" xr:uid="{00000000-0005-0000-0000-0000921B0000}"/>
    <cellStyle name="Warning Text 16 2" xfId="7059" xr:uid="{00000000-0005-0000-0000-0000931B0000}"/>
    <cellStyle name="Warning Text 16 3" xfId="7060" xr:uid="{00000000-0005-0000-0000-0000941B0000}"/>
    <cellStyle name="Warning Text 16 4" xfId="7061" xr:uid="{00000000-0005-0000-0000-0000951B0000}"/>
    <cellStyle name="Warning Text 17" xfId="7062" xr:uid="{00000000-0005-0000-0000-0000961B0000}"/>
    <cellStyle name="Warning Text 17 2" xfId="7063" xr:uid="{00000000-0005-0000-0000-0000971B0000}"/>
    <cellStyle name="Warning Text 17 3" xfId="7064" xr:uid="{00000000-0005-0000-0000-0000981B0000}"/>
    <cellStyle name="Warning Text 17 4" xfId="7065" xr:uid="{00000000-0005-0000-0000-0000991B0000}"/>
    <cellStyle name="Warning Text 18" xfId="7066" xr:uid="{00000000-0005-0000-0000-00009A1B0000}"/>
    <cellStyle name="Warning Text 18 2" xfId="7067" xr:uid="{00000000-0005-0000-0000-00009B1B0000}"/>
    <cellStyle name="Warning Text 18 3" xfId="7068" xr:uid="{00000000-0005-0000-0000-00009C1B0000}"/>
    <cellStyle name="Warning Text 18 4" xfId="7069" xr:uid="{00000000-0005-0000-0000-00009D1B0000}"/>
    <cellStyle name="Warning Text 19" xfId="7070" xr:uid="{00000000-0005-0000-0000-00009E1B0000}"/>
    <cellStyle name="Warning Text 19 2" xfId="7071" xr:uid="{00000000-0005-0000-0000-00009F1B0000}"/>
    <cellStyle name="Warning Text 19 3" xfId="7072" xr:uid="{00000000-0005-0000-0000-0000A01B0000}"/>
    <cellStyle name="Warning Text 19 4" xfId="7073" xr:uid="{00000000-0005-0000-0000-0000A11B0000}"/>
    <cellStyle name="Warning Text 2" xfId="7074" xr:uid="{00000000-0005-0000-0000-0000A21B0000}"/>
    <cellStyle name="Warning Text 2 10" xfId="7075" xr:uid="{00000000-0005-0000-0000-0000A31B0000}"/>
    <cellStyle name="Warning Text 2 10 2" xfId="7076" xr:uid="{00000000-0005-0000-0000-0000A41B0000}"/>
    <cellStyle name="Warning Text 2 10 3" xfId="7077" xr:uid="{00000000-0005-0000-0000-0000A51B0000}"/>
    <cellStyle name="Warning Text 2 11" xfId="7078" xr:uid="{00000000-0005-0000-0000-0000A61B0000}"/>
    <cellStyle name="Warning Text 2 12" xfId="7079" xr:uid="{00000000-0005-0000-0000-0000A71B0000}"/>
    <cellStyle name="Warning Text 2 13" xfId="7080" xr:uid="{00000000-0005-0000-0000-0000A81B0000}"/>
    <cellStyle name="Warning Text 2 2" xfId="7081" xr:uid="{00000000-0005-0000-0000-0000A91B0000}"/>
    <cellStyle name="Warning Text 2 2 2" xfId="7082" xr:uid="{00000000-0005-0000-0000-0000AA1B0000}"/>
    <cellStyle name="Warning Text 2 2 3" xfId="7083" xr:uid="{00000000-0005-0000-0000-0000AB1B0000}"/>
    <cellStyle name="Warning Text 2 3" xfId="7084" xr:uid="{00000000-0005-0000-0000-0000AC1B0000}"/>
    <cellStyle name="Warning Text 2 3 2" xfId="7085" xr:uid="{00000000-0005-0000-0000-0000AD1B0000}"/>
    <cellStyle name="Warning Text 2 3 3" xfId="7086" xr:uid="{00000000-0005-0000-0000-0000AE1B0000}"/>
    <cellStyle name="Warning Text 2 4" xfId="7087" xr:uid="{00000000-0005-0000-0000-0000AF1B0000}"/>
    <cellStyle name="Warning Text 2 4 2" xfId="7088" xr:uid="{00000000-0005-0000-0000-0000B01B0000}"/>
    <cellStyle name="Warning Text 2 4 3" xfId="7089" xr:uid="{00000000-0005-0000-0000-0000B11B0000}"/>
    <cellStyle name="Warning Text 2 5" xfId="7090" xr:uid="{00000000-0005-0000-0000-0000B21B0000}"/>
    <cellStyle name="Warning Text 2 5 2" xfId="7091" xr:uid="{00000000-0005-0000-0000-0000B31B0000}"/>
    <cellStyle name="Warning Text 2 5 3" xfId="7092" xr:uid="{00000000-0005-0000-0000-0000B41B0000}"/>
    <cellStyle name="Warning Text 2 6" xfId="7093" xr:uid="{00000000-0005-0000-0000-0000B51B0000}"/>
    <cellStyle name="Warning Text 2 6 2" xfId="7094" xr:uid="{00000000-0005-0000-0000-0000B61B0000}"/>
    <cellStyle name="Warning Text 2 6 3" xfId="7095" xr:uid="{00000000-0005-0000-0000-0000B71B0000}"/>
    <cellStyle name="Warning Text 2 7" xfId="7096" xr:uid="{00000000-0005-0000-0000-0000B81B0000}"/>
    <cellStyle name="Warning Text 2 7 2" xfId="7097" xr:uid="{00000000-0005-0000-0000-0000B91B0000}"/>
    <cellStyle name="Warning Text 2 7 3" xfId="7098" xr:uid="{00000000-0005-0000-0000-0000BA1B0000}"/>
    <cellStyle name="Warning Text 2 8" xfId="7099" xr:uid="{00000000-0005-0000-0000-0000BB1B0000}"/>
    <cellStyle name="Warning Text 2 8 2" xfId="7100" xr:uid="{00000000-0005-0000-0000-0000BC1B0000}"/>
    <cellStyle name="Warning Text 2 8 3" xfId="7101" xr:uid="{00000000-0005-0000-0000-0000BD1B0000}"/>
    <cellStyle name="Warning Text 2 9" xfId="7102" xr:uid="{00000000-0005-0000-0000-0000BE1B0000}"/>
    <cellStyle name="Warning Text 2 9 2" xfId="7103" xr:uid="{00000000-0005-0000-0000-0000BF1B0000}"/>
    <cellStyle name="Warning Text 2 9 3" xfId="7104" xr:uid="{00000000-0005-0000-0000-0000C01B0000}"/>
    <cellStyle name="Warning Text 20" xfId="7105" xr:uid="{00000000-0005-0000-0000-0000C11B0000}"/>
    <cellStyle name="Warning Text 20 2" xfId="7106" xr:uid="{00000000-0005-0000-0000-0000C21B0000}"/>
    <cellStyle name="Warning Text 20 3" xfId="7107" xr:uid="{00000000-0005-0000-0000-0000C31B0000}"/>
    <cellStyle name="Warning Text 20 4" xfId="7108" xr:uid="{00000000-0005-0000-0000-0000C41B0000}"/>
    <cellStyle name="Warning Text 21" xfId="7109" xr:uid="{00000000-0005-0000-0000-0000C51B0000}"/>
    <cellStyle name="Warning Text 21 2" xfId="7110" xr:uid="{00000000-0005-0000-0000-0000C61B0000}"/>
    <cellStyle name="Warning Text 21 3" xfId="7111" xr:uid="{00000000-0005-0000-0000-0000C71B0000}"/>
    <cellStyle name="Warning Text 21 4" xfId="7112" xr:uid="{00000000-0005-0000-0000-0000C81B0000}"/>
    <cellStyle name="Warning Text 22" xfId="7113" xr:uid="{00000000-0005-0000-0000-0000C91B0000}"/>
    <cellStyle name="Warning Text 22 2" xfId="7114" xr:uid="{00000000-0005-0000-0000-0000CA1B0000}"/>
    <cellStyle name="Warning Text 22 3" xfId="7115" xr:uid="{00000000-0005-0000-0000-0000CB1B0000}"/>
    <cellStyle name="Warning Text 22 4" xfId="7116" xr:uid="{00000000-0005-0000-0000-0000CC1B0000}"/>
    <cellStyle name="Warning Text 23" xfId="7117" xr:uid="{00000000-0005-0000-0000-0000CD1B0000}"/>
    <cellStyle name="Warning Text 23 2" xfId="7118" xr:uid="{00000000-0005-0000-0000-0000CE1B0000}"/>
    <cellStyle name="Warning Text 23 3" xfId="7119" xr:uid="{00000000-0005-0000-0000-0000CF1B0000}"/>
    <cellStyle name="Warning Text 23 4" xfId="7120" xr:uid="{00000000-0005-0000-0000-0000D01B0000}"/>
    <cellStyle name="Warning Text 24" xfId="7121" xr:uid="{00000000-0005-0000-0000-0000D11B0000}"/>
    <cellStyle name="Warning Text 24 2" xfId="7122" xr:uid="{00000000-0005-0000-0000-0000D21B0000}"/>
    <cellStyle name="Warning Text 24 3" xfId="7123" xr:uid="{00000000-0005-0000-0000-0000D31B0000}"/>
    <cellStyle name="Warning Text 24 4" xfId="7124" xr:uid="{00000000-0005-0000-0000-0000D41B0000}"/>
    <cellStyle name="Warning Text 25" xfId="7125" xr:uid="{00000000-0005-0000-0000-0000D51B0000}"/>
    <cellStyle name="Warning Text 25 2" xfId="7126" xr:uid="{00000000-0005-0000-0000-0000D61B0000}"/>
    <cellStyle name="Warning Text 25 3" xfId="7127" xr:uid="{00000000-0005-0000-0000-0000D71B0000}"/>
    <cellStyle name="Warning Text 25 4" xfId="7128" xr:uid="{00000000-0005-0000-0000-0000D81B0000}"/>
    <cellStyle name="Warning Text 26" xfId="7129" xr:uid="{00000000-0005-0000-0000-0000D91B0000}"/>
    <cellStyle name="Warning Text 26 2" xfId="7130" xr:uid="{00000000-0005-0000-0000-0000DA1B0000}"/>
    <cellStyle name="Warning Text 26 3" xfId="7131" xr:uid="{00000000-0005-0000-0000-0000DB1B0000}"/>
    <cellStyle name="Warning Text 26 4" xfId="7132" xr:uid="{00000000-0005-0000-0000-0000DC1B0000}"/>
    <cellStyle name="Warning Text 27" xfId="7133" xr:uid="{00000000-0005-0000-0000-0000DD1B0000}"/>
    <cellStyle name="Warning Text 27 2" xfId="7134" xr:uid="{00000000-0005-0000-0000-0000DE1B0000}"/>
    <cellStyle name="Warning Text 27 3" xfId="7135" xr:uid="{00000000-0005-0000-0000-0000DF1B0000}"/>
    <cellStyle name="Warning Text 27 4" xfId="7136" xr:uid="{00000000-0005-0000-0000-0000E01B0000}"/>
    <cellStyle name="Warning Text 28" xfId="7137" xr:uid="{00000000-0005-0000-0000-0000E11B0000}"/>
    <cellStyle name="Warning Text 28 2" xfId="7138" xr:uid="{00000000-0005-0000-0000-0000E21B0000}"/>
    <cellStyle name="Warning Text 28 3" xfId="7139" xr:uid="{00000000-0005-0000-0000-0000E31B0000}"/>
    <cellStyle name="Warning Text 28 4" xfId="7140" xr:uid="{00000000-0005-0000-0000-0000E41B0000}"/>
    <cellStyle name="Warning Text 29" xfId="7141" xr:uid="{00000000-0005-0000-0000-0000E51B0000}"/>
    <cellStyle name="Warning Text 29 2" xfId="7142" xr:uid="{00000000-0005-0000-0000-0000E61B0000}"/>
    <cellStyle name="Warning Text 29 3" xfId="7143" xr:uid="{00000000-0005-0000-0000-0000E71B0000}"/>
    <cellStyle name="Warning Text 29 4" xfId="7144" xr:uid="{00000000-0005-0000-0000-0000E81B0000}"/>
    <cellStyle name="Warning Text 3" xfId="7145" xr:uid="{00000000-0005-0000-0000-0000E91B0000}"/>
    <cellStyle name="Warning Text 3 2" xfId="7146" xr:uid="{00000000-0005-0000-0000-0000EA1B0000}"/>
    <cellStyle name="Warning Text 3 2 2" xfId="7147" xr:uid="{00000000-0005-0000-0000-0000EB1B0000}"/>
    <cellStyle name="Warning Text 3 2 3" xfId="7148" xr:uid="{00000000-0005-0000-0000-0000EC1B0000}"/>
    <cellStyle name="Warning Text 3 3" xfId="7149" xr:uid="{00000000-0005-0000-0000-0000ED1B0000}"/>
    <cellStyle name="Warning Text 3 4" xfId="7150" xr:uid="{00000000-0005-0000-0000-0000EE1B0000}"/>
    <cellStyle name="Warning Text 3 5" xfId="7151" xr:uid="{00000000-0005-0000-0000-0000EF1B0000}"/>
    <cellStyle name="Warning Text 30" xfId="7152" xr:uid="{00000000-0005-0000-0000-0000F01B0000}"/>
    <cellStyle name="Warning Text 30 2" xfId="7153" xr:uid="{00000000-0005-0000-0000-0000F11B0000}"/>
    <cellStyle name="Warning Text 30 3" xfId="7154" xr:uid="{00000000-0005-0000-0000-0000F21B0000}"/>
    <cellStyle name="Warning Text 30 4" xfId="7155" xr:uid="{00000000-0005-0000-0000-0000F31B0000}"/>
    <cellStyle name="Warning Text 31" xfId="7156" xr:uid="{00000000-0005-0000-0000-0000F41B0000}"/>
    <cellStyle name="Warning Text 31 2" xfId="7157" xr:uid="{00000000-0005-0000-0000-0000F51B0000}"/>
    <cellStyle name="Warning Text 31 3" xfId="7158" xr:uid="{00000000-0005-0000-0000-0000F61B0000}"/>
    <cellStyle name="Warning Text 31 4" xfId="7159" xr:uid="{00000000-0005-0000-0000-0000F71B0000}"/>
    <cellStyle name="Warning Text 32" xfId="7160" xr:uid="{00000000-0005-0000-0000-0000F81B0000}"/>
    <cellStyle name="Warning Text 32 2" xfId="7161" xr:uid="{00000000-0005-0000-0000-0000F91B0000}"/>
    <cellStyle name="Warning Text 32 3" xfId="7162" xr:uid="{00000000-0005-0000-0000-0000FA1B0000}"/>
    <cellStyle name="Warning Text 32 4" xfId="7163" xr:uid="{00000000-0005-0000-0000-0000FB1B0000}"/>
    <cellStyle name="Warning Text 33" xfId="7164" xr:uid="{00000000-0005-0000-0000-0000FC1B0000}"/>
    <cellStyle name="Warning Text 33 2" xfId="7165" xr:uid="{00000000-0005-0000-0000-0000FD1B0000}"/>
    <cellStyle name="Warning Text 33 3" xfId="7166" xr:uid="{00000000-0005-0000-0000-0000FE1B0000}"/>
    <cellStyle name="Warning Text 33 4" xfId="7167" xr:uid="{00000000-0005-0000-0000-0000FF1B0000}"/>
    <cellStyle name="Warning Text 34" xfId="7168" xr:uid="{00000000-0005-0000-0000-0000001C0000}"/>
    <cellStyle name="Warning Text 34 2" xfId="7169" xr:uid="{00000000-0005-0000-0000-0000011C0000}"/>
    <cellStyle name="Warning Text 34 3" xfId="7170" xr:uid="{00000000-0005-0000-0000-0000021C0000}"/>
    <cellStyle name="Warning Text 34 4" xfId="7171" xr:uid="{00000000-0005-0000-0000-0000031C0000}"/>
    <cellStyle name="Warning Text 35" xfId="7172" xr:uid="{00000000-0005-0000-0000-0000041C0000}"/>
    <cellStyle name="Warning Text 35 2" xfId="7173" xr:uid="{00000000-0005-0000-0000-0000051C0000}"/>
    <cellStyle name="Warning Text 35 3" xfId="7174" xr:uid="{00000000-0005-0000-0000-0000061C0000}"/>
    <cellStyle name="Warning Text 35 4" xfId="7175" xr:uid="{00000000-0005-0000-0000-0000071C0000}"/>
    <cellStyle name="Warning Text 36" xfId="7176" xr:uid="{00000000-0005-0000-0000-0000081C0000}"/>
    <cellStyle name="Warning Text 36 2" xfId="7177" xr:uid="{00000000-0005-0000-0000-0000091C0000}"/>
    <cellStyle name="Warning Text 36 3" xfId="7178" xr:uid="{00000000-0005-0000-0000-00000A1C0000}"/>
    <cellStyle name="Warning Text 36 4" xfId="7179" xr:uid="{00000000-0005-0000-0000-00000B1C0000}"/>
    <cellStyle name="Warning Text 37" xfId="7180" xr:uid="{00000000-0005-0000-0000-00000C1C0000}"/>
    <cellStyle name="Warning Text 37 2" xfId="7181" xr:uid="{00000000-0005-0000-0000-00000D1C0000}"/>
    <cellStyle name="Warning Text 37 3" xfId="7182" xr:uid="{00000000-0005-0000-0000-00000E1C0000}"/>
    <cellStyle name="Warning Text 37 4" xfId="7183" xr:uid="{00000000-0005-0000-0000-00000F1C0000}"/>
    <cellStyle name="Warning Text 38" xfId="7184" xr:uid="{00000000-0005-0000-0000-0000101C0000}"/>
    <cellStyle name="Warning Text 38 2" xfId="7185" xr:uid="{00000000-0005-0000-0000-0000111C0000}"/>
    <cellStyle name="Warning Text 38 3" xfId="7186" xr:uid="{00000000-0005-0000-0000-0000121C0000}"/>
    <cellStyle name="Warning Text 38 4" xfId="7187" xr:uid="{00000000-0005-0000-0000-0000131C0000}"/>
    <cellStyle name="Warning Text 39" xfId="7188" xr:uid="{00000000-0005-0000-0000-0000141C0000}"/>
    <cellStyle name="Warning Text 39 2" xfId="7189" xr:uid="{00000000-0005-0000-0000-0000151C0000}"/>
    <cellStyle name="Warning Text 39 3" xfId="7190" xr:uid="{00000000-0005-0000-0000-0000161C0000}"/>
    <cellStyle name="Warning Text 39 4" xfId="7191" xr:uid="{00000000-0005-0000-0000-0000171C0000}"/>
    <cellStyle name="Warning Text 4" xfId="7192" xr:uid="{00000000-0005-0000-0000-0000181C0000}"/>
    <cellStyle name="Warning Text 4 2" xfId="7193" xr:uid="{00000000-0005-0000-0000-0000191C0000}"/>
    <cellStyle name="Warning Text 4 3" xfId="7194" xr:uid="{00000000-0005-0000-0000-00001A1C0000}"/>
    <cellStyle name="Warning Text 4 4" xfId="7195" xr:uid="{00000000-0005-0000-0000-00001B1C0000}"/>
    <cellStyle name="Warning Text 40" xfId="7196" xr:uid="{00000000-0005-0000-0000-00001C1C0000}"/>
    <cellStyle name="Warning Text 40 2" xfId="7197" xr:uid="{00000000-0005-0000-0000-00001D1C0000}"/>
    <cellStyle name="Warning Text 40 3" xfId="7198" xr:uid="{00000000-0005-0000-0000-00001E1C0000}"/>
    <cellStyle name="Warning Text 40 4" xfId="7199" xr:uid="{00000000-0005-0000-0000-00001F1C0000}"/>
    <cellStyle name="Warning Text 41" xfId="7200" xr:uid="{00000000-0005-0000-0000-0000201C0000}"/>
    <cellStyle name="Warning Text 41 2" xfId="7201" xr:uid="{00000000-0005-0000-0000-0000211C0000}"/>
    <cellStyle name="Warning Text 41 3" xfId="7202" xr:uid="{00000000-0005-0000-0000-0000221C0000}"/>
    <cellStyle name="Warning Text 41 4" xfId="7203" xr:uid="{00000000-0005-0000-0000-0000231C0000}"/>
    <cellStyle name="Warning Text 42" xfId="7204" xr:uid="{00000000-0005-0000-0000-0000241C0000}"/>
    <cellStyle name="Warning Text 5" xfId="7205" xr:uid="{00000000-0005-0000-0000-0000251C0000}"/>
    <cellStyle name="Warning Text 5 2" xfId="7206" xr:uid="{00000000-0005-0000-0000-0000261C0000}"/>
    <cellStyle name="Warning Text 5 3" xfId="7207" xr:uid="{00000000-0005-0000-0000-0000271C0000}"/>
    <cellStyle name="Warning Text 5 4" xfId="7208" xr:uid="{00000000-0005-0000-0000-0000281C0000}"/>
    <cellStyle name="Warning Text 6" xfId="7209" xr:uid="{00000000-0005-0000-0000-0000291C0000}"/>
    <cellStyle name="Warning Text 6 2" xfId="7210" xr:uid="{00000000-0005-0000-0000-00002A1C0000}"/>
    <cellStyle name="Warning Text 6 3" xfId="7211" xr:uid="{00000000-0005-0000-0000-00002B1C0000}"/>
    <cellStyle name="Warning Text 6 4" xfId="7212" xr:uid="{00000000-0005-0000-0000-00002C1C0000}"/>
    <cellStyle name="Warning Text 7" xfId="7213" xr:uid="{00000000-0005-0000-0000-00002D1C0000}"/>
    <cellStyle name="Warning Text 7 2" xfId="7214" xr:uid="{00000000-0005-0000-0000-00002E1C0000}"/>
    <cellStyle name="Warning Text 7 3" xfId="7215" xr:uid="{00000000-0005-0000-0000-00002F1C0000}"/>
    <cellStyle name="Warning Text 7 4" xfId="7216" xr:uid="{00000000-0005-0000-0000-0000301C0000}"/>
    <cellStyle name="Warning Text 8" xfId="7217" xr:uid="{00000000-0005-0000-0000-0000311C0000}"/>
    <cellStyle name="Warning Text 8 2" xfId="7218" xr:uid="{00000000-0005-0000-0000-0000321C0000}"/>
    <cellStyle name="Warning Text 8 3" xfId="7219" xr:uid="{00000000-0005-0000-0000-0000331C0000}"/>
    <cellStyle name="Warning Text 8 4" xfId="7220" xr:uid="{00000000-0005-0000-0000-0000341C0000}"/>
    <cellStyle name="Warning Text 9" xfId="7221" xr:uid="{00000000-0005-0000-0000-0000351C0000}"/>
    <cellStyle name="Warning Text 9 2" xfId="7222" xr:uid="{00000000-0005-0000-0000-0000361C0000}"/>
    <cellStyle name="Warning Text 9 3" xfId="7223" xr:uid="{00000000-0005-0000-0000-0000371C0000}"/>
    <cellStyle name="Warning Text 9 4" xfId="7224" xr:uid="{00000000-0005-0000-0000-0000381C0000}"/>
    <cellStyle name="Year" xfId="7225" xr:uid="{00000000-0005-0000-0000-0000391C0000}"/>
    <cellStyle name="Zelle überprüfen" xfId="7226" xr:uid="{00000000-0005-0000-0000-00003A1C0000}"/>
    <cellStyle name="Zelle überprüfen 2" xfId="7227" xr:uid="{00000000-0005-0000-0000-00003B1C0000}"/>
    <cellStyle name="Zelle überprüfen 3" xfId="7228" xr:uid="{00000000-0005-0000-0000-00003C1C0000}"/>
    <cellStyle name="Гиперссылка" xfId="7229" xr:uid="{00000000-0005-0000-0000-00003D1C0000}"/>
    <cellStyle name="Гиперссылка 2" xfId="7230" xr:uid="{00000000-0005-0000-0000-00003E1C0000}"/>
    <cellStyle name="Гиперссылка 2 2" xfId="7231" xr:uid="{00000000-0005-0000-0000-00003F1C0000}"/>
    <cellStyle name="Гиперссылка 3" xfId="7232" xr:uid="{00000000-0005-0000-0000-0000401C0000}"/>
    <cellStyle name="Гиперссылка 4" xfId="7233" xr:uid="{00000000-0005-0000-0000-0000411C0000}"/>
    <cellStyle name="Обычный_2++" xfId="7234" xr:uid="{00000000-0005-0000-0000-0000421C0000}"/>
    <cellStyle name="已访问的超链接" xfId="7235" xr:uid="{00000000-0005-0000-0000-0000431C0000}"/>
    <cellStyle name="已访问的超链接 2" xfId="7236" xr:uid="{00000000-0005-0000-0000-0000441C0000}"/>
    <cellStyle name="已访问的超链接 3" xfId="7237" xr:uid="{00000000-0005-0000-0000-0000451C0000}"/>
    <cellStyle name="已访问的超链接 4" xfId="7238" xr:uid="{00000000-0005-0000-0000-0000461C0000}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haredStrings" Target="sharedStrings.xml"/><Relationship Id="rId3" Type="http://schemas.openxmlformats.org/officeDocument/2006/relationships/worksheet" Target="worksheets/sheet3.xml"/><Relationship Id="rId7" Type="http://schemas.openxmlformats.org/officeDocument/2006/relationships/styles" Target="styles.xml"/><Relationship Id="rId12" Type="http://schemas.openxmlformats.org/officeDocument/2006/relationships/customXml" Target="../customXml/item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theme" Target="theme/theme1.xml"/><Relationship Id="rId11" Type="http://schemas.openxmlformats.org/officeDocument/2006/relationships/customXml" Target="../customXml/item2.xml"/><Relationship Id="rId5" Type="http://schemas.openxmlformats.org/officeDocument/2006/relationships/externalLink" Target="externalLinks/externalLink2.xml"/><Relationship Id="rId10" Type="http://schemas.openxmlformats.org/officeDocument/2006/relationships/customXml" Target="../customXml/item1.xml"/><Relationship Id="rId4" Type="http://schemas.openxmlformats.org/officeDocument/2006/relationships/externalLink" Target="externalLinks/externalLink1.xml"/><Relationship Id="rId9" Type="http://schemas.openxmlformats.org/officeDocument/2006/relationships/calcChain" Target="calcChain.xml"/></Relationships>
</file>

<file path=xl/externalLinks/_rels/externalLink1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Wolfgang\c\temphold\TMPL_RES.xls" TargetMode="External"/></Relationships>
</file>

<file path=xl/externalLinks/_rels/externalLink2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D:\VEDA\VEDA_Models\JRC-EU-TIMES_20140131\SubRES_TMPL\SubRES_StorageTechs.xlsx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IEA Data"/>
      <sheetName val="E&amp;D Drivers"/>
      <sheetName val="AGR_Fuels"/>
      <sheetName val="AGR"/>
      <sheetName val="RES_Fuels"/>
      <sheetName val="RH1"/>
      <sheetName val="RH2"/>
      <sheetName val="RH3"/>
      <sheetName val="RH4"/>
      <sheetName val="RC1"/>
      <sheetName val="RC2"/>
      <sheetName val="RC3"/>
      <sheetName val="RC4"/>
      <sheetName val="RHW"/>
      <sheetName val="RRF"/>
      <sheetName val="RCW"/>
      <sheetName val="RCD"/>
      <sheetName val="RK1"/>
      <sheetName val="RK2"/>
      <sheetName val="RK3"/>
      <sheetName val="RK4"/>
      <sheetName val="RDW"/>
      <sheetName val="RME"/>
      <sheetName val="RL1"/>
      <sheetName val="RL2"/>
      <sheetName val="RL3"/>
      <sheetName val="RL4"/>
      <sheetName val="COM_Fuels"/>
      <sheetName val="CH1"/>
      <sheetName val="CH2"/>
      <sheetName val="CH3"/>
      <sheetName val="CH4"/>
      <sheetName val="CC1"/>
      <sheetName val="CC2"/>
      <sheetName val="CC3"/>
      <sheetName val="CC4"/>
      <sheetName val="CHW"/>
      <sheetName val="CAA"/>
      <sheetName val="CLA"/>
      <sheetName val="ElastPar"/>
      <sheetName val="Conversion Factors"/>
      <sheetName val="Intro"/>
      <sheetName val="TechRep"/>
      <sheetName val="Other_HYDRO"/>
      <sheetName val="Other_NUCL"/>
      <sheetName val="Other_THERM"/>
      <sheetName val="Other_CHP"/>
      <sheetName val="Other_RENEW"/>
      <sheetName val="Other_HEAT"/>
      <sheetName val="ELC_FUELS"/>
      <sheetName val="ELC"/>
      <sheetName val="HEAT"/>
      <sheetName val="CHP"/>
      <sheetName val="ELC_EMI"/>
      <sheetName val="Constant Table"/>
      <sheetName val="ANS_ITEMS_DEL"/>
      <sheetName val="ANS_ITEMS"/>
      <sheetName val="ANS_TIDDATA"/>
      <sheetName val="ANS_TSDATA"/>
    </sheetNames>
    <sheetDataSet>
      <sheetData sheetId="0" refreshError="1"/>
      <sheetData sheetId="1" refreshError="1"/>
      <sheetData sheetId="2" refreshError="1">
        <row r="2">
          <cell r="A2" t="str">
            <v>^FI_ST: TCH, PRC</v>
          </cell>
        </row>
      </sheetData>
      <sheetData sheetId="3"/>
      <sheetData sheetId="4" refreshError="1"/>
      <sheetData sheetId="5"/>
      <sheetData sheetId="6"/>
      <sheetData sheetId="7"/>
      <sheetData sheetId="8"/>
      <sheetData sheetId="9"/>
      <sheetData sheetId="10"/>
      <sheetData sheetId="11"/>
      <sheetData sheetId="12"/>
      <sheetData sheetId="13"/>
      <sheetData sheetId="14"/>
      <sheetData sheetId="15"/>
      <sheetData sheetId="16"/>
      <sheetData sheetId="17"/>
      <sheetData sheetId="18"/>
      <sheetData sheetId="19"/>
      <sheetData sheetId="20"/>
      <sheetData sheetId="21"/>
      <sheetData sheetId="22"/>
      <sheetData sheetId="23"/>
      <sheetData sheetId="24"/>
      <sheetData sheetId="25"/>
      <sheetData sheetId="26"/>
      <sheetData sheetId="27" refreshError="1"/>
      <sheetData sheetId="28"/>
      <sheetData sheetId="29"/>
      <sheetData sheetId="30"/>
      <sheetData sheetId="31"/>
      <sheetData sheetId="32"/>
      <sheetData sheetId="33"/>
      <sheetData sheetId="34"/>
      <sheetData sheetId="35"/>
      <sheetData sheetId="36"/>
      <sheetData sheetId="37"/>
      <sheetData sheetId="38"/>
      <sheetData sheetId="39" refreshError="1"/>
      <sheetData sheetId="40" refreshError="1"/>
      <sheetData sheetId="41"/>
      <sheetData sheetId="42"/>
      <sheetData sheetId="43"/>
      <sheetData sheetId="44"/>
      <sheetData sheetId="45"/>
      <sheetData sheetId="46"/>
      <sheetData sheetId="47"/>
      <sheetData sheetId="48"/>
      <sheetData sheetId="49"/>
      <sheetData sheetId="50"/>
      <sheetData sheetId="51"/>
      <sheetData sheetId="52"/>
      <sheetData sheetId="53"/>
      <sheetData sheetId="54"/>
      <sheetData sheetId="55"/>
      <sheetData sheetId="56"/>
      <sheetData sheetId="57"/>
      <sheetData sheetId="58"/>
    </sheetDataSet>
  </externalBook>
</externalLink>
</file>

<file path=xl/externalLinks/externalLink2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ELC_BY-CAES"/>
      <sheetName val="ELC_BulkEES"/>
      <sheetName val="ELC_INT"/>
      <sheetName val="SUP_H2"/>
      <sheetName val="RCA_Batteries"/>
      <sheetName val="ELC_HEAT"/>
      <sheetName val="ELC_COOL"/>
      <sheetName val="ELC_EVCONS"/>
      <sheetName val="ELC_UCDischargingLimit"/>
      <sheetName val="Input_DATA"/>
      <sheetName val="RES"/>
      <sheetName val="List_of_References"/>
    </sheetNames>
    <sheetDataSet>
      <sheetData sheetId="0" refreshError="1">
        <row r="6">
          <cell r="A6" t="str">
            <v>ESTCAESS00</v>
          </cell>
        </row>
        <row r="8">
          <cell r="A8" t="str">
            <v>P_ESTCAESS00</v>
          </cell>
        </row>
      </sheetData>
      <sheetData sheetId="1" refreshError="1">
        <row r="6">
          <cell r="A6" t="str">
            <v>ESTCAESS101</v>
          </cell>
        </row>
        <row r="8">
          <cell r="A8" t="str">
            <v>ESTCAESS102</v>
          </cell>
        </row>
        <row r="10">
          <cell r="A10" t="str">
            <v>ESTHYDPS101</v>
          </cell>
        </row>
        <row r="12">
          <cell r="A12" t="str">
            <v>ESTBATS101</v>
          </cell>
        </row>
        <row r="14">
          <cell r="A14" t="str">
            <v>ESTBATS102</v>
          </cell>
        </row>
        <row r="16">
          <cell r="A16" t="str">
            <v>ESTBATS103</v>
          </cell>
        </row>
        <row r="18">
          <cell r="A18" t="str">
            <v>P_ESTCAESS101</v>
          </cell>
        </row>
        <row r="19">
          <cell r="A19" t="str">
            <v>P_ESTCAESS102</v>
          </cell>
        </row>
        <row r="20">
          <cell r="A20" t="str">
            <v>P_ESTHYDPS101</v>
          </cell>
        </row>
        <row r="21">
          <cell r="A21" t="str">
            <v>P_ESTBATS101</v>
          </cell>
        </row>
        <row r="22">
          <cell r="A22" t="str">
            <v>P_ESTBATS102</v>
          </cell>
        </row>
        <row r="23">
          <cell r="A23" t="str">
            <v>P_ESTBATS103</v>
          </cell>
        </row>
        <row r="24">
          <cell r="A24" t="str">
            <v>ESTCAESS201</v>
          </cell>
        </row>
        <row r="26">
          <cell r="A26" t="str">
            <v>ESTHYDPS201</v>
          </cell>
        </row>
        <row r="28">
          <cell r="A28" t="str">
            <v>ESTBATS201</v>
          </cell>
        </row>
        <row r="30">
          <cell r="A30" t="str">
            <v>ESTBATS202</v>
          </cell>
        </row>
        <row r="32">
          <cell r="A32" t="str">
            <v>P_ESTCAESS201</v>
          </cell>
        </row>
        <row r="33">
          <cell r="A33" t="str">
            <v>P_ESTHYDPS201</v>
          </cell>
        </row>
        <row r="34">
          <cell r="A34" t="str">
            <v>P_ESTBATS201</v>
          </cell>
        </row>
        <row r="35">
          <cell r="A35" t="str">
            <v>P_ESTBATS202</v>
          </cell>
        </row>
      </sheetData>
      <sheetData sheetId="2" refreshError="1"/>
      <sheetData sheetId="3" refreshError="1"/>
      <sheetData sheetId="4" refreshError="1">
        <row r="6">
          <cell r="A6" t="str">
            <v>RSDBATS01</v>
          </cell>
        </row>
        <row r="8">
          <cell r="A8" t="str">
            <v>RSDBATS02</v>
          </cell>
        </row>
        <row r="10">
          <cell r="A10" t="str">
            <v>RSDBATS03</v>
          </cell>
        </row>
        <row r="12">
          <cell r="A12" t="str">
            <v>COMBATS01</v>
          </cell>
        </row>
        <row r="14">
          <cell r="A14" t="str">
            <v>COMBATS02</v>
          </cell>
        </row>
        <row r="16">
          <cell r="A16" t="str">
            <v>COMBATS03</v>
          </cell>
        </row>
        <row r="19">
          <cell r="A19" t="str">
            <v>P_RSDBATS01</v>
          </cell>
        </row>
        <row r="20">
          <cell r="A20" t="str">
            <v>P_RSDBATS02</v>
          </cell>
        </row>
        <row r="21">
          <cell r="A21" t="str">
            <v>P_RSDBATS03</v>
          </cell>
        </row>
        <row r="22">
          <cell r="A22" t="str">
            <v>P_COMBATS01</v>
          </cell>
        </row>
        <row r="23">
          <cell r="A23" t="str">
            <v>P_COMBATS02</v>
          </cell>
        </row>
        <row r="24">
          <cell r="A24" t="str">
            <v>P_COMBATS03</v>
          </cell>
        </row>
      </sheetData>
      <sheetData sheetId="5" refreshError="1"/>
      <sheetData sheetId="6" refreshError="1"/>
      <sheetData sheetId="7" refreshError="1"/>
      <sheetData sheetId="8" refreshError="1"/>
      <sheetData sheetId="9" refreshError="1">
        <row r="3">
          <cell r="F3">
            <v>4</v>
          </cell>
        </row>
        <row r="4">
          <cell r="F4">
            <v>4</v>
          </cell>
        </row>
        <row r="8">
          <cell r="F8">
            <v>4</v>
          </cell>
        </row>
        <row r="9">
          <cell r="F9">
            <v>1</v>
          </cell>
        </row>
        <row r="10">
          <cell r="F10">
            <v>4</v>
          </cell>
        </row>
        <row r="11">
          <cell r="F11">
            <v>4</v>
          </cell>
        </row>
        <row r="12">
          <cell r="F12">
            <v>1</v>
          </cell>
        </row>
        <row r="13">
          <cell r="F13">
            <v>4</v>
          </cell>
        </row>
        <row r="14">
          <cell r="F14">
            <v>4</v>
          </cell>
        </row>
        <row r="15">
          <cell r="F15">
            <v>1</v>
          </cell>
        </row>
        <row r="16">
          <cell r="F16">
            <v>4</v>
          </cell>
        </row>
        <row r="26">
          <cell r="H26">
            <v>3</v>
          </cell>
        </row>
      </sheetData>
      <sheetData sheetId="10" refreshError="1"/>
      <sheetData sheetId="11" refreshError="1"/>
    </sheetDataSet>
  </externalBook>
</externalLink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comments" Target="../comments1.xml"/><Relationship Id="rId2" Type="http://schemas.openxmlformats.org/officeDocument/2006/relationships/vmlDrawing" Target="../drawings/vmlDrawing1.v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B2:Q89"/>
  <sheetViews>
    <sheetView zoomScaleNormal="100" workbookViewId="0">
      <selection activeCell="L31" sqref="L31"/>
    </sheetView>
  </sheetViews>
  <sheetFormatPr defaultRowHeight="15"/>
  <cols>
    <col min="2" max="2" width="26.140625" customWidth="1"/>
    <col min="12" max="12" width="13.140625" bestFit="1" customWidth="1"/>
    <col min="13" max="13" width="10.140625" customWidth="1"/>
    <col min="14" max="14" width="8" customWidth="1"/>
    <col min="15" max="15" width="12.140625" bestFit="1" customWidth="1"/>
    <col min="16" max="16" width="14.42578125" bestFit="1" customWidth="1"/>
  </cols>
  <sheetData>
    <row r="2" spans="2:17">
      <c r="B2" t="s">
        <v>14</v>
      </c>
    </row>
    <row r="3" spans="2:17">
      <c r="B3" t="s">
        <v>15</v>
      </c>
    </row>
    <row r="6" spans="2:17">
      <c r="B6" t="s">
        <v>0</v>
      </c>
    </row>
    <row r="7" spans="2:17">
      <c r="B7" t="s">
        <v>16</v>
      </c>
    </row>
    <row r="8" spans="2:17">
      <c r="K8" t="s">
        <v>8</v>
      </c>
    </row>
    <row r="9" spans="2:17">
      <c r="B9" t="s">
        <v>1</v>
      </c>
      <c r="C9" t="s">
        <v>5</v>
      </c>
      <c r="D9" t="s">
        <v>4</v>
      </c>
      <c r="E9" t="s">
        <v>2</v>
      </c>
      <c r="F9" t="s">
        <v>7</v>
      </c>
      <c r="G9" t="s">
        <v>6</v>
      </c>
      <c r="H9" t="s">
        <v>10</v>
      </c>
      <c r="I9" t="s">
        <v>3</v>
      </c>
      <c r="J9" t="s">
        <v>17</v>
      </c>
      <c r="K9" t="s">
        <v>11</v>
      </c>
      <c r="L9" t="s">
        <v>114</v>
      </c>
      <c r="M9" t="s">
        <v>9</v>
      </c>
      <c r="N9" t="s">
        <v>18</v>
      </c>
      <c r="O9" t="s">
        <v>13</v>
      </c>
      <c r="P9" t="s">
        <v>19</v>
      </c>
      <c r="Q9" t="s">
        <v>12</v>
      </c>
    </row>
    <row r="10" spans="2:17">
      <c r="B10" t="s">
        <v>20</v>
      </c>
      <c r="D10" t="str">
        <f>'[2]ELC_BY-CAES'!A8</f>
        <v>P_ESTCAESS00</v>
      </c>
      <c r="I10">
        <v>2010</v>
      </c>
      <c r="K10" t="s">
        <v>21</v>
      </c>
      <c r="L10">
        <v>1</v>
      </c>
      <c r="O10">
        <v>0</v>
      </c>
      <c r="P10">
        <v>5</v>
      </c>
      <c r="Q10" t="s">
        <v>22</v>
      </c>
    </row>
    <row r="11" spans="2:17">
      <c r="D11" t="str">
        <f>'[2]ELC_BY-CAES'!A6</f>
        <v>ESTCAESS00</v>
      </c>
      <c r="I11">
        <v>2010</v>
      </c>
      <c r="K11" t="s">
        <v>21</v>
      </c>
      <c r="M11">
        <f>-(1/([2]Input_DATA!H26))</f>
        <v>-0.33333333333333331</v>
      </c>
    </row>
    <row r="12" spans="2:17">
      <c r="B12" t="s">
        <v>23</v>
      </c>
      <c r="D12" t="str">
        <f>[2]ELC_BulkEES!A18</f>
        <v>P_ESTCAESS101</v>
      </c>
      <c r="I12">
        <v>2010</v>
      </c>
      <c r="K12" t="s">
        <v>21</v>
      </c>
      <c r="L12">
        <v>1</v>
      </c>
      <c r="O12">
        <v>0</v>
      </c>
      <c r="P12">
        <v>5</v>
      </c>
      <c r="Q12" t="s">
        <v>24</v>
      </c>
    </row>
    <row r="13" spans="2:17">
      <c r="D13" t="str">
        <f>[2]ELC_BulkEES!A6</f>
        <v>ESTCAESS101</v>
      </c>
      <c r="I13">
        <v>2010</v>
      </c>
      <c r="K13" t="s">
        <v>21</v>
      </c>
      <c r="M13">
        <f>-(1/([2]Input_DATA!F3))</f>
        <v>-0.25</v>
      </c>
    </row>
    <row r="14" spans="2:17">
      <c r="B14" t="s">
        <v>25</v>
      </c>
      <c r="D14" t="str">
        <f>[2]ELC_BulkEES!A19</f>
        <v>P_ESTCAESS102</v>
      </c>
      <c r="I14">
        <v>2010</v>
      </c>
      <c r="K14" t="s">
        <v>21</v>
      </c>
      <c r="L14">
        <v>1</v>
      </c>
      <c r="O14">
        <v>0</v>
      </c>
      <c r="P14">
        <v>5</v>
      </c>
      <c r="Q14" t="s">
        <v>26</v>
      </c>
    </row>
    <row r="15" spans="2:17">
      <c r="D15" t="str">
        <f>[2]ELC_BulkEES!A8</f>
        <v>ESTCAESS102</v>
      </c>
      <c r="I15">
        <v>2010</v>
      </c>
      <c r="K15" t="s">
        <v>21</v>
      </c>
      <c r="M15">
        <f>-(1/([2]Input_DATA!F4))</f>
        <v>-0.25</v>
      </c>
    </row>
    <row r="16" spans="2:17">
      <c r="B16" t="s">
        <v>27</v>
      </c>
      <c r="D16" t="str">
        <f>[2]ELC_BulkEES!A20</f>
        <v>P_ESTHYDPS101</v>
      </c>
      <c r="I16">
        <v>2010</v>
      </c>
      <c r="K16" t="s">
        <v>21</v>
      </c>
      <c r="L16">
        <v>1</v>
      </c>
      <c r="O16">
        <v>0</v>
      </c>
      <c r="P16">
        <v>5</v>
      </c>
      <c r="Q16" t="s">
        <v>28</v>
      </c>
    </row>
    <row r="17" spans="2:17">
      <c r="D17" t="str">
        <f>[2]ELC_BulkEES!A10</f>
        <v>ESTHYDPS101</v>
      </c>
      <c r="I17">
        <v>2010</v>
      </c>
      <c r="K17" t="s">
        <v>21</v>
      </c>
      <c r="M17">
        <f>-1/6</f>
        <v>-0.16666666666666666</v>
      </c>
    </row>
    <row r="18" spans="2:17">
      <c r="B18" t="s">
        <v>29</v>
      </c>
      <c r="D18" t="str">
        <f>[2]ELC_BulkEES!A21</f>
        <v>P_ESTBATS101</v>
      </c>
      <c r="I18">
        <v>2010</v>
      </c>
      <c r="K18" t="s">
        <v>21</v>
      </c>
      <c r="L18">
        <v>1</v>
      </c>
      <c r="O18">
        <v>0</v>
      </c>
      <c r="P18">
        <v>5</v>
      </c>
      <c r="Q18" t="s">
        <v>30</v>
      </c>
    </row>
    <row r="19" spans="2:17">
      <c r="D19" t="str">
        <f>[2]ELC_BulkEES!A12</f>
        <v>ESTBATS101</v>
      </c>
      <c r="I19">
        <v>2010</v>
      </c>
      <c r="K19" t="s">
        <v>21</v>
      </c>
      <c r="M19">
        <f>-(1/([2]Input_DATA!F8*1))</f>
        <v>-0.25</v>
      </c>
    </row>
    <row r="20" spans="2:17">
      <c r="B20" t="s">
        <v>31</v>
      </c>
      <c r="D20" t="str">
        <f>[2]ELC_BulkEES!A22</f>
        <v>P_ESTBATS102</v>
      </c>
      <c r="I20">
        <v>2010</v>
      </c>
      <c r="K20" t="s">
        <v>21</v>
      </c>
      <c r="L20">
        <v>1</v>
      </c>
      <c r="O20">
        <v>0</v>
      </c>
      <c r="P20">
        <v>5</v>
      </c>
      <c r="Q20" t="s">
        <v>32</v>
      </c>
    </row>
    <row r="21" spans="2:17">
      <c r="D21" t="str">
        <f>[2]ELC_BulkEES!A14</f>
        <v>ESTBATS102</v>
      </c>
      <c r="I21">
        <v>2010</v>
      </c>
      <c r="K21" t="s">
        <v>21</v>
      </c>
      <c r="M21">
        <f>-(1/([2]Input_DATA!F9*1))</f>
        <v>-1</v>
      </c>
    </row>
    <row r="22" spans="2:17">
      <c r="B22" t="s">
        <v>33</v>
      </c>
      <c r="D22" t="str">
        <f>[2]ELC_BulkEES!A23</f>
        <v>P_ESTBATS103</v>
      </c>
      <c r="I22">
        <v>2010</v>
      </c>
      <c r="K22" t="s">
        <v>21</v>
      </c>
      <c r="L22">
        <v>1</v>
      </c>
      <c r="O22">
        <v>0</v>
      </c>
      <c r="P22">
        <v>5</v>
      </c>
      <c r="Q22" t="s">
        <v>34</v>
      </c>
    </row>
    <row r="23" spans="2:17">
      <c r="D23" t="str">
        <f>[2]ELC_BulkEES!A16</f>
        <v>ESTBATS103</v>
      </c>
      <c r="I23">
        <v>2010</v>
      </c>
      <c r="K23" t="s">
        <v>21</v>
      </c>
      <c r="M23">
        <f>-(1/([2]Input_DATA!F10*1))</f>
        <v>-0.25</v>
      </c>
    </row>
    <row r="24" spans="2:17">
      <c r="B24" t="s">
        <v>35</v>
      </c>
      <c r="D24" t="str">
        <f>[2]ELC_BulkEES!A32</f>
        <v>P_ESTCAESS201</v>
      </c>
      <c r="I24">
        <v>2010</v>
      </c>
      <c r="K24" t="s">
        <v>21</v>
      </c>
      <c r="L24">
        <v>1</v>
      </c>
      <c r="O24">
        <v>0</v>
      </c>
      <c r="P24">
        <v>5</v>
      </c>
      <c r="Q24" t="s">
        <v>36</v>
      </c>
    </row>
    <row r="25" spans="2:17">
      <c r="D25" t="str">
        <f>[2]ELC_BulkEES!A24</f>
        <v>ESTCAESS201</v>
      </c>
      <c r="I25">
        <v>2010</v>
      </c>
      <c r="K25" t="s">
        <v>21</v>
      </c>
      <c r="M25">
        <f>M13</f>
        <v>-0.25</v>
      </c>
    </row>
    <row r="26" spans="2:17">
      <c r="B26" t="s">
        <v>37</v>
      </c>
      <c r="D26" t="str">
        <f>[2]ELC_BulkEES!A33</f>
        <v>P_ESTHYDPS201</v>
      </c>
      <c r="I26">
        <v>2010</v>
      </c>
      <c r="K26" t="s">
        <v>21</v>
      </c>
      <c r="L26">
        <v>1</v>
      </c>
      <c r="O26">
        <v>0</v>
      </c>
      <c r="P26">
        <v>5</v>
      </c>
      <c r="Q26" t="s">
        <v>38</v>
      </c>
    </row>
    <row r="27" spans="2:17">
      <c r="D27" t="str">
        <f>[2]ELC_BulkEES!A26</f>
        <v>ESTHYDPS201</v>
      </c>
      <c r="I27">
        <v>2010</v>
      </c>
      <c r="K27" t="s">
        <v>21</v>
      </c>
      <c r="M27">
        <f>M17</f>
        <v>-0.16666666666666666</v>
      </c>
    </row>
    <row r="28" spans="2:17">
      <c r="B28" t="s">
        <v>39</v>
      </c>
      <c r="D28" t="str">
        <f>[2]ELC_BulkEES!A34</f>
        <v>P_ESTBATS201</v>
      </c>
      <c r="I28">
        <v>2010</v>
      </c>
      <c r="K28" t="s">
        <v>21</v>
      </c>
      <c r="L28">
        <v>1</v>
      </c>
      <c r="O28">
        <v>0</v>
      </c>
      <c r="P28">
        <v>5</v>
      </c>
      <c r="Q28" t="s">
        <v>40</v>
      </c>
    </row>
    <row r="29" spans="2:17">
      <c r="D29" t="str">
        <f>[2]ELC_BulkEES!A28</f>
        <v>ESTBATS201</v>
      </c>
      <c r="I29">
        <v>2010</v>
      </c>
      <c r="K29" t="s">
        <v>21</v>
      </c>
      <c r="M29">
        <f>M19</f>
        <v>-0.25</v>
      </c>
    </row>
    <row r="30" spans="2:17">
      <c r="B30" t="s">
        <v>41</v>
      </c>
      <c r="D30" t="str">
        <f>[2]ELC_BulkEES!A35</f>
        <v>P_ESTBATS202</v>
      </c>
      <c r="I30">
        <v>2010</v>
      </c>
      <c r="K30" t="s">
        <v>21</v>
      </c>
      <c r="L30">
        <v>1</v>
      </c>
      <c r="O30">
        <v>0</v>
      </c>
      <c r="P30">
        <v>5</v>
      </c>
      <c r="Q30" t="s">
        <v>42</v>
      </c>
    </row>
    <row r="31" spans="2:17">
      <c r="D31" t="str">
        <f>[2]ELC_BulkEES!A30</f>
        <v>ESTBATS202</v>
      </c>
      <c r="I31">
        <v>2010</v>
      </c>
      <c r="K31" t="s">
        <v>21</v>
      </c>
      <c r="M31">
        <f>M21</f>
        <v>-1</v>
      </c>
    </row>
    <row r="32" spans="2:17">
      <c r="B32" t="s">
        <v>43</v>
      </c>
      <c r="D32" t="str">
        <f>[2]RCA_Batteries!A19</f>
        <v>P_RSDBATS01</v>
      </c>
      <c r="I32">
        <v>2010</v>
      </c>
      <c r="K32" t="s">
        <v>21</v>
      </c>
      <c r="L32">
        <v>1</v>
      </c>
      <c r="O32">
        <v>0</v>
      </c>
      <c r="P32">
        <v>5</v>
      </c>
      <c r="Q32" t="s">
        <v>44</v>
      </c>
    </row>
    <row r="33" spans="2:17">
      <c r="D33" t="str">
        <f>[2]RCA_Batteries!A6</f>
        <v>RSDBATS01</v>
      </c>
      <c r="I33">
        <v>2010</v>
      </c>
      <c r="K33" t="s">
        <v>21</v>
      </c>
      <c r="M33">
        <f>-(1/([2]Input_DATA!F11*1))</f>
        <v>-0.25</v>
      </c>
    </row>
    <row r="34" spans="2:17">
      <c r="B34" t="s">
        <v>45</v>
      </c>
      <c r="D34" t="str">
        <f>[2]RCA_Batteries!A20</f>
        <v>P_RSDBATS02</v>
      </c>
      <c r="I34">
        <v>2010</v>
      </c>
      <c r="K34" t="s">
        <v>21</v>
      </c>
      <c r="L34">
        <v>1</v>
      </c>
      <c r="O34">
        <v>0</v>
      </c>
      <c r="P34">
        <v>5</v>
      </c>
      <c r="Q34" t="s">
        <v>46</v>
      </c>
    </row>
    <row r="35" spans="2:17">
      <c r="D35" t="str">
        <f>[2]RCA_Batteries!A8</f>
        <v>RSDBATS02</v>
      </c>
      <c r="I35">
        <v>2010</v>
      </c>
      <c r="K35" t="s">
        <v>21</v>
      </c>
      <c r="M35">
        <f>-(1/([2]Input_DATA!F12*1))</f>
        <v>-1</v>
      </c>
    </row>
    <row r="36" spans="2:17">
      <c r="B36" t="s">
        <v>47</v>
      </c>
      <c r="D36" t="str">
        <f>[2]RCA_Batteries!A21</f>
        <v>P_RSDBATS03</v>
      </c>
      <c r="I36">
        <v>2010</v>
      </c>
      <c r="K36" t="s">
        <v>21</v>
      </c>
      <c r="L36">
        <v>1</v>
      </c>
      <c r="O36">
        <v>0</v>
      </c>
      <c r="P36">
        <v>5</v>
      </c>
      <c r="Q36" t="s">
        <v>44</v>
      </c>
    </row>
    <row r="37" spans="2:17">
      <c r="D37" t="str">
        <f>[2]RCA_Batteries!A10</f>
        <v>RSDBATS03</v>
      </c>
      <c r="I37">
        <v>2010</v>
      </c>
      <c r="K37" t="s">
        <v>21</v>
      </c>
      <c r="M37">
        <f>-(1/([2]Input_DATA!F13*1))</f>
        <v>-0.25</v>
      </c>
    </row>
    <row r="38" spans="2:17">
      <c r="B38" t="s">
        <v>48</v>
      </c>
      <c r="D38" t="str">
        <f>[2]RCA_Batteries!A22</f>
        <v>P_COMBATS01</v>
      </c>
      <c r="I38">
        <v>2010</v>
      </c>
      <c r="K38" t="s">
        <v>21</v>
      </c>
      <c r="L38">
        <v>1</v>
      </c>
      <c r="O38">
        <v>0</v>
      </c>
      <c r="P38">
        <v>5</v>
      </c>
      <c r="Q38" t="s">
        <v>49</v>
      </c>
    </row>
    <row r="39" spans="2:17">
      <c r="D39" t="str">
        <f>[2]RCA_Batteries!A12</f>
        <v>COMBATS01</v>
      </c>
      <c r="I39">
        <v>2010</v>
      </c>
      <c r="K39" t="s">
        <v>21</v>
      </c>
      <c r="M39">
        <f>-(1/([2]Input_DATA!F14*1))</f>
        <v>-0.25</v>
      </c>
    </row>
    <row r="40" spans="2:17">
      <c r="B40" t="s">
        <v>50</v>
      </c>
      <c r="D40" t="str">
        <f>[2]RCA_Batteries!A23</f>
        <v>P_COMBATS02</v>
      </c>
      <c r="I40">
        <v>2010</v>
      </c>
      <c r="K40" t="s">
        <v>21</v>
      </c>
      <c r="L40">
        <v>1</v>
      </c>
      <c r="O40">
        <v>0</v>
      </c>
      <c r="P40">
        <v>5</v>
      </c>
      <c r="Q40" t="s">
        <v>51</v>
      </c>
    </row>
    <row r="41" spans="2:17">
      <c r="D41" t="str">
        <f>[2]RCA_Batteries!A14</f>
        <v>COMBATS02</v>
      </c>
      <c r="I41">
        <v>2010</v>
      </c>
      <c r="K41" t="s">
        <v>21</v>
      </c>
      <c r="M41">
        <f>-(1/([2]Input_DATA!F15*1))</f>
        <v>-1</v>
      </c>
    </row>
    <row r="42" spans="2:17">
      <c r="B42" t="s">
        <v>52</v>
      </c>
      <c r="D42" t="str">
        <f>[2]RCA_Batteries!A24</f>
        <v>P_COMBATS03</v>
      </c>
      <c r="I42">
        <v>2010</v>
      </c>
      <c r="K42" t="s">
        <v>21</v>
      </c>
      <c r="L42">
        <v>1</v>
      </c>
      <c r="O42">
        <v>0</v>
      </c>
      <c r="P42">
        <v>5</v>
      </c>
      <c r="Q42" t="s">
        <v>53</v>
      </c>
    </row>
    <row r="43" spans="2:17">
      <c r="D43" t="str">
        <f>[2]RCA_Batteries!A16</f>
        <v>COMBATS03</v>
      </c>
      <c r="I43">
        <v>2010</v>
      </c>
      <c r="K43" t="s">
        <v>21</v>
      </c>
      <c r="M43">
        <f>-(1/([2]Input_DATA!F16*1))</f>
        <v>-0.25</v>
      </c>
    </row>
    <row r="45" spans="2:17">
      <c r="B45" t="s">
        <v>79</v>
      </c>
    </row>
    <row r="46" spans="2:17">
      <c r="B46" t="str">
        <f>"UC_StorageCap_"&amp;D47</f>
        <v>UC_StorageCap_ESTCAESS00</v>
      </c>
      <c r="D46" t="str">
        <f t="shared" ref="D46:D79" si="0">D10</f>
        <v>P_ESTCAESS00</v>
      </c>
      <c r="I46">
        <v>2010</v>
      </c>
      <c r="J46" t="s">
        <v>54</v>
      </c>
      <c r="K46" t="s">
        <v>55</v>
      </c>
      <c r="N46">
        <f>-1/($C$85/2*0.0036)</f>
        <v>-7.4074074074074066</v>
      </c>
      <c r="O46">
        <v>0</v>
      </c>
      <c r="P46">
        <v>5</v>
      </c>
      <c r="Q46" t="str">
        <f>"Coupling "&amp;D47&amp;" storage capacity GWh to VARSIN via "&amp;D46</f>
        <v>Coupling ESTCAESS00 storage capacity GWh to VARSIN via P_ESTCAESS00</v>
      </c>
    </row>
    <row r="47" spans="2:17">
      <c r="D47" t="str">
        <f t="shared" si="0"/>
        <v>ESTCAESS00</v>
      </c>
      <c r="I47">
        <v>2010</v>
      </c>
      <c r="J47" t="s">
        <v>54</v>
      </c>
      <c r="L47">
        <v>1</v>
      </c>
      <c r="N47">
        <f>N46</f>
        <v>-7.4074074074074066</v>
      </c>
    </row>
    <row r="48" spans="2:17">
      <c r="B48" t="str">
        <f>"UC_StorageCap_"&amp;D49</f>
        <v>UC_StorageCap_ESTCAESS101</v>
      </c>
      <c r="D48" t="str">
        <f t="shared" si="0"/>
        <v>P_ESTCAESS101</v>
      </c>
      <c r="I48">
        <v>2010</v>
      </c>
      <c r="J48" t="s">
        <v>54</v>
      </c>
      <c r="K48" t="s">
        <v>55</v>
      </c>
      <c r="N48">
        <f t="shared" ref="N48:N79" si="1">N47</f>
        <v>-7.4074074074074066</v>
      </c>
      <c r="O48">
        <v>0</v>
      </c>
      <c r="P48">
        <v>5</v>
      </c>
      <c r="Q48" t="str">
        <f>"Coupling "&amp;D49&amp;" storage capacity GWh to VARSIN via "&amp;D48</f>
        <v>Coupling ESTCAESS101 storage capacity GWh to VARSIN via P_ESTCAESS101</v>
      </c>
    </row>
    <row r="49" spans="2:17">
      <c r="D49" t="str">
        <f t="shared" si="0"/>
        <v>ESTCAESS101</v>
      </c>
      <c r="I49">
        <v>2010</v>
      </c>
      <c r="J49" t="s">
        <v>54</v>
      </c>
      <c r="L49">
        <v>1</v>
      </c>
      <c r="N49">
        <f t="shared" si="1"/>
        <v>-7.4074074074074066</v>
      </c>
    </row>
    <row r="50" spans="2:17">
      <c r="B50" t="str">
        <f>"UC_StorageCap_"&amp;D51</f>
        <v>UC_StorageCap_ESTCAESS102</v>
      </c>
      <c r="D50" t="str">
        <f t="shared" si="0"/>
        <v>P_ESTCAESS102</v>
      </c>
      <c r="I50">
        <v>2010</v>
      </c>
      <c r="J50" t="s">
        <v>54</v>
      </c>
      <c r="K50" t="s">
        <v>55</v>
      </c>
      <c r="N50">
        <f t="shared" si="1"/>
        <v>-7.4074074074074066</v>
      </c>
      <c r="O50">
        <v>0</v>
      </c>
      <c r="P50">
        <v>5</v>
      </c>
      <c r="Q50" t="str">
        <f>"Coupling "&amp;D51&amp;" storage capacity GWh to VARSIN via "&amp;D50</f>
        <v>Coupling ESTCAESS102 storage capacity GWh to VARSIN via P_ESTCAESS102</v>
      </c>
    </row>
    <row r="51" spans="2:17">
      <c r="D51" t="str">
        <f t="shared" si="0"/>
        <v>ESTCAESS102</v>
      </c>
      <c r="I51">
        <v>2010</v>
      </c>
      <c r="J51" t="s">
        <v>54</v>
      </c>
      <c r="L51">
        <v>1</v>
      </c>
      <c r="N51">
        <f t="shared" si="1"/>
        <v>-7.4074074074074066</v>
      </c>
    </row>
    <row r="52" spans="2:17">
      <c r="B52" t="str">
        <f>"UC_StorageCap_"&amp;D53</f>
        <v>UC_StorageCap_ESTHYDPS101</v>
      </c>
      <c r="D52" t="str">
        <f t="shared" si="0"/>
        <v>P_ESTHYDPS101</v>
      </c>
      <c r="I52">
        <v>2010</v>
      </c>
      <c r="J52" t="s">
        <v>54</v>
      </c>
      <c r="K52" t="s">
        <v>55</v>
      </c>
      <c r="N52">
        <f>N51</f>
        <v>-7.4074074074074066</v>
      </c>
      <c r="O52">
        <v>0</v>
      </c>
      <c r="P52">
        <v>5</v>
      </c>
      <c r="Q52" t="str">
        <f>"Coupling "&amp;D53&amp;" storage capacity GWh to VARSIN via "&amp;D52</f>
        <v>Coupling ESTHYDPS101 storage capacity GWh to VARSIN via P_ESTHYDPS101</v>
      </c>
    </row>
    <row r="53" spans="2:17">
      <c r="D53" t="str">
        <f t="shared" si="0"/>
        <v>ESTHYDPS101</v>
      </c>
      <c r="I53">
        <v>2010</v>
      </c>
      <c r="J53" t="s">
        <v>54</v>
      </c>
      <c r="L53">
        <v>1</v>
      </c>
      <c r="N53">
        <f t="shared" si="1"/>
        <v>-7.4074074074074066</v>
      </c>
    </row>
    <row r="54" spans="2:17">
      <c r="B54" t="str">
        <f>"UC_StorageCap_"&amp;D55</f>
        <v>UC_StorageCap_ESTBATS101</v>
      </c>
      <c r="D54" t="str">
        <f t="shared" si="0"/>
        <v>P_ESTBATS101</v>
      </c>
      <c r="I54">
        <v>2010</v>
      </c>
      <c r="J54" t="s">
        <v>54</v>
      </c>
      <c r="K54" t="s">
        <v>55</v>
      </c>
      <c r="N54">
        <f t="shared" si="1"/>
        <v>-7.4074074074074066</v>
      </c>
      <c r="O54">
        <v>0</v>
      </c>
      <c r="P54">
        <v>5</v>
      </c>
      <c r="Q54" t="str">
        <f>"Coupling "&amp;D55&amp;" storage capacity GWh to VARSIN via "&amp;D54</f>
        <v>Coupling ESTBATS101 storage capacity GWh to VARSIN via P_ESTBATS101</v>
      </c>
    </row>
    <row r="55" spans="2:17">
      <c r="D55" t="str">
        <f t="shared" si="0"/>
        <v>ESTBATS101</v>
      </c>
      <c r="I55">
        <v>2010</v>
      </c>
      <c r="J55" t="s">
        <v>54</v>
      </c>
      <c r="L55">
        <v>1</v>
      </c>
      <c r="N55">
        <f t="shared" si="1"/>
        <v>-7.4074074074074066</v>
      </c>
    </row>
    <row r="56" spans="2:17">
      <c r="B56" t="str">
        <f>"UC_StorageCap_"&amp;D57</f>
        <v>UC_StorageCap_ESTBATS102</v>
      </c>
      <c r="D56" t="str">
        <f t="shared" si="0"/>
        <v>P_ESTBATS102</v>
      </c>
      <c r="I56">
        <v>2010</v>
      </c>
      <c r="J56" t="s">
        <v>54</v>
      </c>
      <c r="K56" t="s">
        <v>55</v>
      </c>
      <c r="N56">
        <f t="shared" si="1"/>
        <v>-7.4074074074074066</v>
      </c>
      <c r="O56">
        <v>0</v>
      </c>
      <c r="P56">
        <v>5</v>
      </c>
      <c r="Q56" t="str">
        <f>"Coupling "&amp;D57&amp;" storage capacity GWh to VARSIN via "&amp;D56</f>
        <v>Coupling ESTBATS102 storage capacity GWh to VARSIN via P_ESTBATS102</v>
      </c>
    </row>
    <row r="57" spans="2:17">
      <c r="D57" t="str">
        <f t="shared" si="0"/>
        <v>ESTBATS102</v>
      </c>
      <c r="I57">
        <v>2010</v>
      </c>
      <c r="J57" t="s">
        <v>54</v>
      </c>
      <c r="L57">
        <v>1</v>
      </c>
      <c r="N57">
        <f t="shared" si="1"/>
        <v>-7.4074074074074066</v>
      </c>
    </row>
    <row r="58" spans="2:17">
      <c r="B58" t="str">
        <f>"UC_StorageCap_"&amp;D59</f>
        <v>UC_StorageCap_ESTBATS103</v>
      </c>
      <c r="D58" t="str">
        <f t="shared" si="0"/>
        <v>P_ESTBATS103</v>
      </c>
      <c r="I58">
        <v>2010</v>
      </c>
      <c r="J58" t="s">
        <v>54</v>
      </c>
      <c r="K58" t="s">
        <v>55</v>
      </c>
      <c r="N58">
        <f t="shared" si="1"/>
        <v>-7.4074074074074066</v>
      </c>
      <c r="O58">
        <v>0</v>
      </c>
      <c r="P58">
        <v>5</v>
      </c>
      <c r="Q58" t="str">
        <f>"Coupling "&amp;D59&amp;" storage capacity GWh to VARSIN via "&amp;D58</f>
        <v>Coupling ESTBATS103 storage capacity GWh to VARSIN via P_ESTBATS103</v>
      </c>
    </row>
    <row r="59" spans="2:17">
      <c r="D59" t="str">
        <f t="shared" si="0"/>
        <v>ESTBATS103</v>
      </c>
      <c r="I59">
        <v>2010</v>
      </c>
      <c r="J59" t="s">
        <v>54</v>
      </c>
      <c r="L59">
        <v>1</v>
      </c>
    </row>
    <row r="60" spans="2:17">
      <c r="B60" t="str">
        <f>"UC_StorageCap_"&amp;D61</f>
        <v>UC_StorageCap_ESTCAESS201</v>
      </c>
      <c r="D60" t="str">
        <f t="shared" si="0"/>
        <v>P_ESTCAESS201</v>
      </c>
      <c r="I60">
        <v>2010</v>
      </c>
      <c r="J60" t="s">
        <v>54</v>
      </c>
      <c r="K60" t="s">
        <v>55</v>
      </c>
      <c r="N60">
        <f>N58</f>
        <v>-7.4074074074074066</v>
      </c>
      <c r="O60">
        <v>0</v>
      </c>
      <c r="P60">
        <v>5</v>
      </c>
      <c r="Q60" t="str">
        <f>"Coupling "&amp;D61&amp;" storage capacity GWh to VARSIN via "&amp;D60</f>
        <v>Coupling ESTCAESS201 storage capacity GWh to VARSIN via P_ESTCAESS201</v>
      </c>
    </row>
    <row r="61" spans="2:17">
      <c r="D61" t="str">
        <f t="shared" si="0"/>
        <v>ESTCAESS201</v>
      </c>
      <c r="I61">
        <v>2010</v>
      </c>
      <c r="J61" t="s">
        <v>54</v>
      </c>
      <c r="L61">
        <v>1</v>
      </c>
      <c r="N61">
        <f t="shared" si="1"/>
        <v>-7.4074074074074066</v>
      </c>
    </row>
    <row r="62" spans="2:17">
      <c r="B62" t="str">
        <f>"UC_StorageCap_"&amp;D63</f>
        <v>UC_StorageCap_ESTHYDPS201</v>
      </c>
      <c r="D62" t="str">
        <f t="shared" si="0"/>
        <v>P_ESTHYDPS201</v>
      </c>
      <c r="I62">
        <v>2010</v>
      </c>
      <c r="J62" t="s">
        <v>54</v>
      </c>
      <c r="K62" t="s">
        <v>55</v>
      </c>
      <c r="N62">
        <f t="shared" si="1"/>
        <v>-7.4074074074074066</v>
      </c>
      <c r="O62">
        <v>0</v>
      </c>
      <c r="P62">
        <v>5</v>
      </c>
      <c r="Q62" t="str">
        <f>"Coupling "&amp;D63&amp;" storage capacity GWh to VARSIN via "&amp;D62</f>
        <v>Coupling ESTHYDPS201 storage capacity GWh to VARSIN via P_ESTHYDPS201</v>
      </c>
    </row>
    <row r="63" spans="2:17">
      <c r="D63" t="str">
        <f t="shared" si="0"/>
        <v>ESTHYDPS201</v>
      </c>
      <c r="I63">
        <v>2010</v>
      </c>
      <c r="J63" t="s">
        <v>54</v>
      </c>
      <c r="L63">
        <v>1</v>
      </c>
      <c r="N63">
        <f t="shared" si="1"/>
        <v>-7.4074074074074066</v>
      </c>
    </row>
    <row r="64" spans="2:17">
      <c r="B64" t="str">
        <f>"UC_StorageCap_"&amp;D65</f>
        <v>UC_StorageCap_ESTBATS201</v>
      </c>
      <c r="D64" t="str">
        <f t="shared" si="0"/>
        <v>P_ESTBATS201</v>
      </c>
      <c r="I64">
        <v>2010</v>
      </c>
      <c r="J64" t="s">
        <v>54</v>
      </c>
      <c r="K64" t="s">
        <v>55</v>
      </c>
      <c r="N64">
        <f t="shared" si="1"/>
        <v>-7.4074074074074066</v>
      </c>
      <c r="O64">
        <v>0</v>
      </c>
      <c r="P64">
        <v>5</v>
      </c>
      <c r="Q64" t="str">
        <f>"Coupling "&amp;D65&amp;" storage capacity GWh to VARSIN via "&amp;D64</f>
        <v>Coupling ESTBATS201 storage capacity GWh to VARSIN via P_ESTBATS201</v>
      </c>
    </row>
    <row r="65" spans="2:17">
      <c r="D65" t="str">
        <f t="shared" si="0"/>
        <v>ESTBATS201</v>
      </c>
      <c r="I65">
        <v>2010</v>
      </c>
      <c r="J65" t="s">
        <v>54</v>
      </c>
      <c r="L65">
        <v>1</v>
      </c>
      <c r="N65">
        <f t="shared" si="1"/>
        <v>-7.4074074074074066</v>
      </c>
    </row>
    <row r="66" spans="2:17">
      <c r="B66" t="str">
        <f>"UC_StorageCap_"&amp;D67</f>
        <v>UC_StorageCap_ESTBATS202</v>
      </c>
      <c r="D66" t="str">
        <f t="shared" si="0"/>
        <v>P_ESTBATS202</v>
      </c>
      <c r="I66">
        <v>2010</v>
      </c>
      <c r="J66" t="s">
        <v>54</v>
      </c>
      <c r="K66" t="s">
        <v>55</v>
      </c>
      <c r="N66">
        <f t="shared" si="1"/>
        <v>-7.4074074074074066</v>
      </c>
      <c r="O66">
        <v>0</v>
      </c>
      <c r="P66">
        <v>5</v>
      </c>
      <c r="Q66" t="str">
        <f>"Coupling "&amp;D67&amp;" storage capacity GWh to VARSIN via "&amp;D66</f>
        <v>Coupling ESTBATS202 storage capacity GWh to VARSIN via P_ESTBATS202</v>
      </c>
    </row>
    <row r="67" spans="2:17">
      <c r="D67" t="str">
        <f t="shared" si="0"/>
        <v>ESTBATS202</v>
      </c>
      <c r="I67">
        <v>2010</v>
      </c>
      <c r="J67" t="s">
        <v>54</v>
      </c>
      <c r="L67">
        <v>1</v>
      </c>
      <c r="N67">
        <f t="shared" si="1"/>
        <v>-7.4074074074074066</v>
      </c>
    </row>
    <row r="68" spans="2:17">
      <c r="B68" t="str">
        <f>"UC_StorageCap_"&amp;D69</f>
        <v>UC_StorageCap_RSDBATS01</v>
      </c>
      <c r="D68" t="str">
        <f t="shared" si="0"/>
        <v>P_RSDBATS01</v>
      </c>
      <c r="I68">
        <v>2010</v>
      </c>
      <c r="J68" t="s">
        <v>54</v>
      </c>
      <c r="K68" t="s">
        <v>55</v>
      </c>
      <c r="N68">
        <f t="shared" si="1"/>
        <v>-7.4074074074074066</v>
      </c>
      <c r="O68">
        <v>0</v>
      </c>
      <c r="P68">
        <v>5</v>
      </c>
      <c r="Q68" t="str">
        <f>"Coupling "&amp;D69&amp;" storage capacity GWh to VARSIN via "&amp;D68</f>
        <v>Coupling RSDBATS01 storage capacity GWh to VARSIN via P_RSDBATS01</v>
      </c>
    </row>
    <row r="69" spans="2:17">
      <c r="D69" t="str">
        <f t="shared" si="0"/>
        <v>RSDBATS01</v>
      </c>
      <c r="I69">
        <v>2010</v>
      </c>
      <c r="J69" t="s">
        <v>54</v>
      </c>
      <c r="L69">
        <v>1</v>
      </c>
      <c r="N69">
        <f t="shared" si="1"/>
        <v>-7.4074074074074066</v>
      </c>
    </row>
    <row r="70" spans="2:17">
      <c r="B70" t="str">
        <f>"UC_StorageCap_"&amp;D71</f>
        <v>UC_StorageCap_RSDBATS02</v>
      </c>
      <c r="D70" t="str">
        <f t="shared" si="0"/>
        <v>P_RSDBATS02</v>
      </c>
      <c r="I70">
        <v>2010</v>
      </c>
      <c r="J70" t="s">
        <v>54</v>
      </c>
      <c r="K70" t="s">
        <v>55</v>
      </c>
      <c r="N70">
        <f t="shared" si="1"/>
        <v>-7.4074074074074066</v>
      </c>
      <c r="O70">
        <v>0</v>
      </c>
      <c r="P70">
        <v>5</v>
      </c>
      <c r="Q70" t="str">
        <f>"Coupling "&amp;D71&amp;" storage capacity GWh to VARSIN via "&amp;D70</f>
        <v>Coupling RSDBATS02 storage capacity GWh to VARSIN via P_RSDBATS02</v>
      </c>
    </row>
    <row r="71" spans="2:17">
      <c r="D71" t="str">
        <f t="shared" si="0"/>
        <v>RSDBATS02</v>
      </c>
      <c r="I71">
        <v>2010</v>
      </c>
      <c r="J71" t="s">
        <v>54</v>
      </c>
      <c r="L71">
        <v>1</v>
      </c>
      <c r="N71">
        <f t="shared" si="1"/>
        <v>-7.4074074074074066</v>
      </c>
    </row>
    <row r="72" spans="2:17">
      <c r="B72" t="str">
        <f>"UC_StorageCap_"&amp;D73</f>
        <v>UC_StorageCap_RSDBATS03</v>
      </c>
      <c r="D72" t="str">
        <f t="shared" si="0"/>
        <v>P_RSDBATS03</v>
      </c>
      <c r="I72">
        <v>2010</v>
      </c>
      <c r="J72" t="s">
        <v>54</v>
      </c>
      <c r="K72" t="s">
        <v>55</v>
      </c>
      <c r="N72">
        <f t="shared" si="1"/>
        <v>-7.4074074074074066</v>
      </c>
      <c r="O72">
        <v>0</v>
      </c>
      <c r="P72">
        <v>5</v>
      </c>
      <c r="Q72" t="str">
        <f>"Coupling "&amp;D73&amp;" storage capacity GWh to VARSIN via "&amp;D72</f>
        <v>Coupling RSDBATS03 storage capacity GWh to VARSIN via P_RSDBATS03</v>
      </c>
    </row>
    <row r="73" spans="2:17">
      <c r="D73" t="str">
        <f t="shared" si="0"/>
        <v>RSDBATS03</v>
      </c>
      <c r="I73">
        <v>2010</v>
      </c>
      <c r="J73" t="s">
        <v>54</v>
      </c>
      <c r="L73">
        <v>1</v>
      </c>
      <c r="N73">
        <f t="shared" si="1"/>
        <v>-7.4074074074074066</v>
      </c>
    </row>
    <row r="74" spans="2:17">
      <c r="B74" t="str">
        <f>"UC_StorageCap_"&amp;D75</f>
        <v>UC_StorageCap_COMBATS01</v>
      </c>
      <c r="D74" t="str">
        <f t="shared" si="0"/>
        <v>P_COMBATS01</v>
      </c>
      <c r="I74">
        <v>2010</v>
      </c>
      <c r="J74" t="s">
        <v>54</v>
      </c>
      <c r="K74" t="s">
        <v>55</v>
      </c>
      <c r="N74">
        <f t="shared" si="1"/>
        <v>-7.4074074074074066</v>
      </c>
      <c r="O74">
        <v>0</v>
      </c>
      <c r="P74">
        <v>5</v>
      </c>
      <c r="Q74" t="str">
        <f>"Coupling "&amp;D75&amp;" storage capacity GWh to VARSIN via "&amp;D74</f>
        <v>Coupling COMBATS01 storage capacity GWh to VARSIN via P_COMBATS01</v>
      </c>
    </row>
    <row r="75" spans="2:17">
      <c r="D75" t="str">
        <f t="shared" si="0"/>
        <v>COMBATS01</v>
      </c>
      <c r="I75">
        <v>2010</v>
      </c>
      <c r="J75" t="s">
        <v>54</v>
      </c>
      <c r="L75">
        <v>1</v>
      </c>
      <c r="N75">
        <f t="shared" si="1"/>
        <v>-7.4074074074074066</v>
      </c>
    </row>
    <row r="76" spans="2:17">
      <c r="B76" t="str">
        <f>"UC_StorageCap_"&amp;D77</f>
        <v>UC_StorageCap_COMBATS02</v>
      </c>
      <c r="D76" t="str">
        <f t="shared" si="0"/>
        <v>P_COMBATS02</v>
      </c>
      <c r="I76">
        <v>2010</v>
      </c>
      <c r="J76" t="s">
        <v>54</v>
      </c>
      <c r="K76" t="s">
        <v>55</v>
      </c>
      <c r="N76">
        <f t="shared" si="1"/>
        <v>-7.4074074074074066</v>
      </c>
      <c r="O76">
        <v>0</v>
      </c>
      <c r="P76">
        <v>5</v>
      </c>
      <c r="Q76" t="str">
        <f>"Coupling "&amp;D77&amp;" storage capacity GWh to VARSIN via "&amp;D76</f>
        <v>Coupling COMBATS02 storage capacity GWh to VARSIN via P_COMBATS02</v>
      </c>
    </row>
    <row r="77" spans="2:17">
      <c r="D77" t="str">
        <f t="shared" si="0"/>
        <v>COMBATS02</v>
      </c>
      <c r="I77">
        <v>2010</v>
      </c>
      <c r="J77" t="s">
        <v>54</v>
      </c>
      <c r="L77">
        <v>1</v>
      </c>
      <c r="N77">
        <f t="shared" si="1"/>
        <v>-7.4074074074074066</v>
      </c>
    </row>
    <row r="78" spans="2:17">
      <c r="B78" t="str">
        <f>"UC_StorageCap_"&amp;D79</f>
        <v>UC_StorageCap_COMBATS03</v>
      </c>
      <c r="D78" t="str">
        <f t="shared" si="0"/>
        <v>P_COMBATS03</v>
      </c>
      <c r="I78">
        <v>2010</v>
      </c>
      <c r="J78" t="s">
        <v>54</v>
      </c>
      <c r="K78" t="s">
        <v>55</v>
      </c>
      <c r="N78">
        <f t="shared" si="1"/>
        <v>-7.4074074074074066</v>
      </c>
      <c r="O78">
        <v>0</v>
      </c>
      <c r="P78">
        <v>5</v>
      </c>
      <c r="Q78" t="str">
        <f>"Coupling "&amp;D79&amp;" storage capacity GWh to VARSIN via "&amp;D78</f>
        <v>Coupling COMBATS03 storage capacity GWh to VARSIN via P_COMBATS03</v>
      </c>
    </row>
    <row r="79" spans="2:17">
      <c r="D79" t="str">
        <f t="shared" si="0"/>
        <v>COMBATS03</v>
      </c>
      <c r="I79">
        <v>2010</v>
      </c>
      <c r="J79" t="s">
        <v>54</v>
      </c>
      <c r="L79">
        <v>1</v>
      </c>
      <c r="N79">
        <f t="shared" si="1"/>
        <v>-7.4074074074074066</v>
      </c>
    </row>
    <row r="81" spans="2:13">
      <c r="B81" t="s">
        <v>77</v>
      </c>
    </row>
    <row r="82" spans="2:13">
      <c r="B82" t="s">
        <v>78</v>
      </c>
    </row>
    <row r="83" spans="2:13">
      <c r="G83" t="s">
        <v>56</v>
      </c>
      <c r="K83" t="s">
        <v>57</v>
      </c>
    </row>
    <row r="84" spans="2:13">
      <c r="B84" t="s">
        <v>58</v>
      </c>
      <c r="C84" t="s">
        <v>59</v>
      </c>
      <c r="E84" t="s">
        <v>60</v>
      </c>
      <c r="F84" t="s">
        <v>61</v>
      </c>
      <c r="G84" t="s">
        <v>62</v>
      </c>
      <c r="H84" t="s">
        <v>63</v>
      </c>
    </row>
    <row r="85" spans="2:13">
      <c r="B85" t="s">
        <v>64</v>
      </c>
      <c r="C85">
        <v>75</v>
      </c>
      <c r="E85">
        <v>0.25</v>
      </c>
      <c r="F85">
        <v>0.63249999999999995</v>
      </c>
      <c r="G85">
        <v>2.5299999999999998</v>
      </c>
      <c r="H85">
        <v>29.644268774703558</v>
      </c>
      <c r="K85">
        <v>37.5</v>
      </c>
    </row>
    <row r="86" spans="2:13">
      <c r="B86" t="s">
        <v>65</v>
      </c>
      <c r="C86">
        <v>101</v>
      </c>
      <c r="E86">
        <v>0.4</v>
      </c>
      <c r="F86">
        <v>0.80005624802259989</v>
      </c>
      <c r="G86">
        <v>2.0001406200564995</v>
      </c>
      <c r="H86">
        <v>50.496449593202591</v>
      </c>
      <c r="K86">
        <v>50.5</v>
      </c>
      <c r="M86" t="s">
        <v>66</v>
      </c>
    </row>
    <row r="87" spans="2:13">
      <c r="B87" t="s">
        <v>67</v>
      </c>
      <c r="C87">
        <v>79</v>
      </c>
      <c r="E87">
        <v>0.25</v>
      </c>
      <c r="F87">
        <v>0.63249999999999995</v>
      </c>
      <c r="G87">
        <v>2.5299999999999998</v>
      </c>
      <c r="H87">
        <v>31.22529644268775</v>
      </c>
      <c r="K87">
        <v>39.5</v>
      </c>
    </row>
    <row r="88" spans="2:13">
      <c r="B88" t="s">
        <v>68</v>
      </c>
      <c r="C88">
        <v>110</v>
      </c>
      <c r="E88">
        <v>0.1</v>
      </c>
      <c r="F88">
        <v>0.40002812401129995</v>
      </c>
      <c r="G88">
        <v>4.000281240112999</v>
      </c>
      <c r="H88">
        <v>27.498066610159825</v>
      </c>
      <c r="K88">
        <v>55</v>
      </c>
    </row>
    <row r="89" spans="2:13">
      <c r="C89">
        <v>365</v>
      </c>
    </row>
  </sheetData>
  <pageMargins left="0.7" right="0.7" top="0.75" bottom="0.75" header="0.3" footer="0.3"/>
  <pageSetup orientation="portrait" r:id="rId1"/>
  <legacyDrawing r:id="rId2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B2:I5"/>
  <sheetViews>
    <sheetView workbookViewId="0">
      <selection activeCell="H5" sqref="H5"/>
    </sheetView>
  </sheetViews>
  <sheetFormatPr defaultRowHeight="15"/>
  <cols>
    <col min="2" max="2" width="12.85546875" bestFit="1" customWidth="1"/>
    <col min="3" max="3" width="23.140625" bestFit="1" customWidth="1"/>
    <col min="5" max="5" width="22.85546875" bestFit="1" customWidth="1"/>
  </cols>
  <sheetData>
    <row r="2" spans="2:9">
      <c r="B2" t="s">
        <v>69</v>
      </c>
    </row>
    <row r="3" spans="2:9" ht="15.75" thickBot="1">
      <c r="B3" t="s">
        <v>10</v>
      </c>
      <c r="C3" t="s">
        <v>4</v>
      </c>
      <c r="D3" t="s">
        <v>70</v>
      </c>
      <c r="E3" t="s">
        <v>6</v>
      </c>
      <c r="F3" t="s">
        <v>71</v>
      </c>
      <c r="G3" t="s">
        <v>17</v>
      </c>
      <c r="H3" t="s">
        <v>3</v>
      </c>
      <c r="I3" t="s">
        <v>72</v>
      </c>
    </row>
    <row r="4" spans="2:9">
      <c r="B4" t="s">
        <v>73</v>
      </c>
      <c r="C4" t="s">
        <v>74</v>
      </c>
      <c r="E4" t="s">
        <v>75</v>
      </c>
      <c r="G4" t="s">
        <v>76</v>
      </c>
      <c r="H4">
        <v>2010</v>
      </c>
      <c r="I4">
        <v>0</v>
      </c>
    </row>
    <row r="5" spans="2:9">
      <c r="B5" t="s">
        <v>73</v>
      </c>
      <c r="C5" t="s">
        <v>74</v>
      </c>
      <c r="E5" t="s">
        <v>75</v>
      </c>
      <c r="G5" t="s">
        <v>76</v>
      </c>
      <c r="H5">
        <v>0</v>
      </c>
      <c r="I5">
        <v>5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B2:AI6"/>
  <sheetViews>
    <sheetView tabSelected="1" workbookViewId="0">
      <selection activeCell="E11" sqref="E11"/>
    </sheetView>
  </sheetViews>
  <sheetFormatPr defaultRowHeight="15"/>
  <cols>
    <col min="2" max="2" width="20.5703125" customWidth="1"/>
    <col min="5" max="5" width="16.42578125" bestFit="1" customWidth="1"/>
  </cols>
  <sheetData>
    <row r="2" spans="2:35">
      <c r="B2" t="s">
        <v>80</v>
      </c>
    </row>
    <row r="3" spans="2:35">
      <c r="B3" t="s">
        <v>69</v>
      </c>
    </row>
    <row r="4" spans="2:35">
      <c r="B4" t="s">
        <v>10</v>
      </c>
      <c r="C4" t="s">
        <v>11</v>
      </c>
      <c r="D4" t="s">
        <v>3</v>
      </c>
      <c r="E4" t="s">
        <v>81</v>
      </c>
      <c r="F4" t="s">
        <v>72</v>
      </c>
      <c r="G4" t="s">
        <v>82</v>
      </c>
      <c r="H4" t="s">
        <v>83</v>
      </c>
      <c r="I4" t="s">
        <v>84</v>
      </c>
      <c r="J4" t="s">
        <v>85</v>
      </c>
      <c r="K4" t="s">
        <v>86</v>
      </c>
      <c r="L4" t="s">
        <v>87</v>
      </c>
      <c r="M4" t="s">
        <v>88</v>
      </c>
      <c r="N4" t="s">
        <v>89</v>
      </c>
      <c r="O4" t="s">
        <v>90</v>
      </c>
      <c r="P4" t="s">
        <v>91</v>
      </c>
      <c r="Q4" t="s">
        <v>92</v>
      </c>
      <c r="R4" t="s">
        <v>93</v>
      </c>
      <c r="S4" t="s">
        <v>94</v>
      </c>
      <c r="T4" t="s">
        <v>95</v>
      </c>
      <c r="U4" t="s">
        <v>96</v>
      </c>
      <c r="V4" t="s">
        <v>97</v>
      </c>
      <c r="W4" t="s">
        <v>98</v>
      </c>
      <c r="X4" t="s">
        <v>99</v>
      </c>
      <c r="Y4" t="s">
        <v>100</v>
      </c>
      <c r="Z4" t="s">
        <v>101</v>
      </c>
      <c r="AA4" t="s">
        <v>102</v>
      </c>
      <c r="AB4" t="s">
        <v>103</v>
      </c>
      <c r="AC4" t="s">
        <v>104</v>
      </c>
      <c r="AD4" t="s">
        <v>105</v>
      </c>
      <c r="AE4" t="s">
        <v>106</v>
      </c>
      <c r="AF4" t="s">
        <v>107</v>
      </c>
      <c r="AG4" t="s">
        <v>108</v>
      </c>
      <c r="AH4" t="s">
        <v>109</v>
      </c>
      <c r="AI4" t="s">
        <v>110</v>
      </c>
    </row>
    <row r="5" spans="2:35">
      <c r="B5" t="s">
        <v>111</v>
      </c>
      <c r="C5" t="s">
        <v>21</v>
      </c>
      <c r="D5">
        <v>2010</v>
      </c>
      <c r="E5" t="s">
        <v>112</v>
      </c>
      <c r="G5">
        <v>4.7927</v>
      </c>
      <c r="H5">
        <v>1.31</v>
      </c>
      <c r="I5">
        <v>1.0130000000000001</v>
      </c>
      <c r="J5">
        <v>0</v>
      </c>
      <c r="K5">
        <v>1.1473599999999999</v>
      </c>
      <c r="L5">
        <v>6.9673999999999996</v>
      </c>
      <c r="M5">
        <v>0</v>
      </c>
      <c r="N5">
        <v>0</v>
      </c>
      <c r="O5">
        <v>0.69900000000000007</v>
      </c>
      <c r="P5">
        <v>5.2643199999999997</v>
      </c>
      <c r="Q5">
        <v>0</v>
      </c>
      <c r="R5">
        <v>6.9776000000000007</v>
      </c>
      <c r="S5">
        <v>0.29299999999999998</v>
      </c>
      <c r="T5">
        <v>0</v>
      </c>
      <c r="U5">
        <v>0.29199999999999998</v>
      </c>
      <c r="V5">
        <v>7.5508000000000006</v>
      </c>
      <c r="W5">
        <v>0.76</v>
      </c>
      <c r="X5">
        <v>1.1000000000000001</v>
      </c>
      <c r="Y5">
        <v>0</v>
      </c>
      <c r="Z5">
        <v>0</v>
      </c>
      <c r="AA5">
        <v>0</v>
      </c>
      <c r="AB5">
        <v>1.7823</v>
      </c>
      <c r="AC5">
        <v>1.0928</v>
      </c>
      <c r="AD5">
        <v>9.1999999999999998E-2</v>
      </c>
      <c r="AE5">
        <v>0.10920000000000001</v>
      </c>
      <c r="AF5">
        <v>0.18</v>
      </c>
      <c r="AG5">
        <v>0.91600000000000004</v>
      </c>
      <c r="AH5">
        <v>2.7440000000000002</v>
      </c>
      <c r="AI5">
        <v>4</v>
      </c>
    </row>
    <row r="6" spans="2:35">
      <c r="B6" t="s">
        <v>113</v>
      </c>
      <c r="E6" t="s">
        <v>112</v>
      </c>
      <c r="F6">
        <v>0.75</v>
      </c>
    </row>
  </sheetData>
  <pageMargins left="0.7" right="0.7" top="0.75" bottom="0.75" header="0.3" footer="0.3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/>
</p:properties>
</file>

<file path=customXml/item2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3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74EFC6228ED6F043ACDD38E315A3264B" ma:contentTypeVersion="4" ma:contentTypeDescription="Create a new document." ma:contentTypeScope="" ma:versionID="4903a62a44d4969a6544b3c57069fc69">
  <xsd:schema xmlns:xsd="http://www.w3.org/2001/XMLSchema" xmlns:xs="http://www.w3.org/2001/XMLSchema" xmlns:p="http://schemas.microsoft.com/office/2006/metadata/properties" xmlns:ns2="4c9c69de-7b23-40f4-a877-90915b1fcdd7" targetNamespace="http://schemas.microsoft.com/office/2006/metadata/properties" ma:root="true" ma:fieldsID="3bd1b29532326ad299a2267fe1752ba2" ns2:_="">
    <xsd:import namespace="4c9c69de-7b23-40f4-a877-90915b1fcdd7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SearchProperties" minOccurs="0"/>
                <xsd:element ref="ns2:MediaServiceObjectDetectorVersions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4c9c69de-7b23-40f4-a877-90915b1fcdd7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SearchProperties" ma:index="10" nillable="true" ma:displayName="MediaServiceSearchProperties" ma:hidden="true" ma:internalName="MediaServiceSearchProperties" ma:readOnly="true">
      <xsd:simpleType>
        <xsd:restriction base="dms:Note"/>
      </xsd:simpleType>
    </xsd:element>
    <xsd:element name="MediaServiceObjectDetectorVersions" ma:index="11" nillable="true" ma:displayName="MediaServiceObjectDetectorVersions" ma:hidden="true" ma:indexed="true" ma:internalName="MediaServiceObjectDetectorVersions" ma:readOnly="true">
      <xsd:simpleType>
        <xsd:restriction base="dms:Text"/>
      </xsd:simple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Props1.xml><?xml version="1.0" encoding="utf-8"?>
<ds:datastoreItem xmlns:ds="http://schemas.openxmlformats.org/officeDocument/2006/customXml" ds:itemID="{C495872B-D582-4E52-B58D-4C87FFB8FFEA}">
  <ds:schemaRefs>
    <ds:schemaRef ds:uri="http://schemas.microsoft.com/office/2006/metadata/properties"/>
    <ds:schemaRef ds:uri="http://schemas.microsoft.com/office/infopath/2007/PartnerControls"/>
  </ds:schemaRefs>
</ds:datastoreItem>
</file>

<file path=customXml/itemProps2.xml><?xml version="1.0" encoding="utf-8"?>
<ds:datastoreItem xmlns:ds="http://schemas.openxmlformats.org/officeDocument/2006/customXml" ds:itemID="{41E006AF-44A9-4EEB-A55C-70C1928CAEE1}">
  <ds:schemaRefs>
    <ds:schemaRef ds:uri="http://schemas.microsoft.com/sharepoint/v3/contenttype/forms"/>
  </ds:schemaRefs>
</ds:datastoreItem>
</file>

<file path=customXml/itemProps3.xml><?xml version="1.0" encoding="utf-8"?>
<ds:datastoreItem xmlns:ds="http://schemas.openxmlformats.org/officeDocument/2006/customXml" ds:itemID="{991F4DF4-F93E-4718-9D5A-A5578AF33A10}">
  <ds:schemaRefs>
    <ds:schemaRef ds:uri="http://schemas.microsoft.com/office/2006/metadata/contentType"/>
    <ds:schemaRef ds:uri="http://schemas.microsoft.com/office/2006/metadata/properties/metaAttributes"/>
    <ds:schemaRef ds:uri="http://www.w3.org/2001/XMLSchema"/>
    <ds:schemaRef ds:uri="http://schemas.microsoft.com/office/2006/metadata/properties"/>
    <ds:schemaRef ds:uri="4c9c69de-7b23-40f4-a877-90915b1fcdd7"/>
    <ds:schemaRef ds:uri="http://schemas.microsoft.com/office/2006/documentManagement/types"/>
    <ds:schemaRef ds:uri="http://schemas.microsoft.com/office/infopath/2007/PartnerControls"/>
    <ds:schemaRef ds:uri="http://schemas.openxmlformats.org/package/2006/metadata/core-properties"/>
    <ds:schemaRef ds:uri="http://purl.org/dc/elements/1.1/"/>
    <ds:schemaRef ds:uri="http://purl.org/dc/terms/"/>
    <ds:schemaRef ds:uri="http://schemas.microsoft.com/internal/obd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UCStorage</vt:lpstr>
      <vt:lpstr>WinterPeakLimit</vt:lpstr>
      <vt:lpstr>Sheet1</vt:lpstr>
    </vt:vector>
  </TitlesOfParts>
  <Company>KanORS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Amit Kanudia</dc:creator>
  <cp:lastModifiedBy>Danish Hameed</cp:lastModifiedBy>
  <dcterms:created xsi:type="dcterms:W3CDTF">2009-05-27T15:40:55Z</dcterms:created>
  <dcterms:modified xsi:type="dcterms:W3CDTF">2024-12-11T11:50:57Z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SaveCode">
    <vt:lpwstr>546806335449219</vt:lpwstr>
  </property>
  <property fmtid="{D5CDD505-2E9C-101B-9397-08002B2CF9AE}" pid="3" name="ContentTypeId">
    <vt:lpwstr>0x01010074EFC6228ED6F043ACDD38E315A3264B</vt:lpwstr>
  </property>
</Properties>
</file>