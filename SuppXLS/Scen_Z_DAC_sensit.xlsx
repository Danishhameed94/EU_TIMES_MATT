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30651D9D-BA8B-45EC-9CBF-0CE297DF7E38}" xr6:coauthVersionLast="47" xr6:coauthVersionMax="47" xr10:uidLastSave="{00000000-0000-0000-0000-000000000000}"/>
  <bookViews>
    <workbookView xWindow="-120" yWindow="-120" windowWidth="20730" windowHeight="11160" xr2:uid="{00000000-000D-0000-FFFF-FFFF00000000}"/>
  </bookViews>
  <sheets>
    <sheet name="IN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D23" i="2" l="1"/>
  <c r="Y23" i="2"/>
  <c r="G23" i="2"/>
  <c r="F23" i="2"/>
  <c r="D23" i="2"/>
  <c r="AD18" i="2"/>
  <c r="AA18" i="2"/>
  <c r="Y18" i="2"/>
  <c r="G18" i="2"/>
  <c r="F18" i="2"/>
  <c r="D18" i="2"/>
  <c r="AD13" i="2"/>
  <c r="AA13" i="2"/>
  <c r="Y13" i="2"/>
  <c r="G13" i="2"/>
  <c r="D13" i="2"/>
  <c r="G8" i="2"/>
  <c r="H8" i="2"/>
  <c r="D8" i="2"/>
  <c r="AD8" i="2"/>
  <c r="AA8" i="2"/>
  <c r="Y8" i="2"/>
  <c r="AD7" i="2"/>
  <c r="AD9" i="2"/>
  <c r="AA6" i="2"/>
  <c r="AB6" i="2"/>
  <c r="AC6" i="2"/>
  <c r="AD10" i="2"/>
  <c r="Y9" i="2"/>
  <c r="Y10" i="2" s="1"/>
  <c r="Y36" i="2"/>
  <c r="Y37" i="2" s="1"/>
  <c r="AA9" i="2"/>
  <c r="AA11" i="2" s="1"/>
  <c r="Z9" i="2"/>
  <c r="Z11" i="2" s="1"/>
  <c r="AA7" i="2"/>
  <c r="Y7" i="2"/>
  <c r="X5" i="2"/>
  <c r="X6" i="2" s="1"/>
  <c r="Z5" i="2"/>
  <c r="AF34" i="2"/>
  <c r="AF33" i="2"/>
  <c r="AF32" i="2"/>
  <c r="AF31" i="2"/>
  <c r="F22" i="2"/>
  <c r="F21" i="2"/>
  <c r="F20" i="2"/>
  <c r="F19" i="2"/>
  <c r="F10" i="2"/>
  <c r="F11" i="2" s="1"/>
  <c r="F12" i="2" s="1"/>
  <c r="F13" i="2" s="1"/>
  <c r="K5" i="2"/>
  <c r="K6" i="2" s="1"/>
  <c r="K7" i="2" s="1"/>
  <c r="K9" i="2" l="1"/>
  <c r="F7" i="2" s="1"/>
  <c r="K8" i="2"/>
  <c r="Y11" i="2"/>
  <c r="Z10" i="2" l="1"/>
  <c r="Z6" i="2" s="1"/>
  <c r="F6" i="2"/>
  <c r="F5" i="2" s="1"/>
  <c r="F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2" authorId="0" shapeId="0" xr:uid="{00000000-0006-0000-0000-000001000000}">
      <text>
        <r>
          <rPr>
            <b/>
            <sz val="8"/>
            <color indexed="81"/>
            <rFont val="Tahoma"/>
            <family val="2"/>
          </rPr>
          <t>Insert Table</t>
        </r>
      </text>
    </comment>
  </commentList>
</comments>
</file>

<file path=xl/sharedStrings.xml><?xml version="1.0" encoding="utf-8"?>
<sst xmlns="http://schemas.openxmlformats.org/spreadsheetml/2006/main" count="128" uniqueCount="76">
  <si>
    <t>Year</t>
  </si>
  <si>
    <t>Pset_PN</t>
  </si>
  <si>
    <t>Cset_CN</t>
  </si>
  <si>
    <t>Attribute</t>
  </si>
  <si>
    <t>LimType</t>
  </si>
  <si>
    <t>~TFM_INS</t>
  </si>
  <si>
    <t>TimeSlice</t>
  </si>
  <si>
    <t>AllRegions</t>
  </si>
  <si>
    <t>Trans - Insert</t>
  </si>
  <si>
    <t>SNK_DAC</t>
  </si>
  <si>
    <t>VDA_FLOP</t>
  </si>
  <si>
    <t>ELCMED</t>
  </si>
  <si>
    <t>KWh</t>
  </si>
  <si>
    <t>MJ</t>
  </si>
  <si>
    <t>GJ per ton</t>
  </si>
  <si>
    <t>TJ per ton</t>
  </si>
  <si>
    <t>PJ per kton</t>
  </si>
  <si>
    <t>NCAP_COST</t>
  </si>
  <si>
    <t>NCAP_FOM</t>
  </si>
  <si>
    <t xml:space="preserve">https://www.cell.com/joule/fulltext/S2542-4351(18)30225-3 </t>
  </si>
  <si>
    <t>ACT_COST</t>
  </si>
  <si>
    <t>SNK_DAC_GAS</t>
  </si>
  <si>
    <t>A Process for Capturing CO2 from the Atmosphere</t>
  </si>
  <si>
    <t>13.4 t/h CH4 equals 36.9 t/h CO2.</t>
  </si>
  <si>
    <t>(44/16)</t>
  </si>
  <si>
    <t>(Check: 670 GJ/h x 56 = 37.5 t/h CO2)</t>
  </si>
  <si>
    <t>On a total of 171 t/h that is mostly CO2</t>
  </si>
  <si>
    <t>Does all CO2 go to ?</t>
  </si>
  <si>
    <t>13.4 t/h CH4 + 6.3 t/h CH4  =&gt; 54 t/h CO2.</t>
  </si>
  <si>
    <t>0.06% -0.016% (IN-OUT) on a mass basis with 25100 t/h = 112 t/h CO2</t>
  </si>
  <si>
    <t>Sensitivities included</t>
  </si>
  <si>
    <t>Scenario</t>
  </si>
  <si>
    <t>Gas Input</t>
  </si>
  <si>
    <t>a</t>
  </si>
  <si>
    <r>
      <t>Gas and electrical inputs as well as levelized cost are all per ton CO</t>
    </r>
    <r>
      <rPr>
        <b/>
        <sz val="8.25"/>
        <color indexed="57"/>
        <rFont val="Arial"/>
        <family val="2"/>
      </rPr>
      <t>2</t>
    </r>
    <r>
      <rPr>
        <b/>
        <sz val="12"/>
        <color indexed="57"/>
        <rFont val="Arial"/>
        <family val="2"/>
      </rPr>
      <t xml:space="preserve"> capture from the atmosphere.</t>
    </r>
  </si>
  <si>
    <r>
      <t>(GJ/t-CO</t>
    </r>
    <r>
      <rPr>
        <b/>
        <sz val="8.25"/>
        <color indexed="57"/>
        <rFont val="Arial"/>
        <family val="2"/>
      </rPr>
      <t>2</t>
    </r>
    <r>
      <rPr>
        <b/>
        <sz val="12"/>
        <color indexed="57"/>
        <rFont val="Arial"/>
        <family val="2"/>
      </rPr>
      <t>)</t>
    </r>
  </si>
  <si>
    <t>Electricity Input</t>
  </si>
  <si>
    <r>
      <t>(kWh/t-CO</t>
    </r>
    <r>
      <rPr>
        <b/>
        <sz val="8.25"/>
        <color indexed="57"/>
        <rFont val="Arial"/>
        <family val="2"/>
      </rPr>
      <t>2</t>
    </r>
    <r>
      <rPr>
        <b/>
        <sz val="12"/>
        <color indexed="57"/>
        <rFont val="Arial"/>
        <family val="2"/>
      </rPr>
      <t>)</t>
    </r>
  </si>
  <si>
    <t>C-Gas/C-Air</t>
  </si>
  <si>
    <r>
      <t>Capital $ per t-CO</t>
    </r>
    <r>
      <rPr>
        <b/>
        <sz val="8.25"/>
        <color indexed="57"/>
        <rFont val="Arial"/>
        <family val="2"/>
      </rPr>
      <t>2</t>
    </r>
    <r>
      <rPr>
        <b/>
        <sz val="12"/>
        <color indexed="57"/>
        <rFont val="Arial"/>
        <family val="2"/>
      </rPr>
      <t>/year</t>
    </r>
  </si>
  <si>
    <t>O&amp;M</t>
  </si>
  <si>
    <t>b</t>
  </si>
  <si>
    <t>Non-energy O&amp;M expressed as fixed per unit of capacity with variable costs including cost of make-up streams included and converted equivalent fixed costs using 90% utilization.</t>
  </si>
  <si>
    <r>
      <t>($/t-CO</t>
    </r>
    <r>
      <rPr>
        <b/>
        <sz val="8.25"/>
        <color indexed="57"/>
        <rFont val="Arial"/>
        <family val="2"/>
      </rPr>
      <t>2</t>
    </r>
    <r>
      <rPr>
        <b/>
        <sz val="12"/>
        <color indexed="57"/>
        <rFont val="Arial"/>
        <family val="2"/>
      </rPr>
      <t>)</t>
    </r>
  </si>
  <si>
    <t>Levelized</t>
  </si>
  <si>
    <t>CRF</t>
  </si>
  <si>
    <t>c</t>
  </si>
  <si>
    <t>CRF is the average capital recovery factor defined in the section on Process Economics. Calculations assume NG at 3.5 $/GJ and a 90% utilization. For the C and D variants levelized costs are shown as a range using electricity at 30 and 60 $/MWhr.</t>
  </si>
  <si>
    <r>
      <t>A: Baseline: gas fired → 15 MPa CO</t>
    </r>
    <r>
      <rPr>
        <sz val="8.25"/>
        <color indexed="63"/>
        <rFont val="Arial"/>
        <family val="2"/>
      </rPr>
      <t>2</t>
    </r>
    <r>
      <rPr>
        <sz val="11"/>
        <color indexed="63"/>
        <rFont val="Arial"/>
        <family val="2"/>
      </rPr>
      <t xml:space="preserve"> output</t>
    </r>
  </si>
  <si>
    <r>
      <t>B: Baseline with N</t>
    </r>
    <r>
      <rPr>
        <sz val="8.25"/>
        <color indexed="63"/>
        <rFont val="Arial"/>
        <family val="2"/>
      </rPr>
      <t>th</t>
    </r>
    <r>
      <rPr>
        <sz val="11"/>
        <color indexed="63"/>
        <rFont val="Arial"/>
        <family val="2"/>
      </rPr>
      <t xml:space="preserve"> plant financials</t>
    </r>
  </si>
  <si>
    <r>
      <t>C: Gas and electricity input → 15 MPa CO</t>
    </r>
    <r>
      <rPr>
        <sz val="8.25"/>
        <color indexed="63"/>
        <rFont val="Arial"/>
        <family val="2"/>
      </rPr>
      <t>2</t>
    </r>
    <r>
      <rPr>
        <sz val="11"/>
        <color indexed="63"/>
        <rFont val="Arial"/>
        <family val="2"/>
      </rPr>
      <t xml:space="preserve"> output</t>
    </r>
  </si>
  <si>
    <t>113–124</t>
  </si>
  <si>
    <t>152–163</t>
  </si>
  <si>
    <r>
      <t>D: Gas and electricity input → 0.1 MPa CO</t>
    </r>
    <r>
      <rPr>
        <sz val="8.25"/>
        <color indexed="63"/>
        <rFont val="Arial"/>
        <family val="2"/>
      </rPr>
      <t>2</t>
    </r>
    <r>
      <rPr>
        <sz val="11"/>
        <color indexed="63"/>
        <rFont val="Arial"/>
        <family val="2"/>
      </rPr>
      <t xml:space="preserve"> output assuming zero cost O</t>
    </r>
    <r>
      <rPr>
        <sz val="8.25"/>
        <color indexed="63"/>
        <rFont val="Arial"/>
        <family val="2"/>
      </rPr>
      <t>2</t>
    </r>
  </si>
  <si>
    <t>94–97</t>
  </si>
  <si>
    <t>128–130</t>
  </si>
  <si>
    <t>A: Baseline: gas fired → 15 MPa CO2 output</t>
  </si>
  <si>
    <t>C: Gas and electricity input → 15 MPa CO2 output</t>
  </si>
  <si>
    <t>GAS input</t>
  </si>
  <si>
    <t xml:space="preserve"> ELEC input</t>
  </si>
  <si>
    <t>VAROM</t>
  </si>
  <si>
    <t>Original data from different sources</t>
  </si>
  <si>
    <t>All electric (NO REFERENCES ?) - Hydrogen as proxy</t>
  </si>
  <si>
    <t>Hydrogen fuelled - most probably more expensive than any competing technology.</t>
  </si>
  <si>
    <t>kwh/ton</t>
  </si>
  <si>
    <t>ton CO2 per ton CO2</t>
  </si>
  <si>
    <t>2900 to 1485</t>
  </si>
  <si>
    <t>CAPEX</t>
  </si>
  <si>
    <t xml:space="preserve">We don’t model this variant to keep freedom of power production (including gas with CCS). Also, without underground storage, you simply have to much positive emissions. Indirect CO2 from electricity may make CO2 price higher in scenarios with underground storage. </t>
  </si>
  <si>
    <t>SNKCO2N</t>
  </si>
  <si>
    <t>SUPSCO2N</t>
  </si>
  <si>
    <t>Heat input</t>
  </si>
  <si>
    <t>Sensitivity for LCEO</t>
  </si>
  <si>
    <t>This is the variant included in the sensitivity - should only be used in case of P2L (see explanation paper).</t>
  </si>
  <si>
    <t>Higher pressure, requires more electricity; not only for P2L (should be used for underground storage)</t>
  </si>
  <si>
    <t>Heat as an input may be TOO flexible (as the temperature from CHP heat is for example too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</si>
</sst>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Calibri"/>
      <family val="2"/>
      <scheme val="minor"/>
    </font>
    <font>
      <sz val="11"/>
      <color indexed="8"/>
      <name val="Calibri"/>
      <family val="2"/>
    </font>
    <font>
      <b/>
      <sz val="10"/>
      <name val="Arial"/>
      <family val="2"/>
    </font>
    <font>
      <sz val="10"/>
      <name val="Arial"/>
      <family val="2"/>
    </font>
    <font>
      <b/>
      <sz val="10"/>
      <color indexed="12"/>
      <name val="Arial"/>
      <family val="2"/>
    </font>
    <font>
      <b/>
      <sz val="8"/>
      <color indexed="81"/>
      <name val="Tahoma"/>
      <family val="2"/>
    </font>
    <font>
      <b/>
      <sz val="12"/>
      <color indexed="57"/>
      <name val="Arial"/>
      <family val="2"/>
    </font>
    <font>
      <b/>
      <sz val="8.25"/>
      <color indexed="57"/>
      <name val="Arial"/>
      <family val="2"/>
    </font>
    <font>
      <sz val="11"/>
      <color indexed="63"/>
      <name val="Arial"/>
      <family val="2"/>
    </font>
    <font>
      <sz val="8.25"/>
      <color indexed="63"/>
      <name val="Arial"/>
      <family val="2"/>
    </font>
    <font>
      <u/>
      <sz val="11"/>
      <color theme="10"/>
      <name val="Calibri"/>
      <family val="2"/>
      <scheme val="minor"/>
    </font>
    <font>
      <b/>
      <sz val="11"/>
      <color theme="1"/>
      <name val="Calibri"/>
      <family val="2"/>
      <scheme val="minor"/>
    </font>
    <font>
      <sz val="12"/>
      <color rgb="FFFFFFFF"/>
      <name val="Arial"/>
      <family val="2"/>
    </font>
    <font>
      <b/>
      <sz val="12"/>
      <color rgb="FF198D8E"/>
      <name val="Arial"/>
      <family val="2"/>
    </font>
    <font>
      <sz val="11"/>
      <color rgb="FF505050"/>
      <name val="Arial"/>
      <family val="2"/>
    </font>
    <font>
      <strike/>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rgb="FFFFFFFF"/>
        <bgColor indexed="64"/>
      </patternFill>
    </fill>
  </fills>
  <borders count="5">
    <border>
      <left/>
      <right/>
      <top/>
      <bottom/>
      <diagonal/>
    </border>
    <border>
      <left/>
      <right/>
      <top style="thin">
        <color indexed="64"/>
      </top>
      <bottom style="medium">
        <color indexed="64"/>
      </bottom>
      <diagonal/>
    </border>
    <border>
      <left/>
      <right/>
      <top style="medium">
        <color rgb="FFC0C0C0"/>
      </top>
      <bottom/>
      <diagonal/>
    </border>
    <border>
      <left/>
      <right/>
      <top/>
      <bottom style="medium">
        <color rgb="FFC0C0C0"/>
      </bottom>
      <diagonal/>
    </border>
    <border>
      <left/>
      <right/>
      <top style="medium">
        <color rgb="FFC0C0C0"/>
      </top>
      <bottom style="medium">
        <color rgb="FFC0C0C0"/>
      </bottom>
      <diagonal/>
    </border>
  </borders>
  <cellStyleXfs count="4">
    <xf numFmtId="0" fontId="0" fillId="0" borderId="0"/>
    <xf numFmtId="0" fontId="10" fillId="0" borderId="0" applyNumberFormat="0" applyFill="0" applyBorder="0" applyAlignment="0" applyProtection="0"/>
    <xf numFmtId="0" fontId="3" fillId="0" borderId="0"/>
    <xf numFmtId="0" fontId="1" fillId="0" borderId="0"/>
  </cellStyleXfs>
  <cellXfs count="32">
    <xf numFmtId="0" fontId="0" fillId="0" borderId="0" xfId="0"/>
    <xf numFmtId="0" fontId="4" fillId="0" borderId="0" xfId="0" applyFont="1"/>
    <xf numFmtId="0" fontId="2" fillId="0" borderId="0" xfId="0" applyFont="1" applyAlignment="1">
      <alignment horizontal="center"/>
    </xf>
    <xf numFmtId="0" fontId="2" fillId="2" borderId="1" xfId="0" applyFont="1" applyFill="1" applyBorder="1"/>
    <xf numFmtId="0" fontId="2" fillId="3" borderId="1" xfId="0" applyFont="1" applyFill="1" applyBorder="1"/>
    <xf numFmtId="0" fontId="3" fillId="2" borderId="1" xfId="0" applyFont="1" applyFill="1" applyBorder="1"/>
    <xf numFmtId="164" fontId="0" fillId="0" borderId="0" xfId="0" applyNumberFormat="1"/>
    <xf numFmtId="0" fontId="10" fillId="0" borderId="0" xfId="1"/>
    <xf numFmtId="0" fontId="12" fillId="0" borderId="0" xfId="0" applyFont="1"/>
    <xf numFmtId="0" fontId="11" fillId="0" borderId="0" xfId="0" applyFont="1"/>
    <xf numFmtId="0" fontId="13" fillId="4" borderId="2" xfId="0" applyFont="1" applyFill="1" applyBorder="1" applyAlignment="1">
      <alignment horizontal="left"/>
    </xf>
    <xf numFmtId="0" fontId="10" fillId="4" borderId="0" xfId="1" applyFill="1" applyAlignment="1">
      <alignment horizontal="left" vertical="center"/>
    </xf>
    <xf numFmtId="0" fontId="13" fillId="4" borderId="0" xfId="0" applyFont="1" applyFill="1" applyAlignment="1">
      <alignment horizontal="left" vertical="center"/>
    </xf>
    <xf numFmtId="0" fontId="13" fillId="4" borderId="0" xfId="0" applyFont="1" applyFill="1" applyAlignment="1">
      <alignment horizontal="left"/>
    </xf>
    <xf numFmtId="0" fontId="13" fillId="4" borderId="3" xfId="0" applyFont="1" applyFill="1" applyBorder="1" applyAlignment="1">
      <alignment horizontal="left"/>
    </xf>
    <xf numFmtId="10" fontId="13" fillId="4" borderId="4" xfId="0" applyNumberFormat="1" applyFont="1" applyFill="1" applyBorder="1" applyAlignment="1">
      <alignment horizontal="left"/>
    </xf>
    <xf numFmtId="0" fontId="14" fillId="0" borderId="0" xfId="0" applyFont="1" applyAlignment="1">
      <alignment horizontal="left" vertical="center"/>
    </xf>
    <xf numFmtId="3" fontId="14" fillId="0" borderId="0" xfId="0" applyNumberFormat="1" applyFont="1" applyAlignment="1">
      <alignment horizontal="left" vertical="center"/>
    </xf>
    <xf numFmtId="0" fontId="14" fillId="0" borderId="3" xfId="0" applyFont="1" applyBorder="1" applyAlignment="1">
      <alignment horizontal="left" vertical="center"/>
    </xf>
    <xf numFmtId="2" fontId="0" fillId="0" borderId="0" xfId="0" applyNumberFormat="1"/>
    <xf numFmtId="1" fontId="0" fillId="0" borderId="0" xfId="0" applyNumberFormat="1"/>
    <xf numFmtId="0" fontId="15" fillId="0" borderId="0" xfId="0" applyFont="1"/>
    <xf numFmtId="3" fontId="15" fillId="0" borderId="0" xfId="0" applyNumberFormat="1" applyFont="1"/>
    <xf numFmtId="0" fontId="13" fillId="4" borderId="2" xfId="0" applyFont="1" applyFill="1" applyBorder="1" applyAlignment="1">
      <alignment horizontal="left"/>
    </xf>
    <xf numFmtId="0" fontId="13" fillId="4" borderId="0" xfId="0" applyFont="1" applyFill="1" applyAlignment="1">
      <alignment horizontal="left"/>
    </xf>
    <xf numFmtId="0" fontId="13" fillId="4" borderId="3" xfId="0" applyFont="1" applyFill="1" applyBorder="1" applyAlignment="1">
      <alignment horizontal="left"/>
    </xf>
    <xf numFmtId="0" fontId="10" fillId="4" borderId="0" xfId="1" applyFill="1" applyAlignment="1">
      <alignment horizontal="left" vertical="center"/>
    </xf>
    <xf numFmtId="0" fontId="13" fillId="4" borderId="0" xfId="0" applyFont="1" applyFill="1" applyAlignment="1">
      <alignment horizontal="left" vertical="center"/>
    </xf>
    <xf numFmtId="0" fontId="13" fillId="4" borderId="3" xfId="0" applyFont="1" applyFill="1" applyBorder="1" applyAlignment="1">
      <alignment horizontal="left" vertical="center"/>
    </xf>
    <xf numFmtId="0" fontId="16" fillId="0" borderId="0" xfId="0" applyFont="1"/>
    <xf numFmtId="164" fontId="16" fillId="0" borderId="0" xfId="0" applyNumberFormat="1" applyFont="1"/>
    <xf numFmtId="0" fontId="13" fillId="4" borderId="0" xfId="0" applyFont="1" applyFill="1" applyBorder="1" applyAlignment="1">
      <alignment horizontal="left"/>
    </xf>
  </cellXfs>
  <cellStyles count="4">
    <cellStyle name="Hyperlink" xfId="1" builtinId="8"/>
    <cellStyle name="Normal" xfId="0" builtinId="0"/>
    <cellStyle name="Normal 10" xfId="2" xr:uid="{00000000-0005-0000-0000-000002000000}"/>
    <cellStyle name="Normale_Scen_UC_IND-StrucConst"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171450</xdr:colOff>
      <xdr:row>25</xdr:row>
      <xdr:rowOff>47625</xdr:rowOff>
    </xdr:from>
    <xdr:to>
      <xdr:col>21</xdr:col>
      <xdr:colOff>19050</xdr:colOff>
      <xdr:row>61</xdr:row>
      <xdr:rowOff>142875</xdr:rowOff>
    </xdr:to>
    <xdr:pic>
      <xdr:nvPicPr>
        <xdr:cNvPr id="1039" name="Picture 1" descr="D:\Temporary for restart\untitled.png">
          <a:extLst>
            <a:ext uri="{FF2B5EF4-FFF2-40B4-BE49-F238E27FC236}">
              <a16:creationId xmlns:a16="http://schemas.microsoft.com/office/drawing/2014/main" id="{F734070B-4C86-4582-B62D-C7E3D5151A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48400" y="4114800"/>
          <a:ext cx="11220450" cy="7038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cell.com/joule/fulltext/S2542-4351(18)30225-3" TargetMode="External"/><Relationship Id="rId7" Type="http://schemas.openxmlformats.org/officeDocument/2006/relationships/printerSettings" Target="../printerSettings/printerSettings1.bin"/><Relationship Id="rId2" Type="http://schemas.openxmlformats.org/officeDocument/2006/relationships/hyperlink" Target="https://www.cell.com/joule/fulltext/S2542-4351(18)30225-3" TargetMode="External"/><Relationship Id="rId1" Type="http://schemas.openxmlformats.org/officeDocument/2006/relationships/hyperlink" Target="https://www.cell.com/joule/fulltext/S2542-4351(18)30225-3" TargetMode="External"/><Relationship Id="rId6" Type="http://schemas.openxmlformats.org/officeDocument/2006/relationships/hyperlink" Target="https://www.cell.com/joule/fulltext/S2542-4351(18)30225-3" TargetMode="External"/><Relationship Id="rId5" Type="http://schemas.openxmlformats.org/officeDocument/2006/relationships/hyperlink" Target="https://www.cell.com/joule/fulltext/S2542-4351(18)30225-3" TargetMode="External"/><Relationship Id="rId10" Type="http://schemas.openxmlformats.org/officeDocument/2006/relationships/comments" Target="../comments1.xml"/><Relationship Id="rId4" Type="http://schemas.openxmlformats.org/officeDocument/2006/relationships/hyperlink" Target="https://www.cell.com/joule/fulltext/S2542-4351(18)30225-3"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7"/>
  <sheetViews>
    <sheetView tabSelected="1" topLeftCell="A8" workbookViewId="0">
      <selection activeCell="A23" sqref="A23:XFD23"/>
    </sheetView>
  </sheetViews>
  <sheetFormatPr defaultRowHeight="15" x14ac:dyDescent="0.25"/>
  <cols>
    <col min="2" max="2" width="10.140625" bestFit="1" customWidth="1"/>
    <col min="3" max="3" width="8.85546875" bestFit="1" customWidth="1"/>
    <col min="4" max="4" width="13" customWidth="1"/>
    <col min="5" max="5" width="5.140625" bestFit="1" customWidth="1"/>
    <col min="6" max="6" width="10.7109375" bestFit="1" customWidth="1"/>
    <col min="7" max="7" width="16.5703125" customWidth="1"/>
    <col min="8" max="8" width="8.42578125" bestFit="1" customWidth="1"/>
    <col min="11" max="11" width="70" customWidth="1"/>
    <col min="22" max="22" width="17.42578125" customWidth="1"/>
    <col min="23" max="23" width="52.85546875" customWidth="1"/>
    <col min="24" max="24" width="12" bestFit="1" customWidth="1"/>
    <col min="25" max="25" width="18.42578125" bestFit="1" customWidth="1"/>
    <col min="26" max="26" width="16.7109375" customWidth="1"/>
    <col min="28" max="28" width="11" customWidth="1"/>
    <col min="29" max="29" width="12.7109375" customWidth="1"/>
  </cols>
  <sheetData>
    <row r="1" spans="1:31" x14ac:dyDescent="0.25">
      <c r="A1" t="s">
        <v>8</v>
      </c>
    </row>
    <row r="2" spans="1:31" x14ac:dyDescent="0.25">
      <c r="B2" s="1" t="s">
        <v>5</v>
      </c>
      <c r="G2" s="2"/>
      <c r="H2" s="2"/>
      <c r="K2" s="7" t="s">
        <v>19</v>
      </c>
    </row>
    <row r="3" spans="1:31" ht="15.75" thickBot="1" x14ac:dyDescent="0.3">
      <c r="B3" s="3" t="s">
        <v>6</v>
      </c>
      <c r="C3" s="3" t="s">
        <v>4</v>
      </c>
      <c r="D3" s="3" t="s">
        <v>3</v>
      </c>
      <c r="E3" s="3" t="s">
        <v>0</v>
      </c>
      <c r="F3" s="4" t="s">
        <v>7</v>
      </c>
      <c r="G3" s="5" t="s">
        <v>1</v>
      </c>
      <c r="H3" s="5" t="s">
        <v>2</v>
      </c>
      <c r="K3" t="s">
        <v>22</v>
      </c>
      <c r="V3" t="s">
        <v>30</v>
      </c>
    </row>
    <row r="4" spans="1:31" x14ac:dyDescent="0.25">
      <c r="D4" t="s">
        <v>10</v>
      </c>
      <c r="E4">
        <v>2010</v>
      </c>
      <c r="F4">
        <v>2.5000000000000001E-3</v>
      </c>
      <c r="G4" t="s">
        <v>9</v>
      </c>
      <c r="H4" t="s">
        <v>11</v>
      </c>
      <c r="K4">
        <v>77</v>
      </c>
      <c r="L4" t="s">
        <v>12</v>
      </c>
      <c r="X4" t="s">
        <v>71</v>
      </c>
      <c r="Y4" t="s">
        <v>58</v>
      </c>
      <c r="Z4" t="s">
        <v>59</v>
      </c>
      <c r="AA4" t="s">
        <v>67</v>
      </c>
      <c r="AB4" t="s">
        <v>60</v>
      </c>
      <c r="AC4" t="s">
        <v>69</v>
      </c>
      <c r="AD4" t="s">
        <v>70</v>
      </c>
    </row>
    <row r="5" spans="1:31" x14ac:dyDescent="0.25">
      <c r="D5" t="s">
        <v>10</v>
      </c>
      <c r="E5">
        <v>2020</v>
      </c>
      <c r="F5" s="6">
        <f>F6</f>
        <v>4.1580000000000002E-4</v>
      </c>
      <c r="G5" t="s">
        <v>9</v>
      </c>
      <c r="H5" t="s">
        <v>11</v>
      </c>
      <c r="K5">
        <f>K4*3.6</f>
        <v>277.2</v>
      </c>
      <c r="L5" t="s">
        <v>13</v>
      </c>
      <c r="V5" t="s">
        <v>9</v>
      </c>
      <c r="W5" t="s">
        <v>61</v>
      </c>
      <c r="X5" s="19">
        <f>0.005888*1000</f>
        <v>5.8879999999999999</v>
      </c>
      <c r="Z5" s="20">
        <f>0.00128/3.6*1000000</f>
        <v>355.5555555555556</v>
      </c>
      <c r="AA5" t="s">
        <v>66</v>
      </c>
      <c r="AC5">
        <v>1</v>
      </c>
      <c r="AE5" t="s">
        <v>75</v>
      </c>
    </row>
    <row r="6" spans="1:31" x14ac:dyDescent="0.25">
      <c r="D6" t="s">
        <v>10</v>
      </c>
      <c r="E6">
        <v>2030</v>
      </c>
      <c r="F6" s="6">
        <f>F7*1.5</f>
        <v>4.1580000000000002E-4</v>
      </c>
      <c r="G6" t="s">
        <v>9</v>
      </c>
      <c r="H6" t="s">
        <v>11</v>
      </c>
      <c r="K6">
        <f>K5/1000</f>
        <v>0.2772</v>
      </c>
      <c r="L6" t="s">
        <v>14</v>
      </c>
      <c r="V6" t="s">
        <v>9</v>
      </c>
      <c r="W6" t="s">
        <v>72</v>
      </c>
      <c r="X6" s="19">
        <f>X5</f>
        <v>5.8879999999999999</v>
      </c>
      <c r="Z6">
        <f>Z10</f>
        <v>77</v>
      </c>
      <c r="AA6">
        <f>AA10</f>
        <v>609</v>
      </c>
      <c r="AB6">
        <f>AB10</f>
        <v>23</v>
      </c>
      <c r="AC6">
        <f>AC10</f>
        <v>1</v>
      </c>
      <c r="AE6" t="s">
        <v>73</v>
      </c>
    </row>
    <row r="7" spans="1:31" x14ac:dyDescent="0.25">
      <c r="D7" t="s">
        <v>10</v>
      </c>
      <c r="E7">
        <v>2050</v>
      </c>
      <c r="F7" s="6">
        <f>K9</f>
        <v>2.7720000000000002E-4</v>
      </c>
      <c r="G7" t="s">
        <v>9</v>
      </c>
      <c r="H7" t="s">
        <v>11</v>
      </c>
      <c r="K7">
        <f>K6/1000</f>
        <v>2.7720000000000002E-4</v>
      </c>
      <c r="L7" t="s">
        <v>15</v>
      </c>
      <c r="V7" t="s">
        <v>21</v>
      </c>
      <c r="W7" s="21" t="s">
        <v>56</v>
      </c>
      <c r="Y7" s="21">
        <f>X31</f>
        <v>8.81</v>
      </c>
      <c r="Z7" s="21">
        <v>0</v>
      </c>
      <c r="AA7" s="22">
        <f>AA31</f>
        <v>1146</v>
      </c>
      <c r="AB7" s="21"/>
      <c r="AC7" s="21">
        <v>1</v>
      </c>
      <c r="AD7" s="21">
        <f>Z31</f>
        <v>0.48</v>
      </c>
      <c r="AE7" t="s">
        <v>68</v>
      </c>
    </row>
    <row r="8" spans="1:31" x14ac:dyDescent="0.25">
      <c r="D8" s="29" t="str">
        <f>D7</f>
        <v>VDA_FLOP</v>
      </c>
      <c r="E8" s="29">
        <v>2070</v>
      </c>
      <c r="F8" s="30">
        <f>F7</f>
        <v>2.7720000000000002E-4</v>
      </c>
      <c r="G8" s="30" t="str">
        <f t="shared" ref="G8:H8" si="0">G7</f>
        <v>SNK_DAC</v>
      </c>
      <c r="H8" s="30" t="str">
        <f t="shared" si="0"/>
        <v>ELCMED</v>
      </c>
      <c r="K8">
        <f>K7/1000</f>
        <v>2.7720000000000002E-7</v>
      </c>
      <c r="L8" t="s">
        <v>15</v>
      </c>
      <c r="V8" t="s">
        <v>21</v>
      </c>
      <c r="W8" s="21" t="s">
        <v>56</v>
      </c>
      <c r="Y8" s="21">
        <f>X32</f>
        <v>8.81</v>
      </c>
      <c r="Z8" s="21">
        <v>0</v>
      </c>
      <c r="AA8" s="22">
        <f>AA32</f>
        <v>793</v>
      </c>
      <c r="AB8" s="21"/>
      <c r="AC8" s="21">
        <v>1</v>
      </c>
      <c r="AD8" s="21">
        <f>Z32</f>
        <v>0.48</v>
      </c>
      <c r="AE8" t="s">
        <v>68</v>
      </c>
    </row>
    <row r="9" spans="1:31" x14ac:dyDescent="0.25">
      <c r="D9" t="s">
        <v>17</v>
      </c>
      <c r="E9">
        <v>2010</v>
      </c>
      <c r="F9">
        <v>0.6</v>
      </c>
      <c r="G9" t="s">
        <v>9</v>
      </c>
      <c r="K9">
        <f>K7</f>
        <v>2.7720000000000002E-4</v>
      </c>
      <c r="L9" t="s">
        <v>16</v>
      </c>
      <c r="V9" t="s">
        <v>21</v>
      </c>
      <c r="W9" t="s">
        <v>57</v>
      </c>
      <c r="Y9" s="19">
        <f>X33</f>
        <v>5.25</v>
      </c>
      <c r="Z9">
        <f>Y33</f>
        <v>366</v>
      </c>
      <c r="AA9">
        <f>AA33</f>
        <v>694</v>
      </c>
      <c r="AC9">
        <v>1</v>
      </c>
      <c r="AD9">
        <f>Z33</f>
        <v>0.3</v>
      </c>
      <c r="AE9" t="s">
        <v>74</v>
      </c>
    </row>
    <row r="10" spans="1:31" ht="15.75" thickBot="1" x14ac:dyDescent="0.3">
      <c r="D10" t="s">
        <v>17</v>
      </c>
      <c r="E10">
        <v>2020</v>
      </c>
      <c r="F10">
        <f>F9</f>
        <v>0.6</v>
      </c>
      <c r="G10" t="s">
        <v>9</v>
      </c>
      <c r="V10" t="s">
        <v>21</v>
      </c>
      <c r="W10" s="18" t="s">
        <v>53</v>
      </c>
      <c r="Y10" s="19">
        <f>Y9</f>
        <v>5.25</v>
      </c>
      <c r="Z10">
        <f>K9/3.6*1000000</f>
        <v>77</v>
      </c>
      <c r="AA10">
        <v>609</v>
      </c>
      <c r="AB10">
        <v>23</v>
      </c>
      <c r="AC10">
        <v>1</v>
      </c>
      <c r="AD10">
        <f>Z34</f>
        <v>0.3</v>
      </c>
    </row>
    <row r="11" spans="1:31" x14ac:dyDescent="0.25">
      <c r="D11" t="s">
        <v>17</v>
      </c>
      <c r="E11">
        <v>2030</v>
      </c>
      <c r="F11">
        <f>F10</f>
        <v>0.6</v>
      </c>
      <c r="G11" t="s">
        <v>9</v>
      </c>
      <c r="V11" t="s">
        <v>21</v>
      </c>
      <c r="W11" t="s">
        <v>62</v>
      </c>
      <c r="Y11" s="19">
        <f>Y9</f>
        <v>5.25</v>
      </c>
      <c r="Z11">
        <f>Z9</f>
        <v>366</v>
      </c>
      <c r="AA11">
        <f>AA9</f>
        <v>694</v>
      </c>
      <c r="AE11" t="s">
        <v>63</v>
      </c>
    </row>
    <row r="12" spans="1:31" ht="15.75" x14ac:dyDescent="0.25">
      <c r="D12" t="s">
        <v>17</v>
      </c>
      <c r="E12">
        <v>2050</v>
      </c>
      <c r="F12">
        <f>F11</f>
        <v>0.6</v>
      </c>
      <c r="G12" t="s">
        <v>9</v>
      </c>
      <c r="K12" s="8"/>
    </row>
    <row r="13" spans="1:31" x14ac:dyDescent="0.25">
      <c r="D13" s="29" t="str">
        <f>D12</f>
        <v>NCAP_COST</v>
      </c>
      <c r="E13" s="29">
        <v>2070</v>
      </c>
      <c r="F13" s="30">
        <f>F12</f>
        <v>0.6</v>
      </c>
      <c r="G13" s="30" t="str">
        <f t="shared" ref="G13" si="1">G12</f>
        <v>SNK_DAC</v>
      </c>
      <c r="H13" s="30"/>
      <c r="V13" t="s">
        <v>21</v>
      </c>
      <c r="W13" s="21" t="s">
        <v>56</v>
      </c>
      <c r="Y13" s="21">
        <f>X37</f>
        <v>0</v>
      </c>
      <c r="Z13" s="21">
        <v>0</v>
      </c>
      <c r="AA13" s="22">
        <f>AA37</f>
        <v>0</v>
      </c>
      <c r="AB13" s="21"/>
      <c r="AC13" s="21">
        <v>1</v>
      </c>
      <c r="AD13" s="21" t="str">
        <f>Z37</f>
        <v>ton CO2 per ton CO2</v>
      </c>
      <c r="AE13" t="s">
        <v>68</v>
      </c>
    </row>
    <row r="14" spans="1:31" x14ac:dyDescent="0.25">
      <c r="D14" t="s">
        <v>18</v>
      </c>
      <c r="E14">
        <v>2010</v>
      </c>
      <c r="F14">
        <v>0</v>
      </c>
      <c r="G14" t="s">
        <v>9</v>
      </c>
      <c r="K14" s="9" t="s">
        <v>27</v>
      </c>
    </row>
    <row r="15" spans="1:31" x14ac:dyDescent="0.25">
      <c r="D15" t="s">
        <v>18</v>
      </c>
      <c r="E15">
        <v>2020</v>
      </c>
      <c r="F15">
        <v>0</v>
      </c>
      <c r="G15" t="s">
        <v>9</v>
      </c>
      <c r="K15" t="s">
        <v>28</v>
      </c>
      <c r="L15" t="s">
        <v>25</v>
      </c>
    </row>
    <row r="16" spans="1:31" x14ac:dyDescent="0.25">
      <c r="D16" t="s">
        <v>18</v>
      </c>
      <c r="E16">
        <v>2030</v>
      </c>
      <c r="F16">
        <v>0</v>
      </c>
      <c r="G16" t="s">
        <v>9</v>
      </c>
      <c r="L16" t="s">
        <v>23</v>
      </c>
    </row>
    <row r="17" spans="4:32" x14ac:dyDescent="0.25">
      <c r="D17" t="s">
        <v>18</v>
      </c>
      <c r="E17">
        <v>2050</v>
      </c>
      <c r="F17">
        <v>0</v>
      </c>
      <c r="G17" t="s">
        <v>9</v>
      </c>
      <c r="L17" t="s">
        <v>24</v>
      </c>
    </row>
    <row r="18" spans="4:32" x14ac:dyDescent="0.25">
      <c r="D18" s="29" t="str">
        <f>D17</f>
        <v>NCAP_FOM</v>
      </c>
      <c r="E18" s="29">
        <v>2070</v>
      </c>
      <c r="F18" s="30">
        <f>F17</f>
        <v>0</v>
      </c>
      <c r="G18" s="30" t="str">
        <f t="shared" ref="G18" si="2">G17</f>
        <v>SNK_DAC</v>
      </c>
      <c r="H18" s="30"/>
      <c r="V18" t="s">
        <v>21</v>
      </c>
      <c r="W18" s="21" t="s">
        <v>56</v>
      </c>
      <c r="Y18" s="21">
        <f>X42</f>
        <v>0</v>
      </c>
      <c r="Z18" s="21">
        <v>0</v>
      </c>
      <c r="AA18" s="22">
        <f>AA42</f>
        <v>0</v>
      </c>
      <c r="AB18" s="21"/>
      <c r="AC18" s="21">
        <v>1</v>
      </c>
      <c r="AD18" s="21">
        <f>Z42</f>
        <v>0</v>
      </c>
      <c r="AE18" t="s">
        <v>68</v>
      </c>
    </row>
    <row r="19" spans="4:32" x14ac:dyDescent="0.25">
      <c r="D19" t="s">
        <v>20</v>
      </c>
      <c r="E19">
        <v>2010</v>
      </c>
      <c r="F19">
        <f>23/1000</f>
        <v>2.3E-2</v>
      </c>
      <c r="G19" t="s">
        <v>9</v>
      </c>
      <c r="K19" t="s">
        <v>26</v>
      </c>
    </row>
    <row r="20" spans="4:32" x14ac:dyDescent="0.25">
      <c r="D20" t="s">
        <v>20</v>
      </c>
      <c r="E20">
        <v>2020</v>
      </c>
      <c r="F20">
        <f>23/1000</f>
        <v>2.3E-2</v>
      </c>
      <c r="G20" t="s">
        <v>9</v>
      </c>
      <c r="K20" t="s">
        <v>29</v>
      </c>
    </row>
    <row r="21" spans="4:32" ht="16.5" thickBot="1" x14ac:dyDescent="0.3">
      <c r="D21" t="s">
        <v>20</v>
      </c>
      <c r="E21">
        <v>2030</v>
      </c>
      <c r="F21">
        <f>23/1000</f>
        <v>2.3E-2</v>
      </c>
      <c r="G21" t="s">
        <v>9</v>
      </c>
      <c r="W21" s="12" t="s">
        <v>34</v>
      </c>
    </row>
    <row r="22" spans="4:32" ht="15.75" x14ac:dyDescent="0.25">
      <c r="D22" t="s">
        <v>20</v>
      </c>
      <c r="E22">
        <v>2050</v>
      </c>
      <c r="F22">
        <f>23/1000</f>
        <v>2.3E-2</v>
      </c>
      <c r="G22" t="s">
        <v>9</v>
      </c>
      <c r="W22" s="23" t="s">
        <v>31</v>
      </c>
      <c r="X22" s="10" t="s">
        <v>32</v>
      </c>
      <c r="Y22" s="10" t="s">
        <v>36</v>
      </c>
      <c r="Z22" s="23" t="s">
        <v>38</v>
      </c>
      <c r="AA22" s="23" t="s">
        <v>39</v>
      </c>
      <c r="AB22" s="10" t="s">
        <v>40</v>
      </c>
      <c r="AC22" s="23" t="s">
        <v>44</v>
      </c>
      <c r="AD22" s="23"/>
    </row>
    <row r="23" spans="4:32" x14ac:dyDescent="0.25">
      <c r="D23" s="29" t="str">
        <f>D22</f>
        <v>ACT_COST</v>
      </c>
      <c r="E23" s="29">
        <v>2070</v>
      </c>
      <c r="F23" s="30">
        <f>F22</f>
        <v>2.3E-2</v>
      </c>
      <c r="G23" s="30" t="str">
        <f t="shared" ref="G23" si="3">G22</f>
        <v>SNK_DAC</v>
      </c>
      <c r="H23" s="30"/>
      <c r="V23" t="s">
        <v>21</v>
      </c>
      <c r="W23" s="31"/>
      <c r="Y23" s="21">
        <f>X47</f>
        <v>0</v>
      </c>
      <c r="Z23" s="31"/>
      <c r="AA23" s="31"/>
      <c r="AB23" s="21"/>
      <c r="AC23" s="21">
        <v>1</v>
      </c>
      <c r="AD23" s="21">
        <f>Z47</f>
        <v>0</v>
      </c>
      <c r="AE23" t="s">
        <v>68</v>
      </c>
    </row>
    <row r="24" spans="4:32" x14ac:dyDescent="0.25">
      <c r="W24" s="24"/>
      <c r="X24" s="11" t="s">
        <v>33</v>
      </c>
      <c r="Y24" s="11" t="s">
        <v>33</v>
      </c>
      <c r="Z24" s="24"/>
      <c r="AA24" s="24"/>
      <c r="AB24" s="11" t="s">
        <v>41</v>
      </c>
      <c r="AC24" s="26" t="s">
        <v>33</v>
      </c>
      <c r="AD24" s="26"/>
    </row>
    <row r="25" spans="4:32" ht="15.75" x14ac:dyDescent="0.25">
      <c r="W25" s="24"/>
      <c r="Y25" s="12"/>
      <c r="Z25" s="24"/>
      <c r="AA25" s="24"/>
      <c r="AB25" s="12" t="s">
        <v>42</v>
      </c>
      <c r="AC25" s="27" t="s">
        <v>34</v>
      </c>
      <c r="AD25" s="27"/>
    </row>
    <row r="26" spans="4:32" ht="16.5" thickBot="1" x14ac:dyDescent="0.3">
      <c r="W26" s="24"/>
      <c r="X26" s="13" t="s">
        <v>35</v>
      </c>
      <c r="Y26" s="13" t="s">
        <v>37</v>
      </c>
      <c r="Z26" s="24"/>
      <c r="AA26" s="24"/>
      <c r="AB26" s="13" t="s">
        <v>43</v>
      </c>
      <c r="AC26" s="25" t="s">
        <v>43</v>
      </c>
      <c r="AD26" s="25"/>
    </row>
    <row r="27" spans="4:32" ht="15.75" x14ac:dyDescent="0.25">
      <c r="W27" s="24"/>
      <c r="X27" s="13"/>
      <c r="Y27" s="13"/>
      <c r="Z27" s="24"/>
      <c r="AA27" s="24"/>
      <c r="AB27" s="13"/>
      <c r="AC27" s="23" t="s">
        <v>45</v>
      </c>
      <c r="AD27" s="23"/>
    </row>
    <row r="28" spans="4:32" ht="15.75" x14ac:dyDescent="0.25">
      <c r="W28" s="24"/>
      <c r="X28" s="13"/>
      <c r="Y28" s="13"/>
      <c r="Z28" s="24"/>
      <c r="AA28" s="24"/>
      <c r="AB28" s="13"/>
      <c r="AC28" s="26" t="s">
        <v>46</v>
      </c>
      <c r="AD28" s="26"/>
    </row>
    <row r="29" spans="4:32" ht="16.5" thickBot="1" x14ac:dyDescent="0.3">
      <c r="W29" s="24"/>
      <c r="X29" s="13"/>
      <c r="Y29" s="13"/>
      <c r="Z29" s="24"/>
      <c r="AA29" s="24"/>
      <c r="AB29" s="13"/>
      <c r="AC29" s="28" t="s">
        <v>47</v>
      </c>
      <c r="AD29" s="28"/>
    </row>
    <row r="30" spans="4:32" ht="16.5" thickBot="1" x14ac:dyDescent="0.3">
      <c r="W30" s="25"/>
      <c r="X30" s="14"/>
      <c r="Y30" s="14"/>
      <c r="Z30" s="25"/>
      <c r="AA30" s="25"/>
      <c r="AB30" s="14"/>
      <c r="AC30" s="15">
        <v>7.4999999999999997E-2</v>
      </c>
      <c r="AD30" s="15">
        <v>0.125</v>
      </c>
    </row>
    <row r="31" spans="4:32" x14ac:dyDescent="0.25">
      <c r="W31" s="16" t="s">
        <v>48</v>
      </c>
      <c r="X31" s="16">
        <v>8.81</v>
      </c>
      <c r="Y31" s="16">
        <v>0</v>
      </c>
      <c r="Z31" s="16">
        <v>0.48</v>
      </c>
      <c r="AA31" s="17">
        <v>1146</v>
      </c>
      <c r="AB31" s="16">
        <v>42</v>
      </c>
      <c r="AC31" s="16">
        <v>168</v>
      </c>
      <c r="AD31" s="16">
        <v>232</v>
      </c>
      <c r="AF31">
        <f>1+Z31</f>
        <v>1.48</v>
      </c>
    </row>
    <row r="32" spans="4:32" x14ac:dyDescent="0.25">
      <c r="W32" s="16" t="s">
        <v>49</v>
      </c>
      <c r="X32" s="16">
        <v>8.81</v>
      </c>
      <c r="Y32" s="16">
        <v>0</v>
      </c>
      <c r="Z32" s="16">
        <v>0.48</v>
      </c>
      <c r="AA32" s="16">
        <v>793</v>
      </c>
      <c r="AB32" s="16">
        <v>30</v>
      </c>
      <c r="AC32" s="16">
        <v>126</v>
      </c>
      <c r="AD32" s="16">
        <v>170</v>
      </c>
      <c r="AF32">
        <f>1+Z32</f>
        <v>1.48</v>
      </c>
    </row>
    <row r="33" spans="23:32" x14ac:dyDescent="0.25">
      <c r="W33" s="16" t="s">
        <v>50</v>
      </c>
      <c r="X33" s="16">
        <v>5.25</v>
      </c>
      <c r="Y33" s="16">
        <v>366</v>
      </c>
      <c r="Z33" s="16">
        <v>0.3</v>
      </c>
      <c r="AA33" s="16">
        <v>694</v>
      </c>
      <c r="AB33" s="16">
        <v>26</v>
      </c>
      <c r="AC33" s="16" t="s">
        <v>51</v>
      </c>
      <c r="AD33" s="16" t="s">
        <v>52</v>
      </c>
      <c r="AF33">
        <f>1+Z33</f>
        <v>1.3</v>
      </c>
    </row>
    <row r="34" spans="23:32" ht="15.75" thickBot="1" x14ac:dyDescent="0.3">
      <c r="W34" s="18" t="s">
        <v>53</v>
      </c>
      <c r="X34" s="18">
        <v>5.25</v>
      </c>
      <c r="Y34" s="18">
        <v>77</v>
      </c>
      <c r="Z34" s="18">
        <v>0.3</v>
      </c>
      <c r="AA34" s="18">
        <v>609</v>
      </c>
      <c r="AB34" s="18">
        <v>23</v>
      </c>
      <c r="AC34" s="18" t="s">
        <v>54</v>
      </c>
      <c r="AD34" s="18" t="s">
        <v>55</v>
      </c>
      <c r="AF34">
        <f>1+Z34</f>
        <v>1.3</v>
      </c>
    </row>
    <row r="36" spans="23:32" x14ac:dyDescent="0.25">
      <c r="Y36">
        <f>Y33-Y34</f>
        <v>289</v>
      </c>
      <c r="Z36" t="s">
        <v>64</v>
      </c>
    </row>
    <row r="37" spans="23:32" x14ac:dyDescent="0.25">
      <c r="Y37">
        <f>400*Y36/1000000</f>
        <v>0.11559999999999999</v>
      </c>
      <c r="Z37" t="s">
        <v>65</v>
      </c>
    </row>
  </sheetData>
  <mergeCells count="10">
    <mergeCell ref="W22:W30"/>
    <mergeCell ref="Z22:Z30"/>
    <mergeCell ref="AA22:AA30"/>
    <mergeCell ref="AC22:AD22"/>
    <mergeCell ref="AC24:AD24"/>
    <mergeCell ref="AC25:AD25"/>
    <mergeCell ref="AC26:AD26"/>
    <mergeCell ref="AC27:AD27"/>
    <mergeCell ref="AC28:AD28"/>
    <mergeCell ref="AC29:AD29"/>
  </mergeCells>
  <hyperlinks>
    <hyperlink ref="K2" r:id="rId1" xr:uid="{00000000-0004-0000-0000-000000000000}"/>
    <hyperlink ref="X24" r:id="rId2" display="https://www.cell.com/joule/fulltext/S2542-4351(18)30225-3" xr:uid="{00000000-0004-0000-0000-000001000000}"/>
    <hyperlink ref="Y24" r:id="rId3" display="https://www.cell.com/joule/fulltext/S2542-4351(18)30225-3" xr:uid="{00000000-0004-0000-0000-000002000000}"/>
    <hyperlink ref="AB24" r:id="rId4" display="https://www.cell.com/joule/fulltext/S2542-4351(18)30225-3" xr:uid="{00000000-0004-0000-0000-000003000000}"/>
    <hyperlink ref="AC24" r:id="rId5" display="https://www.cell.com/joule/fulltext/S2542-4351(18)30225-3" xr:uid="{00000000-0004-0000-0000-000004000000}"/>
    <hyperlink ref="AC28" r:id="rId6" display="https://www.cell.com/joule/fulltext/S2542-4351(18)30225-3" xr:uid="{00000000-0004-0000-0000-000005000000}"/>
  </hyperlinks>
  <pageMargins left="0.7" right="0.7" top="0.75" bottom="0.75" header="0.3" footer="0.3"/>
  <pageSetup orientation="portrait" r:id="rId7"/>
  <drawing r:id="rId8"/>
  <legacy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F28DDD-D334-4D10-BBBC-B4C6F661173E}">
  <ds:schemaRefs>
    <ds:schemaRef ds:uri="http://schemas.microsoft.com/sharepoint/v3/contenttype/forms"/>
  </ds:schemaRefs>
</ds:datastoreItem>
</file>

<file path=customXml/itemProps2.xml><?xml version="1.0" encoding="utf-8"?>
<ds:datastoreItem xmlns:ds="http://schemas.openxmlformats.org/officeDocument/2006/customXml" ds:itemID="{49219AA6-7CE4-4223-AE27-65167F7A60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B5846F-ABF4-4D09-9F55-21E525475D5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Danish Hameed</cp:lastModifiedBy>
  <dcterms:created xsi:type="dcterms:W3CDTF">2009-05-27T15:40:55Z</dcterms:created>
  <dcterms:modified xsi:type="dcterms:W3CDTF">2024-12-11T12:42:14Z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997112452983856</vt:r8>
  </property>
  <property fmtid="{D5CDD505-2E9C-101B-9397-08002B2CF9AE}" pid="3" name="ContentTypeId">
    <vt:lpwstr>0x01010074EFC6228ED6F043ACDD38E315A3264B</vt:lpwstr>
  </property>
</Properties>
</file>