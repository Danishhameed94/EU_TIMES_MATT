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8_{98E92858-A6FA-4490-B4FF-61C7456C4D15}" xr6:coauthVersionLast="47" xr6:coauthVersionMax="47" xr10:uidLastSave="{00000000-0000-0000-0000-000000000000}"/>
  <bookViews>
    <workbookView xWindow="-120" yWindow="-120" windowWidth="20730" windowHeight="11160" firstSheet="4" activeTab="6" xr2:uid="{00000000-000D-0000-FFFF-FFFF00000000}"/>
  </bookViews>
  <sheets>
    <sheet name="Note" sheetId="14" r:id="rId1"/>
    <sheet name="Update" sheetId="13" r:id="rId2"/>
    <sheet name="Update (70 year)" sheetId="16" r:id="rId3"/>
    <sheet name="ShutdownCurve" sheetId="5" r:id="rId4"/>
    <sheet name="Existing plants_SCEN40yrs" sheetId="12" r:id="rId5"/>
    <sheet name="Existing plants_SCEN50yrs" sheetId="11" r:id="rId6"/>
    <sheet name="Existing plants_SCEN60yrs" sheetId="9" r:id="rId7"/>
    <sheet name="Existing plants_SCEN70yrs" sheetId="15" r:id="rId8"/>
  </sheets>
  <definedNames>
    <definedName name="_xlnm._FilterDatabase" localSheetId="4" hidden="1">'Existing plants_SCEN40yrs'!$C$1:$M$155</definedName>
    <definedName name="_xlnm._FilterDatabase" localSheetId="5" hidden="1">'Existing plants_SCEN50yrs'!$C$1:$M$155</definedName>
    <definedName name="_xlnm._FilterDatabase" localSheetId="6" hidden="1">'Existing plants_SCEN60yrs'!$C$1:$M$155</definedName>
    <definedName name="_xlnm._FilterDatabase" localSheetId="7" hidden="1">'Existing plants_SCEN70yrs'!$C$1:$M$155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6" l="1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4" i="16"/>
  <c r="C157" i="16"/>
  <c r="C156" i="16"/>
  <c r="C155" i="16"/>
  <c r="C154" i="16"/>
  <c r="C153" i="16"/>
  <c r="C152" i="16"/>
  <c r="C151" i="16"/>
  <c r="C150" i="16"/>
  <c r="C149" i="16"/>
  <c r="C148" i="16"/>
  <c r="C147" i="16"/>
  <c r="C146" i="16"/>
  <c r="C145" i="16"/>
  <c r="C144" i="16"/>
  <c r="C143" i="16"/>
  <c r="C142" i="16"/>
  <c r="C141" i="16"/>
  <c r="C140" i="16"/>
  <c r="C139" i="16"/>
  <c r="C138" i="16"/>
  <c r="C137" i="16"/>
  <c r="C136" i="16"/>
  <c r="C135" i="16"/>
  <c r="C134" i="16"/>
  <c r="C133" i="16"/>
  <c r="C132" i="16"/>
  <c r="C131" i="16"/>
  <c r="C130" i="16"/>
  <c r="C129" i="16"/>
  <c r="C128" i="16"/>
  <c r="C127" i="16"/>
  <c r="C126" i="16"/>
  <c r="C125" i="16"/>
  <c r="C124" i="16"/>
  <c r="C123" i="16"/>
  <c r="C122" i="16"/>
  <c r="C121" i="16"/>
  <c r="C120" i="16"/>
  <c r="C119" i="16"/>
  <c r="C118" i="16"/>
  <c r="C117" i="16"/>
  <c r="C116" i="16"/>
  <c r="C115" i="16"/>
  <c r="C114" i="16"/>
  <c r="C113" i="16"/>
  <c r="C112" i="16"/>
  <c r="C111" i="16"/>
  <c r="C110" i="16"/>
  <c r="C109" i="16"/>
  <c r="C108" i="16"/>
  <c r="C107" i="16"/>
  <c r="C106" i="16"/>
  <c r="C105" i="16"/>
  <c r="C104" i="16"/>
  <c r="C103" i="16"/>
  <c r="C102" i="16"/>
  <c r="C101" i="16"/>
  <c r="C100" i="16"/>
  <c r="C99" i="16"/>
  <c r="C98" i="16"/>
  <c r="C97" i="16"/>
  <c r="C96" i="16"/>
  <c r="C95" i="16"/>
  <c r="C94" i="16"/>
  <c r="C93" i="16"/>
  <c r="C92" i="16"/>
  <c r="C91" i="16"/>
  <c r="C90" i="16"/>
  <c r="C89" i="16"/>
  <c r="C88" i="16"/>
  <c r="C87" i="16"/>
  <c r="C86" i="16"/>
  <c r="C85" i="16"/>
  <c r="C84" i="16"/>
  <c r="C83" i="16"/>
  <c r="C82" i="16"/>
  <c r="C81" i="16"/>
  <c r="C80" i="16"/>
  <c r="C79" i="16"/>
  <c r="C78" i="16"/>
  <c r="C77" i="16"/>
  <c r="C76" i="16"/>
  <c r="C75" i="16"/>
  <c r="C74" i="16"/>
  <c r="C73" i="16"/>
  <c r="C72" i="16"/>
  <c r="C71" i="16"/>
  <c r="C70" i="16"/>
  <c r="C69" i="16"/>
  <c r="C68" i="16"/>
  <c r="C67" i="16"/>
  <c r="C66" i="16"/>
  <c r="C65" i="16"/>
  <c r="C64" i="16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C8" i="16"/>
  <c r="C7" i="16"/>
  <c r="C6" i="16"/>
  <c r="C5" i="16"/>
  <c r="C4" i="16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J155" i="15"/>
  <c r="H155" i="15"/>
  <c r="J154" i="15"/>
  <c r="H154" i="15"/>
  <c r="J153" i="15"/>
  <c r="H153" i="15"/>
  <c r="J152" i="15"/>
  <c r="H152" i="15"/>
  <c r="J151" i="15"/>
  <c r="H151" i="15"/>
  <c r="J150" i="15"/>
  <c r="H150" i="15"/>
  <c r="J149" i="15"/>
  <c r="H149" i="15"/>
  <c r="J148" i="15"/>
  <c r="H148" i="15"/>
  <c r="J147" i="15"/>
  <c r="H147" i="15"/>
  <c r="J146" i="15"/>
  <c r="H146" i="15"/>
  <c r="J145" i="15"/>
  <c r="H145" i="15"/>
  <c r="J144" i="15"/>
  <c r="H144" i="15"/>
  <c r="J143" i="15"/>
  <c r="H143" i="15"/>
  <c r="J142" i="15"/>
  <c r="H142" i="15"/>
  <c r="J141" i="15"/>
  <c r="H141" i="15"/>
  <c r="J140" i="15"/>
  <c r="H140" i="15"/>
  <c r="J139" i="15"/>
  <c r="H139" i="15"/>
  <c r="J138" i="15"/>
  <c r="H138" i="15"/>
  <c r="J137" i="15"/>
  <c r="I137" i="15"/>
  <c r="H137" i="15"/>
  <c r="J136" i="15"/>
  <c r="H136" i="15"/>
  <c r="I136" i="15" s="1"/>
  <c r="J135" i="15"/>
  <c r="H135" i="15"/>
  <c r="I135" i="15" s="1"/>
  <c r="J134" i="15"/>
  <c r="H134" i="15"/>
  <c r="I134" i="15" s="1"/>
  <c r="J133" i="15"/>
  <c r="H133" i="15"/>
  <c r="J132" i="15"/>
  <c r="H132" i="15"/>
  <c r="J131" i="15"/>
  <c r="I131" i="15"/>
  <c r="H131" i="15"/>
  <c r="J130" i="15"/>
  <c r="H130" i="15"/>
  <c r="J129" i="15"/>
  <c r="H129" i="15"/>
  <c r="J128" i="15"/>
  <c r="H128" i="15"/>
  <c r="J127" i="15"/>
  <c r="H127" i="15"/>
  <c r="J126" i="15"/>
  <c r="H126" i="15"/>
  <c r="J125" i="15"/>
  <c r="H125" i="15"/>
  <c r="J124" i="15"/>
  <c r="H124" i="15"/>
  <c r="J123" i="15"/>
  <c r="H123" i="15"/>
  <c r="J122" i="15"/>
  <c r="H122" i="15"/>
  <c r="J121" i="15"/>
  <c r="H121" i="15"/>
  <c r="J120" i="15"/>
  <c r="H120" i="15"/>
  <c r="J119" i="15"/>
  <c r="H119" i="15"/>
  <c r="J118" i="15"/>
  <c r="H118" i="15"/>
  <c r="J117" i="15"/>
  <c r="H117" i="15"/>
  <c r="J116" i="15"/>
  <c r="H116" i="15"/>
  <c r="J115" i="15"/>
  <c r="H115" i="15"/>
  <c r="J114" i="15"/>
  <c r="H114" i="15"/>
  <c r="J113" i="15"/>
  <c r="H113" i="15"/>
  <c r="J112" i="15"/>
  <c r="H112" i="15"/>
  <c r="J111" i="15"/>
  <c r="H111" i="15"/>
  <c r="J110" i="15"/>
  <c r="H110" i="15"/>
  <c r="J109" i="15"/>
  <c r="H109" i="15"/>
  <c r="J108" i="15"/>
  <c r="H108" i="15"/>
  <c r="J107" i="15"/>
  <c r="H107" i="15"/>
  <c r="J106" i="15"/>
  <c r="H106" i="15"/>
  <c r="J105" i="15"/>
  <c r="H105" i="15"/>
  <c r="J104" i="15"/>
  <c r="H104" i="15"/>
  <c r="J103" i="15"/>
  <c r="H103" i="15"/>
  <c r="J102" i="15"/>
  <c r="H102" i="15"/>
  <c r="J101" i="15"/>
  <c r="H101" i="15"/>
  <c r="J100" i="15"/>
  <c r="H100" i="15"/>
  <c r="J99" i="15"/>
  <c r="H99" i="15"/>
  <c r="J98" i="15"/>
  <c r="H98" i="15"/>
  <c r="J97" i="15"/>
  <c r="H97" i="15"/>
  <c r="J96" i="15"/>
  <c r="H96" i="15"/>
  <c r="J95" i="15"/>
  <c r="H95" i="15"/>
  <c r="J94" i="15"/>
  <c r="H94" i="15"/>
  <c r="J93" i="15"/>
  <c r="H93" i="15"/>
  <c r="J92" i="15"/>
  <c r="H92" i="15"/>
  <c r="J91" i="15"/>
  <c r="H91" i="15"/>
  <c r="J90" i="15"/>
  <c r="H90" i="15"/>
  <c r="J89" i="15"/>
  <c r="H89" i="15"/>
  <c r="J88" i="15"/>
  <c r="H88" i="15"/>
  <c r="J87" i="15"/>
  <c r="H87" i="15"/>
  <c r="J86" i="15"/>
  <c r="H86" i="15"/>
  <c r="J85" i="15"/>
  <c r="H85" i="15"/>
  <c r="J84" i="15"/>
  <c r="H84" i="15"/>
  <c r="J83" i="15"/>
  <c r="H83" i="15"/>
  <c r="J82" i="15"/>
  <c r="H82" i="15"/>
  <c r="J81" i="15"/>
  <c r="H81" i="15"/>
  <c r="J80" i="15"/>
  <c r="H80" i="15"/>
  <c r="J79" i="15"/>
  <c r="H79" i="15"/>
  <c r="J78" i="15"/>
  <c r="H78" i="15"/>
  <c r="J77" i="15"/>
  <c r="H77" i="15"/>
  <c r="J76" i="15"/>
  <c r="H76" i="15"/>
  <c r="J75" i="15"/>
  <c r="H75" i="15"/>
  <c r="J74" i="15"/>
  <c r="H74" i="15"/>
  <c r="J73" i="15"/>
  <c r="H73" i="15"/>
  <c r="J72" i="15"/>
  <c r="H72" i="15"/>
  <c r="J71" i="15"/>
  <c r="H71" i="15"/>
  <c r="J70" i="15"/>
  <c r="H70" i="15"/>
  <c r="J69" i="15"/>
  <c r="H69" i="15"/>
  <c r="J68" i="15"/>
  <c r="H68" i="15"/>
  <c r="J67" i="15"/>
  <c r="H67" i="15"/>
  <c r="J66" i="15"/>
  <c r="H66" i="15"/>
  <c r="J65" i="15"/>
  <c r="H65" i="15"/>
  <c r="J64" i="15"/>
  <c r="H64" i="15"/>
  <c r="J63" i="15"/>
  <c r="H63" i="15"/>
  <c r="J62" i="15"/>
  <c r="H62" i="15"/>
  <c r="J61" i="15"/>
  <c r="H61" i="15"/>
  <c r="J60" i="15"/>
  <c r="H60" i="15"/>
  <c r="J59" i="15"/>
  <c r="H59" i="15"/>
  <c r="J58" i="15"/>
  <c r="H58" i="15"/>
  <c r="J57" i="15"/>
  <c r="H57" i="15"/>
  <c r="J56" i="15"/>
  <c r="H56" i="15"/>
  <c r="J55" i="15"/>
  <c r="H55" i="15"/>
  <c r="J54" i="15"/>
  <c r="H54" i="15"/>
  <c r="J53" i="15"/>
  <c r="H53" i="15"/>
  <c r="J52" i="15"/>
  <c r="H52" i="15"/>
  <c r="J51" i="15"/>
  <c r="H51" i="15"/>
  <c r="J50" i="15"/>
  <c r="H50" i="15"/>
  <c r="J49" i="15"/>
  <c r="H49" i="15"/>
  <c r="J48" i="15"/>
  <c r="H48" i="15"/>
  <c r="J47" i="15"/>
  <c r="H47" i="15"/>
  <c r="J46" i="15"/>
  <c r="H46" i="15"/>
  <c r="J45" i="15"/>
  <c r="H45" i="15"/>
  <c r="J44" i="15"/>
  <c r="H44" i="15"/>
  <c r="J43" i="15"/>
  <c r="H43" i="15"/>
  <c r="J42" i="15"/>
  <c r="H42" i="15"/>
  <c r="J41" i="15"/>
  <c r="H41" i="15"/>
  <c r="J40" i="15"/>
  <c r="H40" i="15"/>
  <c r="J39" i="15"/>
  <c r="H39" i="15"/>
  <c r="J38" i="15"/>
  <c r="H38" i="15"/>
  <c r="J37" i="15"/>
  <c r="H37" i="15"/>
  <c r="J36" i="15"/>
  <c r="H36" i="15"/>
  <c r="J35" i="15"/>
  <c r="H35" i="15"/>
  <c r="J34" i="15"/>
  <c r="H34" i="15"/>
  <c r="J33" i="15"/>
  <c r="H33" i="15"/>
  <c r="J32" i="15"/>
  <c r="H32" i="15"/>
  <c r="J31" i="15"/>
  <c r="H31" i="15"/>
  <c r="J30" i="15"/>
  <c r="H30" i="15"/>
  <c r="J29" i="15"/>
  <c r="H29" i="15"/>
  <c r="J28" i="15"/>
  <c r="H28" i="15"/>
  <c r="J27" i="15"/>
  <c r="H27" i="15"/>
  <c r="J26" i="15"/>
  <c r="H26" i="15"/>
  <c r="J25" i="15"/>
  <c r="H25" i="15"/>
  <c r="J24" i="15"/>
  <c r="H24" i="15"/>
  <c r="J23" i="15"/>
  <c r="H23" i="15"/>
  <c r="J22" i="15"/>
  <c r="H22" i="15"/>
  <c r="J21" i="15"/>
  <c r="H21" i="15"/>
  <c r="J20" i="15"/>
  <c r="H20" i="15"/>
  <c r="J19" i="15"/>
  <c r="H19" i="15"/>
  <c r="J18" i="15"/>
  <c r="H18" i="15"/>
  <c r="J17" i="15"/>
  <c r="H17" i="15"/>
  <c r="J16" i="15"/>
  <c r="H16" i="15"/>
  <c r="J15" i="15"/>
  <c r="H15" i="15"/>
  <c r="J14" i="15"/>
  <c r="H14" i="15"/>
  <c r="J13" i="15"/>
  <c r="H13" i="15"/>
  <c r="J12" i="15"/>
  <c r="H12" i="15"/>
  <c r="J11" i="15"/>
  <c r="H11" i="15"/>
  <c r="J10" i="15"/>
  <c r="H10" i="15"/>
  <c r="J9" i="15"/>
  <c r="H9" i="15"/>
  <c r="J8" i="15"/>
  <c r="H8" i="15"/>
  <c r="J7" i="15"/>
  <c r="H7" i="15"/>
  <c r="J6" i="15"/>
  <c r="H6" i="15"/>
  <c r="J5" i="15"/>
  <c r="H5" i="15"/>
  <c r="J4" i="15"/>
  <c r="H4" i="15"/>
  <c r="J3" i="15"/>
  <c r="H3" i="15"/>
  <c r="J2" i="15"/>
  <c r="H2" i="15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4" i="13"/>
  <c r="J155" i="12" l="1"/>
  <c r="H155" i="12"/>
  <c r="J154" i="12"/>
  <c r="H154" i="12"/>
  <c r="J153" i="12"/>
  <c r="H153" i="12"/>
  <c r="J152" i="12"/>
  <c r="H152" i="12"/>
  <c r="J151" i="12"/>
  <c r="H151" i="12"/>
  <c r="J150" i="12"/>
  <c r="H150" i="12"/>
  <c r="J149" i="12"/>
  <c r="H149" i="12"/>
  <c r="J148" i="12"/>
  <c r="H148" i="12"/>
  <c r="J147" i="12"/>
  <c r="H147" i="12"/>
  <c r="J146" i="12"/>
  <c r="H146" i="12"/>
  <c r="J145" i="12"/>
  <c r="H145" i="12"/>
  <c r="J144" i="12"/>
  <c r="H144" i="12"/>
  <c r="J143" i="12"/>
  <c r="H143" i="12"/>
  <c r="J142" i="12"/>
  <c r="H142" i="12"/>
  <c r="J141" i="12"/>
  <c r="H141" i="12"/>
  <c r="J140" i="12"/>
  <c r="H140" i="12"/>
  <c r="J139" i="12"/>
  <c r="H139" i="12"/>
  <c r="J138" i="12"/>
  <c r="H138" i="12"/>
  <c r="J137" i="12"/>
  <c r="H137" i="12"/>
  <c r="I137" i="12" s="1"/>
  <c r="J136" i="12"/>
  <c r="H136" i="12"/>
  <c r="I136" i="12" s="1"/>
  <c r="J135" i="12"/>
  <c r="H135" i="12"/>
  <c r="I135" i="12" s="1"/>
  <c r="J134" i="12"/>
  <c r="H134" i="12"/>
  <c r="I134" i="12" s="1"/>
  <c r="J133" i="12"/>
  <c r="H133" i="12"/>
  <c r="J132" i="12"/>
  <c r="H132" i="12"/>
  <c r="J131" i="12"/>
  <c r="I131" i="12"/>
  <c r="H131" i="12"/>
  <c r="J130" i="12"/>
  <c r="H130" i="12"/>
  <c r="J129" i="12"/>
  <c r="H129" i="12"/>
  <c r="J128" i="12"/>
  <c r="H128" i="12"/>
  <c r="J127" i="12"/>
  <c r="H127" i="12"/>
  <c r="J126" i="12"/>
  <c r="H126" i="12"/>
  <c r="J125" i="12"/>
  <c r="H125" i="12"/>
  <c r="J124" i="12"/>
  <c r="H124" i="12"/>
  <c r="J123" i="12"/>
  <c r="H123" i="12"/>
  <c r="J122" i="12"/>
  <c r="H122" i="12"/>
  <c r="J121" i="12"/>
  <c r="H121" i="12"/>
  <c r="J120" i="12"/>
  <c r="H120" i="12"/>
  <c r="J119" i="12"/>
  <c r="H119" i="12"/>
  <c r="J118" i="12"/>
  <c r="H118" i="12"/>
  <c r="J117" i="12"/>
  <c r="H117" i="12"/>
  <c r="J116" i="12"/>
  <c r="H116" i="12"/>
  <c r="J115" i="12"/>
  <c r="H115" i="12"/>
  <c r="J114" i="12"/>
  <c r="H114" i="12"/>
  <c r="J113" i="12"/>
  <c r="H113" i="12"/>
  <c r="J112" i="12"/>
  <c r="H112" i="12"/>
  <c r="J111" i="12"/>
  <c r="H111" i="12"/>
  <c r="J110" i="12"/>
  <c r="H110" i="12"/>
  <c r="J109" i="12"/>
  <c r="H109" i="12"/>
  <c r="J108" i="12"/>
  <c r="H108" i="12"/>
  <c r="J107" i="12"/>
  <c r="H107" i="12"/>
  <c r="J106" i="12"/>
  <c r="H106" i="12"/>
  <c r="J105" i="12"/>
  <c r="H105" i="12"/>
  <c r="J104" i="12"/>
  <c r="H104" i="12"/>
  <c r="J103" i="12"/>
  <c r="H103" i="12"/>
  <c r="J102" i="12"/>
  <c r="H102" i="12"/>
  <c r="J101" i="12"/>
  <c r="H101" i="12"/>
  <c r="J100" i="12"/>
  <c r="H100" i="12"/>
  <c r="J99" i="12"/>
  <c r="H99" i="12"/>
  <c r="J98" i="12"/>
  <c r="H98" i="12"/>
  <c r="J97" i="12"/>
  <c r="H97" i="12"/>
  <c r="J96" i="12"/>
  <c r="H96" i="12"/>
  <c r="J95" i="12"/>
  <c r="H95" i="12"/>
  <c r="J94" i="12"/>
  <c r="H94" i="12"/>
  <c r="J93" i="12"/>
  <c r="H93" i="12"/>
  <c r="J92" i="12"/>
  <c r="H92" i="12"/>
  <c r="J91" i="12"/>
  <c r="H91" i="12"/>
  <c r="J90" i="12"/>
  <c r="H90" i="12"/>
  <c r="J89" i="12"/>
  <c r="H89" i="12"/>
  <c r="J88" i="12"/>
  <c r="H88" i="12"/>
  <c r="J87" i="12"/>
  <c r="H87" i="12"/>
  <c r="J86" i="12"/>
  <c r="H86" i="12"/>
  <c r="J85" i="12"/>
  <c r="H85" i="12"/>
  <c r="J84" i="12"/>
  <c r="H84" i="12"/>
  <c r="J83" i="12"/>
  <c r="H83" i="12"/>
  <c r="J82" i="12"/>
  <c r="H82" i="12"/>
  <c r="J81" i="12"/>
  <c r="H81" i="12"/>
  <c r="J80" i="12"/>
  <c r="H80" i="12"/>
  <c r="J79" i="12"/>
  <c r="H79" i="12"/>
  <c r="J78" i="12"/>
  <c r="H78" i="12"/>
  <c r="J77" i="12"/>
  <c r="H77" i="12"/>
  <c r="J76" i="12"/>
  <c r="H76" i="12"/>
  <c r="J75" i="12"/>
  <c r="H75" i="12"/>
  <c r="J74" i="12"/>
  <c r="H74" i="12"/>
  <c r="J73" i="12"/>
  <c r="H73" i="12"/>
  <c r="J72" i="12"/>
  <c r="H72" i="12"/>
  <c r="J71" i="12"/>
  <c r="H71" i="12"/>
  <c r="J70" i="12"/>
  <c r="H70" i="12"/>
  <c r="J69" i="12"/>
  <c r="H69" i="12"/>
  <c r="J68" i="12"/>
  <c r="H68" i="12"/>
  <c r="J67" i="12"/>
  <c r="H67" i="12"/>
  <c r="J66" i="12"/>
  <c r="H66" i="12"/>
  <c r="J65" i="12"/>
  <c r="H65" i="12"/>
  <c r="J64" i="12"/>
  <c r="H64" i="12"/>
  <c r="J63" i="12"/>
  <c r="H63" i="12"/>
  <c r="J62" i="12"/>
  <c r="H62" i="12"/>
  <c r="J61" i="12"/>
  <c r="H61" i="12"/>
  <c r="J60" i="12"/>
  <c r="H60" i="12"/>
  <c r="J59" i="12"/>
  <c r="H59" i="12"/>
  <c r="J58" i="12"/>
  <c r="H58" i="12"/>
  <c r="J57" i="12"/>
  <c r="H57" i="12"/>
  <c r="J56" i="12"/>
  <c r="H56" i="12"/>
  <c r="J55" i="12"/>
  <c r="H55" i="12"/>
  <c r="J54" i="12"/>
  <c r="H54" i="12"/>
  <c r="J53" i="12"/>
  <c r="H53" i="12"/>
  <c r="J52" i="12"/>
  <c r="H52" i="12"/>
  <c r="J51" i="12"/>
  <c r="H51" i="12"/>
  <c r="J50" i="12"/>
  <c r="H50" i="12"/>
  <c r="J49" i="12"/>
  <c r="H49" i="12"/>
  <c r="J48" i="12"/>
  <c r="H48" i="12"/>
  <c r="J47" i="12"/>
  <c r="H47" i="12"/>
  <c r="J46" i="12"/>
  <c r="H46" i="12"/>
  <c r="J45" i="12"/>
  <c r="H45" i="12"/>
  <c r="J44" i="12"/>
  <c r="H44" i="12"/>
  <c r="J43" i="12"/>
  <c r="H43" i="12"/>
  <c r="J42" i="12"/>
  <c r="H42" i="12"/>
  <c r="J41" i="12"/>
  <c r="H41" i="12"/>
  <c r="J40" i="12"/>
  <c r="H40" i="12"/>
  <c r="J39" i="12"/>
  <c r="H39" i="12"/>
  <c r="J38" i="12"/>
  <c r="H38" i="12"/>
  <c r="J37" i="12"/>
  <c r="H37" i="12"/>
  <c r="J36" i="12"/>
  <c r="H36" i="12"/>
  <c r="J35" i="12"/>
  <c r="H35" i="12"/>
  <c r="J34" i="12"/>
  <c r="H34" i="12"/>
  <c r="J33" i="12"/>
  <c r="H33" i="12"/>
  <c r="J32" i="12"/>
  <c r="H32" i="12"/>
  <c r="J31" i="12"/>
  <c r="H31" i="12"/>
  <c r="J30" i="12"/>
  <c r="H30" i="12"/>
  <c r="J29" i="12"/>
  <c r="H29" i="12"/>
  <c r="J28" i="12"/>
  <c r="H28" i="12"/>
  <c r="J27" i="12"/>
  <c r="H27" i="12"/>
  <c r="J26" i="12"/>
  <c r="H26" i="12"/>
  <c r="J25" i="12"/>
  <c r="H25" i="12"/>
  <c r="J24" i="12"/>
  <c r="H24" i="12"/>
  <c r="J23" i="12"/>
  <c r="H23" i="12"/>
  <c r="J22" i="12"/>
  <c r="H22" i="12"/>
  <c r="J21" i="12"/>
  <c r="H21" i="12"/>
  <c r="J20" i="12"/>
  <c r="H20" i="12"/>
  <c r="J19" i="12"/>
  <c r="H19" i="12"/>
  <c r="J18" i="12"/>
  <c r="H18" i="12"/>
  <c r="J17" i="12"/>
  <c r="H17" i="12"/>
  <c r="J16" i="12"/>
  <c r="H16" i="12"/>
  <c r="J15" i="12"/>
  <c r="H15" i="12"/>
  <c r="J14" i="12"/>
  <c r="H14" i="12"/>
  <c r="J13" i="12"/>
  <c r="H13" i="12"/>
  <c r="J12" i="12"/>
  <c r="H12" i="12"/>
  <c r="J11" i="12"/>
  <c r="H11" i="12"/>
  <c r="J10" i="12"/>
  <c r="H10" i="12"/>
  <c r="J9" i="12"/>
  <c r="H9" i="12"/>
  <c r="J8" i="12"/>
  <c r="H8" i="12"/>
  <c r="J7" i="12"/>
  <c r="H7" i="12"/>
  <c r="J6" i="12"/>
  <c r="H6" i="12"/>
  <c r="J5" i="12"/>
  <c r="H5" i="12"/>
  <c r="J4" i="12"/>
  <c r="H4" i="12"/>
  <c r="J3" i="12"/>
  <c r="H3" i="12"/>
  <c r="J2" i="12"/>
  <c r="C4" i="5" s="1"/>
  <c r="H2" i="12"/>
  <c r="J155" i="11"/>
  <c r="H155" i="11"/>
  <c r="J154" i="11"/>
  <c r="H154" i="11"/>
  <c r="J153" i="11"/>
  <c r="H153" i="11"/>
  <c r="J152" i="11"/>
  <c r="H152" i="11"/>
  <c r="J151" i="11"/>
  <c r="H151" i="11"/>
  <c r="J150" i="11"/>
  <c r="H150" i="11"/>
  <c r="J149" i="11"/>
  <c r="H149" i="11"/>
  <c r="J148" i="11"/>
  <c r="H148" i="11"/>
  <c r="J147" i="11"/>
  <c r="H147" i="11"/>
  <c r="J146" i="11"/>
  <c r="H146" i="11"/>
  <c r="J145" i="11"/>
  <c r="H145" i="11"/>
  <c r="J144" i="11"/>
  <c r="H144" i="11"/>
  <c r="J143" i="11"/>
  <c r="H143" i="11"/>
  <c r="J142" i="11"/>
  <c r="H142" i="11"/>
  <c r="J141" i="11"/>
  <c r="H141" i="11"/>
  <c r="J140" i="11"/>
  <c r="H140" i="11"/>
  <c r="J139" i="11"/>
  <c r="H139" i="11"/>
  <c r="J138" i="11"/>
  <c r="H138" i="11"/>
  <c r="J137" i="11"/>
  <c r="H137" i="11"/>
  <c r="I137" i="11" s="1"/>
  <c r="J136" i="11"/>
  <c r="H136" i="11"/>
  <c r="I136" i="11" s="1"/>
  <c r="J135" i="11"/>
  <c r="H135" i="11"/>
  <c r="I135" i="11" s="1"/>
  <c r="J134" i="11"/>
  <c r="H134" i="11"/>
  <c r="I134" i="11" s="1"/>
  <c r="J133" i="11"/>
  <c r="H133" i="11"/>
  <c r="J132" i="11"/>
  <c r="H132" i="11"/>
  <c r="J131" i="11"/>
  <c r="H131" i="11"/>
  <c r="I131" i="11" s="1"/>
  <c r="J130" i="11"/>
  <c r="H130" i="11"/>
  <c r="J129" i="11"/>
  <c r="H129" i="11"/>
  <c r="J128" i="11"/>
  <c r="H128" i="11"/>
  <c r="J127" i="11"/>
  <c r="H127" i="11"/>
  <c r="J126" i="11"/>
  <c r="H126" i="11"/>
  <c r="J125" i="11"/>
  <c r="H125" i="11"/>
  <c r="J124" i="11"/>
  <c r="H124" i="11"/>
  <c r="J123" i="11"/>
  <c r="H123" i="11"/>
  <c r="J122" i="11"/>
  <c r="H122" i="11"/>
  <c r="J121" i="11"/>
  <c r="H121" i="11"/>
  <c r="J120" i="11"/>
  <c r="H120" i="11"/>
  <c r="J119" i="11"/>
  <c r="H119" i="11"/>
  <c r="J118" i="11"/>
  <c r="H118" i="11"/>
  <c r="J117" i="11"/>
  <c r="H117" i="11"/>
  <c r="J116" i="11"/>
  <c r="H116" i="11"/>
  <c r="J115" i="11"/>
  <c r="H115" i="11"/>
  <c r="J114" i="11"/>
  <c r="H114" i="11"/>
  <c r="J113" i="11"/>
  <c r="H113" i="11"/>
  <c r="J112" i="11"/>
  <c r="H112" i="11"/>
  <c r="J111" i="11"/>
  <c r="H111" i="11"/>
  <c r="J110" i="11"/>
  <c r="H110" i="11"/>
  <c r="J109" i="11"/>
  <c r="H109" i="11"/>
  <c r="J108" i="11"/>
  <c r="H108" i="11"/>
  <c r="J107" i="11"/>
  <c r="H107" i="11"/>
  <c r="J106" i="11"/>
  <c r="H106" i="11"/>
  <c r="J105" i="11"/>
  <c r="H105" i="11"/>
  <c r="J104" i="11"/>
  <c r="H104" i="11"/>
  <c r="J103" i="11"/>
  <c r="H103" i="11"/>
  <c r="J102" i="11"/>
  <c r="H102" i="11"/>
  <c r="J101" i="11"/>
  <c r="H101" i="11"/>
  <c r="J100" i="11"/>
  <c r="H100" i="11"/>
  <c r="J99" i="11"/>
  <c r="H99" i="11"/>
  <c r="J98" i="11"/>
  <c r="H98" i="11"/>
  <c r="J97" i="11"/>
  <c r="H97" i="11"/>
  <c r="J96" i="11"/>
  <c r="H96" i="11"/>
  <c r="J95" i="11"/>
  <c r="H95" i="11"/>
  <c r="J94" i="11"/>
  <c r="H94" i="11"/>
  <c r="J93" i="11"/>
  <c r="H93" i="11"/>
  <c r="J92" i="11"/>
  <c r="H92" i="11"/>
  <c r="J91" i="11"/>
  <c r="H91" i="11"/>
  <c r="J90" i="11"/>
  <c r="H90" i="11"/>
  <c r="J89" i="11"/>
  <c r="H89" i="11"/>
  <c r="J88" i="11"/>
  <c r="H88" i="11"/>
  <c r="J87" i="11"/>
  <c r="H87" i="11"/>
  <c r="J86" i="11"/>
  <c r="H86" i="11"/>
  <c r="J85" i="11"/>
  <c r="H85" i="11"/>
  <c r="J84" i="11"/>
  <c r="H84" i="11"/>
  <c r="J83" i="11"/>
  <c r="H83" i="11"/>
  <c r="J82" i="11"/>
  <c r="H82" i="11"/>
  <c r="J81" i="11"/>
  <c r="H81" i="11"/>
  <c r="J80" i="11"/>
  <c r="H80" i="11"/>
  <c r="J79" i="11"/>
  <c r="H79" i="11"/>
  <c r="J78" i="11"/>
  <c r="H78" i="11"/>
  <c r="J77" i="11"/>
  <c r="H77" i="11"/>
  <c r="J76" i="11"/>
  <c r="H76" i="11"/>
  <c r="J75" i="11"/>
  <c r="H75" i="11"/>
  <c r="J74" i="11"/>
  <c r="H74" i="11"/>
  <c r="J73" i="11"/>
  <c r="H73" i="11"/>
  <c r="J72" i="11"/>
  <c r="H72" i="11"/>
  <c r="J71" i="11"/>
  <c r="H71" i="11"/>
  <c r="J70" i="11"/>
  <c r="H70" i="11"/>
  <c r="J69" i="11"/>
  <c r="H69" i="11"/>
  <c r="J68" i="11"/>
  <c r="H68" i="11"/>
  <c r="J67" i="11"/>
  <c r="H67" i="11"/>
  <c r="J66" i="11"/>
  <c r="H66" i="11"/>
  <c r="J65" i="11"/>
  <c r="H65" i="11"/>
  <c r="J64" i="11"/>
  <c r="H64" i="11"/>
  <c r="J63" i="11"/>
  <c r="H63" i="11"/>
  <c r="J62" i="11"/>
  <c r="H62" i="11"/>
  <c r="J61" i="11"/>
  <c r="H61" i="11"/>
  <c r="J60" i="11"/>
  <c r="H60" i="11"/>
  <c r="J59" i="11"/>
  <c r="H59" i="11"/>
  <c r="J58" i="11"/>
  <c r="H58" i="11"/>
  <c r="J57" i="11"/>
  <c r="H57" i="11"/>
  <c r="J56" i="11"/>
  <c r="H56" i="11"/>
  <c r="J55" i="11"/>
  <c r="H55" i="11"/>
  <c r="J54" i="11"/>
  <c r="H54" i="11"/>
  <c r="J53" i="11"/>
  <c r="H53" i="11"/>
  <c r="J52" i="11"/>
  <c r="H52" i="11"/>
  <c r="J51" i="11"/>
  <c r="H51" i="11"/>
  <c r="J50" i="11"/>
  <c r="H50" i="11"/>
  <c r="J49" i="11"/>
  <c r="H49" i="11"/>
  <c r="J48" i="11"/>
  <c r="H48" i="11"/>
  <c r="J47" i="11"/>
  <c r="H47" i="11"/>
  <c r="J46" i="11"/>
  <c r="H46" i="11"/>
  <c r="J45" i="11"/>
  <c r="H45" i="11"/>
  <c r="J44" i="11"/>
  <c r="H44" i="11"/>
  <c r="J43" i="11"/>
  <c r="H43" i="11"/>
  <c r="J42" i="11"/>
  <c r="H42" i="11"/>
  <c r="J41" i="11"/>
  <c r="H41" i="11"/>
  <c r="J40" i="11"/>
  <c r="H40" i="11"/>
  <c r="J39" i="11"/>
  <c r="H39" i="11"/>
  <c r="J38" i="11"/>
  <c r="H38" i="11"/>
  <c r="J37" i="11"/>
  <c r="H37" i="11"/>
  <c r="J36" i="11"/>
  <c r="H36" i="11"/>
  <c r="J35" i="11"/>
  <c r="H35" i="11"/>
  <c r="J34" i="11"/>
  <c r="H34" i="11"/>
  <c r="J33" i="11"/>
  <c r="H33" i="11"/>
  <c r="J32" i="11"/>
  <c r="H32" i="11"/>
  <c r="J31" i="11"/>
  <c r="H31" i="11"/>
  <c r="J30" i="11"/>
  <c r="H30" i="11"/>
  <c r="J29" i="11"/>
  <c r="H29" i="11"/>
  <c r="J28" i="11"/>
  <c r="H28" i="11"/>
  <c r="J27" i="11"/>
  <c r="H27" i="11"/>
  <c r="J26" i="11"/>
  <c r="H26" i="11"/>
  <c r="J25" i="11"/>
  <c r="H25" i="11"/>
  <c r="J24" i="11"/>
  <c r="H24" i="11"/>
  <c r="J23" i="11"/>
  <c r="H23" i="11"/>
  <c r="J22" i="11"/>
  <c r="H22" i="11"/>
  <c r="J21" i="11"/>
  <c r="H21" i="11"/>
  <c r="J20" i="11"/>
  <c r="H20" i="11"/>
  <c r="J19" i="11"/>
  <c r="H19" i="11"/>
  <c r="J18" i="11"/>
  <c r="H18" i="11"/>
  <c r="J17" i="11"/>
  <c r="H17" i="11"/>
  <c r="J16" i="11"/>
  <c r="H16" i="11"/>
  <c r="J15" i="11"/>
  <c r="H15" i="11"/>
  <c r="J14" i="11"/>
  <c r="H14" i="11"/>
  <c r="J13" i="11"/>
  <c r="H13" i="11"/>
  <c r="J12" i="11"/>
  <c r="H12" i="11"/>
  <c r="J11" i="11"/>
  <c r="H11" i="11"/>
  <c r="J10" i="11"/>
  <c r="H10" i="11"/>
  <c r="J9" i="11"/>
  <c r="H9" i="11"/>
  <c r="J8" i="11"/>
  <c r="H8" i="11"/>
  <c r="J7" i="11"/>
  <c r="H7" i="11"/>
  <c r="J6" i="11"/>
  <c r="H6" i="11"/>
  <c r="J5" i="11"/>
  <c r="H5" i="11"/>
  <c r="J4" i="11"/>
  <c r="H4" i="11"/>
  <c r="J3" i="11"/>
  <c r="H3" i="11"/>
  <c r="J2" i="11"/>
  <c r="D4" i="5" s="1"/>
  <c r="H2" i="11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41" i="9"/>
  <c r="J42" i="9"/>
  <c r="J43" i="9"/>
  <c r="J44" i="9"/>
  <c r="J45" i="9"/>
  <c r="J46" i="9"/>
  <c r="J47" i="9"/>
  <c r="J48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H3" i="9"/>
  <c r="D5" i="13" s="1"/>
  <c r="H4" i="9"/>
  <c r="D6" i="13" s="1"/>
  <c r="H5" i="9"/>
  <c r="D7" i="13" s="1"/>
  <c r="H6" i="9"/>
  <c r="D8" i="13" s="1"/>
  <c r="H7" i="9"/>
  <c r="D9" i="13" s="1"/>
  <c r="H8" i="9"/>
  <c r="D10" i="13" s="1"/>
  <c r="H9" i="9"/>
  <c r="D11" i="13" s="1"/>
  <c r="H10" i="9"/>
  <c r="D12" i="13" s="1"/>
  <c r="H11" i="9"/>
  <c r="D13" i="13" s="1"/>
  <c r="H12" i="9"/>
  <c r="D14" i="13" s="1"/>
  <c r="H13" i="9"/>
  <c r="D15" i="13" s="1"/>
  <c r="H14" i="9"/>
  <c r="D16" i="13" s="1"/>
  <c r="H15" i="9"/>
  <c r="D17" i="13" s="1"/>
  <c r="H16" i="9"/>
  <c r="D18" i="13" s="1"/>
  <c r="H17" i="9"/>
  <c r="D19" i="13" s="1"/>
  <c r="H18" i="9"/>
  <c r="D20" i="13" s="1"/>
  <c r="H19" i="9"/>
  <c r="D21" i="13" s="1"/>
  <c r="H20" i="9"/>
  <c r="D22" i="13" s="1"/>
  <c r="H21" i="9"/>
  <c r="D23" i="13" s="1"/>
  <c r="H22" i="9"/>
  <c r="D24" i="13" s="1"/>
  <c r="H23" i="9"/>
  <c r="D25" i="13" s="1"/>
  <c r="H24" i="9"/>
  <c r="D26" i="13" s="1"/>
  <c r="H25" i="9"/>
  <c r="D27" i="13" s="1"/>
  <c r="H26" i="9"/>
  <c r="D28" i="13" s="1"/>
  <c r="H27" i="9"/>
  <c r="D29" i="13" s="1"/>
  <c r="H28" i="9"/>
  <c r="D30" i="13" s="1"/>
  <c r="H29" i="9"/>
  <c r="D31" i="13" s="1"/>
  <c r="H30" i="9"/>
  <c r="D32" i="13" s="1"/>
  <c r="H31" i="9"/>
  <c r="D33" i="13" s="1"/>
  <c r="H32" i="9"/>
  <c r="D34" i="13" s="1"/>
  <c r="H33" i="9"/>
  <c r="D35" i="13" s="1"/>
  <c r="H34" i="9"/>
  <c r="D36" i="13" s="1"/>
  <c r="H35" i="9"/>
  <c r="D37" i="13" s="1"/>
  <c r="H36" i="9"/>
  <c r="D38" i="13" s="1"/>
  <c r="H37" i="9"/>
  <c r="D39" i="13" s="1"/>
  <c r="H38" i="9"/>
  <c r="D40" i="13" s="1"/>
  <c r="H39" i="9"/>
  <c r="D41" i="13" s="1"/>
  <c r="H40" i="9"/>
  <c r="D42" i="13" s="1"/>
  <c r="H41" i="9"/>
  <c r="D43" i="13" s="1"/>
  <c r="H42" i="9"/>
  <c r="D44" i="13" s="1"/>
  <c r="H43" i="9"/>
  <c r="D45" i="13" s="1"/>
  <c r="H44" i="9"/>
  <c r="D46" i="13" s="1"/>
  <c r="H45" i="9"/>
  <c r="D47" i="13" s="1"/>
  <c r="H46" i="9"/>
  <c r="D48" i="13" s="1"/>
  <c r="H47" i="9"/>
  <c r="D49" i="13" s="1"/>
  <c r="H48" i="9"/>
  <c r="D50" i="13" s="1"/>
  <c r="H49" i="9"/>
  <c r="D51" i="13" s="1"/>
  <c r="H50" i="9"/>
  <c r="D52" i="13" s="1"/>
  <c r="H51" i="9"/>
  <c r="D53" i="13" s="1"/>
  <c r="H52" i="9"/>
  <c r="D54" i="13" s="1"/>
  <c r="H53" i="9"/>
  <c r="D55" i="13" s="1"/>
  <c r="H54" i="9"/>
  <c r="D56" i="13" s="1"/>
  <c r="H55" i="9"/>
  <c r="D57" i="13" s="1"/>
  <c r="H56" i="9"/>
  <c r="D58" i="13" s="1"/>
  <c r="H57" i="9"/>
  <c r="D59" i="13" s="1"/>
  <c r="H58" i="9"/>
  <c r="D60" i="13" s="1"/>
  <c r="H59" i="9"/>
  <c r="D61" i="13" s="1"/>
  <c r="H60" i="9"/>
  <c r="D62" i="13" s="1"/>
  <c r="H61" i="9"/>
  <c r="D63" i="13" s="1"/>
  <c r="H62" i="9"/>
  <c r="D64" i="13" s="1"/>
  <c r="H63" i="9"/>
  <c r="D65" i="13" s="1"/>
  <c r="H64" i="9"/>
  <c r="D66" i="13" s="1"/>
  <c r="H65" i="9"/>
  <c r="D67" i="13" s="1"/>
  <c r="H66" i="9"/>
  <c r="D68" i="13" s="1"/>
  <c r="H67" i="9"/>
  <c r="D69" i="13" s="1"/>
  <c r="H68" i="9"/>
  <c r="D70" i="13" s="1"/>
  <c r="H69" i="9"/>
  <c r="D71" i="13" s="1"/>
  <c r="H70" i="9"/>
  <c r="D72" i="13" s="1"/>
  <c r="H71" i="9"/>
  <c r="D73" i="13" s="1"/>
  <c r="H72" i="9"/>
  <c r="D74" i="13" s="1"/>
  <c r="H73" i="9"/>
  <c r="D75" i="13" s="1"/>
  <c r="H74" i="9"/>
  <c r="D76" i="13" s="1"/>
  <c r="H75" i="9"/>
  <c r="D77" i="13" s="1"/>
  <c r="H76" i="9"/>
  <c r="D78" i="13" s="1"/>
  <c r="H77" i="9"/>
  <c r="D79" i="13" s="1"/>
  <c r="H78" i="9"/>
  <c r="D80" i="13" s="1"/>
  <c r="H79" i="9"/>
  <c r="D81" i="13" s="1"/>
  <c r="H80" i="9"/>
  <c r="D82" i="13" s="1"/>
  <c r="H81" i="9"/>
  <c r="D83" i="13" s="1"/>
  <c r="H82" i="9"/>
  <c r="D84" i="13" s="1"/>
  <c r="H83" i="9"/>
  <c r="D85" i="13" s="1"/>
  <c r="H84" i="9"/>
  <c r="D86" i="13" s="1"/>
  <c r="H85" i="9"/>
  <c r="D87" i="13" s="1"/>
  <c r="H86" i="9"/>
  <c r="D88" i="13" s="1"/>
  <c r="H87" i="9"/>
  <c r="D89" i="13" s="1"/>
  <c r="H88" i="9"/>
  <c r="D90" i="13" s="1"/>
  <c r="H89" i="9"/>
  <c r="D91" i="13" s="1"/>
  <c r="H90" i="9"/>
  <c r="D92" i="13" s="1"/>
  <c r="H91" i="9"/>
  <c r="D93" i="13" s="1"/>
  <c r="H92" i="9"/>
  <c r="D94" i="13" s="1"/>
  <c r="H93" i="9"/>
  <c r="D95" i="13" s="1"/>
  <c r="H94" i="9"/>
  <c r="D96" i="13" s="1"/>
  <c r="H95" i="9"/>
  <c r="D97" i="13" s="1"/>
  <c r="H96" i="9"/>
  <c r="D98" i="13" s="1"/>
  <c r="H97" i="9"/>
  <c r="D99" i="13" s="1"/>
  <c r="H98" i="9"/>
  <c r="D100" i="13" s="1"/>
  <c r="H99" i="9"/>
  <c r="D101" i="13" s="1"/>
  <c r="H100" i="9"/>
  <c r="D102" i="13" s="1"/>
  <c r="H101" i="9"/>
  <c r="D103" i="13" s="1"/>
  <c r="H102" i="9"/>
  <c r="D104" i="13" s="1"/>
  <c r="H103" i="9"/>
  <c r="D105" i="13" s="1"/>
  <c r="H104" i="9"/>
  <c r="D106" i="13" s="1"/>
  <c r="H105" i="9"/>
  <c r="D107" i="13" s="1"/>
  <c r="H106" i="9"/>
  <c r="D108" i="13" s="1"/>
  <c r="H107" i="9"/>
  <c r="D109" i="13" s="1"/>
  <c r="H108" i="9"/>
  <c r="D110" i="13" s="1"/>
  <c r="H109" i="9"/>
  <c r="D111" i="13" s="1"/>
  <c r="H110" i="9"/>
  <c r="D112" i="13" s="1"/>
  <c r="H111" i="9"/>
  <c r="D113" i="13" s="1"/>
  <c r="H112" i="9"/>
  <c r="D114" i="13" s="1"/>
  <c r="H113" i="9"/>
  <c r="D115" i="13" s="1"/>
  <c r="H114" i="9"/>
  <c r="D116" i="13" s="1"/>
  <c r="H115" i="9"/>
  <c r="D117" i="13" s="1"/>
  <c r="H116" i="9"/>
  <c r="D118" i="13" s="1"/>
  <c r="H117" i="9"/>
  <c r="D119" i="13" s="1"/>
  <c r="H118" i="9"/>
  <c r="D120" i="13" s="1"/>
  <c r="H119" i="9"/>
  <c r="D121" i="13" s="1"/>
  <c r="H120" i="9"/>
  <c r="D122" i="13" s="1"/>
  <c r="H121" i="9"/>
  <c r="D123" i="13" s="1"/>
  <c r="H122" i="9"/>
  <c r="D124" i="13" s="1"/>
  <c r="H123" i="9"/>
  <c r="D125" i="13" s="1"/>
  <c r="H126" i="9"/>
  <c r="D128" i="13" s="1"/>
  <c r="H127" i="9"/>
  <c r="D129" i="13" s="1"/>
  <c r="H128" i="9"/>
  <c r="D130" i="13" s="1"/>
  <c r="H129" i="9"/>
  <c r="D131" i="13" s="1"/>
  <c r="H130" i="9"/>
  <c r="D132" i="13" s="1"/>
  <c r="H131" i="9"/>
  <c r="D133" i="13" s="1"/>
  <c r="H132" i="9"/>
  <c r="D134" i="13" s="1"/>
  <c r="H133" i="9"/>
  <c r="D135" i="13" s="1"/>
  <c r="H134" i="9"/>
  <c r="D136" i="13" s="1"/>
  <c r="H135" i="9"/>
  <c r="D137" i="13" s="1"/>
  <c r="H136" i="9"/>
  <c r="D138" i="13" s="1"/>
  <c r="H137" i="9"/>
  <c r="D139" i="13" s="1"/>
  <c r="H138" i="9"/>
  <c r="D140" i="13" s="1"/>
  <c r="H139" i="9"/>
  <c r="D141" i="13" s="1"/>
  <c r="H140" i="9"/>
  <c r="D142" i="13" s="1"/>
  <c r="H141" i="9"/>
  <c r="D143" i="13" s="1"/>
  <c r="H142" i="9"/>
  <c r="D144" i="13" s="1"/>
  <c r="H143" i="9"/>
  <c r="D145" i="13" s="1"/>
  <c r="H144" i="9"/>
  <c r="D146" i="13" s="1"/>
  <c r="H145" i="9"/>
  <c r="D147" i="13" s="1"/>
  <c r="H146" i="9"/>
  <c r="D148" i="13" s="1"/>
  <c r="H147" i="9"/>
  <c r="D149" i="13" s="1"/>
  <c r="H148" i="9"/>
  <c r="D150" i="13" s="1"/>
  <c r="H149" i="9"/>
  <c r="D151" i="13" s="1"/>
  <c r="H150" i="9"/>
  <c r="D152" i="13" s="1"/>
  <c r="H151" i="9"/>
  <c r="D153" i="13" s="1"/>
  <c r="H152" i="9"/>
  <c r="D154" i="13" s="1"/>
  <c r="H153" i="9"/>
  <c r="D155" i="13" s="1"/>
  <c r="H154" i="9"/>
  <c r="D156" i="13" s="1"/>
  <c r="H155" i="9"/>
  <c r="D157" i="13" s="1"/>
  <c r="H2" i="9"/>
  <c r="D4" i="13" s="1"/>
  <c r="J18" i="9"/>
  <c r="J19" i="9"/>
  <c r="J20" i="9"/>
  <c r="J21" i="9"/>
  <c r="J22" i="9"/>
  <c r="J23" i="9"/>
  <c r="J13" i="9"/>
  <c r="J14" i="9"/>
  <c r="J15" i="9"/>
  <c r="J16" i="9"/>
  <c r="J17" i="9"/>
  <c r="J3" i="9"/>
  <c r="J4" i="9"/>
  <c r="J5" i="9"/>
  <c r="J6" i="9"/>
  <c r="J7" i="9"/>
  <c r="J8" i="9"/>
  <c r="J9" i="9"/>
  <c r="J10" i="9"/>
  <c r="J11" i="9"/>
  <c r="J12" i="9"/>
  <c r="J2" i="9"/>
  <c r="D10" i="5" l="1"/>
  <c r="D7" i="5"/>
  <c r="C11" i="5"/>
  <c r="D43" i="5"/>
  <c r="C39" i="5"/>
  <c r="C31" i="5"/>
  <c r="C27" i="5"/>
  <c r="C19" i="5"/>
  <c r="C7" i="5"/>
  <c r="C38" i="5"/>
  <c r="C30" i="5"/>
  <c r="C22" i="5"/>
  <c r="C18" i="5"/>
  <c r="C14" i="5"/>
  <c r="C6" i="5"/>
  <c r="C41" i="5"/>
  <c r="C37" i="5"/>
  <c r="C33" i="5"/>
  <c r="C29" i="5"/>
  <c r="C25" i="5"/>
  <c r="C21" i="5"/>
  <c r="C17" i="5"/>
  <c r="C13" i="5"/>
  <c r="C9" i="5"/>
  <c r="C5" i="5"/>
  <c r="C43" i="5"/>
  <c r="C35" i="5"/>
  <c r="C23" i="5"/>
  <c r="C15" i="5"/>
  <c r="C42" i="5"/>
  <c r="C34" i="5"/>
  <c r="C26" i="5"/>
  <c r="C10" i="5"/>
  <c r="C3" i="5"/>
  <c r="C40" i="5"/>
  <c r="C36" i="5"/>
  <c r="C32" i="5"/>
  <c r="C28" i="5"/>
  <c r="C24" i="5"/>
  <c r="C20" i="5"/>
  <c r="C16" i="5"/>
  <c r="C12" i="5"/>
  <c r="C8" i="5"/>
  <c r="D39" i="5"/>
  <c r="D27" i="5"/>
  <c r="D23" i="5"/>
  <c r="D15" i="5"/>
  <c r="D3" i="5"/>
  <c r="D38" i="5"/>
  <c r="D30" i="5"/>
  <c r="D22" i="5"/>
  <c r="D14" i="5"/>
  <c r="D6" i="5"/>
  <c r="D41" i="5"/>
  <c r="D37" i="5"/>
  <c r="D33" i="5"/>
  <c r="D29" i="5"/>
  <c r="D25" i="5"/>
  <c r="D21" i="5"/>
  <c r="D17" i="5"/>
  <c r="D13" i="5"/>
  <c r="D9" i="5"/>
  <c r="D5" i="5"/>
  <c r="D35" i="5"/>
  <c r="D31" i="5"/>
  <c r="D19" i="5"/>
  <c r="D11" i="5"/>
  <c r="D42" i="5"/>
  <c r="D34" i="5"/>
  <c r="D26" i="5"/>
  <c r="D18" i="5"/>
  <c r="D40" i="5"/>
  <c r="D36" i="5"/>
  <c r="D32" i="5"/>
  <c r="D28" i="5"/>
  <c r="D24" i="5"/>
  <c r="D20" i="5"/>
  <c r="D16" i="5"/>
  <c r="D12" i="5"/>
  <c r="D8" i="5"/>
  <c r="I137" i="9"/>
  <c r="I136" i="9"/>
  <c r="I135" i="9"/>
  <c r="I134" i="9"/>
  <c r="I131" i="9"/>
  <c r="J124" i="9" l="1"/>
  <c r="H124" i="9"/>
  <c r="D126" i="13" s="1"/>
  <c r="J125" i="9"/>
  <c r="H125" i="9"/>
  <c r="D127" i="13" s="1"/>
  <c r="E4" i="5" l="1"/>
  <c r="E41" i="5"/>
  <c r="E37" i="5"/>
  <c r="E33" i="5"/>
  <c r="E29" i="5"/>
  <c r="E25" i="5"/>
  <c r="E21" i="5"/>
  <c r="E17" i="5"/>
  <c r="E13" i="5"/>
  <c r="E9" i="5"/>
  <c r="E5" i="5"/>
  <c r="E40" i="5"/>
  <c r="E36" i="5"/>
  <c r="E32" i="5"/>
  <c r="E28" i="5"/>
  <c r="E24" i="5"/>
  <c r="E20" i="5"/>
  <c r="E16" i="5"/>
  <c r="E12" i="5"/>
  <c r="E8" i="5"/>
  <c r="E43" i="5"/>
  <c r="E39" i="5"/>
  <c r="E35" i="5"/>
  <c r="E31" i="5"/>
  <c r="E27" i="5"/>
  <c r="E23" i="5"/>
  <c r="E19" i="5"/>
  <c r="E15" i="5"/>
  <c r="E11" i="5"/>
  <c r="E7" i="5"/>
  <c r="E3" i="5"/>
  <c r="E42" i="5"/>
  <c r="E38" i="5"/>
  <c r="E34" i="5"/>
  <c r="E30" i="5"/>
  <c r="E26" i="5"/>
  <c r="E22" i="5"/>
  <c r="E18" i="5"/>
  <c r="E14" i="5"/>
  <c r="E10" i="5"/>
  <c r="E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ese-veda04</author>
  </authors>
  <commentList>
    <comment ref="F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I:O, derived from output / input GWh_el/tU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ese-veda04</author>
  </authors>
  <commentList>
    <comment ref="F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I:O, derived from output / input GWh_el/tU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ese-veda04</author>
  </authors>
  <commentList>
    <comment ref="F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I:O, derived from output / input GWh_el/tU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ese-veda04</author>
  </authors>
  <commentList>
    <comment ref="F1" authorId="0" shapeId="0" xr:uid="{1D6D390A-E726-443F-94DF-D92F8A27572D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I:O, derived from output / input GWh_el/tU</t>
        </r>
      </text>
    </comment>
  </commentList>
</comments>
</file>

<file path=xl/sharedStrings.xml><?xml version="1.0" encoding="utf-8"?>
<sst xmlns="http://schemas.openxmlformats.org/spreadsheetml/2006/main" count="2447" uniqueCount="220">
  <si>
    <t>Process</t>
  </si>
  <si>
    <t>DE</t>
  </si>
  <si>
    <t>Start year</t>
  </si>
  <si>
    <t>FR</t>
  </si>
  <si>
    <t>BE</t>
  </si>
  <si>
    <t>ENBE_DOEL-1_00</t>
  </si>
  <si>
    <t>ENBE_DOEL-2_00</t>
  </si>
  <si>
    <t>ENBE_DOEL-3_00</t>
  </si>
  <si>
    <t>ENBE_DOEL-4_00</t>
  </si>
  <si>
    <t>ENBE_TIHANGE-1_00</t>
  </si>
  <si>
    <t>ENBE_TIHANGE-2_00</t>
  </si>
  <si>
    <t>ENBE_TIHANGE-3_00</t>
  </si>
  <si>
    <t>BG</t>
  </si>
  <si>
    <t>ENBG_KOZLODUY-3_00</t>
  </si>
  <si>
    <t>ENBG_KOZLODUY-4_00</t>
  </si>
  <si>
    <t>ENBG_KOZLODUY-5_00</t>
  </si>
  <si>
    <t>ENBG_KOZLODUY-6_00</t>
  </si>
  <si>
    <t>CH</t>
  </si>
  <si>
    <t>ENCH_BEZNAU-1_00</t>
  </si>
  <si>
    <t>ENCH_BEZNAU-2_00</t>
  </si>
  <si>
    <t>ENCH_GOESGEN_00</t>
  </si>
  <si>
    <t>ENCH_LEIBSTADT_00</t>
  </si>
  <si>
    <t>ENCH_MUEHLEBERG_00</t>
  </si>
  <si>
    <t>CZ</t>
  </si>
  <si>
    <t>ENCZ_DUKOVANY-1_00</t>
  </si>
  <si>
    <t>ENCZ_DUKOVANY-2_00</t>
  </si>
  <si>
    <t>ENCZ_DUKOVANY-3_00</t>
  </si>
  <si>
    <t>ENCZ_DUKOVANY-4_00</t>
  </si>
  <si>
    <t>ENCZ_TEMELIN-1_00</t>
  </si>
  <si>
    <t>ENCZ_TEMELIN-2_00</t>
  </si>
  <si>
    <t>ENDE_BIBLIS-A_00</t>
  </si>
  <si>
    <t>ENDE_BIBLIS-B_00</t>
  </si>
  <si>
    <t>ENDE_BROKDORF_KBR_00</t>
  </si>
  <si>
    <t>ENDE_BRUNSBUETTEL_00</t>
  </si>
  <si>
    <t>ENDE_EMSLAND_KKE_00</t>
  </si>
  <si>
    <t>ENDE_GRAFENRHEINFELD_KKG_00</t>
  </si>
  <si>
    <t>ENDE_GROHNDE_KWG_00</t>
  </si>
  <si>
    <t>ENDE_GUNDREM-B_GUN-B_00</t>
  </si>
  <si>
    <t>ENDE_GUNDREM-C_GUN-C_00</t>
  </si>
  <si>
    <t>ENDE_ISAR-1_00</t>
  </si>
  <si>
    <t>ENDE_ISAR-2_KKI2_00</t>
  </si>
  <si>
    <t>ENDE_KRUEMMEL_00</t>
  </si>
  <si>
    <t>ENDE_NECKARWEST-2_GKN2_00</t>
  </si>
  <si>
    <t>ENDE_NECKARWESTHEIM-1_00</t>
  </si>
  <si>
    <t>ENDE_PHILIPPSBURG-1_00</t>
  </si>
  <si>
    <t>ENDE_PHILIPPSBURG-2_KKP2_00</t>
  </si>
  <si>
    <t>ENDE_UNTERWESER_00</t>
  </si>
  <si>
    <t>ES</t>
  </si>
  <si>
    <t>ENES_ALMARAZ-1_00</t>
  </si>
  <si>
    <t>ENES_ALMARAZ-2_00</t>
  </si>
  <si>
    <t>ENES_ASCO-1_00</t>
  </si>
  <si>
    <t>ENES_ASCO-2_00</t>
  </si>
  <si>
    <t>ENES_COFRENTES_00</t>
  </si>
  <si>
    <t>ENES_SANTAMARIADEGARONA_00</t>
  </si>
  <si>
    <t>ENES_TRILLO-1_00</t>
  </si>
  <si>
    <t>ENES_VANDELLOS-2_00</t>
  </si>
  <si>
    <t>FI</t>
  </si>
  <si>
    <t>ENFI_LOVIISA-1_00</t>
  </si>
  <si>
    <t>ENFI_LOVIISA-2_00</t>
  </si>
  <si>
    <t>ENFI_OLKILUOTO-1_00</t>
  </si>
  <si>
    <t>ENFI_OLKILUOTO-2_00</t>
  </si>
  <si>
    <t>ENFR_BELLEVILLE-1_00</t>
  </si>
  <si>
    <t>ENFR_BELLEVILLE-2_00</t>
  </si>
  <si>
    <t>ENFR_BLAYAIS-1_00</t>
  </si>
  <si>
    <t>ENFR_BLAYAIS-2_00</t>
  </si>
  <si>
    <t>ENFR_BLAYAIS-3_00</t>
  </si>
  <si>
    <t>ENFR_BLAYAIS-4_00</t>
  </si>
  <si>
    <t>ENFR_BUGEY-2_00_00</t>
  </si>
  <si>
    <t>ENFR_BUGEY-3_00_00</t>
  </si>
  <si>
    <t>ENFR_BUGEY-4_00_00</t>
  </si>
  <si>
    <t>ENFR_BUGEY-5_00_00</t>
  </si>
  <si>
    <t>ENFR_CATTENOM-1_00</t>
  </si>
  <si>
    <t>ENFR_CATTENOM-2_00</t>
  </si>
  <si>
    <t>ENFR_CATTENOM-3_00</t>
  </si>
  <si>
    <t>ENFR_CATTENOM-4_00</t>
  </si>
  <si>
    <t>ENFR_CHINON-B-1_00</t>
  </si>
  <si>
    <t>ENFR_CHINON-B-2_00</t>
  </si>
  <si>
    <t>ENFR_CHINON-B-3_00</t>
  </si>
  <si>
    <t>ENFR_CHINON-B-4_00</t>
  </si>
  <si>
    <t>ENFR_CHOOZ-B-1_00</t>
  </si>
  <si>
    <t>ENFR_CHOOZ-B-2_00</t>
  </si>
  <si>
    <t>ENFR_CIVAUX-1_00</t>
  </si>
  <si>
    <t>ENFR_CIVAUX-2_00</t>
  </si>
  <si>
    <t>ENFR_CRUAS-1_00</t>
  </si>
  <si>
    <t>ENFR_CRUAS-2_00</t>
  </si>
  <si>
    <t>ENFR_CRUAS-3_00</t>
  </si>
  <si>
    <t>ENFR_CRUAS-4_00</t>
  </si>
  <si>
    <t>ENFR_DAMPIERRE-1_00</t>
  </si>
  <si>
    <t>ENFR_DAMPIERRE-2_00</t>
  </si>
  <si>
    <t>ENFR_DAMPIERRE-3_00</t>
  </si>
  <si>
    <t>ENFR_DAMPIERRE-4_00</t>
  </si>
  <si>
    <t>ENFR_FESSENHEIM-1_00</t>
  </si>
  <si>
    <t>ENFR_FESSENHEIM-2_00</t>
  </si>
  <si>
    <t>ENFR_FLAMANVILLE-1_00</t>
  </si>
  <si>
    <t>ENFR_FLAMANVILLE-2_00</t>
  </si>
  <si>
    <t>ENFR_GOLFECH-1_00</t>
  </si>
  <si>
    <t>ENFR_GOLFECH-2_00</t>
  </si>
  <si>
    <t>ENFR_GRAVELINES-1_00</t>
  </si>
  <si>
    <t>ENFR_GRAVELINES-2_00</t>
  </si>
  <si>
    <t>ENFR_GRAVELINES-3_00</t>
  </si>
  <si>
    <t>ENFR_GRAVELINES-4_00</t>
  </si>
  <si>
    <t>ENFR_GRAVELINES-5_00</t>
  </si>
  <si>
    <t>ENFR_GRAVELINES-6_00</t>
  </si>
  <si>
    <t>ENFR_NOGENT-1_00</t>
  </si>
  <si>
    <t>ENFR_NOGENT-2_00</t>
  </si>
  <si>
    <t>ENFR_PALUEL-1_00</t>
  </si>
  <si>
    <t>ENFR_PALUEL-2_00</t>
  </si>
  <si>
    <t>ENFR_PALUEL-3_00</t>
  </si>
  <si>
    <t>ENFR_PALUEL-4_00</t>
  </si>
  <si>
    <t>ENFR_PENLY-1_00</t>
  </si>
  <si>
    <t>ENFR_PENLY-2_00</t>
  </si>
  <si>
    <t>ENFR_PHENIX_00</t>
  </si>
  <si>
    <t>ENFR_STALBAN-1_00</t>
  </si>
  <si>
    <t>ENFR_STALBAN-2_00</t>
  </si>
  <si>
    <t>ENFR_STLAURENT-B-1_00</t>
  </si>
  <si>
    <t>ENFR_STLAURENT-B-2_00</t>
  </si>
  <si>
    <t>ENFR_TRICASTIN-1_00</t>
  </si>
  <si>
    <t>ENFR_TRICASTIN-2_00</t>
  </si>
  <si>
    <t>ENFR_TRICASTIN-3_00</t>
  </si>
  <si>
    <t>ENFR_TRICASTIN-4_00</t>
  </si>
  <si>
    <t>HU</t>
  </si>
  <si>
    <t>ENHU_PAKS-1_00</t>
  </si>
  <si>
    <t>ENHU_PAKS-2_00</t>
  </si>
  <si>
    <t>ENHU_PAKS-3_00</t>
  </si>
  <si>
    <t>ENHU_PAKS-4_00</t>
  </si>
  <si>
    <t>LT</t>
  </si>
  <si>
    <t>ENLT_IGNALINA-1</t>
  </si>
  <si>
    <t>ENLT_IGNALINA-2</t>
  </si>
  <si>
    <t>NL</t>
  </si>
  <si>
    <t>ENNL_BORSSELE_00</t>
  </si>
  <si>
    <t>RO</t>
  </si>
  <si>
    <t>ENRO_CERNAVODA-1_00</t>
  </si>
  <si>
    <t>ENRO_CERNAVODA-2</t>
  </si>
  <si>
    <t>SE</t>
  </si>
  <si>
    <t>ENSE_FORSMARK-1_00</t>
  </si>
  <si>
    <t>ENSE_FORSMARK-2_00</t>
  </si>
  <si>
    <t>ENSE_FORSMARK-3_00</t>
  </si>
  <si>
    <t>ENSE_OSKARSHAMN-1_00</t>
  </si>
  <si>
    <t>ENSE_OSKARSHAMN-2_00</t>
  </si>
  <si>
    <t>ENSE_OSKARSHAMN-3_00</t>
  </si>
  <si>
    <t>ENSE_RINGHALS-1_00</t>
  </si>
  <si>
    <t>ENSE_RINGHALS-2_00</t>
  </si>
  <si>
    <t>ENSE_RINGHALS-3_00</t>
  </si>
  <si>
    <t>ENSE_RINGHALS-4_00</t>
  </si>
  <si>
    <t>SI</t>
  </si>
  <si>
    <t>ENSI_KRSKO_00</t>
  </si>
  <si>
    <t>SK</t>
  </si>
  <si>
    <t>ENSK_BOHUNICE-1_00</t>
  </si>
  <si>
    <t>ENSK_BOHUNICE-2_00</t>
  </si>
  <si>
    <t>ENSK_BOHUNICE-3_00</t>
  </si>
  <si>
    <t>ENSK_BOHUNICE-4_00</t>
  </si>
  <si>
    <t>ENSK_MOCHOVCE-1_00</t>
  </si>
  <si>
    <t>ENSK_MOCHOVCE-2_00</t>
  </si>
  <si>
    <t>UK</t>
  </si>
  <si>
    <t>ENUK_DUNGENESS-B1_00</t>
  </si>
  <si>
    <t>ENUK_DUNGENESS-B2_00</t>
  </si>
  <si>
    <t>ENUK_HARTLEPOOL-A1_00</t>
  </si>
  <si>
    <t>ENUK_HARTLEPOOL-A2_00</t>
  </si>
  <si>
    <t>ENUK_HEYSHAM-A1_00</t>
  </si>
  <si>
    <t>ENUK_HEYSHAM-A2_00</t>
  </si>
  <si>
    <t>ENUK_HEYSHAM-B1_00</t>
  </si>
  <si>
    <t>ENUK_HEYSHAM-B2_00</t>
  </si>
  <si>
    <t>ENUK_HINKLEYPOINT-B1_00</t>
  </si>
  <si>
    <t>ENUK_HINKLEYPOINT-B2_00</t>
  </si>
  <si>
    <t>ENUK_HUNTERSTON-B1_00</t>
  </si>
  <si>
    <t>ENUK_HUNTERSTON-B2_00</t>
  </si>
  <si>
    <t>ENUK_OLDBURY-A1_00</t>
  </si>
  <si>
    <t>ENUK_SIZEWELL-Bv_00</t>
  </si>
  <si>
    <t>ENUK_TORNESS1_00</t>
  </si>
  <si>
    <t>ENUK_TORNESS2_00</t>
  </si>
  <si>
    <t>ENUK_WYLFA1_00</t>
  </si>
  <si>
    <t>ENUK_WYLFA2_00</t>
  </si>
  <si>
    <t>Comments</t>
  </si>
  <si>
    <t xml:space="preserve">http://www.engie.com/en/journalists/press-releases/agreement-conditions-extending-doel-1-doel-2-new-nuclear-contribution-system/  </t>
  </si>
  <si>
    <t xml:space="preserve">http://economie.fgov.be/fr/consommateurs/Energie/Nucleaire/centrales_nucleaires/sortie_nucleaire/#.Vdb00Y7DVE4 </t>
  </si>
  <si>
    <t xml:space="preserve">http://www.fanc.fgov.be/nl/news/doel-3/tihange-2-next-steps-of-the-review-process/766.aspx  </t>
  </si>
  <si>
    <t xml:space="preserve">http://www.world-nuclear-news.org/C-EOn-supports-early-closure-of-Oskarshamn-units-2306154.html </t>
  </si>
  <si>
    <t xml:space="preserve">http://www.world-nuclear.org/info/Country-Profiles/Countries-A-F/Bulgaria/ </t>
  </si>
  <si>
    <t>Decommissioned</t>
  </si>
  <si>
    <t xml:space="preserve">http://www.developpement-durable.gouv.fr/Renforcer-la-surete-nucleaire-et-l,41397.html </t>
  </si>
  <si>
    <t xml:space="preserve">http://www.oecd-nea.org/ndd/pubs/2014/7197-bb-2014.pdf </t>
  </si>
  <si>
    <t>capacity according to operator website</t>
  </si>
  <si>
    <t xml:space="preserve">http://corporate.vattenfall.se/press-och-media/engelska/vattenfall-changes-direction-for-operational-lifetimes-of-ringhals-1-and-2/ </t>
  </si>
  <si>
    <t>http://www.seas.sk/data/contentlink/cfakepathebofactsen-web.pdf</t>
  </si>
  <si>
    <t>Source</t>
  </si>
  <si>
    <t>uncertain - follow up</t>
  </si>
  <si>
    <t>closed</t>
  </si>
  <si>
    <t>closing date unclear - follow up</t>
  </si>
  <si>
    <t>https://www.iaea.org/NuclearPower/Downloadable/Meetings/2013/2013-11-05-11-08-TM-NPE/10.Skodlar_Slovenia.pdf</t>
  </si>
  <si>
    <t>long term operation implemented</t>
  </si>
  <si>
    <t>LTO programm to run up to 60 years</t>
  </si>
  <si>
    <t>Year</t>
  </si>
  <si>
    <t xml:space="preserve">http://www.edfenergy.com/energy/power-stations/dungeness-b </t>
  </si>
  <si>
    <t xml:space="preserve">https://www.iaea.org/PRIS/CountryStatistics/ReactorDetails.aspx?current=237 </t>
  </si>
  <si>
    <t>majority owners announces to discontinue investments</t>
  </si>
  <si>
    <t>Generic  Lifetime</t>
  </si>
  <si>
    <t>Efficiency
PJ/tU</t>
  </si>
  <si>
    <t>Existing capacity
GW</t>
  </si>
  <si>
    <t>Tlife
yrs</t>
  </si>
  <si>
    <t>End of life</t>
  </si>
  <si>
    <t>Lifetime Option</t>
  </si>
  <si>
    <t>fixed</t>
  </si>
  <si>
    <t>generic</t>
  </si>
  <si>
    <t>End of life (fixed)</t>
  </si>
  <si>
    <t>http://www.world-nuclear.org/info/Country-Profiles/Countries-O-S/Switzerland/</t>
  </si>
  <si>
    <t>need to follow up political developments</t>
  </si>
  <si>
    <t>Member State</t>
  </si>
  <si>
    <t>According to grand carénage</t>
  </si>
  <si>
    <t>situtation unclear - follow up</t>
  </si>
  <si>
    <t>Remaining Capacity
(60 yrs scenario)</t>
  </si>
  <si>
    <t>Remaining Capacity
(40 yrs scenario)</t>
  </si>
  <si>
    <t>Remaining Capacity
(50 yrs scenario)</t>
  </si>
  <si>
    <t>~TFM_UPD</t>
  </si>
  <si>
    <t>Attribute</t>
  </si>
  <si>
    <t>AllRegions</t>
  </si>
  <si>
    <t>Pset_PN</t>
  </si>
  <si>
    <t>This scenario udpates the tlife of existing nuclear power plants</t>
  </si>
  <si>
    <t>The formulas are flexible</t>
  </si>
  <si>
    <t>NCAP_TLIFE</t>
  </si>
  <si>
    <t>Remaining Capacity
(70 yrs scenario)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</si>
</sst>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0"/>
      <color indexed="12"/>
      <name val="Arial"/>
      <family val="2"/>
    </font>
    <font>
      <b/>
      <sz val="1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9">
    <xf numFmtId="0" fontId="0" fillId="0" borderId="0"/>
    <xf numFmtId="0" fontId="3" fillId="0" borderId="0">
      <alignment wrapText="1"/>
    </xf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21" borderId="0" applyNumberFormat="0" applyBorder="0" applyAlignment="0" applyProtection="0"/>
    <xf numFmtId="0" fontId="7" fillId="5" borderId="0" applyNumberFormat="0" applyBorder="0" applyAlignment="0" applyProtection="0"/>
    <xf numFmtId="0" fontId="8" fillId="22" borderId="2" applyNumberFormat="0" applyAlignment="0" applyProtection="0"/>
    <xf numFmtId="0" fontId="9" fillId="23" borderId="3" applyNumberFormat="0" applyAlignment="0" applyProtection="0"/>
    <xf numFmtId="0" fontId="10" fillId="0" borderId="0" applyNumberFormat="0" applyFill="0" applyBorder="0" applyAlignment="0" applyProtection="0"/>
    <xf numFmtId="0" fontId="24" fillId="2" borderId="0" applyNumberFormat="0" applyBorder="0" applyAlignment="0" applyProtection="0"/>
    <xf numFmtId="0" fontId="11" fillId="6" borderId="0" applyNumberFormat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5" fillId="3" borderId="1" applyNumberFormat="0" applyAlignment="0" applyProtection="0"/>
    <xf numFmtId="0" fontId="15" fillId="9" borderId="2" applyNumberFormat="0" applyAlignment="0" applyProtection="0"/>
    <xf numFmtId="0" fontId="16" fillId="0" borderId="7" applyNumberFormat="0" applyFill="0" applyAlignment="0" applyProtection="0"/>
    <xf numFmtId="0" fontId="17" fillId="24" borderId="0" applyNumberFormat="0" applyBorder="0" applyAlignment="0" applyProtection="0"/>
    <xf numFmtId="0" fontId="3" fillId="0" borderId="0"/>
    <xf numFmtId="0" fontId="1" fillId="0" borderId="0"/>
    <xf numFmtId="0" fontId="1" fillId="0" borderId="0"/>
    <xf numFmtId="0" fontId="3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25" borderId="8" applyNumberFormat="0" applyFont="0" applyAlignment="0" applyProtection="0"/>
    <xf numFmtId="0" fontId="18" fillId="22" borderId="9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0" borderId="0" applyNumberFormat="0" applyFill="0" applyBorder="0" applyAlignment="0" applyProtection="0"/>
  </cellStyleXfs>
  <cellXfs count="14">
    <xf numFmtId="0" fontId="0" fillId="0" borderId="0" xfId="0"/>
    <xf numFmtId="4" fontId="0" fillId="0" borderId="0" xfId="0" applyNumberFormat="1"/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164" fontId="0" fillId="0" borderId="0" xfId="0" applyNumberFormat="1"/>
    <xf numFmtId="0" fontId="5" fillId="0" borderId="0" xfId="36" applyFill="1" applyBorder="1" applyAlignment="1" applyProtection="1">
      <alignment wrapText="1"/>
    </xf>
    <xf numFmtId="0" fontId="0" fillId="0" borderId="0" xfId="0" applyAlignment="1">
      <alignment wrapText="1"/>
    </xf>
    <xf numFmtId="0" fontId="5" fillId="0" borderId="0" xfId="36" applyFill="1" applyBorder="1" applyAlignment="1" applyProtection="1"/>
    <xf numFmtId="0" fontId="27" fillId="0" borderId="0" xfId="0" applyFont="1"/>
    <xf numFmtId="0" fontId="28" fillId="26" borderId="11" xfId="0" applyFont="1" applyFill="1" applyBorder="1"/>
    <xf numFmtId="0" fontId="28" fillId="27" borderId="11" xfId="0" applyFont="1" applyFill="1" applyBorder="1"/>
    <xf numFmtId="0" fontId="3" fillId="26" borderId="11" xfId="0" applyFont="1" applyFill="1" applyBorder="1"/>
  </cellXfs>
  <cellStyles count="59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Calculation 2" xfId="27" xr:uid="{00000000-0005-0000-0000-000019000000}"/>
    <cellStyle name="Check Cell 2" xfId="28" xr:uid="{00000000-0005-0000-0000-00001A000000}"/>
    <cellStyle name="Explanatory Text 2" xfId="29" xr:uid="{00000000-0005-0000-0000-00001B000000}"/>
    <cellStyle name="Good 2" xfId="30" xr:uid="{00000000-0005-0000-0000-00001C000000}"/>
    <cellStyle name="Good 2 2" xfId="31" xr:uid="{00000000-0005-0000-0000-00001D000000}"/>
    <cellStyle name="Heading 1 2" xfId="32" xr:uid="{00000000-0005-0000-0000-00001E000000}"/>
    <cellStyle name="Heading 2 2" xfId="33" xr:uid="{00000000-0005-0000-0000-00001F000000}"/>
    <cellStyle name="Heading 3 2" xfId="34" xr:uid="{00000000-0005-0000-0000-000020000000}"/>
    <cellStyle name="Heading 4 2" xfId="35" xr:uid="{00000000-0005-0000-0000-000021000000}"/>
    <cellStyle name="Hyperlink" xfId="36" builtinId="8"/>
    <cellStyle name="Input 2" xfId="37" xr:uid="{00000000-0005-0000-0000-000023000000}"/>
    <cellStyle name="Input 2 2" xfId="38" xr:uid="{00000000-0005-0000-0000-000024000000}"/>
    <cellStyle name="Linked Cell 2" xfId="39" xr:uid="{00000000-0005-0000-0000-000025000000}"/>
    <cellStyle name="Neutral 2" xfId="40" xr:uid="{00000000-0005-0000-0000-000026000000}"/>
    <cellStyle name="Normal" xfId="0" builtinId="0"/>
    <cellStyle name="Normal 10" xfId="41" xr:uid="{00000000-0005-0000-0000-000028000000}"/>
    <cellStyle name="Normal 2" xfId="42" xr:uid="{00000000-0005-0000-0000-000029000000}"/>
    <cellStyle name="Normal 2 2" xfId="43" xr:uid="{00000000-0005-0000-0000-00002A000000}"/>
    <cellStyle name="Normal 2 3" xfId="44" xr:uid="{00000000-0005-0000-0000-00002B000000}"/>
    <cellStyle name="Normal 3" xfId="45" xr:uid="{00000000-0005-0000-0000-00002C000000}"/>
    <cellStyle name="Normal 3 2" xfId="46" xr:uid="{00000000-0005-0000-0000-00002D000000}"/>
    <cellStyle name="Normal 4" xfId="47" xr:uid="{00000000-0005-0000-0000-00002E000000}"/>
    <cellStyle name="Normal 4 2" xfId="48" xr:uid="{00000000-0005-0000-0000-00002F000000}"/>
    <cellStyle name="Normal 5" xfId="1" xr:uid="{00000000-0005-0000-0000-000030000000}"/>
    <cellStyle name="Normal 6" xfId="49" xr:uid="{00000000-0005-0000-0000-000031000000}"/>
    <cellStyle name="Normale_Scen_UC_IND-StrucConst" xfId="50" xr:uid="{00000000-0005-0000-0000-000032000000}"/>
    <cellStyle name="Note 2" xfId="51" xr:uid="{00000000-0005-0000-0000-000033000000}"/>
    <cellStyle name="Output 2" xfId="52" xr:uid="{00000000-0005-0000-0000-000034000000}"/>
    <cellStyle name="Percent 2" xfId="53" xr:uid="{00000000-0005-0000-0000-000035000000}"/>
    <cellStyle name="Percent 3 2" xfId="54" xr:uid="{00000000-0005-0000-0000-000036000000}"/>
    <cellStyle name="Percent 4" xfId="55" xr:uid="{00000000-0005-0000-0000-000037000000}"/>
    <cellStyle name="Title 2" xfId="56" xr:uid="{00000000-0005-0000-0000-000038000000}"/>
    <cellStyle name="Total 2" xfId="57" xr:uid="{00000000-0005-0000-0000-000039000000}"/>
    <cellStyle name="Warning Text 2" xfId="58" xr:uid="{00000000-0005-0000-0000-00003A000000}"/>
  </cellStyles>
  <dxfs count="76"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rgb="FF000000"/>
          <bgColor rgb="FFFFFFFF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164" formatCode="0.0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right style="thin">
          <color rgb="FF000000"/>
        </right>
        <top style="medium">
          <color rgb="FF000000"/>
        </top>
      </border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164" formatCode="0.0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rgb="FF000000"/>
          <bgColor rgb="FFFFFFFF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164" formatCode="0.0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 outline="0">
        <left style="medium">
          <color rgb="FF000000"/>
        </left>
        <right style="thin">
          <color rgb="FF000000"/>
        </right>
        <top style="medium">
          <color rgb="FF000000"/>
        </top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rgb="FF000000"/>
          <bgColor rgb="FFFFFFFF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164" formatCode="0.0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 outline="0">
        <left style="medium">
          <color rgb="FF000000"/>
        </left>
        <right style="thin">
          <color rgb="FF000000"/>
        </right>
        <top style="medium">
          <color rgb="FF000000"/>
        </top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GB" sz="1400"/>
              <a:t>Remaining installed nuclear capacity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ShutdownCurve!$C$2</c:f>
              <c:strCache>
                <c:ptCount val="1"/>
                <c:pt idx="0">
                  <c:v>Remaining Capacity
(40 yrs scenario)</c:v>
                </c:pt>
              </c:strCache>
            </c:strRef>
          </c:tx>
          <c:marker>
            <c:symbol val="none"/>
          </c:marker>
          <c:val>
            <c:numRef>
              <c:f>ShutdownCurve!$C$3:$C$43</c:f>
              <c:numCache>
                <c:formatCode>#,##0.00</c:formatCode>
                <c:ptCount val="41"/>
                <c:pt idx="0">
                  <c:v>134.45500000000007</c:v>
                </c:pt>
                <c:pt idx="1">
                  <c:v>134.45500000000007</c:v>
                </c:pt>
                <c:pt idx="2">
                  <c:v>125.67299999999997</c:v>
                </c:pt>
                <c:pt idx="3">
                  <c:v>124.96599999999998</c:v>
                </c:pt>
                <c:pt idx="4">
                  <c:v>124.83599999999998</c:v>
                </c:pt>
                <c:pt idx="5">
                  <c:v>124.83599999999998</c:v>
                </c:pt>
                <c:pt idx="6">
                  <c:v>123.07099999999996</c:v>
                </c:pt>
                <c:pt idx="7">
                  <c:v>123.07099999999996</c:v>
                </c:pt>
                <c:pt idx="8">
                  <c:v>119.53099999999996</c:v>
                </c:pt>
                <c:pt idx="9">
                  <c:v>116.35799999999999</c:v>
                </c:pt>
                <c:pt idx="10">
                  <c:v>110.11799999999997</c:v>
                </c:pt>
                <c:pt idx="11">
                  <c:v>97.972999999999971</c:v>
                </c:pt>
                <c:pt idx="12">
                  <c:v>84.60599999999998</c:v>
                </c:pt>
                <c:pt idx="13">
                  <c:v>75.311999999999983</c:v>
                </c:pt>
                <c:pt idx="14">
                  <c:v>65.495999999999995</c:v>
                </c:pt>
                <c:pt idx="15">
                  <c:v>57.230000000000011</c:v>
                </c:pt>
                <c:pt idx="16">
                  <c:v>42.841000000000001</c:v>
                </c:pt>
                <c:pt idx="17">
                  <c:v>35.228999999999999</c:v>
                </c:pt>
                <c:pt idx="18">
                  <c:v>27.461999999999993</c:v>
                </c:pt>
                <c:pt idx="19">
                  <c:v>22.798999999999996</c:v>
                </c:pt>
                <c:pt idx="20">
                  <c:v>21.813999999999997</c:v>
                </c:pt>
                <c:pt idx="21">
                  <c:v>17.874000000000002</c:v>
                </c:pt>
                <c:pt idx="22">
                  <c:v>15.621</c:v>
                </c:pt>
                <c:pt idx="23">
                  <c:v>14.291</c:v>
                </c:pt>
                <c:pt idx="24">
                  <c:v>12.981</c:v>
                </c:pt>
                <c:pt idx="25">
                  <c:v>11.279000000000002</c:v>
                </c:pt>
                <c:pt idx="26">
                  <c:v>10.088000000000001</c:v>
                </c:pt>
                <c:pt idx="27">
                  <c:v>7.9380000000000006</c:v>
                </c:pt>
                <c:pt idx="28">
                  <c:v>4.9430000000000005</c:v>
                </c:pt>
                <c:pt idx="29">
                  <c:v>4.5070000000000006</c:v>
                </c:pt>
                <c:pt idx="30">
                  <c:v>2.5760000000000001</c:v>
                </c:pt>
                <c:pt idx="31">
                  <c:v>1.613</c:v>
                </c:pt>
                <c:pt idx="32">
                  <c:v>1.613</c:v>
                </c:pt>
                <c:pt idx="33">
                  <c:v>0.65</c:v>
                </c:pt>
                <c:pt idx="34">
                  <c:v>0.65</c:v>
                </c:pt>
                <c:pt idx="35">
                  <c:v>0.65</c:v>
                </c:pt>
                <c:pt idx="36">
                  <c:v>0.65</c:v>
                </c:pt>
                <c:pt idx="37">
                  <c:v>0.65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43-46EF-8630-C0FD0597E601}"/>
            </c:ext>
          </c:extLst>
        </c:ser>
        <c:ser>
          <c:idx val="2"/>
          <c:order val="1"/>
          <c:tx>
            <c:strRef>
              <c:f>ShutdownCurve!$D$2</c:f>
              <c:strCache>
                <c:ptCount val="1"/>
                <c:pt idx="0">
                  <c:v>Remaining Capacity
(50 yrs scenario)</c:v>
                </c:pt>
              </c:strCache>
            </c:strRef>
          </c:tx>
          <c:marker>
            <c:symbol val="none"/>
          </c:marker>
          <c:cat>
            <c:numRef>
              <c:f>ShutdownCurve!$B$3:$B$43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ShutdownCurve!$D$3:$D$43</c:f>
              <c:numCache>
                <c:formatCode>#,##0.00</c:formatCode>
                <c:ptCount val="41"/>
                <c:pt idx="0">
                  <c:v>134.45500000000007</c:v>
                </c:pt>
                <c:pt idx="1">
                  <c:v>134.45500000000007</c:v>
                </c:pt>
                <c:pt idx="2">
                  <c:v>126.11899999999997</c:v>
                </c:pt>
                <c:pt idx="3">
                  <c:v>125.41199999999998</c:v>
                </c:pt>
                <c:pt idx="4">
                  <c:v>125.41199999999998</c:v>
                </c:pt>
                <c:pt idx="5">
                  <c:v>125.41199999999998</c:v>
                </c:pt>
                <c:pt idx="6">
                  <c:v>123.64699999999998</c:v>
                </c:pt>
                <c:pt idx="7">
                  <c:v>123.64699999999998</c:v>
                </c:pt>
                <c:pt idx="8">
                  <c:v>120.60299999999997</c:v>
                </c:pt>
                <c:pt idx="9">
                  <c:v>120.12999999999998</c:v>
                </c:pt>
                <c:pt idx="10">
                  <c:v>115.64999999999998</c:v>
                </c:pt>
                <c:pt idx="11">
                  <c:v>113.26899999999998</c:v>
                </c:pt>
                <c:pt idx="12">
                  <c:v>108.39999999999998</c:v>
                </c:pt>
                <c:pt idx="13">
                  <c:v>102.33099999999999</c:v>
                </c:pt>
                <c:pt idx="14">
                  <c:v>98.030999999999992</c:v>
                </c:pt>
                <c:pt idx="15">
                  <c:v>98.030999999999992</c:v>
                </c:pt>
                <c:pt idx="16">
                  <c:v>94.118000000000009</c:v>
                </c:pt>
                <c:pt idx="17">
                  <c:v>94.118000000000009</c:v>
                </c:pt>
                <c:pt idx="18">
                  <c:v>93.622</c:v>
                </c:pt>
                <c:pt idx="19">
                  <c:v>89.882000000000019</c:v>
                </c:pt>
                <c:pt idx="20">
                  <c:v>87.137000000000015</c:v>
                </c:pt>
                <c:pt idx="21">
                  <c:v>77.373000000000005</c:v>
                </c:pt>
                <c:pt idx="22">
                  <c:v>68.428999999999988</c:v>
                </c:pt>
                <c:pt idx="23">
                  <c:v>65.203999999999994</c:v>
                </c:pt>
                <c:pt idx="24">
                  <c:v>59.557999999999993</c:v>
                </c:pt>
                <c:pt idx="25">
                  <c:v>49.589999999999996</c:v>
                </c:pt>
                <c:pt idx="26">
                  <c:v>37.922999999999995</c:v>
                </c:pt>
                <c:pt idx="27">
                  <c:v>30.310999999999993</c:v>
                </c:pt>
                <c:pt idx="28">
                  <c:v>22.543999999999997</c:v>
                </c:pt>
                <c:pt idx="29">
                  <c:v>18.920999999999999</c:v>
                </c:pt>
                <c:pt idx="30">
                  <c:v>18.920999999999999</c:v>
                </c:pt>
                <c:pt idx="31">
                  <c:v>14.981000000000002</c:v>
                </c:pt>
                <c:pt idx="32">
                  <c:v>12.728000000000002</c:v>
                </c:pt>
                <c:pt idx="33">
                  <c:v>11.398000000000001</c:v>
                </c:pt>
                <c:pt idx="34">
                  <c:v>10.088000000000001</c:v>
                </c:pt>
                <c:pt idx="35">
                  <c:v>10.088000000000001</c:v>
                </c:pt>
                <c:pt idx="36">
                  <c:v>10.088000000000001</c:v>
                </c:pt>
                <c:pt idx="37">
                  <c:v>7.9380000000000006</c:v>
                </c:pt>
                <c:pt idx="38">
                  <c:v>4.9430000000000005</c:v>
                </c:pt>
                <c:pt idx="39">
                  <c:v>4.5070000000000006</c:v>
                </c:pt>
                <c:pt idx="40">
                  <c:v>2.5760000000000001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43-46EF-8630-C0FD0597E601}"/>
            </c:ext>
          </c:extLst>
        </c:ser>
        <c:ser>
          <c:idx val="3"/>
          <c:order val="2"/>
          <c:tx>
            <c:strRef>
              <c:f>ShutdownCurve!$E$2</c:f>
              <c:strCache>
                <c:ptCount val="1"/>
                <c:pt idx="0">
                  <c:v>Remaining Capacity
(60 yrs scenario)</c:v>
                </c:pt>
              </c:strCache>
            </c:strRef>
          </c:tx>
          <c:marker>
            <c:symbol val="none"/>
          </c:marker>
          <c:cat>
            <c:numRef>
              <c:f>ShutdownCurve!$B$3:$B$43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ShutdownCurve!$E$3:$E$43</c:f>
              <c:numCache>
                <c:formatCode>#,##0.00</c:formatCode>
                <c:ptCount val="41"/>
                <c:pt idx="0">
                  <c:v>134.45500000000007</c:v>
                </c:pt>
                <c:pt idx="1">
                  <c:v>134.45500000000007</c:v>
                </c:pt>
                <c:pt idx="2">
                  <c:v>126.11899999999997</c:v>
                </c:pt>
                <c:pt idx="3">
                  <c:v>125.41199999999998</c:v>
                </c:pt>
                <c:pt idx="4">
                  <c:v>125.41199999999998</c:v>
                </c:pt>
                <c:pt idx="5">
                  <c:v>125.41199999999998</c:v>
                </c:pt>
                <c:pt idx="6">
                  <c:v>123.64699999999998</c:v>
                </c:pt>
                <c:pt idx="7">
                  <c:v>123.64699999999998</c:v>
                </c:pt>
                <c:pt idx="8">
                  <c:v>120.60299999999997</c:v>
                </c:pt>
                <c:pt idx="9">
                  <c:v>120.12999999999998</c:v>
                </c:pt>
                <c:pt idx="10">
                  <c:v>115.64999999999998</c:v>
                </c:pt>
                <c:pt idx="11">
                  <c:v>113.26899999999998</c:v>
                </c:pt>
                <c:pt idx="12">
                  <c:v>108.84599999999998</c:v>
                </c:pt>
                <c:pt idx="13">
                  <c:v>102.77699999999999</c:v>
                </c:pt>
                <c:pt idx="14">
                  <c:v>98.606999999999985</c:v>
                </c:pt>
                <c:pt idx="15">
                  <c:v>98.606999999999985</c:v>
                </c:pt>
                <c:pt idx="16">
                  <c:v>94.694000000000003</c:v>
                </c:pt>
                <c:pt idx="17">
                  <c:v>94.694000000000003</c:v>
                </c:pt>
                <c:pt idx="18">
                  <c:v>94.694000000000003</c:v>
                </c:pt>
                <c:pt idx="19">
                  <c:v>93.654000000000011</c:v>
                </c:pt>
                <c:pt idx="20">
                  <c:v>92.668999999999997</c:v>
                </c:pt>
                <c:pt idx="21">
                  <c:v>92.668999999999997</c:v>
                </c:pt>
                <c:pt idx="22">
                  <c:v>92.222999999999999</c:v>
                </c:pt>
                <c:pt idx="23">
                  <c:v>92.222999999999999</c:v>
                </c:pt>
                <c:pt idx="24">
                  <c:v>92.093000000000004</c:v>
                </c:pt>
                <c:pt idx="25">
                  <c:v>90.391000000000005</c:v>
                </c:pt>
                <c:pt idx="26">
                  <c:v>89.2</c:v>
                </c:pt>
                <c:pt idx="27">
                  <c:v>89.2</c:v>
                </c:pt>
                <c:pt idx="28">
                  <c:v>88.704000000000022</c:v>
                </c:pt>
                <c:pt idx="29">
                  <c:v>86.004000000000005</c:v>
                </c:pt>
                <c:pt idx="30">
                  <c:v>84.244000000000014</c:v>
                </c:pt>
                <c:pt idx="31">
                  <c:v>74.48</c:v>
                </c:pt>
                <c:pt idx="32">
                  <c:v>65.535999999999987</c:v>
                </c:pt>
                <c:pt idx="33">
                  <c:v>62.310999999999993</c:v>
                </c:pt>
                <c:pt idx="34">
                  <c:v>56.664999999999992</c:v>
                </c:pt>
                <c:pt idx="35">
                  <c:v>48.398999999999994</c:v>
                </c:pt>
                <c:pt idx="36">
                  <c:v>37.922999999999995</c:v>
                </c:pt>
                <c:pt idx="37">
                  <c:v>30.310999999999993</c:v>
                </c:pt>
                <c:pt idx="38">
                  <c:v>22.543999999999997</c:v>
                </c:pt>
                <c:pt idx="39">
                  <c:v>18.920999999999999</c:v>
                </c:pt>
                <c:pt idx="40">
                  <c:v>18.920999999999999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43-46EF-8630-C0FD0597E601}"/>
            </c:ext>
          </c:extLst>
        </c:ser>
        <c:ser>
          <c:idx val="1"/>
          <c:order val="3"/>
          <c:tx>
            <c:strRef>
              <c:f>ShutdownCurve!$F$2</c:f>
              <c:strCache>
                <c:ptCount val="1"/>
                <c:pt idx="0">
                  <c:v>Remaining Capacity
(70 yrs scenario)</c:v>
                </c:pt>
              </c:strCache>
            </c:strRef>
          </c:tx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4F43-46EF-8630-C0FD0597E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477760"/>
        <c:axId val="117479296"/>
      </c:lineChart>
      <c:catAx>
        <c:axId val="117477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7479296"/>
        <c:crosses val="autoZero"/>
        <c:auto val="1"/>
        <c:lblAlgn val="ctr"/>
        <c:lblOffset val="100"/>
        <c:tickLblSkip val="5"/>
        <c:noMultiLvlLbl val="0"/>
      </c:catAx>
      <c:valAx>
        <c:axId val="1174792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[GW]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11747776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1</xdr:row>
      <xdr:rowOff>542925</xdr:rowOff>
    </xdr:from>
    <xdr:to>
      <xdr:col>15</xdr:col>
      <xdr:colOff>590550</xdr:colOff>
      <xdr:row>22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B2:E43" totalsRowShown="0" headerRowDxfId="75">
  <autoFilter ref="B2:E43" xr:uid="{00000000-0009-0000-0100-000003000000}"/>
  <tableColumns count="4">
    <tableColumn id="1" xr3:uid="{00000000-0010-0000-0000-000001000000}" name="Year"/>
    <tableColumn id="2" xr3:uid="{00000000-0010-0000-0000-000002000000}" name="Remaining Capacity_x000a_(40 yrs scenario)" dataDxfId="74">
      <calculatedColumnFormula>SUMIF(Table157[End of life],"&gt;="&amp;Table3[[#This Row],[Year]],Table157[Existing capacity
GW])</calculatedColumnFormula>
    </tableColumn>
    <tableColumn id="3" xr3:uid="{00000000-0010-0000-0000-000003000000}" name="Remaining Capacity_x000a_(50 yrs scenario)" dataDxfId="73">
      <calculatedColumnFormula>SUMIF(Table15[End of life],"&gt;="&amp;Table3[[#This Row],[Year]],Table15[Existing capacity
GW])</calculatedColumnFormula>
    </tableColumn>
    <tableColumn id="4" xr3:uid="{00000000-0010-0000-0000-000004000000}" name="Remaining Capacity_x000a_(60 yrs scenario)" dataDxfId="72">
      <calculatedColumnFormula>SUMIF(Table1[End of life],"&gt;="&amp;Table3[[#This Row],[Year]],Table1[Existing capacity
GW])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able157" displayName="Table157" ref="C1:M155" totalsRowShown="0" headerRowDxfId="71" dataDxfId="69" headerRowBorderDxfId="70" tableBorderDxfId="68">
  <autoFilter ref="C1:M155" xr:uid="{00000000-0009-0000-0100-000006000000}"/>
  <tableColumns count="11">
    <tableColumn id="1" xr3:uid="{00000000-0010-0000-0100-000001000000}" name="Member State" dataDxfId="67"/>
    <tableColumn id="2" xr3:uid="{00000000-0010-0000-0100-000002000000}" name="Process" dataDxfId="66"/>
    <tableColumn id="3" xr3:uid="{00000000-0010-0000-0100-000003000000}" name="Start year" dataDxfId="65"/>
    <tableColumn id="4" xr3:uid="{00000000-0010-0000-0100-000004000000}" name="Efficiency_x000a_PJ/tU" dataDxfId="64"/>
    <tableColumn id="10" xr3:uid="{00000000-0010-0000-0100-00000A000000}" name="Lifetime Option" dataDxfId="63"/>
    <tableColumn id="5" xr3:uid="{00000000-0010-0000-0100-000005000000}" name="Tlife_x000a_yrs" dataDxfId="62">
      <calculatedColumnFormula>IF(Table157[[#This Row],[Lifetime Option]]="fixed",Table157[[#This Row],[End of life (fixed)]]-Table157[[#This Row],[Start year]],Table268[Generic  Lifetime])</calculatedColumnFormula>
    </tableColumn>
    <tableColumn id="6" xr3:uid="{00000000-0010-0000-0100-000006000000}" name="End of life (fixed)" dataDxfId="61"/>
    <tableColumn id="12" xr3:uid="{00000000-0010-0000-0100-00000C000000}" name="End of life" dataDxfId="60">
      <calculatedColumnFormula>IF(Table157[[#This Row],[Lifetime Option]]="fixed",Table157[[#This Row],[End of life (fixed)]],Table157[[#This Row],[Start year]]+Table268[Generic  Lifetime])</calculatedColumnFormula>
    </tableColumn>
    <tableColumn id="7" xr3:uid="{00000000-0010-0000-0100-000007000000}" name="Existing capacity_x000a_GW" dataDxfId="59"/>
    <tableColumn id="8" xr3:uid="{00000000-0010-0000-0100-000008000000}" name="Comments" dataDxfId="58"/>
    <tableColumn id="9" xr3:uid="{00000000-0010-0000-0100-000009000000}" name="Source" dataDxfId="57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Table268" displayName="Table268" ref="A1:A2" totalsRowShown="0" headerRowDxfId="56" dataDxfId="55">
  <autoFilter ref="A1:A2" xr:uid="{00000000-0009-0000-0100-000007000000}"/>
  <tableColumns count="1">
    <tableColumn id="1" xr3:uid="{00000000-0010-0000-0200-000001000000}" name="Generic  Lifetime" dataDxfId="54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5" displayName="Table15" ref="C1:M155" totalsRowShown="0" headerRowDxfId="53" dataDxfId="51" headerRowBorderDxfId="52" tableBorderDxfId="50">
  <autoFilter ref="C1:M155" xr:uid="{00000000-0009-0000-0100-000004000000}"/>
  <tableColumns count="11">
    <tableColumn id="1" xr3:uid="{00000000-0010-0000-0300-000001000000}" name="Member State" dataDxfId="49"/>
    <tableColumn id="2" xr3:uid="{00000000-0010-0000-0300-000002000000}" name="Process" dataDxfId="48"/>
    <tableColumn id="3" xr3:uid="{00000000-0010-0000-0300-000003000000}" name="Start year" dataDxfId="47"/>
    <tableColumn id="4" xr3:uid="{00000000-0010-0000-0300-000004000000}" name="Efficiency_x000a_PJ/tU" dataDxfId="46"/>
    <tableColumn id="10" xr3:uid="{00000000-0010-0000-0300-00000A000000}" name="Lifetime Option" dataDxfId="45"/>
    <tableColumn id="5" xr3:uid="{00000000-0010-0000-0300-000005000000}" name="Tlife_x000a_yrs" dataDxfId="44">
      <calculatedColumnFormula>IF(Table15[[#This Row],[Lifetime Option]]="fixed",Table15[[#This Row],[End of life (fixed)]]-Table15[[#This Row],[Start year]],Table26[Generic  Lifetime])</calculatedColumnFormula>
    </tableColumn>
    <tableColumn id="6" xr3:uid="{00000000-0010-0000-0300-000006000000}" name="End of life (fixed)" dataDxfId="43"/>
    <tableColumn id="12" xr3:uid="{00000000-0010-0000-0300-00000C000000}" name="End of life" dataDxfId="42">
      <calculatedColumnFormula>IF(Table15[[#This Row],[Lifetime Option]]="fixed",Table15[[#This Row],[End of life (fixed)]],Table15[[#This Row],[Start year]]+Table26[Generic  Lifetime])</calculatedColumnFormula>
    </tableColumn>
    <tableColumn id="7" xr3:uid="{00000000-0010-0000-0300-000007000000}" name="Existing capacity_x000a_GW" dataDxfId="41"/>
    <tableColumn id="8" xr3:uid="{00000000-0010-0000-0300-000008000000}" name="Comments" dataDxfId="40"/>
    <tableColumn id="9" xr3:uid="{00000000-0010-0000-0300-000009000000}" name="Source" dataDxfId="39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26" displayName="Table26" ref="A1:A2" totalsRowShown="0" headerRowDxfId="38" dataDxfId="37">
  <autoFilter ref="A1:A2" xr:uid="{00000000-0009-0000-0100-000005000000}"/>
  <tableColumns count="1">
    <tableColumn id="1" xr3:uid="{00000000-0010-0000-0400-000001000000}" name="Generic  Lifetime" dataDxfId="36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Table1" displayName="Table1" ref="C1:M155" totalsRowShown="0" headerRowDxfId="35" dataDxfId="33" headerRowBorderDxfId="34" tableBorderDxfId="32">
  <autoFilter ref="C1:M155" xr:uid="{00000000-0009-0000-0100-000001000000}"/>
  <tableColumns count="11">
    <tableColumn id="1" xr3:uid="{00000000-0010-0000-0500-000001000000}" name="Member State" dataDxfId="31"/>
    <tableColumn id="2" xr3:uid="{00000000-0010-0000-0500-000002000000}" name="Process" dataDxfId="30"/>
    <tableColumn id="3" xr3:uid="{00000000-0010-0000-0500-000003000000}" name="Start year" dataDxfId="29"/>
    <tableColumn id="4" xr3:uid="{00000000-0010-0000-0500-000004000000}" name="Efficiency_x000a_PJ/tU" dataDxfId="28"/>
    <tableColumn id="10" xr3:uid="{00000000-0010-0000-0500-00000A000000}" name="Lifetime Option" dataDxfId="27"/>
    <tableColumn id="5" xr3:uid="{00000000-0010-0000-0500-000005000000}" name="Tlife_x000a_yrs" dataDxfId="26">
      <calculatedColumnFormula>IF(Table1[[#This Row],[Lifetime Option]]="fixed",Table1[[#This Row],[End of life (fixed)]]-Table1[[#This Row],[Start year]],Table2[Generic  Lifetime])</calculatedColumnFormula>
    </tableColumn>
    <tableColumn id="6" xr3:uid="{00000000-0010-0000-0500-000006000000}" name="End of life (fixed)" dataDxfId="25"/>
    <tableColumn id="12" xr3:uid="{00000000-0010-0000-0500-00000C000000}" name="End of life" dataDxfId="24">
      <calculatedColumnFormula>IF(Table1[[#This Row],[Lifetime Option]]="fixed",Table1[[#This Row],[End of life (fixed)]],Table1[[#This Row],[Start year]]+Table2[Generic  Lifetime])</calculatedColumnFormula>
    </tableColumn>
    <tableColumn id="7" xr3:uid="{00000000-0010-0000-0500-000007000000}" name="Existing capacity_x000a_GW" dataDxfId="23"/>
    <tableColumn id="8" xr3:uid="{00000000-0010-0000-0500-000008000000}" name="Comments" dataDxfId="22"/>
    <tableColumn id="9" xr3:uid="{00000000-0010-0000-0500-000009000000}" name="Source" dataDxfId="21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6000000}" name="Table2" displayName="Table2" ref="A1:A2" totalsRowShown="0" headerRowDxfId="20" dataDxfId="19">
  <autoFilter ref="A1:A2" xr:uid="{00000000-0009-0000-0100-000002000000}"/>
  <tableColumns count="1">
    <tableColumn id="1" xr3:uid="{00000000-0010-0000-0600-000001000000}" name="Generic  Lifetime" dataDxfId="18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DBC0D7-1E22-4BB2-BAB9-4C928E5725F8}" name="Table19" displayName="Table19" ref="C1:M155" totalsRowShown="0" headerRowDxfId="17" dataDxfId="16" headerRowBorderDxfId="14" tableBorderDxfId="15">
  <autoFilter ref="C1:M155" xr:uid="{00000000-0009-0000-0100-000001000000}"/>
  <tableColumns count="11">
    <tableColumn id="1" xr3:uid="{2F09629C-ABC2-42D3-9D87-6016B399DF35}" name="Member State" dataDxfId="13"/>
    <tableColumn id="2" xr3:uid="{000A8F00-A8E9-4EAF-83CC-D9437F559BAC}" name="Process" dataDxfId="12"/>
    <tableColumn id="3" xr3:uid="{BFE0838B-711A-49F8-A1DF-DEC4375D4CCA}" name="Start year" dataDxfId="11"/>
    <tableColumn id="4" xr3:uid="{D09C819E-176D-49BD-87AD-DAEA0C133C2A}" name="Efficiency_x000a_PJ/tU" dataDxfId="10"/>
    <tableColumn id="10" xr3:uid="{430DACD2-63FC-40D7-9E36-5F25B8EBC211}" name="Lifetime Option" dataDxfId="9"/>
    <tableColumn id="5" xr3:uid="{47484536-F7B5-4DB4-BC01-C948DFC8E8C2}" name="Tlife_x000a_yrs" dataDxfId="8">
      <calculatedColumnFormula>IF(Table19[[#This Row],[Lifetime Option]]="fixed",Table19[[#This Row],[End of life (fixed)]]-Table19[[#This Row],[Start year]],Table210[Generic  Lifetime])</calculatedColumnFormula>
    </tableColumn>
    <tableColumn id="6" xr3:uid="{2A996DAD-EF45-4A1B-854C-0068C023D427}" name="End of life (fixed)" dataDxfId="7"/>
    <tableColumn id="12" xr3:uid="{0D80FB7F-9430-4F70-B969-F252389B5A71}" name="End of life" dataDxfId="6">
      <calculatedColumnFormula>IF(Table19[[#This Row],[Lifetime Option]]="fixed",Table19[[#This Row],[End of life (fixed)]],Table19[[#This Row],[Start year]]+Table210[Generic  Lifetime])</calculatedColumnFormula>
    </tableColumn>
    <tableColumn id="7" xr3:uid="{3831C5C8-BED4-4897-B303-7FEFBEA66063}" name="Existing capacity_x000a_GW" dataDxfId="5"/>
    <tableColumn id="8" xr3:uid="{E582106C-9B51-46C7-85D7-74A8DB20CCB2}" name="Comments" dataDxfId="4"/>
    <tableColumn id="9" xr3:uid="{E0D70E45-60CD-4175-9D29-E1D986BA151B}" name="Source" dataDxfId="3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B7B9FF1-4A33-4B9F-91A2-01B4A044ACE2}" name="Table210" displayName="Table210" ref="A1:A2" totalsRowShown="0" headerRowDxfId="2" dataDxfId="1">
  <autoFilter ref="A1:A2" xr:uid="{00000000-0009-0000-0100-000002000000}"/>
  <tableColumns count="1">
    <tableColumn id="1" xr3:uid="{B8C3828B-1C1C-4118-AE36-1C18E01F9FAA}" name="Generic  Lifetime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orld-nuclear.org/info/Country-Profiles/Countries-A-F/Bulgaria/" TargetMode="External"/><Relationship Id="rId13" Type="http://schemas.openxmlformats.org/officeDocument/2006/relationships/hyperlink" Target="http://www.seas.sk/data/contentlink/cfakepathebofactsen-web.pdf" TargetMode="External"/><Relationship Id="rId18" Type="http://schemas.openxmlformats.org/officeDocument/2006/relationships/hyperlink" Target="http://corporate.vattenfall.se/press-och-media/engelska/vattenfall-changes-direction-for-operational-lifetimes-of-ringhals-1-and-2/" TargetMode="External"/><Relationship Id="rId26" Type="http://schemas.openxmlformats.org/officeDocument/2006/relationships/comments" Target="../comments1.xml"/><Relationship Id="rId3" Type="http://schemas.openxmlformats.org/officeDocument/2006/relationships/hyperlink" Target="http://www.fanc.fgov.be/nl/news/doel-3/tihange-2-next-steps-of-the-review-process/766.aspx" TargetMode="External"/><Relationship Id="rId21" Type="http://schemas.openxmlformats.org/officeDocument/2006/relationships/hyperlink" Target="http://www.world-nuclear.org/info/Country-Profiles/Countries-O-S/Switzerland/" TargetMode="External"/><Relationship Id="rId7" Type="http://schemas.openxmlformats.org/officeDocument/2006/relationships/hyperlink" Target="http://www.world-nuclear.org/info/Country-Profiles/Countries-A-F/Bulgaria/" TargetMode="External"/><Relationship Id="rId12" Type="http://schemas.openxmlformats.org/officeDocument/2006/relationships/hyperlink" Target="http://corporate.vattenfall.se/press-och-media/engelska/vattenfall-changes-direction-for-operational-lifetimes-of-ringhals-1-and-2/" TargetMode="External"/><Relationship Id="rId17" Type="http://schemas.openxmlformats.org/officeDocument/2006/relationships/hyperlink" Target="https://www.iaea.org/PRIS/CountryStatistics/ReactorDetails.aspx?current=237" TargetMode="External"/><Relationship Id="rId25" Type="http://schemas.openxmlformats.org/officeDocument/2006/relationships/table" Target="../tables/table3.xml"/><Relationship Id="rId2" Type="http://schemas.openxmlformats.org/officeDocument/2006/relationships/hyperlink" Target="http://www.engie.com/en/journalists/press-releases/agreement-conditions-extending-doel-1-doel-2-new-nuclear-contribution-system/" TargetMode="External"/><Relationship Id="rId16" Type="http://schemas.openxmlformats.org/officeDocument/2006/relationships/hyperlink" Target="http://www.edfenergy.com/energy/power-stations/dungeness-b" TargetMode="External"/><Relationship Id="rId20" Type="http://schemas.openxmlformats.org/officeDocument/2006/relationships/hyperlink" Target="http://www.world-nuclear.org/info/Country-Profiles/Countries-O-S/Switzerland/" TargetMode="External"/><Relationship Id="rId1" Type="http://schemas.openxmlformats.org/officeDocument/2006/relationships/hyperlink" Target="http://www.engie.com/en/journalists/press-releases/agreement-conditions-extending-doel-1-doel-2-new-nuclear-contribution-system/" TargetMode="External"/><Relationship Id="rId6" Type="http://schemas.openxmlformats.org/officeDocument/2006/relationships/hyperlink" Target="http://www.world-nuclear-news.org/C-EOn-supports-early-closure-of-Oskarshamn-units-2306154.html" TargetMode="External"/><Relationship Id="rId11" Type="http://schemas.openxmlformats.org/officeDocument/2006/relationships/hyperlink" Target="http://corporate.vattenfall.se/press-och-media/engelska/vattenfall-changes-direction-for-operational-lifetimes-of-ringhals-1-and-2/" TargetMode="External"/><Relationship Id="rId24" Type="http://schemas.openxmlformats.org/officeDocument/2006/relationships/table" Target="../tables/table2.xml"/><Relationship Id="rId5" Type="http://schemas.openxmlformats.org/officeDocument/2006/relationships/hyperlink" Target="http://economie.fgov.be/fr/consommateurs/Energie/Nucleaire/centrales_nucleaires/sortie_nucleaire/" TargetMode="External"/><Relationship Id="rId15" Type="http://schemas.openxmlformats.org/officeDocument/2006/relationships/hyperlink" Target="https://www.iaea.org/NuclearPower/Downloadable/Meetings/2013/2013-11-05-11-08-TM-NPE/10.Skodlar_Slovenia.pdf" TargetMode="External"/><Relationship Id="rId23" Type="http://schemas.openxmlformats.org/officeDocument/2006/relationships/vmlDrawing" Target="../drawings/vmlDrawing1.vml"/><Relationship Id="rId10" Type="http://schemas.openxmlformats.org/officeDocument/2006/relationships/hyperlink" Target="http://www.oecd-nea.org/ndd/pubs/2014/7197-bb-2014.pdf" TargetMode="External"/><Relationship Id="rId19" Type="http://schemas.openxmlformats.org/officeDocument/2006/relationships/hyperlink" Target="http://corporate.vattenfall.se/press-och-media/engelska/vattenfall-changes-direction-for-operational-lifetimes-of-ringhals-1-and-2/" TargetMode="External"/><Relationship Id="rId4" Type="http://schemas.openxmlformats.org/officeDocument/2006/relationships/hyperlink" Target="http://www.fanc.fgov.be/nl/news/doel-3/tihange-2-next-steps-of-the-review-process/766.aspx" TargetMode="External"/><Relationship Id="rId9" Type="http://schemas.openxmlformats.org/officeDocument/2006/relationships/hyperlink" Target="http://www.developpement-durable.gouv.fr/Renforcer-la-surete-nucleaire-et-l,41397.html" TargetMode="External"/><Relationship Id="rId14" Type="http://schemas.openxmlformats.org/officeDocument/2006/relationships/hyperlink" Target="http://www.seas.sk/data/contentlink/cfakepathebofactsen-web.pdf" TargetMode="External"/><Relationship Id="rId22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orld-nuclear.org/info/Country-Profiles/Countries-A-F/Bulgaria/" TargetMode="External"/><Relationship Id="rId13" Type="http://schemas.openxmlformats.org/officeDocument/2006/relationships/hyperlink" Target="http://www.seas.sk/data/contentlink/cfakepathebofactsen-web.pdf" TargetMode="External"/><Relationship Id="rId18" Type="http://schemas.openxmlformats.org/officeDocument/2006/relationships/hyperlink" Target="http://corporate.vattenfall.se/press-och-media/engelska/vattenfall-changes-direction-for-operational-lifetimes-of-ringhals-1-and-2/" TargetMode="External"/><Relationship Id="rId26" Type="http://schemas.openxmlformats.org/officeDocument/2006/relationships/comments" Target="../comments2.xml"/><Relationship Id="rId3" Type="http://schemas.openxmlformats.org/officeDocument/2006/relationships/hyperlink" Target="http://www.fanc.fgov.be/nl/news/doel-3/tihange-2-next-steps-of-the-review-process/766.aspx" TargetMode="External"/><Relationship Id="rId21" Type="http://schemas.openxmlformats.org/officeDocument/2006/relationships/hyperlink" Target="http://www.world-nuclear.org/info/Country-Profiles/Countries-O-S/Switzerland/" TargetMode="External"/><Relationship Id="rId7" Type="http://schemas.openxmlformats.org/officeDocument/2006/relationships/hyperlink" Target="http://www.world-nuclear.org/info/Country-Profiles/Countries-A-F/Bulgaria/" TargetMode="External"/><Relationship Id="rId12" Type="http://schemas.openxmlformats.org/officeDocument/2006/relationships/hyperlink" Target="http://corporate.vattenfall.se/press-och-media/engelska/vattenfall-changes-direction-for-operational-lifetimes-of-ringhals-1-and-2/" TargetMode="External"/><Relationship Id="rId17" Type="http://schemas.openxmlformats.org/officeDocument/2006/relationships/hyperlink" Target="https://www.iaea.org/PRIS/CountryStatistics/ReactorDetails.aspx?current=237" TargetMode="External"/><Relationship Id="rId25" Type="http://schemas.openxmlformats.org/officeDocument/2006/relationships/table" Target="../tables/table5.xml"/><Relationship Id="rId2" Type="http://schemas.openxmlformats.org/officeDocument/2006/relationships/hyperlink" Target="http://www.engie.com/en/journalists/press-releases/agreement-conditions-extending-doel-1-doel-2-new-nuclear-contribution-system/" TargetMode="External"/><Relationship Id="rId16" Type="http://schemas.openxmlformats.org/officeDocument/2006/relationships/hyperlink" Target="http://www.edfenergy.com/energy/power-stations/dungeness-b" TargetMode="External"/><Relationship Id="rId20" Type="http://schemas.openxmlformats.org/officeDocument/2006/relationships/hyperlink" Target="http://www.world-nuclear.org/info/Country-Profiles/Countries-O-S/Switzerland/" TargetMode="External"/><Relationship Id="rId1" Type="http://schemas.openxmlformats.org/officeDocument/2006/relationships/hyperlink" Target="http://www.engie.com/en/journalists/press-releases/agreement-conditions-extending-doel-1-doel-2-new-nuclear-contribution-system/" TargetMode="External"/><Relationship Id="rId6" Type="http://schemas.openxmlformats.org/officeDocument/2006/relationships/hyperlink" Target="http://www.world-nuclear-news.org/C-EOn-supports-early-closure-of-Oskarshamn-units-2306154.html" TargetMode="External"/><Relationship Id="rId11" Type="http://schemas.openxmlformats.org/officeDocument/2006/relationships/hyperlink" Target="http://corporate.vattenfall.se/press-och-media/engelska/vattenfall-changes-direction-for-operational-lifetimes-of-ringhals-1-and-2/" TargetMode="External"/><Relationship Id="rId24" Type="http://schemas.openxmlformats.org/officeDocument/2006/relationships/table" Target="../tables/table4.xml"/><Relationship Id="rId5" Type="http://schemas.openxmlformats.org/officeDocument/2006/relationships/hyperlink" Target="http://economie.fgov.be/fr/consommateurs/Energie/Nucleaire/centrales_nucleaires/sortie_nucleaire/" TargetMode="External"/><Relationship Id="rId15" Type="http://schemas.openxmlformats.org/officeDocument/2006/relationships/hyperlink" Target="https://www.iaea.org/NuclearPower/Downloadable/Meetings/2013/2013-11-05-11-08-TM-NPE/10.Skodlar_Slovenia.pdf" TargetMode="External"/><Relationship Id="rId23" Type="http://schemas.openxmlformats.org/officeDocument/2006/relationships/vmlDrawing" Target="../drawings/vmlDrawing2.vml"/><Relationship Id="rId10" Type="http://schemas.openxmlformats.org/officeDocument/2006/relationships/hyperlink" Target="http://www.oecd-nea.org/ndd/pubs/2014/7197-bb-2014.pdf" TargetMode="External"/><Relationship Id="rId19" Type="http://schemas.openxmlformats.org/officeDocument/2006/relationships/hyperlink" Target="http://corporate.vattenfall.se/press-och-media/engelska/vattenfall-changes-direction-for-operational-lifetimes-of-ringhals-1-and-2/" TargetMode="External"/><Relationship Id="rId4" Type="http://schemas.openxmlformats.org/officeDocument/2006/relationships/hyperlink" Target="http://www.fanc.fgov.be/nl/news/doel-3/tihange-2-next-steps-of-the-review-process/766.aspx" TargetMode="External"/><Relationship Id="rId9" Type="http://schemas.openxmlformats.org/officeDocument/2006/relationships/hyperlink" Target="http://www.developpement-durable.gouv.fr/Renforcer-la-surete-nucleaire-et-l,41397.html" TargetMode="External"/><Relationship Id="rId14" Type="http://schemas.openxmlformats.org/officeDocument/2006/relationships/hyperlink" Target="http://www.seas.sk/data/contentlink/cfakepathebofactsen-web.pdf" TargetMode="External"/><Relationship Id="rId22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orld-nuclear.org/info/Country-Profiles/Countries-A-F/Bulgaria/" TargetMode="External"/><Relationship Id="rId13" Type="http://schemas.openxmlformats.org/officeDocument/2006/relationships/hyperlink" Target="http://www.seas.sk/data/contentlink/cfakepathebofactsen-web.pdf" TargetMode="External"/><Relationship Id="rId18" Type="http://schemas.openxmlformats.org/officeDocument/2006/relationships/hyperlink" Target="http://corporate.vattenfall.se/press-och-media/engelska/vattenfall-changes-direction-for-operational-lifetimes-of-ringhals-1-and-2/" TargetMode="External"/><Relationship Id="rId26" Type="http://schemas.openxmlformats.org/officeDocument/2006/relationships/comments" Target="../comments3.xml"/><Relationship Id="rId3" Type="http://schemas.openxmlformats.org/officeDocument/2006/relationships/hyperlink" Target="http://www.fanc.fgov.be/nl/news/doel-3/tihange-2-next-steps-of-the-review-process/766.aspx" TargetMode="External"/><Relationship Id="rId21" Type="http://schemas.openxmlformats.org/officeDocument/2006/relationships/hyperlink" Target="http://www.world-nuclear.org/info/Country-Profiles/Countries-O-S/Switzerland/" TargetMode="External"/><Relationship Id="rId7" Type="http://schemas.openxmlformats.org/officeDocument/2006/relationships/hyperlink" Target="http://www.world-nuclear.org/info/Country-Profiles/Countries-A-F/Bulgaria/" TargetMode="External"/><Relationship Id="rId12" Type="http://schemas.openxmlformats.org/officeDocument/2006/relationships/hyperlink" Target="http://corporate.vattenfall.se/press-och-media/engelska/vattenfall-changes-direction-for-operational-lifetimes-of-ringhals-1-and-2/" TargetMode="External"/><Relationship Id="rId17" Type="http://schemas.openxmlformats.org/officeDocument/2006/relationships/hyperlink" Target="https://www.iaea.org/PRIS/CountryStatistics/ReactorDetails.aspx?current=237" TargetMode="External"/><Relationship Id="rId25" Type="http://schemas.openxmlformats.org/officeDocument/2006/relationships/table" Target="../tables/table7.xml"/><Relationship Id="rId2" Type="http://schemas.openxmlformats.org/officeDocument/2006/relationships/hyperlink" Target="http://www.engie.com/en/journalists/press-releases/agreement-conditions-extending-doel-1-doel-2-new-nuclear-contribution-system/" TargetMode="External"/><Relationship Id="rId16" Type="http://schemas.openxmlformats.org/officeDocument/2006/relationships/hyperlink" Target="http://www.edfenergy.com/energy/power-stations/dungeness-b" TargetMode="External"/><Relationship Id="rId20" Type="http://schemas.openxmlformats.org/officeDocument/2006/relationships/hyperlink" Target="http://www.world-nuclear.org/info/Country-Profiles/Countries-O-S/Switzerland/" TargetMode="External"/><Relationship Id="rId1" Type="http://schemas.openxmlformats.org/officeDocument/2006/relationships/hyperlink" Target="http://www.engie.com/en/journalists/press-releases/agreement-conditions-extending-doel-1-doel-2-new-nuclear-contribution-system/" TargetMode="External"/><Relationship Id="rId6" Type="http://schemas.openxmlformats.org/officeDocument/2006/relationships/hyperlink" Target="http://www.world-nuclear-news.org/C-EOn-supports-early-closure-of-Oskarshamn-units-2306154.html" TargetMode="External"/><Relationship Id="rId11" Type="http://schemas.openxmlformats.org/officeDocument/2006/relationships/hyperlink" Target="http://corporate.vattenfall.se/press-och-media/engelska/vattenfall-changes-direction-for-operational-lifetimes-of-ringhals-1-and-2/" TargetMode="External"/><Relationship Id="rId24" Type="http://schemas.openxmlformats.org/officeDocument/2006/relationships/table" Target="../tables/table6.xml"/><Relationship Id="rId5" Type="http://schemas.openxmlformats.org/officeDocument/2006/relationships/hyperlink" Target="http://economie.fgov.be/fr/consommateurs/Energie/Nucleaire/centrales_nucleaires/sortie_nucleaire/" TargetMode="External"/><Relationship Id="rId15" Type="http://schemas.openxmlformats.org/officeDocument/2006/relationships/hyperlink" Target="https://www.iaea.org/NuclearPower/Downloadable/Meetings/2013/2013-11-05-11-08-TM-NPE/10.Skodlar_Slovenia.pdf" TargetMode="External"/><Relationship Id="rId23" Type="http://schemas.openxmlformats.org/officeDocument/2006/relationships/vmlDrawing" Target="../drawings/vmlDrawing3.vml"/><Relationship Id="rId10" Type="http://schemas.openxmlformats.org/officeDocument/2006/relationships/hyperlink" Target="http://www.oecd-nea.org/ndd/pubs/2014/7197-bb-2014.pdf" TargetMode="External"/><Relationship Id="rId19" Type="http://schemas.openxmlformats.org/officeDocument/2006/relationships/hyperlink" Target="http://corporate.vattenfall.se/press-och-media/engelska/vattenfall-changes-direction-for-operational-lifetimes-of-ringhals-1-and-2/" TargetMode="External"/><Relationship Id="rId4" Type="http://schemas.openxmlformats.org/officeDocument/2006/relationships/hyperlink" Target="http://www.fanc.fgov.be/nl/news/doel-3/tihange-2-next-steps-of-the-review-process/766.aspx" TargetMode="External"/><Relationship Id="rId9" Type="http://schemas.openxmlformats.org/officeDocument/2006/relationships/hyperlink" Target="http://www.developpement-durable.gouv.fr/Renforcer-la-surete-nucleaire-et-l,41397.html" TargetMode="External"/><Relationship Id="rId14" Type="http://schemas.openxmlformats.org/officeDocument/2006/relationships/hyperlink" Target="http://www.seas.sk/data/contentlink/cfakepathebofactsen-web.pdf" TargetMode="External"/><Relationship Id="rId22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orld-nuclear.org/info/Country-Profiles/Countries-A-F/Bulgaria/" TargetMode="External"/><Relationship Id="rId13" Type="http://schemas.openxmlformats.org/officeDocument/2006/relationships/hyperlink" Target="http://www.seas.sk/data/contentlink/cfakepathebofactsen-web.pdf" TargetMode="External"/><Relationship Id="rId18" Type="http://schemas.openxmlformats.org/officeDocument/2006/relationships/hyperlink" Target="http://corporate.vattenfall.se/press-och-media/engelska/vattenfall-changes-direction-for-operational-lifetimes-of-ringhals-1-and-2/" TargetMode="External"/><Relationship Id="rId26" Type="http://schemas.openxmlformats.org/officeDocument/2006/relationships/comments" Target="../comments4.xml"/><Relationship Id="rId3" Type="http://schemas.openxmlformats.org/officeDocument/2006/relationships/hyperlink" Target="http://www.fanc.fgov.be/nl/news/doel-3/tihange-2-next-steps-of-the-review-process/766.aspx" TargetMode="External"/><Relationship Id="rId21" Type="http://schemas.openxmlformats.org/officeDocument/2006/relationships/hyperlink" Target="http://www.world-nuclear.org/info/Country-Profiles/Countries-O-S/Switzerland/" TargetMode="External"/><Relationship Id="rId7" Type="http://schemas.openxmlformats.org/officeDocument/2006/relationships/hyperlink" Target="http://www.world-nuclear.org/info/Country-Profiles/Countries-A-F/Bulgaria/" TargetMode="External"/><Relationship Id="rId12" Type="http://schemas.openxmlformats.org/officeDocument/2006/relationships/hyperlink" Target="http://corporate.vattenfall.se/press-och-media/engelska/vattenfall-changes-direction-for-operational-lifetimes-of-ringhals-1-and-2/" TargetMode="External"/><Relationship Id="rId17" Type="http://schemas.openxmlformats.org/officeDocument/2006/relationships/hyperlink" Target="https://www.iaea.org/PRIS/CountryStatistics/ReactorDetails.aspx?current=237" TargetMode="External"/><Relationship Id="rId25" Type="http://schemas.openxmlformats.org/officeDocument/2006/relationships/table" Target="../tables/table9.xml"/><Relationship Id="rId2" Type="http://schemas.openxmlformats.org/officeDocument/2006/relationships/hyperlink" Target="http://www.engie.com/en/journalists/press-releases/agreement-conditions-extending-doel-1-doel-2-new-nuclear-contribution-system/" TargetMode="External"/><Relationship Id="rId16" Type="http://schemas.openxmlformats.org/officeDocument/2006/relationships/hyperlink" Target="http://www.edfenergy.com/energy/power-stations/dungeness-b" TargetMode="External"/><Relationship Id="rId20" Type="http://schemas.openxmlformats.org/officeDocument/2006/relationships/hyperlink" Target="http://www.world-nuclear.org/info/Country-Profiles/Countries-O-S/Switzerland/" TargetMode="External"/><Relationship Id="rId1" Type="http://schemas.openxmlformats.org/officeDocument/2006/relationships/hyperlink" Target="http://www.engie.com/en/journalists/press-releases/agreement-conditions-extending-doel-1-doel-2-new-nuclear-contribution-system/" TargetMode="External"/><Relationship Id="rId6" Type="http://schemas.openxmlformats.org/officeDocument/2006/relationships/hyperlink" Target="http://www.world-nuclear-news.org/C-EOn-supports-early-closure-of-Oskarshamn-units-2306154.html" TargetMode="External"/><Relationship Id="rId11" Type="http://schemas.openxmlformats.org/officeDocument/2006/relationships/hyperlink" Target="http://corporate.vattenfall.se/press-och-media/engelska/vattenfall-changes-direction-for-operational-lifetimes-of-ringhals-1-and-2/" TargetMode="External"/><Relationship Id="rId24" Type="http://schemas.openxmlformats.org/officeDocument/2006/relationships/table" Target="../tables/table8.xml"/><Relationship Id="rId5" Type="http://schemas.openxmlformats.org/officeDocument/2006/relationships/hyperlink" Target="http://economie.fgov.be/fr/consommateurs/Energie/Nucleaire/centrales_nucleaires/sortie_nucleaire/" TargetMode="External"/><Relationship Id="rId15" Type="http://schemas.openxmlformats.org/officeDocument/2006/relationships/hyperlink" Target="https://www.iaea.org/NuclearPower/Downloadable/Meetings/2013/2013-11-05-11-08-TM-NPE/10.Skodlar_Slovenia.pdf" TargetMode="External"/><Relationship Id="rId23" Type="http://schemas.openxmlformats.org/officeDocument/2006/relationships/vmlDrawing" Target="../drawings/vmlDrawing4.vml"/><Relationship Id="rId10" Type="http://schemas.openxmlformats.org/officeDocument/2006/relationships/hyperlink" Target="http://www.oecd-nea.org/ndd/pubs/2014/7197-bb-2014.pdf" TargetMode="External"/><Relationship Id="rId19" Type="http://schemas.openxmlformats.org/officeDocument/2006/relationships/hyperlink" Target="http://corporate.vattenfall.se/press-och-media/engelska/vattenfall-changes-direction-for-operational-lifetimes-of-ringhals-1-and-2/" TargetMode="External"/><Relationship Id="rId4" Type="http://schemas.openxmlformats.org/officeDocument/2006/relationships/hyperlink" Target="http://www.fanc.fgov.be/nl/news/doel-3/tihange-2-next-steps-of-the-review-process/766.aspx" TargetMode="External"/><Relationship Id="rId9" Type="http://schemas.openxmlformats.org/officeDocument/2006/relationships/hyperlink" Target="http://www.developpement-durable.gouv.fr/Renforcer-la-surete-nucleaire-et-l,41397.html" TargetMode="External"/><Relationship Id="rId14" Type="http://schemas.openxmlformats.org/officeDocument/2006/relationships/hyperlink" Target="http://www.seas.sk/data/contentlink/cfakepathebofactsen-web.pdf" TargetMode="External"/><Relationship Id="rId22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4"/>
  <sheetViews>
    <sheetView workbookViewId="0">
      <selection activeCell="B5" sqref="B5"/>
    </sheetView>
  </sheetViews>
  <sheetFormatPr defaultRowHeight="15"/>
  <sheetData>
    <row r="3" spans="2:2">
      <c r="B3" t="s">
        <v>216</v>
      </c>
    </row>
    <row r="4" spans="2:2">
      <c r="B4" t="s">
        <v>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57"/>
  <sheetViews>
    <sheetView workbookViewId="0">
      <selection activeCell="D4" sqref="D4:D157"/>
    </sheetView>
  </sheetViews>
  <sheetFormatPr defaultRowHeight="15"/>
  <cols>
    <col min="2" max="2" width="15.28515625" customWidth="1"/>
    <col min="3" max="3" width="25" customWidth="1"/>
  </cols>
  <sheetData>
    <row r="2" spans="2:4">
      <c r="B2" s="10" t="s">
        <v>212</v>
      </c>
    </row>
    <row r="3" spans="2:4" ht="15.75" thickBot="1">
      <c r="B3" s="11" t="s">
        <v>213</v>
      </c>
      <c r="C3" s="13" t="s">
        <v>215</v>
      </c>
      <c r="D3" s="12" t="s">
        <v>214</v>
      </c>
    </row>
    <row r="4" spans="2:4">
      <c r="B4" t="s">
        <v>218</v>
      </c>
      <c r="C4" t="str">
        <f>'Existing plants_SCEN50yrs'!D2</f>
        <v>ENBE_DOEL-1_00</v>
      </c>
      <c r="D4">
        <f>'Existing plants_SCEN60yrs'!H2</f>
        <v>51</v>
      </c>
    </row>
    <row r="5" spans="2:4">
      <c r="B5" t="s">
        <v>218</v>
      </c>
      <c r="C5" t="str">
        <f>'Existing plants_SCEN50yrs'!D3</f>
        <v>ENBE_DOEL-2_00</v>
      </c>
      <c r="D5">
        <f>'Existing plants_SCEN60yrs'!H3</f>
        <v>50</v>
      </c>
    </row>
    <row r="6" spans="2:4">
      <c r="B6" t="s">
        <v>218</v>
      </c>
      <c r="C6" t="str">
        <f>'Existing plants_SCEN50yrs'!D4</f>
        <v>ENBE_DOEL-3_00</v>
      </c>
      <c r="D6">
        <f>'Existing plants_SCEN60yrs'!H4</f>
        <v>40</v>
      </c>
    </row>
    <row r="7" spans="2:4">
      <c r="B7" t="s">
        <v>218</v>
      </c>
      <c r="C7" t="str">
        <f>'Existing plants_SCEN50yrs'!D5</f>
        <v>ENBE_DOEL-4_00</v>
      </c>
      <c r="D7">
        <f>'Existing plants_SCEN60yrs'!H5</f>
        <v>40</v>
      </c>
    </row>
    <row r="8" spans="2:4">
      <c r="B8" t="s">
        <v>218</v>
      </c>
      <c r="C8" t="str">
        <f>'Existing plants_SCEN50yrs'!D6</f>
        <v>ENBE_TIHANGE-1_00</v>
      </c>
      <c r="D8">
        <f>'Existing plants_SCEN60yrs'!H6</f>
        <v>50</v>
      </c>
    </row>
    <row r="9" spans="2:4">
      <c r="B9" t="s">
        <v>218</v>
      </c>
      <c r="C9" t="str">
        <f>'Existing plants_SCEN50yrs'!D7</f>
        <v>ENBE_TIHANGE-2_00</v>
      </c>
      <c r="D9">
        <f>'Existing plants_SCEN60yrs'!H7</f>
        <v>40</v>
      </c>
    </row>
    <row r="10" spans="2:4">
      <c r="B10" t="s">
        <v>218</v>
      </c>
      <c r="C10" t="str">
        <f>'Existing plants_SCEN50yrs'!D8</f>
        <v>ENBE_TIHANGE-3_00</v>
      </c>
      <c r="D10">
        <f>'Existing plants_SCEN60yrs'!H8</f>
        <v>40</v>
      </c>
    </row>
    <row r="11" spans="2:4">
      <c r="B11" t="s">
        <v>218</v>
      </c>
      <c r="C11" t="str">
        <f>'Existing plants_SCEN50yrs'!D9</f>
        <v>ENBG_KOZLODUY-3_00</v>
      </c>
      <c r="D11">
        <f>'Existing plants_SCEN60yrs'!H9</f>
        <v>26</v>
      </c>
    </row>
    <row r="12" spans="2:4">
      <c r="B12" t="s">
        <v>218</v>
      </c>
      <c r="C12" t="str">
        <f>'Existing plants_SCEN50yrs'!D10</f>
        <v>ENBG_KOZLODUY-4_00</v>
      </c>
      <c r="D12">
        <f>'Existing plants_SCEN60yrs'!H10</f>
        <v>24</v>
      </c>
    </row>
    <row r="13" spans="2:4">
      <c r="B13" t="s">
        <v>218</v>
      </c>
      <c r="C13" t="str">
        <f>'Existing plants_SCEN50yrs'!D11</f>
        <v>ENBG_KOZLODUY-5_00</v>
      </c>
      <c r="D13">
        <f>'Existing plants_SCEN60yrs'!H11</f>
        <v>60</v>
      </c>
    </row>
    <row r="14" spans="2:4">
      <c r="B14" t="s">
        <v>218</v>
      </c>
      <c r="C14" t="str">
        <f>'Existing plants_SCEN50yrs'!D12</f>
        <v>ENBG_KOZLODUY-6_00</v>
      </c>
      <c r="D14">
        <f>'Existing plants_SCEN60yrs'!H12</f>
        <v>60</v>
      </c>
    </row>
    <row r="15" spans="2:4">
      <c r="B15" t="s">
        <v>218</v>
      </c>
      <c r="C15" t="str">
        <f>'Existing plants_SCEN50yrs'!D13</f>
        <v>ENCH_BEZNAU-1_00</v>
      </c>
      <c r="D15">
        <f>'Existing plants_SCEN60yrs'!H13</f>
        <v>50</v>
      </c>
    </row>
    <row r="16" spans="2:4">
      <c r="B16" t="s">
        <v>218</v>
      </c>
      <c r="C16" t="str">
        <f>'Existing plants_SCEN50yrs'!D14</f>
        <v>ENCH_BEZNAU-2_00</v>
      </c>
      <c r="D16">
        <f>'Existing plants_SCEN60yrs'!H14</f>
        <v>50</v>
      </c>
    </row>
    <row r="17" spans="2:4">
      <c r="B17" t="s">
        <v>218</v>
      </c>
      <c r="C17" t="str">
        <f>'Existing plants_SCEN50yrs'!D15</f>
        <v>ENCH_GOESGEN_00</v>
      </c>
      <c r="D17">
        <f>'Existing plants_SCEN60yrs'!H15</f>
        <v>50</v>
      </c>
    </row>
    <row r="18" spans="2:4">
      <c r="B18" t="s">
        <v>218</v>
      </c>
      <c r="C18" t="str">
        <f>'Existing plants_SCEN50yrs'!D16</f>
        <v>ENCH_LEIBSTADT_00</v>
      </c>
      <c r="D18">
        <f>'Existing plants_SCEN60yrs'!H16</f>
        <v>50</v>
      </c>
    </row>
    <row r="19" spans="2:4">
      <c r="B19" t="s">
        <v>218</v>
      </c>
      <c r="C19" t="str">
        <f>'Existing plants_SCEN50yrs'!D17</f>
        <v>ENCH_MUEHLEBERG_00</v>
      </c>
      <c r="D19">
        <f>'Existing plants_SCEN60yrs'!H17</f>
        <v>48</v>
      </c>
    </row>
    <row r="20" spans="2:4">
      <c r="B20" t="s">
        <v>218</v>
      </c>
      <c r="C20" t="str">
        <f>'Existing plants_SCEN50yrs'!D18</f>
        <v>ENCZ_DUKOVANY-1_00</v>
      </c>
      <c r="D20">
        <f>'Existing plants_SCEN60yrs'!H18</f>
        <v>60</v>
      </c>
    </row>
    <row r="21" spans="2:4">
      <c r="B21" t="s">
        <v>218</v>
      </c>
      <c r="C21" t="str">
        <f>'Existing plants_SCEN50yrs'!D19</f>
        <v>ENCZ_DUKOVANY-2_00</v>
      </c>
      <c r="D21">
        <f>'Existing plants_SCEN60yrs'!H19</f>
        <v>60</v>
      </c>
    </row>
    <row r="22" spans="2:4">
      <c r="B22" t="s">
        <v>218</v>
      </c>
      <c r="C22" t="str">
        <f>'Existing plants_SCEN50yrs'!D20</f>
        <v>ENCZ_DUKOVANY-3_00</v>
      </c>
      <c r="D22">
        <f>'Existing plants_SCEN60yrs'!H20</f>
        <v>60</v>
      </c>
    </row>
    <row r="23" spans="2:4">
      <c r="B23" t="s">
        <v>218</v>
      </c>
      <c r="C23" t="str">
        <f>'Existing plants_SCEN50yrs'!D21</f>
        <v>ENCZ_DUKOVANY-4_00</v>
      </c>
      <c r="D23">
        <f>'Existing plants_SCEN60yrs'!H21</f>
        <v>60</v>
      </c>
    </row>
    <row r="24" spans="2:4">
      <c r="B24" t="s">
        <v>218</v>
      </c>
      <c r="C24" t="str">
        <f>'Existing plants_SCEN50yrs'!D22</f>
        <v>ENCZ_TEMELIN-1_00</v>
      </c>
      <c r="D24">
        <f>'Existing plants_SCEN60yrs'!H22</f>
        <v>60</v>
      </c>
    </row>
    <row r="25" spans="2:4">
      <c r="B25" t="s">
        <v>218</v>
      </c>
      <c r="C25" t="str">
        <f>'Existing plants_SCEN50yrs'!D23</f>
        <v>ENCZ_TEMELIN-2_00</v>
      </c>
      <c r="D25">
        <f>'Existing plants_SCEN60yrs'!H23</f>
        <v>60</v>
      </c>
    </row>
    <row r="26" spans="2:4">
      <c r="B26" t="s">
        <v>218</v>
      </c>
      <c r="C26" t="str">
        <f>'Existing plants_SCEN50yrs'!D24</f>
        <v>ENDE_BIBLIS-A_00</v>
      </c>
      <c r="D26">
        <f>'Existing plants_SCEN60yrs'!H24</f>
        <v>37</v>
      </c>
    </row>
    <row r="27" spans="2:4">
      <c r="B27" t="s">
        <v>218</v>
      </c>
      <c r="C27" t="str">
        <f>'Existing plants_SCEN50yrs'!D25</f>
        <v>ENDE_BIBLIS-B_00</v>
      </c>
      <c r="D27">
        <f>'Existing plants_SCEN60yrs'!H25</f>
        <v>35</v>
      </c>
    </row>
    <row r="28" spans="2:4">
      <c r="B28" t="s">
        <v>218</v>
      </c>
      <c r="C28" t="str">
        <f>'Existing plants_SCEN50yrs'!D26</f>
        <v>ENDE_BROKDORF_KBR_00</v>
      </c>
      <c r="D28">
        <f>'Existing plants_SCEN60yrs'!H26</f>
        <v>35</v>
      </c>
    </row>
    <row r="29" spans="2:4">
      <c r="B29" t="s">
        <v>218</v>
      </c>
      <c r="C29" t="str">
        <f>'Existing plants_SCEN50yrs'!D27</f>
        <v>ENDE_BRUNSBUETTEL_00</v>
      </c>
      <c r="D29">
        <f>'Existing plants_SCEN60yrs'!H27</f>
        <v>35</v>
      </c>
    </row>
    <row r="30" spans="2:4">
      <c r="B30" t="s">
        <v>218</v>
      </c>
      <c r="C30" t="str">
        <f>'Existing plants_SCEN50yrs'!D28</f>
        <v>ENDE_EMSLAND_KKE_00</v>
      </c>
      <c r="D30">
        <f>'Existing plants_SCEN60yrs'!H28</f>
        <v>34</v>
      </c>
    </row>
    <row r="31" spans="2:4">
      <c r="B31" t="s">
        <v>218</v>
      </c>
      <c r="C31" t="str">
        <f>'Existing plants_SCEN50yrs'!D29</f>
        <v>ENDE_GRAFENRHEINFELD_KKG_00</v>
      </c>
      <c r="D31">
        <f>'Existing plants_SCEN60yrs'!H29</f>
        <v>34</v>
      </c>
    </row>
    <row r="32" spans="2:4">
      <c r="B32" t="s">
        <v>218</v>
      </c>
      <c r="C32" t="str">
        <f>'Existing plants_SCEN50yrs'!D30</f>
        <v>ENDE_GROHNDE_KWG_00</v>
      </c>
      <c r="D32">
        <f>'Existing plants_SCEN60yrs'!H30</f>
        <v>37</v>
      </c>
    </row>
    <row r="33" spans="2:4">
      <c r="B33" t="s">
        <v>218</v>
      </c>
      <c r="C33" t="str">
        <f>'Existing plants_SCEN50yrs'!D31</f>
        <v>ENDE_GUNDREM-B_GUN-B_00</v>
      </c>
      <c r="D33">
        <f>'Existing plants_SCEN60yrs'!H31</f>
        <v>33</v>
      </c>
    </row>
    <row r="34" spans="2:4">
      <c r="B34" t="s">
        <v>218</v>
      </c>
      <c r="C34" t="str">
        <f>'Existing plants_SCEN50yrs'!D32</f>
        <v>ENDE_GUNDREM-C_GUN-C_00</v>
      </c>
      <c r="D34">
        <f>'Existing plants_SCEN60yrs'!H32</f>
        <v>37</v>
      </c>
    </row>
    <row r="35" spans="2:4">
      <c r="B35" t="s">
        <v>218</v>
      </c>
      <c r="C35" t="str">
        <f>'Existing plants_SCEN50yrs'!D33</f>
        <v>ENDE_ISAR-1_00</v>
      </c>
      <c r="D35">
        <f>'Existing plants_SCEN60yrs'!H33</f>
        <v>23</v>
      </c>
    </row>
    <row r="36" spans="2:4">
      <c r="B36" t="s">
        <v>218</v>
      </c>
      <c r="C36" t="str">
        <f>'Existing plants_SCEN50yrs'!D34</f>
        <v>ENDE_ISAR-2_KKI2_00</v>
      </c>
      <c r="D36">
        <f>'Existing plants_SCEN60yrs'!H34</f>
        <v>34</v>
      </c>
    </row>
    <row r="37" spans="2:4">
      <c r="B37" t="s">
        <v>218</v>
      </c>
      <c r="C37" t="str">
        <f>'Existing plants_SCEN50yrs'!D35</f>
        <v>ENDE_KRUEMMEL_00</v>
      </c>
      <c r="D37">
        <f>'Existing plants_SCEN60yrs'!H35</f>
        <v>28</v>
      </c>
    </row>
    <row r="38" spans="2:4">
      <c r="B38" t="s">
        <v>218</v>
      </c>
      <c r="C38" t="str">
        <f>'Existing plants_SCEN50yrs'!D36</f>
        <v>ENDE_NECKARWEST-2_GKN2_00</v>
      </c>
      <c r="D38">
        <f>'Existing plants_SCEN60yrs'!H36</f>
        <v>33</v>
      </c>
    </row>
    <row r="39" spans="2:4">
      <c r="B39" t="s">
        <v>218</v>
      </c>
      <c r="C39" t="str">
        <f>'Existing plants_SCEN50yrs'!D37</f>
        <v>ENDE_NECKARWESTHEIM-1_00</v>
      </c>
      <c r="D39">
        <f>'Existing plants_SCEN60yrs'!H37</f>
        <v>35</v>
      </c>
    </row>
    <row r="40" spans="2:4">
      <c r="B40" t="s">
        <v>218</v>
      </c>
      <c r="C40" t="str">
        <f>'Existing plants_SCEN50yrs'!D38</f>
        <v>ENDE_PHILIPPSBURG-1_00</v>
      </c>
      <c r="D40">
        <f>'Existing plants_SCEN60yrs'!H38</f>
        <v>32</v>
      </c>
    </row>
    <row r="41" spans="2:4">
      <c r="B41" t="s">
        <v>218</v>
      </c>
      <c r="C41" t="str">
        <f>'Existing plants_SCEN50yrs'!D39</f>
        <v>ENDE_PHILIPPSBURG-2_KKP2_00</v>
      </c>
      <c r="D41">
        <f>'Existing plants_SCEN60yrs'!H39</f>
        <v>35</v>
      </c>
    </row>
    <row r="42" spans="2:4">
      <c r="B42" t="s">
        <v>218</v>
      </c>
      <c r="C42" t="str">
        <f>'Existing plants_SCEN50yrs'!D40</f>
        <v>ENDE_UNTERWESER_00</v>
      </c>
      <c r="D42">
        <f>'Existing plants_SCEN60yrs'!H40</f>
        <v>33</v>
      </c>
    </row>
    <row r="43" spans="2:4">
      <c r="B43" t="s">
        <v>218</v>
      </c>
      <c r="C43" t="str">
        <f>'Existing plants_SCEN50yrs'!D41</f>
        <v>ENES_ALMARAZ-1_00</v>
      </c>
      <c r="D43">
        <f>'Existing plants_SCEN60yrs'!H41</f>
        <v>60</v>
      </c>
    </row>
    <row r="44" spans="2:4">
      <c r="B44" t="s">
        <v>218</v>
      </c>
      <c r="C44" t="str">
        <f>'Existing plants_SCEN50yrs'!D42</f>
        <v>ENES_ALMARAZ-2_00</v>
      </c>
      <c r="D44">
        <f>'Existing plants_SCEN60yrs'!H42</f>
        <v>60</v>
      </c>
    </row>
    <row r="45" spans="2:4">
      <c r="B45" t="s">
        <v>218</v>
      </c>
      <c r="C45" t="str">
        <f>'Existing plants_SCEN50yrs'!D43</f>
        <v>ENES_ASCO-1_00</v>
      </c>
      <c r="D45">
        <f>'Existing plants_SCEN60yrs'!H43</f>
        <v>60</v>
      </c>
    </row>
    <row r="46" spans="2:4">
      <c r="B46" t="s">
        <v>218</v>
      </c>
      <c r="C46" t="str">
        <f>'Existing plants_SCEN50yrs'!D44</f>
        <v>ENES_ASCO-2_00</v>
      </c>
      <c r="D46">
        <f>'Existing plants_SCEN60yrs'!H44</f>
        <v>60</v>
      </c>
    </row>
    <row r="47" spans="2:4">
      <c r="B47" t="s">
        <v>218</v>
      </c>
      <c r="C47" t="str">
        <f>'Existing plants_SCEN50yrs'!D45</f>
        <v>ENES_COFRENTES_00</v>
      </c>
      <c r="D47">
        <f>'Existing plants_SCEN60yrs'!H45</f>
        <v>60</v>
      </c>
    </row>
    <row r="48" spans="2:4">
      <c r="B48" t="s">
        <v>218</v>
      </c>
      <c r="C48" t="str">
        <f>'Existing plants_SCEN50yrs'!D46</f>
        <v>ENES_SANTAMARIADEGARONA_00</v>
      </c>
      <c r="D48">
        <f>'Existing plants_SCEN60yrs'!H46</f>
        <v>60</v>
      </c>
    </row>
    <row r="49" spans="2:4">
      <c r="B49" t="s">
        <v>218</v>
      </c>
      <c r="C49" t="str">
        <f>'Existing plants_SCEN50yrs'!D47</f>
        <v>ENES_TRILLO-1_00</v>
      </c>
      <c r="D49">
        <f>'Existing plants_SCEN60yrs'!H47</f>
        <v>60</v>
      </c>
    </row>
    <row r="50" spans="2:4">
      <c r="B50" t="s">
        <v>218</v>
      </c>
      <c r="C50" t="str">
        <f>'Existing plants_SCEN50yrs'!D48</f>
        <v>ENES_VANDELLOS-2_00</v>
      </c>
      <c r="D50">
        <f>'Existing plants_SCEN60yrs'!H48</f>
        <v>60</v>
      </c>
    </row>
    <row r="51" spans="2:4">
      <c r="B51" t="s">
        <v>218</v>
      </c>
      <c r="C51" t="str">
        <f>'Existing plants_SCEN50yrs'!D49</f>
        <v>ENFI_LOVIISA-1_00</v>
      </c>
      <c r="D51">
        <f>'Existing plants_SCEN60yrs'!H49</f>
        <v>60</v>
      </c>
    </row>
    <row r="52" spans="2:4">
      <c r="B52" t="s">
        <v>218</v>
      </c>
      <c r="C52" t="str">
        <f>'Existing plants_SCEN50yrs'!D50</f>
        <v>ENFI_LOVIISA-2_00</v>
      </c>
      <c r="D52">
        <f>'Existing plants_SCEN60yrs'!H50</f>
        <v>60</v>
      </c>
    </row>
    <row r="53" spans="2:4">
      <c r="B53" t="s">
        <v>218</v>
      </c>
      <c r="C53" t="str">
        <f>'Existing plants_SCEN50yrs'!D51</f>
        <v>ENFI_OLKILUOTO-1_00</v>
      </c>
      <c r="D53">
        <f>'Existing plants_SCEN60yrs'!H51</f>
        <v>60</v>
      </c>
    </row>
    <row r="54" spans="2:4">
      <c r="B54" t="s">
        <v>218</v>
      </c>
      <c r="C54" t="str">
        <f>'Existing plants_SCEN50yrs'!D52</f>
        <v>ENFI_OLKILUOTO-2_00</v>
      </c>
      <c r="D54">
        <f>'Existing plants_SCEN60yrs'!H52</f>
        <v>60</v>
      </c>
    </row>
    <row r="55" spans="2:4">
      <c r="B55" t="s">
        <v>218</v>
      </c>
      <c r="C55" t="str">
        <f>'Existing plants_SCEN50yrs'!D53</f>
        <v>ENFR_BELLEVILLE-1_00</v>
      </c>
      <c r="D55">
        <f>'Existing plants_SCEN60yrs'!H53</f>
        <v>60</v>
      </c>
    </row>
    <row r="56" spans="2:4">
      <c r="B56" t="s">
        <v>218</v>
      </c>
      <c r="C56" t="str">
        <f>'Existing plants_SCEN50yrs'!D54</f>
        <v>ENFR_BELLEVILLE-2_00</v>
      </c>
      <c r="D56">
        <f>'Existing plants_SCEN60yrs'!H54</f>
        <v>60</v>
      </c>
    </row>
    <row r="57" spans="2:4">
      <c r="B57" t="s">
        <v>218</v>
      </c>
      <c r="C57" t="str">
        <f>'Existing plants_SCEN50yrs'!D55</f>
        <v>ENFR_BLAYAIS-1_00</v>
      </c>
      <c r="D57">
        <f>'Existing plants_SCEN60yrs'!H55</f>
        <v>60</v>
      </c>
    </row>
    <row r="58" spans="2:4">
      <c r="B58" t="s">
        <v>218</v>
      </c>
      <c r="C58" t="str">
        <f>'Existing plants_SCEN50yrs'!D56</f>
        <v>ENFR_BLAYAIS-2_00</v>
      </c>
      <c r="D58">
        <f>'Existing plants_SCEN60yrs'!H56</f>
        <v>60</v>
      </c>
    </row>
    <row r="59" spans="2:4">
      <c r="B59" t="s">
        <v>218</v>
      </c>
      <c r="C59" t="str">
        <f>'Existing plants_SCEN50yrs'!D57</f>
        <v>ENFR_BLAYAIS-3_00</v>
      </c>
      <c r="D59">
        <f>'Existing plants_SCEN60yrs'!H57</f>
        <v>60</v>
      </c>
    </row>
    <row r="60" spans="2:4">
      <c r="B60" t="s">
        <v>218</v>
      </c>
      <c r="C60" t="str">
        <f>'Existing plants_SCEN50yrs'!D58</f>
        <v>ENFR_BLAYAIS-4_00</v>
      </c>
      <c r="D60">
        <f>'Existing plants_SCEN60yrs'!H58</f>
        <v>60</v>
      </c>
    </row>
    <row r="61" spans="2:4">
      <c r="B61" t="s">
        <v>218</v>
      </c>
      <c r="C61" t="str">
        <f>'Existing plants_SCEN50yrs'!D59</f>
        <v>ENFR_BUGEY-2_00_00</v>
      </c>
      <c r="D61">
        <f>'Existing plants_SCEN60yrs'!H59</f>
        <v>60</v>
      </c>
    </row>
    <row r="62" spans="2:4">
      <c r="B62" t="s">
        <v>218</v>
      </c>
      <c r="C62" t="str">
        <f>'Existing plants_SCEN50yrs'!D60</f>
        <v>ENFR_BUGEY-3_00_00</v>
      </c>
      <c r="D62">
        <f>'Existing plants_SCEN60yrs'!H60</f>
        <v>60</v>
      </c>
    </row>
    <row r="63" spans="2:4">
      <c r="B63" t="s">
        <v>218</v>
      </c>
      <c r="C63" t="str">
        <f>'Existing plants_SCEN50yrs'!D61</f>
        <v>ENFR_BUGEY-4_00_00</v>
      </c>
      <c r="D63">
        <f>'Existing plants_SCEN60yrs'!H61</f>
        <v>60</v>
      </c>
    </row>
    <row r="64" spans="2:4">
      <c r="B64" t="s">
        <v>218</v>
      </c>
      <c r="C64" t="str">
        <f>'Existing plants_SCEN50yrs'!D62</f>
        <v>ENFR_BUGEY-5_00_00</v>
      </c>
      <c r="D64">
        <f>'Existing plants_SCEN60yrs'!H62</f>
        <v>60</v>
      </c>
    </row>
    <row r="65" spans="2:4">
      <c r="B65" t="s">
        <v>218</v>
      </c>
      <c r="C65" t="str">
        <f>'Existing plants_SCEN50yrs'!D63</f>
        <v>ENFR_CATTENOM-1_00</v>
      </c>
      <c r="D65">
        <f>'Existing plants_SCEN60yrs'!H63</f>
        <v>60</v>
      </c>
    </row>
    <row r="66" spans="2:4">
      <c r="B66" t="s">
        <v>218</v>
      </c>
      <c r="C66" t="str">
        <f>'Existing plants_SCEN50yrs'!D64</f>
        <v>ENFR_CATTENOM-2_00</v>
      </c>
      <c r="D66">
        <f>'Existing plants_SCEN60yrs'!H64</f>
        <v>60</v>
      </c>
    </row>
    <row r="67" spans="2:4">
      <c r="B67" t="s">
        <v>218</v>
      </c>
      <c r="C67" t="str">
        <f>'Existing plants_SCEN50yrs'!D65</f>
        <v>ENFR_CATTENOM-3_00</v>
      </c>
      <c r="D67">
        <f>'Existing plants_SCEN60yrs'!H65</f>
        <v>60</v>
      </c>
    </row>
    <row r="68" spans="2:4">
      <c r="B68" t="s">
        <v>218</v>
      </c>
      <c r="C68" t="str">
        <f>'Existing plants_SCEN50yrs'!D66</f>
        <v>ENFR_CATTENOM-4_00</v>
      </c>
      <c r="D68">
        <f>'Existing plants_SCEN60yrs'!H66</f>
        <v>60</v>
      </c>
    </row>
    <row r="69" spans="2:4">
      <c r="B69" t="s">
        <v>218</v>
      </c>
      <c r="C69" t="str">
        <f>'Existing plants_SCEN50yrs'!D67</f>
        <v>ENFR_CHINON-B-1_00</v>
      </c>
      <c r="D69">
        <f>'Existing plants_SCEN60yrs'!H67</f>
        <v>60</v>
      </c>
    </row>
    <row r="70" spans="2:4">
      <c r="B70" t="s">
        <v>218</v>
      </c>
      <c r="C70" t="str">
        <f>'Existing plants_SCEN50yrs'!D68</f>
        <v>ENFR_CHINON-B-2_00</v>
      </c>
      <c r="D70">
        <f>'Existing plants_SCEN60yrs'!H68</f>
        <v>60</v>
      </c>
    </row>
    <row r="71" spans="2:4">
      <c r="B71" t="s">
        <v>218</v>
      </c>
      <c r="C71" t="str">
        <f>'Existing plants_SCEN50yrs'!D69</f>
        <v>ENFR_CHINON-B-3_00</v>
      </c>
      <c r="D71">
        <f>'Existing plants_SCEN60yrs'!H69</f>
        <v>60</v>
      </c>
    </row>
    <row r="72" spans="2:4">
      <c r="B72" t="s">
        <v>218</v>
      </c>
      <c r="C72" t="str">
        <f>'Existing plants_SCEN50yrs'!D70</f>
        <v>ENFR_CHINON-B-4_00</v>
      </c>
      <c r="D72">
        <f>'Existing plants_SCEN60yrs'!H70</f>
        <v>60</v>
      </c>
    </row>
    <row r="73" spans="2:4">
      <c r="B73" t="s">
        <v>218</v>
      </c>
      <c r="C73" t="str">
        <f>'Existing plants_SCEN50yrs'!D71</f>
        <v>ENFR_CHOOZ-B-1_00</v>
      </c>
      <c r="D73">
        <f>'Existing plants_SCEN60yrs'!H71</f>
        <v>60</v>
      </c>
    </row>
    <row r="74" spans="2:4">
      <c r="B74" t="s">
        <v>218</v>
      </c>
      <c r="C74" t="str">
        <f>'Existing plants_SCEN50yrs'!D72</f>
        <v>ENFR_CHOOZ-B-2_00</v>
      </c>
      <c r="D74">
        <f>'Existing plants_SCEN60yrs'!H72</f>
        <v>60</v>
      </c>
    </row>
    <row r="75" spans="2:4">
      <c r="B75" t="s">
        <v>218</v>
      </c>
      <c r="C75" t="str">
        <f>'Existing plants_SCEN50yrs'!D73</f>
        <v>ENFR_CIVAUX-1_00</v>
      </c>
      <c r="D75">
        <f>'Existing plants_SCEN60yrs'!H73</f>
        <v>60</v>
      </c>
    </row>
    <row r="76" spans="2:4">
      <c r="B76" t="s">
        <v>218</v>
      </c>
      <c r="C76" t="str">
        <f>'Existing plants_SCEN50yrs'!D74</f>
        <v>ENFR_CIVAUX-2_00</v>
      </c>
      <c r="D76">
        <f>'Existing plants_SCEN60yrs'!H74</f>
        <v>60</v>
      </c>
    </row>
    <row r="77" spans="2:4">
      <c r="B77" t="s">
        <v>218</v>
      </c>
      <c r="C77" t="str">
        <f>'Existing plants_SCEN50yrs'!D75</f>
        <v>ENFR_CRUAS-1_00</v>
      </c>
      <c r="D77">
        <f>'Existing plants_SCEN60yrs'!H75</f>
        <v>60</v>
      </c>
    </row>
    <row r="78" spans="2:4">
      <c r="B78" t="s">
        <v>218</v>
      </c>
      <c r="C78" t="str">
        <f>'Existing plants_SCEN50yrs'!D76</f>
        <v>ENFR_CRUAS-2_00</v>
      </c>
      <c r="D78">
        <f>'Existing plants_SCEN60yrs'!H76</f>
        <v>60</v>
      </c>
    </row>
    <row r="79" spans="2:4">
      <c r="B79" t="s">
        <v>218</v>
      </c>
      <c r="C79" t="str">
        <f>'Existing plants_SCEN50yrs'!D77</f>
        <v>ENFR_CRUAS-3_00</v>
      </c>
      <c r="D79">
        <f>'Existing plants_SCEN60yrs'!H77</f>
        <v>60</v>
      </c>
    </row>
    <row r="80" spans="2:4">
      <c r="B80" t="s">
        <v>218</v>
      </c>
      <c r="C80" t="str">
        <f>'Existing plants_SCEN50yrs'!D78</f>
        <v>ENFR_CRUAS-4_00</v>
      </c>
      <c r="D80">
        <f>'Existing plants_SCEN60yrs'!H78</f>
        <v>60</v>
      </c>
    </row>
    <row r="81" spans="2:4">
      <c r="B81" t="s">
        <v>218</v>
      </c>
      <c r="C81" t="str">
        <f>'Existing plants_SCEN50yrs'!D79</f>
        <v>ENFR_DAMPIERRE-1_00</v>
      </c>
      <c r="D81">
        <f>'Existing plants_SCEN60yrs'!H79</f>
        <v>60</v>
      </c>
    </row>
    <row r="82" spans="2:4">
      <c r="B82" t="s">
        <v>218</v>
      </c>
      <c r="C82" t="str">
        <f>'Existing plants_SCEN50yrs'!D80</f>
        <v>ENFR_DAMPIERRE-2_00</v>
      </c>
      <c r="D82">
        <f>'Existing plants_SCEN60yrs'!H80</f>
        <v>60</v>
      </c>
    </row>
    <row r="83" spans="2:4">
      <c r="B83" t="s">
        <v>218</v>
      </c>
      <c r="C83" t="str">
        <f>'Existing plants_SCEN50yrs'!D81</f>
        <v>ENFR_DAMPIERRE-3_00</v>
      </c>
      <c r="D83">
        <f>'Existing plants_SCEN60yrs'!H81</f>
        <v>60</v>
      </c>
    </row>
    <row r="84" spans="2:4">
      <c r="B84" t="s">
        <v>218</v>
      </c>
      <c r="C84" t="str">
        <f>'Existing plants_SCEN50yrs'!D82</f>
        <v>ENFR_DAMPIERRE-4_00</v>
      </c>
      <c r="D84">
        <f>'Existing plants_SCEN60yrs'!H82</f>
        <v>60</v>
      </c>
    </row>
    <row r="85" spans="2:4">
      <c r="B85" t="s">
        <v>218</v>
      </c>
      <c r="C85" t="str">
        <f>'Existing plants_SCEN50yrs'!D83</f>
        <v>ENFR_FESSENHEIM-1_00</v>
      </c>
      <c r="D85">
        <f>'Existing plants_SCEN60yrs'!H83</f>
        <v>40</v>
      </c>
    </row>
    <row r="86" spans="2:4">
      <c r="B86" t="s">
        <v>218</v>
      </c>
      <c r="C86" t="str">
        <f>'Existing plants_SCEN50yrs'!D84</f>
        <v>ENFR_FESSENHEIM-2_00</v>
      </c>
      <c r="D86">
        <f>'Existing plants_SCEN60yrs'!H84</f>
        <v>40</v>
      </c>
    </row>
    <row r="87" spans="2:4">
      <c r="B87" t="s">
        <v>218</v>
      </c>
      <c r="C87" t="str">
        <f>'Existing plants_SCEN50yrs'!D85</f>
        <v>ENFR_FLAMANVILLE-1_00</v>
      </c>
      <c r="D87">
        <f>'Existing plants_SCEN60yrs'!H85</f>
        <v>60</v>
      </c>
    </row>
    <row r="88" spans="2:4">
      <c r="B88" t="s">
        <v>218</v>
      </c>
      <c r="C88" t="str">
        <f>'Existing plants_SCEN50yrs'!D86</f>
        <v>ENFR_FLAMANVILLE-2_00</v>
      </c>
      <c r="D88">
        <f>'Existing plants_SCEN60yrs'!H86</f>
        <v>60</v>
      </c>
    </row>
    <row r="89" spans="2:4">
      <c r="B89" t="s">
        <v>218</v>
      </c>
      <c r="C89" t="str">
        <f>'Existing plants_SCEN50yrs'!D87</f>
        <v>ENFR_GOLFECH-1_00</v>
      </c>
      <c r="D89">
        <f>'Existing plants_SCEN60yrs'!H87</f>
        <v>60</v>
      </c>
    </row>
    <row r="90" spans="2:4">
      <c r="B90" t="s">
        <v>218</v>
      </c>
      <c r="C90" t="str">
        <f>'Existing plants_SCEN50yrs'!D88</f>
        <v>ENFR_GOLFECH-2_00</v>
      </c>
      <c r="D90">
        <f>'Existing plants_SCEN60yrs'!H88</f>
        <v>60</v>
      </c>
    </row>
    <row r="91" spans="2:4">
      <c r="B91" t="s">
        <v>218</v>
      </c>
      <c r="C91" t="str">
        <f>'Existing plants_SCEN50yrs'!D89</f>
        <v>ENFR_GRAVELINES-1_00</v>
      </c>
      <c r="D91">
        <f>'Existing plants_SCEN60yrs'!H89</f>
        <v>60</v>
      </c>
    </row>
    <row r="92" spans="2:4">
      <c r="B92" t="s">
        <v>218</v>
      </c>
      <c r="C92" t="str">
        <f>'Existing plants_SCEN50yrs'!D90</f>
        <v>ENFR_GRAVELINES-2_00</v>
      </c>
      <c r="D92">
        <f>'Existing plants_SCEN60yrs'!H90</f>
        <v>60</v>
      </c>
    </row>
    <row r="93" spans="2:4">
      <c r="B93" t="s">
        <v>218</v>
      </c>
      <c r="C93" t="str">
        <f>'Existing plants_SCEN50yrs'!D91</f>
        <v>ENFR_GRAVELINES-3_00</v>
      </c>
      <c r="D93">
        <f>'Existing plants_SCEN60yrs'!H91</f>
        <v>60</v>
      </c>
    </row>
    <row r="94" spans="2:4">
      <c r="B94" t="s">
        <v>218</v>
      </c>
      <c r="C94" t="str">
        <f>'Existing plants_SCEN50yrs'!D92</f>
        <v>ENFR_GRAVELINES-4_00</v>
      </c>
      <c r="D94">
        <f>'Existing plants_SCEN60yrs'!H92</f>
        <v>60</v>
      </c>
    </row>
    <row r="95" spans="2:4">
      <c r="B95" t="s">
        <v>218</v>
      </c>
      <c r="C95" t="str">
        <f>'Existing plants_SCEN50yrs'!D93</f>
        <v>ENFR_GRAVELINES-5_00</v>
      </c>
      <c r="D95">
        <f>'Existing plants_SCEN60yrs'!H93</f>
        <v>60</v>
      </c>
    </row>
    <row r="96" spans="2:4">
      <c r="B96" t="s">
        <v>218</v>
      </c>
      <c r="C96" t="str">
        <f>'Existing plants_SCEN50yrs'!D94</f>
        <v>ENFR_GRAVELINES-6_00</v>
      </c>
      <c r="D96">
        <f>'Existing plants_SCEN60yrs'!H94</f>
        <v>60</v>
      </c>
    </row>
    <row r="97" spans="2:4">
      <c r="B97" t="s">
        <v>218</v>
      </c>
      <c r="C97" t="str">
        <f>'Existing plants_SCEN50yrs'!D95</f>
        <v>ENFR_NOGENT-1_00</v>
      </c>
      <c r="D97">
        <f>'Existing plants_SCEN60yrs'!H95</f>
        <v>60</v>
      </c>
    </row>
    <row r="98" spans="2:4">
      <c r="B98" t="s">
        <v>218</v>
      </c>
      <c r="C98" t="str">
        <f>'Existing plants_SCEN50yrs'!D96</f>
        <v>ENFR_NOGENT-2_00</v>
      </c>
      <c r="D98">
        <f>'Existing plants_SCEN60yrs'!H96</f>
        <v>60</v>
      </c>
    </row>
    <row r="99" spans="2:4">
      <c r="B99" t="s">
        <v>218</v>
      </c>
      <c r="C99" t="str">
        <f>'Existing plants_SCEN50yrs'!D97</f>
        <v>ENFR_PALUEL-1_00</v>
      </c>
      <c r="D99">
        <f>'Existing plants_SCEN60yrs'!H97</f>
        <v>60</v>
      </c>
    </row>
    <row r="100" spans="2:4">
      <c r="B100" t="s">
        <v>218</v>
      </c>
      <c r="C100" t="str">
        <f>'Existing plants_SCEN50yrs'!D98</f>
        <v>ENFR_PALUEL-2_00</v>
      </c>
      <c r="D100">
        <f>'Existing plants_SCEN60yrs'!H98</f>
        <v>60</v>
      </c>
    </row>
    <row r="101" spans="2:4">
      <c r="B101" t="s">
        <v>218</v>
      </c>
      <c r="C101" t="str">
        <f>'Existing plants_SCEN50yrs'!D99</f>
        <v>ENFR_PALUEL-3_00</v>
      </c>
      <c r="D101">
        <f>'Existing plants_SCEN60yrs'!H99</f>
        <v>60</v>
      </c>
    </row>
    <row r="102" spans="2:4">
      <c r="B102" t="s">
        <v>218</v>
      </c>
      <c r="C102" t="str">
        <f>'Existing plants_SCEN50yrs'!D100</f>
        <v>ENFR_PALUEL-4_00</v>
      </c>
      <c r="D102">
        <f>'Existing plants_SCEN60yrs'!H100</f>
        <v>60</v>
      </c>
    </row>
    <row r="103" spans="2:4">
      <c r="B103" t="s">
        <v>218</v>
      </c>
      <c r="C103" t="str">
        <f>'Existing plants_SCEN50yrs'!D101</f>
        <v>ENFR_PENLY-1_00</v>
      </c>
      <c r="D103">
        <f>'Existing plants_SCEN60yrs'!H101</f>
        <v>60</v>
      </c>
    </row>
    <row r="104" spans="2:4">
      <c r="B104" t="s">
        <v>218</v>
      </c>
      <c r="C104" t="str">
        <f>'Existing plants_SCEN50yrs'!D102</f>
        <v>ENFR_PENLY-2_00</v>
      </c>
      <c r="D104">
        <f>'Existing plants_SCEN60yrs'!H102</f>
        <v>60</v>
      </c>
    </row>
    <row r="105" spans="2:4">
      <c r="B105" t="s">
        <v>218</v>
      </c>
      <c r="C105" t="str">
        <f>'Existing plants_SCEN50yrs'!D103</f>
        <v>ENFR_PHENIX_00</v>
      </c>
      <c r="D105">
        <f>'Existing plants_SCEN60yrs'!H103</f>
        <v>60</v>
      </c>
    </row>
    <row r="106" spans="2:4">
      <c r="B106" t="s">
        <v>218</v>
      </c>
      <c r="C106" t="str">
        <f>'Existing plants_SCEN50yrs'!D104</f>
        <v>ENFR_STALBAN-1_00</v>
      </c>
      <c r="D106">
        <f>'Existing plants_SCEN60yrs'!H104</f>
        <v>60</v>
      </c>
    </row>
    <row r="107" spans="2:4">
      <c r="B107" t="s">
        <v>218</v>
      </c>
      <c r="C107" t="str">
        <f>'Existing plants_SCEN50yrs'!D105</f>
        <v>ENFR_STALBAN-2_00</v>
      </c>
      <c r="D107">
        <f>'Existing plants_SCEN60yrs'!H105</f>
        <v>60</v>
      </c>
    </row>
    <row r="108" spans="2:4">
      <c r="B108" t="s">
        <v>218</v>
      </c>
      <c r="C108" t="str">
        <f>'Existing plants_SCEN50yrs'!D106</f>
        <v>ENFR_STLAURENT-B-1_00</v>
      </c>
      <c r="D108">
        <f>'Existing plants_SCEN60yrs'!H106</f>
        <v>60</v>
      </c>
    </row>
    <row r="109" spans="2:4">
      <c r="B109" t="s">
        <v>218</v>
      </c>
      <c r="C109" t="str">
        <f>'Existing plants_SCEN50yrs'!D107</f>
        <v>ENFR_STLAURENT-B-2_00</v>
      </c>
      <c r="D109">
        <f>'Existing plants_SCEN60yrs'!H107</f>
        <v>60</v>
      </c>
    </row>
    <row r="110" spans="2:4">
      <c r="B110" t="s">
        <v>218</v>
      </c>
      <c r="C110" t="str">
        <f>'Existing plants_SCEN50yrs'!D108</f>
        <v>ENFR_TRICASTIN-1_00</v>
      </c>
      <c r="D110">
        <f>'Existing plants_SCEN60yrs'!H108</f>
        <v>60</v>
      </c>
    </row>
    <row r="111" spans="2:4">
      <c r="B111" t="s">
        <v>218</v>
      </c>
      <c r="C111" t="str">
        <f>'Existing plants_SCEN50yrs'!D109</f>
        <v>ENFR_TRICASTIN-2_00</v>
      </c>
      <c r="D111">
        <f>'Existing plants_SCEN60yrs'!H109</f>
        <v>60</v>
      </c>
    </row>
    <row r="112" spans="2:4">
      <c r="B112" t="s">
        <v>218</v>
      </c>
      <c r="C112" t="str">
        <f>'Existing plants_SCEN50yrs'!D110</f>
        <v>ENFR_TRICASTIN-3_00</v>
      </c>
      <c r="D112">
        <f>'Existing plants_SCEN60yrs'!H110</f>
        <v>60</v>
      </c>
    </row>
    <row r="113" spans="2:4">
      <c r="B113" t="s">
        <v>218</v>
      </c>
      <c r="C113" t="str">
        <f>'Existing plants_SCEN50yrs'!D111</f>
        <v>ENFR_TRICASTIN-4_00</v>
      </c>
      <c r="D113">
        <f>'Existing plants_SCEN60yrs'!H111</f>
        <v>60</v>
      </c>
    </row>
    <row r="114" spans="2:4">
      <c r="B114" t="s">
        <v>218</v>
      </c>
      <c r="C114" t="str">
        <f>'Existing plants_SCEN50yrs'!D112</f>
        <v>ENHU_PAKS-1_00</v>
      </c>
      <c r="D114">
        <f>'Existing plants_SCEN60yrs'!H112</f>
        <v>60</v>
      </c>
    </row>
    <row r="115" spans="2:4">
      <c r="B115" t="s">
        <v>218</v>
      </c>
      <c r="C115" t="str">
        <f>'Existing plants_SCEN50yrs'!D113</f>
        <v>ENHU_PAKS-2_00</v>
      </c>
      <c r="D115">
        <f>'Existing plants_SCEN60yrs'!H113</f>
        <v>60</v>
      </c>
    </row>
    <row r="116" spans="2:4">
      <c r="B116" t="s">
        <v>218</v>
      </c>
      <c r="C116" t="str">
        <f>'Existing plants_SCEN50yrs'!D114</f>
        <v>ENHU_PAKS-3_00</v>
      </c>
      <c r="D116">
        <f>'Existing plants_SCEN60yrs'!H114</f>
        <v>60</v>
      </c>
    </row>
    <row r="117" spans="2:4">
      <c r="B117" t="s">
        <v>218</v>
      </c>
      <c r="C117" t="str">
        <f>'Existing plants_SCEN50yrs'!D115</f>
        <v>ENHU_PAKS-4_00</v>
      </c>
      <c r="D117">
        <f>'Existing plants_SCEN60yrs'!H115</f>
        <v>60</v>
      </c>
    </row>
    <row r="118" spans="2:4">
      <c r="B118" t="s">
        <v>218</v>
      </c>
      <c r="C118" t="str">
        <f>'Existing plants_SCEN50yrs'!D116</f>
        <v>ENLT_IGNALINA-1</v>
      </c>
      <c r="D118">
        <f>'Existing plants_SCEN60yrs'!H116</f>
        <v>21</v>
      </c>
    </row>
    <row r="119" spans="2:4">
      <c r="B119" t="s">
        <v>218</v>
      </c>
      <c r="C119" t="str">
        <f>'Existing plants_SCEN50yrs'!D117</f>
        <v>ENLT_IGNALINA-2</v>
      </c>
      <c r="D119">
        <f>'Existing plants_SCEN60yrs'!H117</f>
        <v>22</v>
      </c>
    </row>
    <row r="120" spans="2:4">
      <c r="B120" t="s">
        <v>218</v>
      </c>
      <c r="C120" t="str">
        <f>'Existing plants_SCEN50yrs'!D118</f>
        <v>ENNL_BORSSELE_00</v>
      </c>
      <c r="D120">
        <f>'Existing plants_SCEN60yrs'!H118</f>
        <v>61</v>
      </c>
    </row>
    <row r="121" spans="2:4">
      <c r="B121" t="s">
        <v>218</v>
      </c>
      <c r="C121" t="str">
        <f>'Existing plants_SCEN50yrs'!D119</f>
        <v>ENRO_CERNAVODA-1_00</v>
      </c>
      <c r="D121">
        <f>'Existing plants_SCEN60yrs'!H119</f>
        <v>60</v>
      </c>
    </row>
    <row r="122" spans="2:4">
      <c r="B122" t="s">
        <v>218</v>
      </c>
      <c r="C122" t="str">
        <f>'Existing plants_SCEN50yrs'!D120</f>
        <v>ENRO_CERNAVODA-2</v>
      </c>
      <c r="D122">
        <f>'Existing plants_SCEN60yrs'!H120</f>
        <v>60</v>
      </c>
    </row>
    <row r="123" spans="2:4">
      <c r="B123" t="s">
        <v>218</v>
      </c>
      <c r="C123" t="str">
        <f>'Existing plants_SCEN50yrs'!D121</f>
        <v>ENSE_FORSMARK-1_00</v>
      </c>
      <c r="D123">
        <f>'Existing plants_SCEN60yrs'!H121</f>
        <v>60</v>
      </c>
    </row>
    <row r="124" spans="2:4">
      <c r="B124" t="s">
        <v>218</v>
      </c>
      <c r="C124" t="str">
        <f>'Existing plants_SCEN50yrs'!D122</f>
        <v>ENSE_FORSMARK-2_00</v>
      </c>
      <c r="D124">
        <f>'Existing plants_SCEN60yrs'!H122</f>
        <v>60</v>
      </c>
    </row>
    <row r="125" spans="2:4">
      <c r="B125" t="s">
        <v>218</v>
      </c>
      <c r="C125" t="str">
        <f>'Existing plants_SCEN50yrs'!D123</f>
        <v>ENSE_FORSMARK-3_00</v>
      </c>
      <c r="D125">
        <f>'Existing plants_SCEN60yrs'!H123</f>
        <v>60</v>
      </c>
    </row>
    <row r="126" spans="2:4">
      <c r="B126" t="s">
        <v>218</v>
      </c>
      <c r="C126" t="str">
        <f>'Existing plants_SCEN50yrs'!D124</f>
        <v>ENSE_OSKARSHAMN-1_00</v>
      </c>
      <c r="D126">
        <f>'Existing plants_SCEN60yrs'!H124</f>
        <v>47</v>
      </c>
    </row>
    <row r="127" spans="2:4">
      <c r="B127" t="s">
        <v>218</v>
      </c>
      <c r="C127" t="str">
        <f>'Existing plants_SCEN50yrs'!D125</f>
        <v>ENSE_OSKARSHAMN-2_00</v>
      </c>
      <c r="D127">
        <f>'Existing plants_SCEN60yrs'!H125</f>
        <v>46</v>
      </c>
    </row>
    <row r="128" spans="2:4">
      <c r="B128" t="s">
        <v>218</v>
      </c>
      <c r="C128" t="str">
        <f>'Existing plants_SCEN50yrs'!D126</f>
        <v>ENSE_OSKARSHAMN-3_00</v>
      </c>
      <c r="D128">
        <f>'Existing plants_SCEN60yrs'!H126</f>
        <v>60</v>
      </c>
    </row>
    <row r="129" spans="2:4">
      <c r="B129" t="s">
        <v>218</v>
      </c>
      <c r="C129" t="str">
        <f>'Existing plants_SCEN50yrs'!D127</f>
        <v>ENSE_RINGHALS-1_00</v>
      </c>
      <c r="D129">
        <f>'Existing plants_SCEN60yrs'!H127</f>
        <v>46</v>
      </c>
    </row>
    <row r="130" spans="2:4">
      <c r="B130" t="s">
        <v>218</v>
      </c>
      <c r="C130" t="str">
        <f>'Existing plants_SCEN50yrs'!D128</f>
        <v>ENSE_RINGHALS-2_00</v>
      </c>
      <c r="D130">
        <f>'Existing plants_SCEN60yrs'!H128</f>
        <v>46</v>
      </c>
    </row>
    <row r="131" spans="2:4">
      <c r="B131" t="s">
        <v>218</v>
      </c>
      <c r="C131" t="str">
        <f>'Existing plants_SCEN50yrs'!D129</f>
        <v>ENSE_RINGHALS-3_00</v>
      </c>
      <c r="D131">
        <f>'Existing plants_SCEN60yrs'!H129</f>
        <v>60</v>
      </c>
    </row>
    <row r="132" spans="2:4">
      <c r="B132" t="s">
        <v>218</v>
      </c>
      <c r="C132" t="str">
        <f>'Existing plants_SCEN50yrs'!D130</f>
        <v>ENSE_RINGHALS-4_00</v>
      </c>
      <c r="D132">
        <f>'Existing plants_SCEN60yrs'!H130</f>
        <v>60</v>
      </c>
    </row>
    <row r="133" spans="2:4">
      <c r="B133" t="s">
        <v>218</v>
      </c>
      <c r="C133" t="str">
        <f>'Existing plants_SCEN50yrs'!D131</f>
        <v>ENSI_KRSKO_00</v>
      </c>
      <c r="D133">
        <f>'Existing plants_SCEN60yrs'!H131</f>
        <v>60</v>
      </c>
    </row>
    <row r="134" spans="2:4">
      <c r="B134" t="s">
        <v>218</v>
      </c>
      <c r="C134" t="str">
        <f>'Existing plants_SCEN50yrs'!D132</f>
        <v>ENSK_BOHUNICE-1_00</v>
      </c>
      <c r="D134">
        <f>'Existing plants_SCEN60yrs'!H132</f>
        <v>28</v>
      </c>
    </row>
    <row r="135" spans="2:4">
      <c r="B135" t="s">
        <v>218</v>
      </c>
      <c r="C135" t="str">
        <f>'Existing plants_SCEN50yrs'!D133</f>
        <v>ENSK_BOHUNICE-2_00</v>
      </c>
      <c r="D135">
        <f>'Existing plants_SCEN60yrs'!H133</f>
        <v>28</v>
      </c>
    </row>
    <row r="136" spans="2:4">
      <c r="B136" t="s">
        <v>218</v>
      </c>
      <c r="C136" t="str">
        <f>'Existing plants_SCEN50yrs'!D134</f>
        <v>ENSK_BOHUNICE-3_00</v>
      </c>
      <c r="D136">
        <f>'Existing plants_SCEN60yrs'!H134</f>
        <v>60</v>
      </c>
    </row>
    <row r="137" spans="2:4">
      <c r="B137" t="s">
        <v>218</v>
      </c>
      <c r="C137" t="str">
        <f>'Existing plants_SCEN50yrs'!D135</f>
        <v>ENSK_BOHUNICE-4_00</v>
      </c>
      <c r="D137">
        <f>'Existing plants_SCEN60yrs'!H135</f>
        <v>60</v>
      </c>
    </row>
    <row r="138" spans="2:4">
      <c r="B138" t="s">
        <v>218</v>
      </c>
      <c r="C138" t="str">
        <f>'Existing plants_SCEN50yrs'!D136</f>
        <v>ENSK_MOCHOVCE-1_00</v>
      </c>
      <c r="D138">
        <f>'Existing plants_SCEN60yrs'!H136</f>
        <v>60</v>
      </c>
    </row>
    <row r="139" spans="2:4">
      <c r="B139" t="s">
        <v>218</v>
      </c>
      <c r="C139" t="str">
        <f>'Existing plants_SCEN50yrs'!D137</f>
        <v>ENSK_MOCHOVCE-2_00</v>
      </c>
      <c r="D139">
        <f>'Existing plants_SCEN60yrs'!H137</f>
        <v>60</v>
      </c>
    </row>
    <row r="140" spans="2:4">
      <c r="B140" t="s">
        <v>218</v>
      </c>
      <c r="C140" t="str">
        <f>'Existing plants_SCEN50yrs'!D138</f>
        <v>ENUK_DUNGENESS-B1_00</v>
      </c>
      <c r="D140">
        <f>'Existing plants_SCEN60yrs'!H138</f>
        <v>45</v>
      </c>
    </row>
    <row r="141" spans="2:4">
      <c r="B141" t="s">
        <v>218</v>
      </c>
      <c r="C141" t="str">
        <f>'Existing plants_SCEN50yrs'!D139</f>
        <v>ENUK_DUNGENESS-B2_00</v>
      </c>
      <c r="D141">
        <f>'Existing plants_SCEN60yrs'!H139</f>
        <v>43</v>
      </c>
    </row>
    <row r="142" spans="2:4">
      <c r="B142" t="s">
        <v>218</v>
      </c>
      <c r="C142" t="str">
        <f>'Existing plants_SCEN50yrs'!D140</f>
        <v>ENUK_HARTLEPOOL-A1_00</v>
      </c>
      <c r="D142">
        <f>'Existing plants_SCEN60yrs'!H140</f>
        <v>36</v>
      </c>
    </row>
    <row r="143" spans="2:4">
      <c r="B143" t="s">
        <v>218</v>
      </c>
      <c r="C143" t="str">
        <f>'Existing plants_SCEN50yrs'!D141</f>
        <v>ENUK_HARTLEPOOL-A2_00</v>
      </c>
      <c r="D143">
        <f>'Existing plants_SCEN60yrs'!H141</f>
        <v>35</v>
      </c>
    </row>
    <row r="144" spans="2:4">
      <c r="B144" t="s">
        <v>218</v>
      </c>
      <c r="C144" t="str">
        <f>'Existing plants_SCEN50yrs'!D142</f>
        <v>ENUK_HEYSHAM-A1_00</v>
      </c>
      <c r="D144">
        <f>'Existing plants_SCEN60yrs'!H142</f>
        <v>36</v>
      </c>
    </row>
    <row r="145" spans="2:4">
      <c r="B145" t="s">
        <v>218</v>
      </c>
      <c r="C145" t="str">
        <f>'Existing plants_SCEN50yrs'!D143</f>
        <v>ENUK_HEYSHAM-A2_00</v>
      </c>
      <c r="D145">
        <f>'Existing plants_SCEN60yrs'!H143</f>
        <v>35</v>
      </c>
    </row>
    <row r="146" spans="2:4">
      <c r="B146" t="s">
        <v>218</v>
      </c>
      <c r="C146" t="str">
        <f>'Existing plants_SCEN50yrs'!D144</f>
        <v>ENUK_HEYSHAM-B1_00</v>
      </c>
      <c r="D146">
        <f>'Existing plants_SCEN60yrs'!H144</f>
        <v>35</v>
      </c>
    </row>
    <row r="147" spans="2:4">
      <c r="B147" t="s">
        <v>218</v>
      </c>
      <c r="C147" t="str">
        <f>'Existing plants_SCEN50yrs'!D145</f>
        <v>ENUK_HEYSHAM-B2_00</v>
      </c>
      <c r="D147">
        <f>'Existing plants_SCEN60yrs'!H145</f>
        <v>35</v>
      </c>
    </row>
    <row r="148" spans="2:4">
      <c r="B148" t="s">
        <v>218</v>
      </c>
      <c r="C148" t="str">
        <f>'Existing plants_SCEN50yrs'!D146</f>
        <v>ENUK_HINKLEYPOINT-B1_00</v>
      </c>
      <c r="D148">
        <f>'Existing plants_SCEN60yrs'!H146</f>
        <v>47</v>
      </c>
    </row>
    <row r="149" spans="2:4">
      <c r="B149" t="s">
        <v>218</v>
      </c>
      <c r="C149" t="str">
        <f>'Existing plants_SCEN50yrs'!D147</f>
        <v>ENUK_HINKLEYPOINT-B2_00</v>
      </c>
      <c r="D149">
        <f>'Existing plants_SCEN60yrs'!H147</f>
        <v>47</v>
      </c>
    </row>
    <row r="150" spans="2:4">
      <c r="B150" t="s">
        <v>218</v>
      </c>
      <c r="C150" t="str">
        <f>'Existing plants_SCEN50yrs'!D148</f>
        <v>ENUK_HUNTERSTON-B1_00</v>
      </c>
      <c r="D150">
        <f>'Existing plants_SCEN60yrs'!H148</f>
        <v>47</v>
      </c>
    </row>
    <row r="151" spans="2:4">
      <c r="B151" t="s">
        <v>218</v>
      </c>
      <c r="C151" t="str">
        <f>'Existing plants_SCEN50yrs'!D149</f>
        <v>ENUK_HUNTERSTON-B2_00</v>
      </c>
      <c r="D151">
        <f>'Existing plants_SCEN60yrs'!H149</f>
        <v>46</v>
      </c>
    </row>
    <row r="152" spans="2:4">
      <c r="B152" t="s">
        <v>218</v>
      </c>
      <c r="C152" t="str">
        <f>'Existing plants_SCEN50yrs'!D150</f>
        <v>ENUK_OLDBURY-A1_00</v>
      </c>
      <c r="D152">
        <f>'Existing plants_SCEN60yrs'!H150</f>
        <v>45</v>
      </c>
    </row>
    <row r="153" spans="2:4">
      <c r="B153" t="s">
        <v>218</v>
      </c>
      <c r="C153" t="str">
        <f>'Existing plants_SCEN50yrs'!D151</f>
        <v>ENUK_SIZEWELL-Bv_00</v>
      </c>
      <c r="D153">
        <f>'Existing plants_SCEN60yrs'!H151</f>
        <v>40</v>
      </c>
    </row>
    <row r="154" spans="2:4">
      <c r="B154" t="s">
        <v>218</v>
      </c>
      <c r="C154" t="str">
        <f>'Existing plants_SCEN50yrs'!D152</f>
        <v>ENUK_TORNESS1_00</v>
      </c>
      <c r="D154">
        <f>'Existing plants_SCEN60yrs'!H152</f>
        <v>35</v>
      </c>
    </row>
    <row r="155" spans="2:4">
      <c r="B155" t="s">
        <v>218</v>
      </c>
      <c r="C155" t="str">
        <f>'Existing plants_SCEN50yrs'!D153</f>
        <v>ENUK_TORNESS2_00</v>
      </c>
      <c r="D155">
        <f>'Existing plants_SCEN60yrs'!H153</f>
        <v>34</v>
      </c>
    </row>
    <row r="156" spans="2:4">
      <c r="B156" t="s">
        <v>218</v>
      </c>
      <c r="C156" t="str">
        <f>'Existing plants_SCEN50yrs'!D154</f>
        <v>ENUK_WYLFA1_00</v>
      </c>
      <c r="D156">
        <f>'Existing plants_SCEN60yrs'!H154</f>
        <v>44</v>
      </c>
    </row>
    <row r="157" spans="2:4">
      <c r="B157" t="s">
        <v>218</v>
      </c>
      <c r="C157" t="str">
        <f>'Existing plants_SCEN50yrs'!D155</f>
        <v>ENUK_WYLFA2_00</v>
      </c>
      <c r="D157">
        <f>'Existing plants_SCEN60yrs'!H155</f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E0EDC-9D5E-42D6-A71D-ED594479E81B}">
  <dimension ref="B2:D157"/>
  <sheetViews>
    <sheetView topLeftCell="A139" workbookViewId="0">
      <selection activeCell="D4" sqref="D4:D157"/>
    </sheetView>
  </sheetViews>
  <sheetFormatPr defaultRowHeight="15"/>
  <cols>
    <col min="2" max="2" width="15.28515625" customWidth="1"/>
    <col min="3" max="3" width="25" customWidth="1"/>
  </cols>
  <sheetData>
    <row r="2" spans="2:4">
      <c r="B2" s="10" t="s">
        <v>212</v>
      </c>
    </row>
    <row r="3" spans="2:4" ht="15.75" thickBot="1">
      <c r="B3" s="11" t="s">
        <v>213</v>
      </c>
      <c r="C3" s="13" t="s">
        <v>215</v>
      </c>
      <c r="D3" s="12" t="s">
        <v>214</v>
      </c>
    </row>
    <row r="4" spans="2:4">
      <c r="B4" t="s">
        <v>218</v>
      </c>
      <c r="C4" t="str">
        <f>'Existing plants_SCEN50yrs'!D2</f>
        <v>ENBE_DOEL-1_00</v>
      </c>
      <c r="D4">
        <f>'Existing plants_SCEN70yrs'!H2</f>
        <v>51</v>
      </c>
    </row>
    <row r="5" spans="2:4">
      <c r="B5" t="s">
        <v>218</v>
      </c>
      <c r="C5" t="str">
        <f>'Existing plants_SCEN50yrs'!D3</f>
        <v>ENBE_DOEL-2_00</v>
      </c>
      <c r="D5">
        <f>'Existing plants_SCEN70yrs'!H3</f>
        <v>50</v>
      </c>
    </row>
    <row r="6" spans="2:4">
      <c r="B6" t="s">
        <v>218</v>
      </c>
      <c r="C6" t="str">
        <f>'Existing plants_SCEN50yrs'!D4</f>
        <v>ENBE_DOEL-3_00</v>
      </c>
      <c r="D6">
        <f>'Existing plants_SCEN70yrs'!H4</f>
        <v>40</v>
      </c>
    </row>
    <row r="7" spans="2:4">
      <c r="B7" t="s">
        <v>218</v>
      </c>
      <c r="C7" t="str">
        <f>'Existing plants_SCEN50yrs'!D5</f>
        <v>ENBE_DOEL-4_00</v>
      </c>
      <c r="D7">
        <f>'Existing plants_SCEN70yrs'!H5</f>
        <v>40</v>
      </c>
    </row>
    <row r="8" spans="2:4">
      <c r="B8" t="s">
        <v>218</v>
      </c>
      <c r="C8" t="str">
        <f>'Existing plants_SCEN50yrs'!D6</f>
        <v>ENBE_TIHANGE-1_00</v>
      </c>
      <c r="D8">
        <f>'Existing plants_SCEN70yrs'!H6</f>
        <v>50</v>
      </c>
    </row>
    <row r="9" spans="2:4">
      <c r="B9" t="s">
        <v>218</v>
      </c>
      <c r="C9" t="str">
        <f>'Existing plants_SCEN50yrs'!D7</f>
        <v>ENBE_TIHANGE-2_00</v>
      </c>
      <c r="D9">
        <f>'Existing plants_SCEN70yrs'!H7</f>
        <v>40</v>
      </c>
    </row>
    <row r="10" spans="2:4">
      <c r="B10" t="s">
        <v>218</v>
      </c>
      <c r="C10" t="str">
        <f>'Existing plants_SCEN50yrs'!D8</f>
        <v>ENBE_TIHANGE-3_00</v>
      </c>
      <c r="D10">
        <f>'Existing plants_SCEN70yrs'!H8</f>
        <v>40</v>
      </c>
    </row>
    <row r="11" spans="2:4">
      <c r="B11" t="s">
        <v>218</v>
      </c>
      <c r="C11" t="str">
        <f>'Existing plants_SCEN50yrs'!D9</f>
        <v>ENBG_KOZLODUY-3_00</v>
      </c>
      <c r="D11">
        <f>'Existing plants_SCEN70yrs'!H9</f>
        <v>26</v>
      </c>
    </row>
    <row r="12" spans="2:4">
      <c r="B12" t="s">
        <v>218</v>
      </c>
      <c r="C12" t="str">
        <f>'Existing plants_SCEN50yrs'!D10</f>
        <v>ENBG_KOZLODUY-4_00</v>
      </c>
      <c r="D12">
        <f>'Existing plants_SCEN70yrs'!H10</f>
        <v>24</v>
      </c>
    </row>
    <row r="13" spans="2:4">
      <c r="B13" t="s">
        <v>218</v>
      </c>
      <c r="C13" t="str">
        <f>'Existing plants_SCEN50yrs'!D11</f>
        <v>ENBG_KOZLODUY-5_00</v>
      </c>
      <c r="D13">
        <f>'Existing plants_SCEN70yrs'!H11</f>
        <v>70</v>
      </c>
    </row>
    <row r="14" spans="2:4">
      <c r="B14" t="s">
        <v>218</v>
      </c>
      <c r="C14" t="str">
        <f>'Existing plants_SCEN50yrs'!D12</f>
        <v>ENBG_KOZLODUY-6_00</v>
      </c>
      <c r="D14">
        <f>'Existing plants_SCEN70yrs'!H12</f>
        <v>70</v>
      </c>
    </row>
    <row r="15" spans="2:4">
      <c r="B15" t="s">
        <v>218</v>
      </c>
      <c r="C15" t="str">
        <f>'Existing plants_SCEN50yrs'!D13</f>
        <v>ENCH_BEZNAU-1_00</v>
      </c>
      <c r="D15">
        <f>'Existing plants_SCEN70yrs'!H13</f>
        <v>50</v>
      </c>
    </row>
    <row r="16" spans="2:4">
      <c r="B16" t="s">
        <v>218</v>
      </c>
      <c r="C16" t="str">
        <f>'Existing plants_SCEN50yrs'!D14</f>
        <v>ENCH_BEZNAU-2_00</v>
      </c>
      <c r="D16">
        <f>'Existing plants_SCEN70yrs'!H14</f>
        <v>50</v>
      </c>
    </row>
    <row r="17" spans="2:4">
      <c r="B17" t="s">
        <v>218</v>
      </c>
      <c r="C17" t="str">
        <f>'Existing plants_SCEN50yrs'!D15</f>
        <v>ENCH_GOESGEN_00</v>
      </c>
      <c r="D17">
        <f>'Existing plants_SCEN70yrs'!H15</f>
        <v>50</v>
      </c>
    </row>
    <row r="18" spans="2:4">
      <c r="B18" t="s">
        <v>218</v>
      </c>
      <c r="C18" t="str">
        <f>'Existing plants_SCEN50yrs'!D16</f>
        <v>ENCH_LEIBSTADT_00</v>
      </c>
      <c r="D18">
        <f>'Existing plants_SCEN70yrs'!H16</f>
        <v>50</v>
      </c>
    </row>
    <row r="19" spans="2:4">
      <c r="B19" t="s">
        <v>218</v>
      </c>
      <c r="C19" t="str">
        <f>'Existing plants_SCEN50yrs'!D17</f>
        <v>ENCH_MUEHLEBERG_00</v>
      </c>
      <c r="D19">
        <f>'Existing plants_SCEN70yrs'!H17</f>
        <v>48</v>
      </c>
    </row>
    <row r="20" spans="2:4">
      <c r="B20" t="s">
        <v>218</v>
      </c>
      <c r="C20" t="str">
        <f>'Existing plants_SCEN50yrs'!D18</f>
        <v>ENCZ_DUKOVANY-1_00</v>
      </c>
      <c r="D20">
        <f>'Existing plants_SCEN70yrs'!H18</f>
        <v>70</v>
      </c>
    </row>
    <row r="21" spans="2:4">
      <c r="B21" t="s">
        <v>218</v>
      </c>
      <c r="C21" t="str">
        <f>'Existing plants_SCEN50yrs'!D19</f>
        <v>ENCZ_DUKOVANY-2_00</v>
      </c>
      <c r="D21">
        <f>'Existing plants_SCEN70yrs'!H19</f>
        <v>70</v>
      </c>
    </row>
    <row r="22" spans="2:4">
      <c r="B22" t="s">
        <v>218</v>
      </c>
      <c r="C22" t="str">
        <f>'Existing plants_SCEN50yrs'!D20</f>
        <v>ENCZ_DUKOVANY-3_00</v>
      </c>
      <c r="D22">
        <f>'Existing plants_SCEN70yrs'!H20</f>
        <v>70</v>
      </c>
    </row>
    <row r="23" spans="2:4">
      <c r="B23" t="s">
        <v>218</v>
      </c>
      <c r="C23" t="str">
        <f>'Existing plants_SCEN50yrs'!D21</f>
        <v>ENCZ_DUKOVANY-4_00</v>
      </c>
      <c r="D23">
        <f>'Existing plants_SCEN70yrs'!H21</f>
        <v>70</v>
      </c>
    </row>
    <row r="24" spans="2:4">
      <c r="B24" t="s">
        <v>218</v>
      </c>
      <c r="C24" t="str">
        <f>'Existing plants_SCEN50yrs'!D22</f>
        <v>ENCZ_TEMELIN-1_00</v>
      </c>
      <c r="D24">
        <f>'Existing plants_SCEN70yrs'!H22</f>
        <v>70</v>
      </c>
    </row>
    <row r="25" spans="2:4">
      <c r="B25" t="s">
        <v>218</v>
      </c>
      <c r="C25" t="str">
        <f>'Existing plants_SCEN50yrs'!D23</f>
        <v>ENCZ_TEMELIN-2_00</v>
      </c>
      <c r="D25">
        <f>'Existing plants_SCEN70yrs'!H23</f>
        <v>70</v>
      </c>
    </row>
    <row r="26" spans="2:4">
      <c r="B26" t="s">
        <v>218</v>
      </c>
      <c r="C26" t="str">
        <f>'Existing plants_SCEN50yrs'!D24</f>
        <v>ENDE_BIBLIS-A_00</v>
      </c>
      <c r="D26">
        <f>'Existing plants_SCEN70yrs'!H24</f>
        <v>37</v>
      </c>
    </row>
    <row r="27" spans="2:4">
      <c r="B27" t="s">
        <v>218</v>
      </c>
      <c r="C27" t="str">
        <f>'Existing plants_SCEN50yrs'!D25</f>
        <v>ENDE_BIBLIS-B_00</v>
      </c>
      <c r="D27">
        <f>'Existing plants_SCEN70yrs'!H25</f>
        <v>35</v>
      </c>
    </row>
    <row r="28" spans="2:4">
      <c r="B28" t="s">
        <v>218</v>
      </c>
      <c r="C28" t="str">
        <f>'Existing plants_SCEN50yrs'!D26</f>
        <v>ENDE_BROKDORF_KBR_00</v>
      </c>
      <c r="D28">
        <f>'Existing plants_SCEN70yrs'!H26</f>
        <v>35</v>
      </c>
    </row>
    <row r="29" spans="2:4">
      <c r="B29" t="s">
        <v>218</v>
      </c>
      <c r="C29" t="str">
        <f>'Existing plants_SCEN50yrs'!D27</f>
        <v>ENDE_BRUNSBUETTEL_00</v>
      </c>
      <c r="D29">
        <f>'Existing plants_SCEN70yrs'!H27</f>
        <v>35</v>
      </c>
    </row>
    <row r="30" spans="2:4">
      <c r="B30" t="s">
        <v>218</v>
      </c>
      <c r="C30" t="str">
        <f>'Existing plants_SCEN50yrs'!D28</f>
        <v>ENDE_EMSLAND_KKE_00</v>
      </c>
      <c r="D30">
        <f>'Existing plants_SCEN70yrs'!H28</f>
        <v>34</v>
      </c>
    </row>
    <row r="31" spans="2:4">
      <c r="B31" t="s">
        <v>218</v>
      </c>
      <c r="C31" t="str">
        <f>'Existing plants_SCEN50yrs'!D29</f>
        <v>ENDE_GRAFENRHEINFELD_KKG_00</v>
      </c>
      <c r="D31">
        <f>'Existing plants_SCEN70yrs'!H29</f>
        <v>34</v>
      </c>
    </row>
    <row r="32" spans="2:4">
      <c r="B32" t="s">
        <v>218</v>
      </c>
      <c r="C32" t="str">
        <f>'Existing plants_SCEN50yrs'!D30</f>
        <v>ENDE_GROHNDE_KWG_00</v>
      </c>
      <c r="D32">
        <f>'Existing plants_SCEN70yrs'!H30</f>
        <v>37</v>
      </c>
    </row>
    <row r="33" spans="2:4">
      <c r="B33" t="s">
        <v>218</v>
      </c>
      <c r="C33" t="str">
        <f>'Existing plants_SCEN50yrs'!D31</f>
        <v>ENDE_GUNDREM-B_GUN-B_00</v>
      </c>
      <c r="D33">
        <f>'Existing plants_SCEN70yrs'!H31</f>
        <v>33</v>
      </c>
    </row>
    <row r="34" spans="2:4">
      <c r="B34" t="s">
        <v>218</v>
      </c>
      <c r="C34" t="str">
        <f>'Existing plants_SCEN50yrs'!D32</f>
        <v>ENDE_GUNDREM-C_GUN-C_00</v>
      </c>
      <c r="D34">
        <f>'Existing plants_SCEN70yrs'!H32</f>
        <v>37</v>
      </c>
    </row>
    <row r="35" spans="2:4">
      <c r="B35" t="s">
        <v>218</v>
      </c>
      <c r="C35" t="str">
        <f>'Existing plants_SCEN50yrs'!D33</f>
        <v>ENDE_ISAR-1_00</v>
      </c>
      <c r="D35">
        <f>'Existing plants_SCEN70yrs'!H33</f>
        <v>23</v>
      </c>
    </row>
    <row r="36" spans="2:4">
      <c r="B36" t="s">
        <v>218</v>
      </c>
      <c r="C36" t="str">
        <f>'Existing plants_SCEN50yrs'!D34</f>
        <v>ENDE_ISAR-2_KKI2_00</v>
      </c>
      <c r="D36">
        <f>'Existing plants_SCEN70yrs'!H34</f>
        <v>34</v>
      </c>
    </row>
    <row r="37" spans="2:4">
      <c r="B37" t="s">
        <v>218</v>
      </c>
      <c r="C37" t="str">
        <f>'Existing plants_SCEN50yrs'!D35</f>
        <v>ENDE_KRUEMMEL_00</v>
      </c>
      <c r="D37">
        <f>'Existing plants_SCEN70yrs'!H35</f>
        <v>28</v>
      </c>
    </row>
    <row r="38" spans="2:4">
      <c r="B38" t="s">
        <v>218</v>
      </c>
      <c r="C38" t="str">
        <f>'Existing plants_SCEN50yrs'!D36</f>
        <v>ENDE_NECKARWEST-2_GKN2_00</v>
      </c>
      <c r="D38">
        <f>'Existing plants_SCEN70yrs'!H36</f>
        <v>33</v>
      </c>
    </row>
    <row r="39" spans="2:4">
      <c r="B39" t="s">
        <v>218</v>
      </c>
      <c r="C39" t="str">
        <f>'Existing plants_SCEN50yrs'!D37</f>
        <v>ENDE_NECKARWESTHEIM-1_00</v>
      </c>
      <c r="D39">
        <f>'Existing plants_SCEN70yrs'!H37</f>
        <v>35</v>
      </c>
    </row>
    <row r="40" spans="2:4">
      <c r="B40" t="s">
        <v>218</v>
      </c>
      <c r="C40" t="str">
        <f>'Existing plants_SCEN50yrs'!D38</f>
        <v>ENDE_PHILIPPSBURG-1_00</v>
      </c>
      <c r="D40">
        <f>'Existing plants_SCEN70yrs'!H38</f>
        <v>32</v>
      </c>
    </row>
    <row r="41" spans="2:4">
      <c r="B41" t="s">
        <v>218</v>
      </c>
      <c r="C41" t="str">
        <f>'Existing plants_SCEN50yrs'!D39</f>
        <v>ENDE_PHILIPPSBURG-2_KKP2_00</v>
      </c>
      <c r="D41">
        <f>'Existing plants_SCEN70yrs'!H39</f>
        <v>35</v>
      </c>
    </row>
    <row r="42" spans="2:4">
      <c r="B42" t="s">
        <v>218</v>
      </c>
      <c r="C42" t="str">
        <f>'Existing plants_SCEN50yrs'!D40</f>
        <v>ENDE_UNTERWESER_00</v>
      </c>
      <c r="D42">
        <f>'Existing plants_SCEN70yrs'!H40</f>
        <v>33</v>
      </c>
    </row>
    <row r="43" spans="2:4">
      <c r="B43" t="s">
        <v>218</v>
      </c>
      <c r="C43" t="str">
        <f>'Existing plants_SCEN50yrs'!D41</f>
        <v>ENES_ALMARAZ-1_00</v>
      </c>
      <c r="D43">
        <f>'Existing plants_SCEN70yrs'!H41</f>
        <v>70</v>
      </c>
    </row>
    <row r="44" spans="2:4">
      <c r="B44" t="s">
        <v>218</v>
      </c>
      <c r="C44" t="str">
        <f>'Existing plants_SCEN50yrs'!D42</f>
        <v>ENES_ALMARAZ-2_00</v>
      </c>
      <c r="D44">
        <f>'Existing plants_SCEN70yrs'!H42</f>
        <v>70</v>
      </c>
    </row>
    <row r="45" spans="2:4">
      <c r="B45" t="s">
        <v>218</v>
      </c>
      <c r="C45" t="str">
        <f>'Existing plants_SCEN50yrs'!D43</f>
        <v>ENES_ASCO-1_00</v>
      </c>
      <c r="D45">
        <f>'Existing plants_SCEN70yrs'!H43</f>
        <v>70</v>
      </c>
    </row>
    <row r="46" spans="2:4">
      <c r="B46" t="s">
        <v>218</v>
      </c>
      <c r="C46" t="str">
        <f>'Existing plants_SCEN50yrs'!D44</f>
        <v>ENES_ASCO-2_00</v>
      </c>
      <c r="D46">
        <f>'Existing plants_SCEN70yrs'!H44</f>
        <v>70</v>
      </c>
    </row>
    <row r="47" spans="2:4">
      <c r="B47" t="s">
        <v>218</v>
      </c>
      <c r="C47" t="str">
        <f>'Existing plants_SCEN50yrs'!D45</f>
        <v>ENES_COFRENTES_00</v>
      </c>
      <c r="D47">
        <f>'Existing plants_SCEN70yrs'!H45</f>
        <v>70</v>
      </c>
    </row>
    <row r="48" spans="2:4">
      <c r="B48" t="s">
        <v>218</v>
      </c>
      <c r="C48" t="str">
        <f>'Existing plants_SCEN50yrs'!D46</f>
        <v>ENES_SANTAMARIADEGARONA_00</v>
      </c>
      <c r="D48">
        <f>'Existing plants_SCEN70yrs'!H46</f>
        <v>70</v>
      </c>
    </row>
    <row r="49" spans="2:4">
      <c r="B49" t="s">
        <v>218</v>
      </c>
      <c r="C49" t="str">
        <f>'Existing plants_SCEN50yrs'!D47</f>
        <v>ENES_TRILLO-1_00</v>
      </c>
      <c r="D49">
        <f>'Existing plants_SCEN70yrs'!H47</f>
        <v>70</v>
      </c>
    </row>
    <row r="50" spans="2:4">
      <c r="B50" t="s">
        <v>218</v>
      </c>
      <c r="C50" t="str">
        <f>'Existing plants_SCEN50yrs'!D48</f>
        <v>ENES_VANDELLOS-2_00</v>
      </c>
      <c r="D50">
        <f>'Existing plants_SCEN70yrs'!H48</f>
        <v>70</v>
      </c>
    </row>
    <row r="51" spans="2:4">
      <c r="B51" t="s">
        <v>218</v>
      </c>
      <c r="C51" t="str">
        <f>'Existing plants_SCEN50yrs'!D49</f>
        <v>ENFI_LOVIISA-1_00</v>
      </c>
      <c r="D51">
        <f>'Existing plants_SCEN70yrs'!H49</f>
        <v>70</v>
      </c>
    </row>
    <row r="52" spans="2:4">
      <c r="B52" t="s">
        <v>218</v>
      </c>
      <c r="C52" t="str">
        <f>'Existing plants_SCEN50yrs'!D50</f>
        <v>ENFI_LOVIISA-2_00</v>
      </c>
      <c r="D52">
        <f>'Existing plants_SCEN70yrs'!H50</f>
        <v>70</v>
      </c>
    </row>
    <row r="53" spans="2:4">
      <c r="B53" t="s">
        <v>218</v>
      </c>
      <c r="C53" t="str">
        <f>'Existing plants_SCEN50yrs'!D51</f>
        <v>ENFI_OLKILUOTO-1_00</v>
      </c>
      <c r="D53">
        <f>'Existing plants_SCEN70yrs'!H51</f>
        <v>70</v>
      </c>
    </row>
    <row r="54" spans="2:4">
      <c r="B54" t="s">
        <v>218</v>
      </c>
      <c r="C54" t="str">
        <f>'Existing plants_SCEN50yrs'!D52</f>
        <v>ENFI_OLKILUOTO-2_00</v>
      </c>
      <c r="D54">
        <f>'Existing plants_SCEN70yrs'!H52</f>
        <v>70</v>
      </c>
    </row>
    <row r="55" spans="2:4">
      <c r="B55" t="s">
        <v>218</v>
      </c>
      <c r="C55" t="str">
        <f>'Existing plants_SCEN50yrs'!D53</f>
        <v>ENFR_BELLEVILLE-1_00</v>
      </c>
      <c r="D55">
        <f>'Existing plants_SCEN70yrs'!H53</f>
        <v>70</v>
      </c>
    </row>
    <row r="56" spans="2:4">
      <c r="B56" t="s">
        <v>218</v>
      </c>
      <c r="C56" t="str">
        <f>'Existing plants_SCEN50yrs'!D54</f>
        <v>ENFR_BELLEVILLE-2_00</v>
      </c>
      <c r="D56">
        <f>'Existing plants_SCEN70yrs'!H54</f>
        <v>70</v>
      </c>
    </row>
    <row r="57" spans="2:4">
      <c r="B57" t="s">
        <v>218</v>
      </c>
      <c r="C57" t="str">
        <f>'Existing plants_SCEN50yrs'!D55</f>
        <v>ENFR_BLAYAIS-1_00</v>
      </c>
      <c r="D57">
        <f>'Existing plants_SCEN70yrs'!H55</f>
        <v>70</v>
      </c>
    </row>
    <row r="58" spans="2:4">
      <c r="B58" t="s">
        <v>218</v>
      </c>
      <c r="C58" t="str">
        <f>'Existing plants_SCEN50yrs'!D56</f>
        <v>ENFR_BLAYAIS-2_00</v>
      </c>
      <c r="D58">
        <f>'Existing plants_SCEN70yrs'!H56</f>
        <v>70</v>
      </c>
    </row>
    <row r="59" spans="2:4">
      <c r="B59" t="s">
        <v>218</v>
      </c>
      <c r="C59" t="str">
        <f>'Existing plants_SCEN50yrs'!D57</f>
        <v>ENFR_BLAYAIS-3_00</v>
      </c>
      <c r="D59">
        <f>'Existing plants_SCEN70yrs'!H57</f>
        <v>70</v>
      </c>
    </row>
    <row r="60" spans="2:4">
      <c r="B60" t="s">
        <v>218</v>
      </c>
      <c r="C60" t="str">
        <f>'Existing plants_SCEN50yrs'!D58</f>
        <v>ENFR_BLAYAIS-4_00</v>
      </c>
      <c r="D60">
        <f>'Existing plants_SCEN70yrs'!H58</f>
        <v>70</v>
      </c>
    </row>
    <row r="61" spans="2:4">
      <c r="B61" t="s">
        <v>218</v>
      </c>
      <c r="C61" t="str">
        <f>'Existing plants_SCEN50yrs'!D59</f>
        <v>ENFR_BUGEY-2_00_00</v>
      </c>
      <c r="D61">
        <f>'Existing plants_SCEN70yrs'!H59</f>
        <v>70</v>
      </c>
    </row>
    <row r="62" spans="2:4">
      <c r="B62" t="s">
        <v>218</v>
      </c>
      <c r="C62" t="str">
        <f>'Existing plants_SCEN50yrs'!D60</f>
        <v>ENFR_BUGEY-3_00_00</v>
      </c>
      <c r="D62">
        <f>'Existing plants_SCEN70yrs'!H60</f>
        <v>70</v>
      </c>
    </row>
    <row r="63" spans="2:4">
      <c r="B63" t="s">
        <v>218</v>
      </c>
      <c r="C63" t="str">
        <f>'Existing plants_SCEN50yrs'!D61</f>
        <v>ENFR_BUGEY-4_00_00</v>
      </c>
      <c r="D63">
        <f>'Existing plants_SCEN70yrs'!H61</f>
        <v>70</v>
      </c>
    </row>
    <row r="64" spans="2:4">
      <c r="B64" t="s">
        <v>218</v>
      </c>
      <c r="C64" t="str">
        <f>'Existing plants_SCEN50yrs'!D62</f>
        <v>ENFR_BUGEY-5_00_00</v>
      </c>
      <c r="D64">
        <f>'Existing plants_SCEN70yrs'!H62</f>
        <v>70</v>
      </c>
    </row>
    <row r="65" spans="2:4">
      <c r="B65" t="s">
        <v>218</v>
      </c>
      <c r="C65" t="str">
        <f>'Existing plants_SCEN50yrs'!D63</f>
        <v>ENFR_CATTENOM-1_00</v>
      </c>
      <c r="D65">
        <f>'Existing plants_SCEN70yrs'!H63</f>
        <v>70</v>
      </c>
    </row>
    <row r="66" spans="2:4">
      <c r="B66" t="s">
        <v>218</v>
      </c>
      <c r="C66" t="str">
        <f>'Existing plants_SCEN50yrs'!D64</f>
        <v>ENFR_CATTENOM-2_00</v>
      </c>
      <c r="D66">
        <f>'Existing plants_SCEN70yrs'!H64</f>
        <v>70</v>
      </c>
    </row>
    <row r="67" spans="2:4">
      <c r="B67" t="s">
        <v>218</v>
      </c>
      <c r="C67" t="str">
        <f>'Existing plants_SCEN50yrs'!D65</f>
        <v>ENFR_CATTENOM-3_00</v>
      </c>
      <c r="D67">
        <f>'Existing plants_SCEN70yrs'!H65</f>
        <v>70</v>
      </c>
    </row>
    <row r="68" spans="2:4">
      <c r="B68" t="s">
        <v>218</v>
      </c>
      <c r="C68" t="str">
        <f>'Existing plants_SCEN50yrs'!D66</f>
        <v>ENFR_CATTENOM-4_00</v>
      </c>
      <c r="D68">
        <f>'Existing plants_SCEN70yrs'!H66</f>
        <v>70</v>
      </c>
    </row>
    <row r="69" spans="2:4">
      <c r="B69" t="s">
        <v>218</v>
      </c>
      <c r="C69" t="str">
        <f>'Existing plants_SCEN50yrs'!D67</f>
        <v>ENFR_CHINON-B-1_00</v>
      </c>
      <c r="D69">
        <f>'Existing plants_SCEN70yrs'!H67</f>
        <v>70</v>
      </c>
    </row>
    <row r="70" spans="2:4">
      <c r="B70" t="s">
        <v>218</v>
      </c>
      <c r="C70" t="str">
        <f>'Existing plants_SCEN50yrs'!D68</f>
        <v>ENFR_CHINON-B-2_00</v>
      </c>
      <c r="D70">
        <f>'Existing plants_SCEN70yrs'!H68</f>
        <v>70</v>
      </c>
    </row>
    <row r="71" spans="2:4">
      <c r="B71" t="s">
        <v>218</v>
      </c>
      <c r="C71" t="str">
        <f>'Existing plants_SCEN50yrs'!D69</f>
        <v>ENFR_CHINON-B-3_00</v>
      </c>
      <c r="D71">
        <f>'Existing plants_SCEN70yrs'!H69</f>
        <v>70</v>
      </c>
    </row>
    <row r="72" spans="2:4">
      <c r="B72" t="s">
        <v>218</v>
      </c>
      <c r="C72" t="str">
        <f>'Existing plants_SCEN50yrs'!D70</f>
        <v>ENFR_CHINON-B-4_00</v>
      </c>
      <c r="D72">
        <f>'Existing plants_SCEN70yrs'!H70</f>
        <v>70</v>
      </c>
    </row>
    <row r="73" spans="2:4">
      <c r="B73" t="s">
        <v>218</v>
      </c>
      <c r="C73" t="str">
        <f>'Existing plants_SCEN50yrs'!D71</f>
        <v>ENFR_CHOOZ-B-1_00</v>
      </c>
      <c r="D73">
        <f>'Existing plants_SCEN70yrs'!H71</f>
        <v>70</v>
      </c>
    </row>
    <row r="74" spans="2:4">
      <c r="B74" t="s">
        <v>218</v>
      </c>
      <c r="C74" t="str">
        <f>'Existing plants_SCEN50yrs'!D72</f>
        <v>ENFR_CHOOZ-B-2_00</v>
      </c>
      <c r="D74">
        <f>'Existing plants_SCEN70yrs'!H72</f>
        <v>70</v>
      </c>
    </row>
    <row r="75" spans="2:4">
      <c r="B75" t="s">
        <v>218</v>
      </c>
      <c r="C75" t="str">
        <f>'Existing plants_SCEN50yrs'!D73</f>
        <v>ENFR_CIVAUX-1_00</v>
      </c>
      <c r="D75">
        <f>'Existing plants_SCEN70yrs'!H73</f>
        <v>70</v>
      </c>
    </row>
    <row r="76" spans="2:4">
      <c r="B76" t="s">
        <v>218</v>
      </c>
      <c r="C76" t="str">
        <f>'Existing plants_SCEN50yrs'!D74</f>
        <v>ENFR_CIVAUX-2_00</v>
      </c>
      <c r="D76">
        <f>'Existing plants_SCEN70yrs'!H74</f>
        <v>70</v>
      </c>
    </row>
    <row r="77" spans="2:4">
      <c r="B77" t="s">
        <v>218</v>
      </c>
      <c r="C77" t="str">
        <f>'Existing plants_SCEN50yrs'!D75</f>
        <v>ENFR_CRUAS-1_00</v>
      </c>
      <c r="D77">
        <f>'Existing plants_SCEN70yrs'!H75</f>
        <v>70</v>
      </c>
    </row>
    <row r="78" spans="2:4">
      <c r="B78" t="s">
        <v>218</v>
      </c>
      <c r="C78" t="str">
        <f>'Existing plants_SCEN50yrs'!D76</f>
        <v>ENFR_CRUAS-2_00</v>
      </c>
      <c r="D78">
        <f>'Existing plants_SCEN70yrs'!H76</f>
        <v>70</v>
      </c>
    </row>
    <row r="79" spans="2:4">
      <c r="B79" t="s">
        <v>218</v>
      </c>
      <c r="C79" t="str">
        <f>'Existing plants_SCEN50yrs'!D77</f>
        <v>ENFR_CRUAS-3_00</v>
      </c>
      <c r="D79">
        <f>'Existing plants_SCEN70yrs'!H77</f>
        <v>70</v>
      </c>
    </row>
    <row r="80" spans="2:4">
      <c r="B80" t="s">
        <v>218</v>
      </c>
      <c r="C80" t="str">
        <f>'Existing plants_SCEN50yrs'!D78</f>
        <v>ENFR_CRUAS-4_00</v>
      </c>
      <c r="D80">
        <f>'Existing plants_SCEN70yrs'!H78</f>
        <v>70</v>
      </c>
    </row>
    <row r="81" spans="2:4">
      <c r="B81" t="s">
        <v>218</v>
      </c>
      <c r="C81" t="str">
        <f>'Existing plants_SCEN50yrs'!D79</f>
        <v>ENFR_DAMPIERRE-1_00</v>
      </c>
      <c r="D81">
        <f>'Existing plants_SCEN70yrs'!H79</f>
        <v>70</v>
      </c>
    </row>
    <row r="82" spans="2:4">
      <c r="B82" t="s">
        <v>218</v>
      </c>
      <c r="C82" t="str">
        <f>'Existing plants_SCEN50yrs'!D80</f>
        <v>ENFR_DAMPIERRE-2_00</v>
      </c>
      <c r="D82">
        <f>'Existing plants_SCEN70yrs'!H80</f>
        <v>70</v>
      </c>
    </row>
    <row r="83" spans="2:4">
      <c r="B83" t="s">
        <v>218</v>
      </c>
      <c r="C83" t="str">
        <f>'Existing plants_SCEN50yrs'!D81</f>
        <v>ENFR_DAMPIERRE-3_00</v>
      </c>
      <c r="D83">
        <f>'Existing plants_SCEN70yrs'!H81</f>
        <v>70</v>
      </c>
    </row>
    <row r="84" spans="2:4">
      <c r="B84" t="s">
        <v>218</v>
      </c>
      <c r="C84" t="str">
        <f>'Existing plants_SCEN50yrs'!D82</f>
        <v>ENFR_DAMPIERRE-4_00</v>
      </c>
      <c r="D84">
        <f>'Existing plants_SCEN70yrs'!H82</f>
        <v>70</v>
      </c>
    </row>
    <row r="85" spans="2:4">
      <c r="B85" t="s">
        <v>218</v>
      </c>
      <c r="C85" t="str">
        <f>'Existing plants_SCEN50yrs'!D83</f>
        <v>ENFR_FESSENHEIM-1_00</v>
      </c>
      <c r="D85">
        <f>'Existing plants_SCEN70yrs'!H83</f>
        <v>40</v>
      </c>
    </row>
    <row r="86" spans="2:4">
      <c r="B86" t="s">
        <v>218</v>
      </c>
      <c r="C86" t="str">
        <f>'Existing plants_SCEN50yrs'!D84</f>
        <v>ENFR_FESSENHEIM-2_00</v>
      </c>
      <c r="D86">
        <f>'Existing plants_SCEN70yrs'!H84</f>
        <v>40</v>
      </c>
    </row>
    <row r="87" spans="2:4">
      <c r="B87" t="s">
        <v>218</v>
      </c>
      <c r="C87" t="str">
        <f>'Existing plants_SCEN50yrs'!D85</f>
        <v>ENFR_FLAMANVILLE-1_00</v>
      </c>
      <c r="D87">
        <f>'Existing plants_SCEN70yrs'!H85</f>
        <v>70</v>
      </c>
    </row>
    <row r="88" spans="2:4">
      <c r="B88" t="s">
        <v>218</v>
      </c>
      <c r="C88" t="str">
        <f>'Existing plants_SCEN50yrs'!D86</f>
        <v>ENFR_FLAMANVILLE-2_00</v>
      </c>
      <c r="D88">
        <f>'Existing plants_SCEN70yrs'!H86</f>
        <v>70</v>
      </c>
    </row>
    <row r="89" spans="2:4">
      <c r="B89" t="s">
        <v>218</v>
      </c>
      <c r="C89" t="str">
        <f>'Existing plants_SCEN50yrs'!D87</f>
        <v>ENFR_GOLFECH-1_00</v>
      </c>
      <c r="D89">
        <f>'Existing plants_SCEN70yrs'!H87</f>
        <v>70</v>
      </c>
    </row>
    <row r="90" spans="2:4">
      <c r="B90" t="s">
        <v>218</v>
      </c>
      <c r="C90" t="str">
        <f>'Existing plants_SCEN50yrs'!D88</f>
        <v>ENFR_GOLFECH-2_00</v>
      </c>
      <c r="D90">
        <f>'Existing plants_SCEN70yrs'!H88</f>
        <v>70</v>
      </c>
    </row>
    <row r="91" spans="2:4">
      <c r="B91" t="s">
        <v>218</v>
      </c>
      <c r="C91" t="str">
        <f>'Existing plants_SCEN50yrs'!D89</f>
        <v>ENFR_GRAVELINES-1_00</v>
      </c>
      <c r="D91">
        <f>'Existing plants_SCEN70yrs'!H89</f>
        <v>70</v>
      </c>
    </row>
    <row r="92" spans="2:4">
      <c r="B92" t="s">
        <v>218</v>
      </c>
      <c r="C92" t="str">
        <f>'Existing plants_SCEN50yrs'!D90</f>
        <v>ENFR_GRAVELINES-2_00</v>
      </c>
      <c r="D92">
        <f>'Existing plants_SCEN70yrs'!H90</f>
        <v>70</v>
      </c>
    </row>
    <row r="93" spans="2:4">
      <c r="B93" t="s">
        <v>218</v>
      </c>
      <c r="C93" t="str">
        <f>'Existing plants_SCEN50yrs'!D91</f>
        <v>ENFR_GRAVELINES-3_00</v>
      </c>
      <c r="D93">
        <f>'Existing plants_SCEN70yrs'!H91</f>
        <v>70</v>
      </c>
    </row>
    <row r="94" spans="2:4">
      <c r="B94" t="s">
        <v>218</v>
      </c>
      <c r="C94" t="str">
        <f>'Existing plants_SCEN50yrs'!D92</f>
        <v>ENFR_GRAVELINES-4_00</v>
      </c>
      <c r="D94">
        <f>'Existing plants_SCEN70yrs'!H92</f>
        <v>70</v>
      </c>
    </row>
    <row r="95" spans="2:4">
      <c r="B95" t="s">
        <v>218</v>
      </c>
      <c r="C95" t="str">
        <f>'Existing plants_SCEN50yrs'!D93</f>
        <v>ENFR_GRAVELINES-5_00</v>
      </c>
      <c r="D95">
        <f>'Existing plants_SCEN70yrs'!H93</f>
        <v>70</v>
      </c>
    </row>
    <row r="96" spans="2:4">
      <c r="B96" t="s">
        <v>218</v>
      </c>
      <c r="C96" t="str">
        <f>'Existing plants_SCEN50yrs'!D94</f>
        <v>ENFR_GRAVELINES-6_00</v>
      </c>
      <c r="D96">
        <f>'Existing plants_SCEN70yrs'!H94</f>
        <v>70</v>
      </c>
    </row>
    <row r="97" spans="2:4">
      <c r="B97" t="s">
        <v>218</v>
      </c>
      <c r="C97" t="str">
        <f>'Existing plants_SCEN50yrs'!D95</f>
        <v>ENFR_NOGENT-1_00</v>
      </c>
      <c r="D97">
        <f>'Existing plants_SCEN70yrs'!H95</f>
        <v>70</v>
      </c>
    </row>
    <row r="98" spans="2:4">
      <c r="B98" t="s">
        <v>218</v>
      </c>
      <c r="C98" t="str">
        <f>'Existing plants_SCEN50yrs'!D96</f>
        <v>ENFR_NOGENT-2_00</v>
      </c>
      <c r="D98">
        <f>'Existing plants_SCEN70yrs'!H96</f>
        <v>70</v>
      </c>
    </row>
    <row r="99" spans="2:4">
      <c r="B99" t="s">
        <v>218</v>
      </c>
      <c r="C99" t="str">
        <f>'Existing plants_SCEN50yrs'!D97</f>
        <v>ENFR_PALUEL-1_00</v>
      </c>
      <c r="D99">
        <f>'Existing plants_SCEN70yrs'!H97</f>
        <v>70</v>
      </c>
    </row>
    <row r="100" spans="2:4">
      <c r="B100" t="s">
        <v>218</v>
      </c>
      <c r="C100" t="str">
        <f>'Existing plants_SCEN50yrs'!D98</f>
        <v>ENFR_PALUEL-2_00</v>
      </c>
      <c r="D100">
        <f>'Existing plants_SCEN70yrs'!H98</f>
        <v>70</v>
      </c>
    </row>
    <row r="101" spans="2:4">
      <c r="B101" t="s">
        <v>218</v>
      </c>
      <c r="C101" t="str">
        <f>'Existing plants_SCEN50yrs'!D99</f>
        <v>ENFR_PALUEL-3_00</v>
      </c>
      <c r="D101">
        <f>'Existing plants_SCEN70yrs'!H99</f>
        <v>70</v>
      </c>
    </row>
    <row r="102" spans="2:4">
      <c r="B102" t="s">
        <v>218</v>
      </c>
      <c r="C102" t="str">
        <f>'Existing plants_SCEN50yrs'!D100</f>
        <v>ENFR_PALUEL-4_00</v>
      </c>
      <c r="D102">
        <f>'Existing plants_SCEN70yrs'!H100</f>
        <v>70</v>
      </c>
    </row>
    <row r="103" spans="2:4">
      <c r="B103" t="s">
        <v>218</v>
      </c>
      <c r="C103" t="str">
        <f>'Existing plants_SCEN50yrs'!D101</f>
        <v>ENFR_PENLY-1_00</v>
      </c>
      <c r="D103">
        <f>'Existing plants_SCEN70yrs'!H101</f>
        <v>70</v>
      </c>
    </row>
    <row r="104" spans="2:4">
      <c r="B104" t="s">
        <v>218</v>
      </c>
      <c r="C104" t="str">
        <f>'Existing plants_SCEN50yrs'!D102</f>
        <v>ENFR_PENLY-2_00</v>
      </c>
      <c r="D104">
        <f>'Existing plants_SCEN70yrs'!H102</f>
        <v>70</v>
      </c>
    </row>
    <row r="105" spans="2:4">
      <c r="B105" t="s">
        <v>218</v>
      </c>
      <c r="C105" t="str">
        <f>'Existing plants_SCEN50yrs'!D103</f>
        <v>ENFR_PHENIX_00</v>
      </c>
      <c r="D105">
        <f>'Existing plants_SCEN70yrs'!H103</f>
        <v>70</v>
      </c>
    </row>
    <row r="106" spans="2:4">
      <c r="B106" t="s">
        <v>218</v>
      </c>
      <c r="C106" t="str">
        <f>'Existing plants_SCEN50yrs'!D104</f>
        <v>ENFR_STALBAN-1_00</v>
      </c>
      <c r="D106">
        <f>'Existing plants_SCEN70yrs'!H104</f>
        <v>70</v>
      </c>
    </row>
    <row r="107" spans="2:4">
      <c r="B107" t="s">
        <v>218</v>
      </c>
      <c r="C107" t="str">
        <f>'Existing plants_SCEN50yrs'!D105</f>
        <v>ENFR_STALBAN-2_00</v>
      </c>
      <c r="D107">
        <f>'Existing plants_SCEN70yrs'!H105</f>
        <v>70</v>
      </c>
    </row>
    <row r="108" spans="2:4">
      <c r="B108" t="s">
        <v>218</v>
      </c>
      <c r="C108" t="str">
        <f>'Existing plants_SCEN50yrs'!D106</f>
        <v>ENFR_STLAURENT-B-1_00</v>
      </c>
      <c r="D108">
        <f>'Existing plants_SCEN70yrs'!H106</f>
        <v>70</v>
      </c>
    </row>
    <row r="109" spans="2:4">
      <c r="B109" t="s">
        <v>218</v>
      </c>
      <c r="C109" t="str">
        <f>'Existing plants_SCEN50yrs'!D107</f>
        <v>ENFR_STLAURENT-B-2_00</v>
      </c>
      <c r="D109">
        <f>'Existing plants_SCEN70yrs'!H107</f>
        <v>70</v>
      </c>
    </row>
    <row r="110" spans="2:4">
      <c r="B110" t="s">
        <v>218</v>
      </c>
      <c r="C110" t="str">
        <f>'Existing plants_SCEN50yrs'!D108</f>
        <v>ENFR_TRICASTIN-1_00</v>
      </c>
      <c r="D110">
        <f>'Existing plants_SCEN70yrs'!H108</f>
        <v>70</v>
      </c>
    </row>
    <row r="111" spans="2:4">
      <c r="B111" t="s">
        <v>218</v>
      </c>
      <c r="C111" t="str">
        <f>'Existing plants_SCEN50yrs'!D109</f>
        <v>ENFR_TRICASTIN-2_00</v>
      </c>
      <c r="D111">
        <f>'Existing plants_SCEN70yrs'!H109</f>
        <v>70</v>
      </c>
    </row>
    <row r="112" spans="2:4">
      <c r="B112" t="s">
        <v>218</v>
      </c>
      <c r="C112" t="str">
        <f>'Existing plants_SCEN50yrs'!D110</f>
        <v>ENFR_TRICASTIN-3_00</v>
      </c>
      <c r="D112">
        <f>'Existing plants_SCEN70yrs'!H110</f>
        <v>70</v>
      </c>
    </row>
    <row r="113" spans="2:4">
      <c r="B113" t="s">
        <v>218</v>
      </c>
      <c r="C113" t="str">
        <f>'Existing plants_SCEN50yrs'!D111</f>
        <v>ENFR_TRICASTIN-4_00</v>
      </c>
      <c r="D113">
        <f>'Existing plants_SCEN70yrs'!H111</f>
        <v>70</v>
      </c>
    </row>
    <row r="114" spans="2:4">
      <c r="B114" t="s">
        <v>218</v>
      </c>
      <c r="C114" t="str">
        <f>'Existing plants_SCEN50yrs'!D112</f>
        <v>ENHU_PAKS-1_00</v>
      </c>
      <c r="D114">
        <f>'Existing plants_SCEN70yrs'!H112</f>
        <v>70</v>
      </c>
    </row>
    <row r="115" spans="2:4">
      <c r="B115" t="s">
        <v>218</v>
      </c>
      <c r="C115" t="str">
        <f>'Existing plants_SCEN50yrs'!D113</f>
        <v>ENHU_PAKS-2_00</v>
      </c>
      <c r="D115">
        <f>'Existing plants_SCEN70yrs'!H113</f>
        <v>70</v>
      </c>
    </row>
    <row r="116" spans="2:4">
      <c r="B116" t="s">
        <v>218</v>
      </c>
      <c r="C116" t="str">
        <f>'Existing plants_SCEN50yrs'!D114</f>
        <v>ENHU_PAKS-3_00</v>
      </c>
      <c r="D116">
        <f>'Existing plants_SCEN70yrs'!H114</f>
        <v>70</v>
      </c>
    </row>
    <row r="117" spans="2:4">
      <c r="B117" t="s">
        <v>218</v>
      </c>
      <c r="C117" t="str">
        <f>'Existing plants_SCEN50yrs'!D115</f>
        <v>ENHU_PAKS-4_00</v>
      </c>
      <c r="D117">
        <f>'Existing plants_SCEN70yrs'!H115</f>
        <v>70</v>
      </c>
    </row>
    <row r="118" spans="2:4">
      <c r="B118" t="s">
        <v>218</v>
      </c>
      <c r="C118" t="str">
        <f>'Existing plants_SCEN50yrs'!D116</f>
        <v>ENLT_IGNALINA-1</v>
      </c>
      <c r="D118">
        <f>'Existing plants_SCEN70yrs'!H116</f>
        <v>21</v>
      </c>
    </row>
    <row r="119" spans="2:4">
      <c r="B119" t="s">
        <v>218</v>
      </c>
      <c r="C119" t="str">
        <f>'Existing plants_SCEN50yrs'!D117</f>
        <v>ENLT_IGNALINA-2</v>
      </c>
      <c r="D119">
        <f>'Existing plants_SCEN70yrs'!H117</f>
        <v>22</v>
      </c>
    </row>
    <row r="120" spans="2:4">
      <c r="B120" t="s">
        <v>218</v>
      </c>
      <c r="C120" t="str">
        <f>'Existing plants_SCEN50yrs'!D118</f>
        <v>ENNL_BORSSELE_00</v>
      </c>
      <c r="D120">
        <f>'Existing plants_SCEN70yrs'!H118</f>
        <v>61</v>
      </c>
    </row>
    <row r="121" spans="2:4">
      <c r="B121" t="s">
        <v>218</v>
      </c>
      <c r="C121" t="str">
        <f>'Existing plants_SCEN50yrs'!D119</f>
        <v>ENRO_CERNAVODA-1_00</v>
      </c>
      <c r="D121">
        <f>'Existing plants_SCEN70yrs'!H119</f>
        <v>70</v>
      </c>
    </row>
    <row r="122" spans="2:4">
      <c r="B122" t="s">
        <v>218</v>
      </c>
      <c r="C122" t="str">
        <f>'Existing plants_SCEN50yrs'!D120</f>
        <v>ENRO_CERNAVODA-2</v>
      </c>
      <c r="D122">
        <f>'Existing plants_SCEN70yrs'!H120</f>
        <v>70</v>
      </c>
    </row>
    <row r="123" spans="2:4">
      <c r="B123" t="s">
        <v>218</v>
      </c>
      <c r="C123" t="str">
        <f>'Existing plants_SCEN50yrs'!D121</f>
        <v>ENSE_FORSMARK-1_00</v>
      </c>
      <c r="D123">
        <f>'Existing plants_SCEN70yrs'!H121</f>
        <v>70</v>
      </c>
    </row>
    <row r="124" spans="2:4">
      <c r="B124" t="s">
        <v>218</v>
      </c>
      <c r="C124" t="str">
        <f>'Existing plants_SCEN50yrs'!D122</f>
        <v>ENSE_FORSMARK-2_00</v>
      </c>
      <c r="D124">
        <f>'Existing plants_SCEN70yrs'!H122</f>
        <v>70</v>
      </c>
    </row>
    <row r="125" spans="2:4">
      <c r="B125" t="s">
        <v>218</v>
      </c>
      <c r="C125" t="str">
        <f>'Existing plants_SCEN50yrs'!D123</f>
        <v>ENSE_FORSMARK-3_00</v>
      </c>
      <c r="D125">
        <f>'Existing plants_SCEN70yrs'!H123</f>
        <v>70</v>
      </c>
    </row>
    <row r="126" spans="2:4">
      <c r="B126" t="s">
        <v>218</v>
      </c>
      <c r="C126" t="str">
        <f>'Existing plants_SCEN50yrs'!D124</f>
        <v>ENSE_OSKARSHAMN-1_00</v>
      </c>
      <c r="D126">
        <f>'Existing plants_SCEN70yrs'!H124</f>
        <v>47</v>
      </c>
    </row>
    <row r="127" spans="2:4">
      <c r="B127" t="s">
        <v>218</v>
      </c>
      <c r="C127" t="str">
        <f>'Existing plants_SCEN50yrs'!D125</f>
        <v>ENSE_OSKARSHAMN-2_00</v>
      </c>
      <c r="D127">
        <f>'Existing plants_SCEN70yrs'!H125</f>
        <v>46</v>
      </c>
    </row>
    <row r="128" spans="2:4">
      <c r="B128" t="s">
        <v>218</v>
      </c>
      <c r="C128" t="str">
        <f>'Existing plants_SCEN50yrs'!D126</f>
        <v>ENSE_OSKARSHAMN-3_00</v>
      </c>
      <c r="D128">
        <f>'Existing plants_SCEN70yrs'!H126</f>
        <v>70</v>
      </c>
    </row>
    <row r="129" spans="2:4">
      <c r="B129" t="s">
        <v>218</v>
      </c>
      <c r="C129" t="str">
        <f>'Existing plants_SCEN50yrs'!D127</f>
        <v>ENSE_RINGHALS-1_00</v>
      </c>
      <c r="D129">
        <f>'Existing plants_SCEN70yrs'!H127</f>
        <v>46</v>
      </c>
    </row>
    <row r="130" spans="2:4">
      <c r="B130" t="s">
        <v>218</v>
      </c>
      <c r="C130" t="str">
        <f>'Existing plants_SCEN50yrs'!D128</f>
        <v>ENSE_RINGHALS-2_00</v>
      </c>
      <c r="D130">
        <f>'Existing plants_SCEN70yrs'!H128</f>
        <v>46</v>
      </c>
    </row>
    <row r="131" spans="2:4">
      <c r="B131" t="s">
        <v>218</v>
      </c>
      <c r="C131" t="str">
        <f>'Existing plants_SCEN50yrs'!D129</f>
        <v>ENSE_RINGHALS-3_00</v>
      </c>
      <c r="D131">
        <f>'Existing plants_SCEN70yrs'!H129</f>
        <v>70</v>
      </c>
    </row>
    <row r="132" spans="2:4">
      <c r="B132" t="s">
        <v>218</v>
      </c>
      <c r="C132" t="str">
        <f>'Existing plants_SCEN50yrs'!D130</f>
        <v>ENSE_RINGHALS-4_00</v>
      </c>
      <c r="D132">
        <f>'Existing plants_SCEN70yrs'!H130</f>
        <v>70</v>
      </c>
    </row>
    <row r="133" spans="2:4">
      <c r="B133" t="s">
        <v>218</v>
      </c>
      <c r="C133" t="str">
        <f>'Existing plants_SCEN50yrs'!D131</f>
        <v>ENSI_KRSKO_00</v>
      </c>
      <c r="D133">
        <f>'Existing plants_SCEN70yrs'!H131</f>
        <v>70</v>
      </c>
    </row>
    <row r="134" spans="2:4">
      <c r="B134" t="s">
        <v>218</v>
      </c>
      <c r="C134" t="str">
        <f>'Existing plants_SCEN50yrs'!D132</f>
        <v>ENSK_BOHUNICE-1_00</v>
      </c>
      <c r="D134">
        <f>'Existing plants_SCEN70yrs'!H132</f>
        <v>28</v>
      </c>
    </row>
    <row r="135" spans="2:4">
      <c r="B135" t="s">
        <v>218</v>
      </c>
      <c r="C135" t="str">
        <f>'Existing plants_SCEN50yrs'!D133</f>
        <v>ENSK_BOHUNICE-2_00</v>
      </c>
      <c r="D135">
        <f>'Existing plants_SCEN70yrs'!H133</f>
        <v>28</v>
      </c>
    </row>
    <row r="136" spans="2:4">
      <c r="B136" t="s">
        <v>218</v>
      </c>
      <c r="C136" t="str">
        <f>'Existing plants_SCEN50yrs'!D134</f>
        <v>ENSK_BOHUNICE-3_00</v>
      </c>
      <c r="D136">
        <f>'Existing plants_SCEN70yrs'!H134</f>
        <v>70</v>
      </c>
    </row>
    <row r="137" spans="2:4">
      <c r="B137" t="s">
        <v>218</v>
      </c>
      <c r="C137" t="str">
        <f>'Existing plants_SCEN50yrs'!D135</f>
        <v>ENSK_BOHUNICE-4_00</v>
      </c>
      <c r="D137">
        <f>'Existing plants_SCEN70yrs'!H135</f>
        <v>70</v>
      </c>
    </row>
    <row r="138" spans="2:4">
      <c r="B138" t="s">
        <v>218</v>
      </c>
      <c r="C138" t="str">
        <f>'Existing plants_SCEN50yrs'!D136</f>
        <v>ENSK_MOCHOVCE-1_00</v>
      </c>
      <c r="D138">
        <f>'Existing plants_SCEN70yrs'!H136</f>
        <v>70</v>
      </c>
    </row>
    <row r="139" spans="2:4">
      <c r="B139" t="s">
        <v>218</v>
      </c>
      <c r="C139" t="str">
        <f>'Existing plants_SCEN50yrs'!D137</f>
        <v>ENSK_MOCHOVCE-2_00</v>
      </c>
      <c r="D139">
        <f>'Existing plants_SCEN70yrs'!H137</f>
        <v>70</v>
      </c>
    </row>
    <row r="140" spans="2:4">
      <c r="B140" t="s">
        <v>218</v>
      </c>
      <c r="C140" t="str">
        <f>'Existing plants_SCEN50yrs'!D138</f>
        <v>ENUK_DUNGENESS-B1_00</v>
      </c>
      <c r="D140">
        <f>'Existing plants_SCEN70yrs'!H138</f>
        <v>45</v>
      </c>
    </row>
    <row r="141" spans="2:4">
      <c r="B141" t="s">
        <v>218</v>
      </c>
      <c r="C141" t="str">
        <f>'Existing plants_SCEN50yrs'!D139</f>
        <v>ENUK_DUNGENESS-B2_00</v>
      </c>
      <c r="D141">
        <f>'Existing plants_SCEN70yrs'!H139</f>
        <v>43</v>
      </c>
    </row>
    <row r="142" spans="2:4">
      <c r="B142" t="s">
        <v>218</v>
      </c>
      <c r="C142" t="str">
        <f>'Existing plants_SCEN50yrs'!D140</f>
        <v>ENUK_HARTLEPOOL-A1_00</v>
      </c>
      <c r="D142">
        <f>'Existing plants_SCEN70yrs'!H140</f>
        <v>36</v>
      </c>
    </row>
    <row r="143" spans="2:4">
      <c r="B143" t="s">
        <v>218</v>
      </c>
      <c r="C143" t="str">
        <f>'Existing plants_SCEN50yrs'!D141</f>
        <v>ENUK_HARTLEPOOL-A2_00</v>
      </c>
      <c r="D143">
        <f>'Existing plants_SCEN70yrs'!H141</f>
        <v>35</v>
      </c>
    </row>
    <row r="144" spans="2:4">
      <c r="B144" t="s">
        <v>218</v>
      </c>
      <c r="C144" t="str">
        <f>'Existing plants_SCEN50yrs'!D142</f>
        <v>ENUK_HEYSHAM-A1_00</v>
      </c>
      <c r="D144">
        <f>'Existing plants_SCEN70yrs'!H142</f>
        <v>36</v>
      </c>
    </row>
    <row r="145" spans="2:4">
      <c r="B145" t="s">
        <v>218</v>
      </c>
      <c r="C145" t="str">
        <f>'Existing plants_SCEN50yrs'!D143</f>
        <v>ENUK_HEYSHAM-A2_00</v>
      </c>
      <c r="D145">
        <f>'Existing plants_SCEN70yrs'!H143</f>
        <v>35</v>
      </c>
    </row>
    <row r="146" spans="2:4">
      <c r="B146" t="s">
        <v>218</v>
      </c>
      <c r="C146" t="str">
        <f>'Existing plants_SCEN50yrs'!D144</f>
        <v>ENUK_HEYSHAM-B1_00</v>
      </c>
      <c r="D146">
        <f>'Existing plants_SCEN70yrs'!H144</f>
        <v>35</v>
      </c>
    </row>
    <row r="147" spans="2:4">
      <c r="B147" t="s">
        <v>218</v>
      </c>
      <c r="C147" t="str">
        <f>'Existing plants_SCEN50yrs'!D145</f>
        <v>ENUK_HEYSHAM-B2_00</v>
      </c>
      <c r="D147">
        <f>'Existing plants_SCEN70yrs'!H145</f>
        <v>35</v>
      </c>
    </row>
    <row r="148" spans="2:4">
      <c r="B148" t="s">
        <v>218</v>
      </c>
      <c r="C148" t="str">
        <f>'Existing plants_SCEN50yrs'!D146</f>
        <v>ENUK_HINKLEYPOINT-B1_00</v>
      </c>
      <c r="D148">
        <f>'Existing plants_SCEN70yrs'!H146</f>
        <v>47</v>
      </c>
    </row>
    <row r="149" spans="2:4">
      <c r="B149" t="s">
        <v>218</v>
      </c>
      <c r="C149" t="str">
        <f>'Existing plants_SCEN50yrs'!D147</f>
        <v>ENUK_HINKLEYPOINT-B2_00</v>
      </c>
      <c r="D149">
        <f>'Existing plants_SCEN70yrs'!H147</f>
        <v>47</v>
      </c>
    </row>
    <row r="150" spans="2:4">
      <c r="B150" t="s">
        <v>218</v>
      </c>
      <c r="C150" t="str">
        <f>'Existing plants_SCEN50yrs'!D148</f>
        <v>ENUK_HUNTERSTON-B1_00</v>
      </c>
      <c r="D150">
        <f>'Existing plants_SCEN70yrs'!H148</f>
        <v>47</v>
      </c>
    </row>
    <row r="151" spans="2:4">
      <c r="B151" t="s">
        <v>218</v>
      </c>
      <c r="C151" t="str">
        <f>'Existing plants_SCEN50yrs'!D149</f>
        <v>ENUK_HUNTERSTON-B2_00</v>
      </c>
      <c r="D151">
        <f>'Existing plants_SCEN70yrs'!H149</f>
        <v>46</v>
      </c>
    </row>
    <row r="152" spans="2:4">
      <c r="B152" t="s">
        <v>218</v>
      </c>
      <c r="C152" t="str">
        <f>'Existing plants_SCEN50yrs'!D150</f>
        <v>ENUK_OLDBURY-A1_00</v>
      </c>
      <c r="D152">
        <f>'Existing plants_SCEN70yrs'!H150</f>
        <v>45</v>
      </c>
    </row>
    <row r="153" spans="2:4">
      <c r="B153" t="s">
        <v>218</v>
      </c>
      <c r="C153" t="str">
        <f>'Existing plants_SCEN50yrs'!D151</f>
        <v>ENUK_SIZEWELL-Bv_00</v>
      </c>
      <c r="D153">
        <f>'Existing plants_SCEN70yrs'!H151</f>
        <v>40</v>
      </c>
    </row>
    <row r="154" spans="2:4">
      <c r="B154" t="s">
        <v>218</v>
      </c>
      <c r="C154" t="str">
        <f>'Existing plants_SCEN50yrs'!D152</f>
        <v>ENUK_TORNESS1_00</v>
      </c>
      <c r="D154">
        <f>'Existing plants_SCEN70yrs'!H152</f>
        <v>35</v>
      </c>
    </row>
    <row r="155" spans="2:4">
      <c r="B155" t="s">
        <v>218</v>
      </c>
      <c r="C155" t="str">
        <f>'Existing plants_SCEN50yrs'!D153</f>
        <v>ENUK_TORNESS2_00</v>
      </c>
      <c r="D155">
        <f>'Existing plants_SCEN70yrs'!H153</f>
        <v>34</v>
      </c>
    </row>
    <row r="156" spans="2:4">
      <c r="B156" t="s">
        <v>218</v>
      </c>
      <c r="C156" t="str">
        <f>'Existing plants_SCEN50yrs'!D154</f>
        <v>ENUK_WYLFA1_00</v>
      </c>
      <c r="D156">
        <f>'Existing plants_SCEN70yrs'!H154</f>
        <v>44</v>
      </c>
    </row>
    <row r="157" spans="2:4">
      <c r="B157" t="s">
        <v>218</v>
      </c>
      <c r="C157" t="str">
        <f>'Existing plants_SCEN50yrs'!D155</f>
        <v>ENUK_WYLFA2_00</v>
      </c>
      <c r="D157">
        <f>'Existing plants_SCEN70yrs'!H155</f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theme="3" tint="-0.499984740745262"/>
  </sheetPr>
  <dimension ref="B2:F43"/>
  <sheetViews>
    <sheetView topLeftCell="A5" workbookViewId="0">
      <selection activeCell="F3" sqref="F3"/>
    </sheetView>
  </sheetViews>
  <sheetFormatPr defaultRowHeight="15"/>
  <cols>
    <col min="2" max="6" width="17.140625" customWidth="1"/>
  </cols>
  <sheetData>
    <row r="2" spans="2:6" s="2" customFormat="1" ht="45">
      <c r="B2" s="2" t="s">
        <v>191</v>
      </c>
      <c r="C2" s="2" t="s">
        <v>210</v>
      </c>
      <c r="D2" s="2" t="s">
        <v>211</v>
      </c>
      <c r="E2" s="2" t="s">
        <v>209</v>
      </c>
      <c r="F2" s="2" t="s">
        <v>219</v>
      </c>
    </row>
    <row r="3" spans="2:6">
      <c r="B3">
        <v>2010</v>
      </c>
      <c r="C3" s="1">
        <f>SUMIF(Table157[End of life],"&gt;="&amp;Table3[[#This Row],[Year]],Table157[Existing capacity
GW])</f>
        <v>134.45500000000007</v>
      </c>
      <c r="D3" s="1">
        <f>SUMIF(Table15[End of life],"&gt;="&amp;Table3[[#This Row],[Year]],Table15[Existing capacity
GW])</f>
        <v>134.45500000000007</v>
      </c>
      <c r="E3" s="1">
        <f>SUMIF(Table1[End of life],"&gt;="&amp;Table3[[#This Row],[Year]],Table1[Existing capacity
GW])</f>
        <v>134.45500000000007</v>
      </c>
      <c r="F3" s="1">
        <f>SUMIF(Table1[End of life],"&gt;="&amp;Table3[[#This Row],[Year]],Table1[Existing capacity
GW])</f>
        <v>134.45500000000007</v>
      </c>
    </row>
    <row r="4" spans="2:6">
      <c r="B4">
        <v>2011</v>
      </c>
      <c r="C4" s="1">
        <f>SUMIF(Table157[End of life],"&gt;="&amp;Table3[[#This Row],[Year]],Table157[Existing capacity
GW])</f>
        <v>134.45500000000007</v>
      </c>
      <c r="D4" s="1">
        <f>SUMIF(Table15[End of life],"&gt;="&amp;Table3[[#This Row],[Year]],Table15[Existing capacity
GW])</f>
        <v>134.45500000000007</v>
      </c>
      <c r="E4" s="1">
        <f>SUMIF(Table1[End of life],"&gt;="&amp;Table3[[#This Row],[Year]],Table1[Existing capacity
GW])</f>
        <v>134.45500000000007</v>
      </c>
      <c r="F4" s="1">
        <f>SUMIF(Table1[End of life],"&gt;="&amp;Table3[[#This Row],[Year]],Table1[Existing capacity
GW])</f>
        <v>134.45500000000007</v>
      </c>
    </row>
    <row r="5" spans="2:6">
      <c r="B5">
        <v>2012</v>
      </c>
      <c r="C5" s="1">
        <f>SUMIF(Table157[End of life],"&gt;="&amp;Table3[[#This Row],[Year]],Table157[Existing capacity
GW])</f>
        <v>125.67299999999997</v>
      </c>
      <c r="D5" s="1">
        <f>SUMIF(Table15[End of life],"&gt;="&amp;Table3[[#This Row],[Year]],Table15[Existing capacity
GW])</f>
        <v>126.11899999999997</v>
      </c>
      <c r="E5" s="1">
        <f>SUMIF(Table1[End of life],"&gt;="&amp;Table3[[#This Row],[Year]],Table1[Existing capacity
GW])</f>
        <v>126.11899999999997</v>
      </c>
      <c r="F5" s="1">
        <f>SUMIF(Table1[End of life],"&gt;="&amp;Table3[[#This Row],[Year]],Table1[Existing capacity
GW])</f>
        <v>126.11899999999997</v>
      </c>
    </row>
    <row r="6" spans="2:6">
      <c r="B6">
        <v>2013</v>
      </c>
      <c r="C6" s="1">
        <f>SUMIF(Table157[End of life],"&gt;="&amp;Table3[[#This Row],[Year]],Table157[Existing capacity
GW])</f>
        <v>124.96599999999998</v>
      </c>
      <c r="D6" s="1">
        <f>SUMIF(Table15[End of life],"&gt;="&amp;Table3[[#This Row],[Year]],Table15[Existing capacity
GW])</f>
        <v>125.41199999999998</v>
      </c>
      <c r="E6" s="1">
        <f>SUMIF(Table1[End of life],"&gt;="&amp;Table3[[#This Row],[Year]],Table1[Existing capacity
GW])</f>
        <v>125.41199999999998</v>
      </c>
      <c r="F6" s="1">
        <f>SUMIF(Table1[End of life],"&gt;="&amp;Table3[[#This Row],[Year]],Table1[Existing capacity
GW])</f>
        <v>125.41199999999998</v>
      </c>
    </row>
    <row r="7" spans="2:6">
      <c r="B7">
        <v>2014</v>
      </c>
      <c r="C7" s="1">
        <f>SUMIF(Table157[End of life],"&gt;="&amp;Table3[[#This Row],[Year]],Table157[Existing capacity
GW])</f>
        <v>124.83599999999998</v>
      </c>
      <c r="D7" s="1">
        <f>SUMIF(Table15[End of life],"&gt;="&amp;Table3[[#This Row],[Year]],Table15[Existing capacity
GW])</f>
        <v>125.41199999999998</v>
      </c>
      <c r="E7" s="1">
        <f>SUMIF(Table1[End of life],"&gt;="&amp;Table3[[#This Row],[Year]],Table1[Existing capacity
GW])</f>
        <v>125.41199999999998</v>
      </c>
      <c r="F7" s="1">
        <f>SUMIF(Table1[End of life],"&gt;="&amp;Table3[[#This Row],[Year]],Table1[Existing capacity
GW])</f>
        <v>125.41199999999998</v>
      </c>
    </row>
    <row r="8" spans="2:6">
      <c r="B8">
        <v>2015</v>
      </c>
      <c r="C8" s="1">
        <f>SUMIF(Table157[End of life],"&gt;="&amp;Table3[[#This Row],[Year]],Table157[Existing capacity
GW])</f>
        <v>124.83599999999998</v>
      </c>
      <c r="D8" s="1">
        <f>SUMIF(Table15[End of life],"&gt;="&amp;Table3[[#This Row],[Year]],Table15[Existing capacity
GW])</f>
        <v>125.41199999999998</v>
      </c>
      <c r="E8" s="1">
        <f>SUMIF(Table1[End of life],"&gt;="&amp;Table3[[#This Row],[Year]],Table1[Existing capacity
GW])</f>
        <v>125.41199999999998</v>
      </c>
      <c r="F8" s="1">
        <f>SUMIF(Table1[End of life],"&gt;="&amp;Table3[[#This Row],[Year]],Table1[Existing capacity
GW])</f>
        <v>125.41199999999998</v>
      </c>
    </row>
    <row r="9" spans="2:6">
      <c r="B9">
        <v>2016</v>
      </c>
      <c r="C9" s="1">
        <f>SUMIF(Table157[End of life],"&gt;="&amp;Table3[[#This Row],[Year]],Table157[Existing capacity
GW])</f>
        <v>123.07099999999996</v>
      </c>
      <c r="D9" s="1">
        <f>SUMIF(Table15[End of life],"&gt;="&amp;Table3[[#This Row],[Year]],Table15[Existing capacity
GW])</f>
        <v>123.64699999999998</v>
      </c>
      <c r="E9" s="1">
        <f>SUMIF(Table1[End of life],"&gt;="&amp;Table3[[#This Row],[Year]],Table1[Existing capacity
GW])</f>
        <v>123.64699999999998</v>
      </c>
      <c r="F9" s="1">
        <f>SUMIF(Table1[End of life],"&gt;="&amp;Table3[[#This Row],[Year]],Table1[Existing capacity
GW])</f>
        <v>123.64699999999998</v>
      </c>
    </row>
    <row r="10" spans="2:6">
      <c r="B10">
        <v>2017</v>
      </c>
      <c r="C10" s="1">
        <f>SUMIF(Table157[End of life],"&gt;="&amp;Table3[[#This Row],[Year]],Table157[Existing capacity
GW])</f>
        <v>123.07099999999996</v>
      </c>
      <c r="D10" s="1">
        <f>SUMIF(Table15[End of life],"&gt;="&amp;Table3[[#This Row],[Year]],Table15[Existing capacity
GW])</f>
        <v>123.64699999999998</v>
      </c>
      <c r="E10" s="1">
        <f>SUMIF(Table1[End of life],"&gt;="&amp;Table3[[#This Row],[Year]],Table1[Existing capacity
GW])</f>
        <v>123.64699999999998</v>
      </c>
      <c r="F10" s="1">
        <f>SUMIF(Table1[End of life],"&gt;="&amp;Table3[[#This Row],[Year]],Table1[Existing capacity
GW])</f>
        <v>123.64699999999998</v>
      </c>
    </row>
    <row r="11" spans="2:6">
      <c r="B11">
        <v>2018</v>
      </c>
      <c r="C11" s="1">
        <f>SUMIF(Table157[End of life],"&gt;="&amp;Table3[[#This Row],[Year]],Table157[Existing capacity
GW])</f>
        <v>119.53099999999996</v>
      </c>
      <c r="D11" s="1">
        <f>SUMIF(Table15[End of life],"&gt;="&amp;Table3[[#This Row],[Year]],Table15[Existing capacity
GW])</f>
        <v>120.60299999999997</v>
      </c>
      <c r="E11" s="1">
        <f>SUMIF(Table1[End of life],"&gt;="&amp;Table3[[#This Row],[Year]],Table1[Existing capacity
GW])</f>
        <v>120.60299999999997</v>
      </c>
      <c r="F11" s="1">
        <f>SUMIF(Table1[End of life],"&gt;="&amp;Table3[[#This Row],[Year]],Table1[Existing capacity
GW])</f>
        <v>120.60299999999997</v>
      </c>
    </row>
    <row r="12" spans="2:6">
      <c r="B12">
        <v>2019</v>
      </c>
      <c r="C12" s="1">
        <f>SUMIF(Table157[End of life],"&gt;="&amp;Table3[[#This Row],[Year]],Table157[Existing capacity
GW])</f>
        <v>116.35799999999999</v>
      </c>
      <c r="D12" s="1">
        <f>SUMIF(Table15[End of life],"&gt;="&amp;Table3[[#This Row],[Year]],Table15[Existing capacity
GW])</f>
        <v>120.12999999999998</v>
      </c>
      <c r="E12" s="1">
        <f>SUMIF(Table1[End of life],"&gt;="&amp;Table3[[#This Row],[Year]],Table1[Existing capacity
GW])</f>
        <v>120.12999999999998</v>
      </c>
      <c r="F12" s="1">
        <f>SUMIF(Table1[End of life],"&gt;="&amp;Table3[[#This Row],[Year]],Table1[Existing capacity
GW])</f>
        <v>120.12999999999998</v>
      </c>
    </row>
    <row r="13" spans="2:6">
      <c r="B13">
        <v>2020</v>
      </c>
      <c r="C13" s="1">
        <f>SUMIF(Table157[End of life],"&gt;="&amp;Table3[[#This Row],[Year]],Table157[Existing capacity
GW])</f>
        <v>110.11799999999997</v>
      </c>
      <c r="D13" s="1">
        <f>SUMIF(Table15[End of life],"&gt;="&amp;Table3[[#This Row],[Year]],Table15[Existing capacity
GW])</f>
        <v>115.64999999999998</v>
      </c>
      <c r="E13" s="1">
        <f>SUMIF(Table1[End of life],"&gt;="&amp;Table3[[#This Row],[Year]],Table1[Existing capacity
GW])</f>
        <v>115.64999999999998</v>
      </c>
      <c r="F13" s="1">
        <f>SUMIF(Table1[End of life],"&gt;="&amp;Table3[[#This Row],[Year]],Table1[Existing capacity
GW])</f>
        <v>115.64999999999998</v>
      </c>
    </row>
    <row r="14" spans="2:6">
      <c r="B14">
        <v>2021</v>
      </c>
      <c r="C14" s="1">
        <f>SUMIF(Table157[End of life],"&gt;="&amp;Table3[[#This Row],[Year]],Table157[Existing capacity
GW])</f>
        <v>97.972999999999971</v>
      </c>
      <c r="D14" s="1">
        <f>SUMIF(Table15[End of life],"&gt;="&amp;Table3[[#This Row],[Year]],Table15[Existing capacity
GW])</f>
        <v>113.26899999999998</v>
      </c>
      <c r="E14" s="1">
        <f>SUMIF(Table1[End of life],"&gt;="&amp;Table3[[#This Row],[Year]],Table1[Existing capacity
GW])</f>
        <v>113.26899999999998</v>
      </c>
      <c r="F14" s="1">
        <f>SUMIF(Table1[End of life],"&gt;="&amp;Table3[[#This Row],[Year]],Table1[Existing capacity
GW])</f>
        <v>113.26899999999998</v>
      </c>
    </row>
    <row r="15" spans="2:6">
      <c r="B15">
        <v>2022</v>
      </c>
      <c r="C15" s="1">
        <f>SUMIF(Table157[End of life],"&gt;="&amp;Table3[[#This Row],[Year]],Table157[Existing capacity
GW])</f>
        <v>84.60599999999998</v>
      </c>
      <c r="D15" s="1">
        <f>SUMIF(Table15[End of life],"&gt;="&amp;Table3[[#This Row],[Year]],Table15[Existing capacity
GW])</f>
        <v>108.39999999999998</v>
      </c>
      <c r="E15" s="1">
        <f>SUMIF(Table1[End of life],"&gt;="&amp;Table3[[#This Row],[Year]],Table1[Existing capacity
GW])</f>
        <v>108.84599999999998</v>
      </c>
      <c r="F15" s="1">
        <f>SUMIF(Table1[End of life],"&gt;="&amp;Table3[[#This Row],[Year]],Table1[Existing capacity
GW])</f>
        <v>108.84599999999998</v>
      </c>
    </row>
    <row r="16" spans="2:6">
      <c r="B16">
        <v>2023</v>
      </c>
      <c r="C16" s="1">
        <f>SUMIF(Table157[End of life],"&gt;="&amp;Table3[[#This Row],[Year]],Table157[Existing capacity
GW])</f>
        <v>75.311999999999983</v>
      </c>
      <c r="D16" s="1">
        <f>SUMIF(Table15[End of life],"&gt;="&amp;Table3[[#This Row],[Year]],Table15[Existing capacity
GW])</f>
        <v>102.33099999999999</v>
      </c>
      <c r="E16" s="1">
        <f>SUMIF(Table1[End of life],"&gt;="&amp;Table3[[#This Row],[Year]],Table1[Existing capacity
GW])</f>
        <v>102.77699999999999</v>
      </c>
      <c r="F16" s="1">
        <f>SUMIF(Table1[End of life],"&gt;="&amp;Table3[[#This Row],[Year]],Table1[Existing capacity
GW])</f>
        <v>102.77699999999999</v>
      </c>
    </row>
    <row r="17" spans="2:6">
      <c r="B17">
        <v>2024</v>
      </c>
      <c r="C17" s="1">
        <f>SUMIF(Table157[End of life],"&gt;="&amp;Table3[[#This Row],[Year]],Table157[Existing capacity
GW])</f>
        <v>65.495999999999995</v>
      </c>
      <c r="D17" s="1">
        <f>SUMIF(Table15[End of life],"&gt;="&amp;Table3[[#This Row],[Year]],Table15[Existing capacity
GW])</f>
        <v>98.030999999999992</v>
      </c>
      <c r="E17" s="1">
        <f>SUMIF(Table1[End of life],"&gt;="&amp;Table3[[#This Row],[Year]],Table1[Existing capacity
GW])</f>
        <v>98.606999999999985</v>
      </c>
      <c r="F17" s="1">
        <f>SUMIF(Table1[End of life],"&gt;="&amp;Table3[[#This Row],[Year]],Table1[Existing capacity
GW])</f>
        <v>98.606999999999985</v>
      </c>
    </row>
    <row r="18" spans="2:6">
      <c r="B18">
        <v>2025</v>
      </c>
      <c r="C18" s="1">
        <f>SUMIF(Table157[End of life],"&gt;="&amp;Table3[[#This Row],[Year]],Table157[Existing capacity
GW])</f>
        <v>57.230000000000011</v>
      </c>
      <c r="D18" s="1">
        <f>SUMIF(Table15[End of life],"&gt;="&amp;Table3[[#This Row],[Year]],Table15[Existing capacity
GW])</f>
        <v>98.030999999999992</v>
      </c>
      <c r="E18" s="1">
        <f>SUMIF(Table1[End of life],"&gt;="&amp;Table3[[#This Row],[Year]],Table1[Existing capacity
GW])</f>
        <v>98.606999999999985</v>
      </c>
      <c r="F18" s="1">
        <f>SUMIF(Table1[End of life],"&gt;="&amp;Table3[[#This Row],[Year]],Table1[Existing capacity
GW])</f>
        <v>98.606999999999985</v>
      </c>
    </row>
    <row r="19" spans="2:6">
      <c r="B19">
        <v>2026</v>
      </c>
      <c r="C19" s="1">
        <f>SUMIF(Table157[End of life],"&gt;="&amp;Table3[[#This Row],[Year]],Table157[Existing capacity
GW])</f>
        <v>42.841000000000001</v>
      </c>
      <c r="D19" s="1">
        <f>SUMIF(Table15[End of life],"&gt;="&amp;Table3[[#This Row],[Year]],Table15[Existing capacity
GW])</f>
        <v>94.118000000000009</v>
      </c>
      <c r="E19" s="1">
        <f>SUMIF(Table1[End of life],"&gt;="&amp;Table3[[#This Row],[Year]],Table1[Existing capacity
GW])</f>
        <v>94.694000000000003</v>
      </c>
      <c r="F19" s="1">
        <f>SUMIF(Table1[End of life],"&gt;="&amp;Table3[[#This Row],[Year]],Table1[Existing capacity
GW])</f>
        <v>94.694000000000003</v>
      </c>
    </row>
    <row r="20" spans="2:6">
      <c r="B20">
        <v>2027</v>
      </c>
      <c r="C20" s="1">
        <f>SUMIF(Table157[End of life],"&gt;="&amp;Table3[[#This Row],[Year]],Table157[Existing capacity
GW])</f>
        <v>35.228999999999999</v>
      </c>
      <c r="D20" s="1">
        <f>SUMIF(Table15[End of life],"&gt;="&amp;Table3[[#This Row],[Year]],Table15[Existing capacity
GW])</f>
        <v>94.118000000000009</v>
      </c>
      <c r="E20" s="1">
        <f>SUMIF(Table1[End of life],"&gt;="&amp;Table3[[#This Row],[Year]],Table1[Existing capacity
GW])</f>
        <v>94.694000000000003</v>
      </c>
      <c r="F20" s="1">
        <f>SUMIF(Table1[End of life],"&gt;="&amp;Table3[[#This Row],[Year]],Table1[Existing capacity
GW])</f>
        <v>94.694000000000003</v>
      </c>
    </row>
    <row r="21" spans="2:6">
      <c r="B21">
        <v>2028</v>
      </c>
      <c r="C21" s="1">
        <f>SUMIF(Table157[End of life],"&gt;="&amp;Table3[[#This Row],[Year]],Table157[Existing capacity
GW])</f>
        <v>27.461999999999993</v>
      </c>
      <c r="D21" s="1">
        <f>SUMIF(Table15[End of life],"&gt;="&amp;Table3[[#This Row],[Year]],Table15[Existing capacity
GW])</f>
        <v>93.622</v>
      </c>
      <c r="E21" s="1">
        <f>SUMIF(Table1[End of life],"&gt;="&amp;Table3[[#This Row],[Year]],Table1[Existing capacity
GW])</f>
        <v>94.694000000000003</v>
      </c>
      <c r="F21" s="1">
        <f>SUMIF(Table1[End of life],"&gt;="&amp;Table3[[#This Row],[Year]],Table1[Existing capacity
GW])</f>
        <v>94.694000000000003</v>
      </c>
    </row>
    <row r="22" spans="2:6">
      <c r="B22">
        <v>2029</v>
      </c>
      <c r="C22" s="1">
        <f>SUMIF(Table157[End of life],"&gt;="&amp;Table3[[#This Row],[Year]],Table157[Existing capacity
GW])</f>
        <v>22.798999999999996</v>
      </c>
      <c r="D22" s="1">
        <f>SUMIF(Table15[End of life],"&gt;="&amp;Table3[[#This Row],[Year]],Table15[Existing capacity
GW])</f>
        <v>89.882000000000019</v>
      </c>
      <c r="E22" s="1">
        <f>SUMIF(Table1[End of life],"&gt;="&amp;Table3[[#This Row],[Year]],Table1[Existing capacity
GW])</f>
        <v>93.654000000000011</v>
      </c>
      <c r="F22" s="1">
        <f>SUMIF(Table1[End of life],"&gt;="&amp;Table3[[#This Row],[Year]],Table1[Existing capacity
GW])</f>
        <v>93.654000000000011</v>
      </c>
    </row>
    <row r="23" spans="2:6">
      <c r="B23">
        <v>2030</v>
      </c>
      <c r="C23" s="1">
        <f>SUMIF(Table157[End of life],"&gt;="&amp;Table3[[#This Row],[Year]],Table157[Existing capacity
GW])</f>
        <v>21.813999999999997</v>
      </c>
      <c r="D23" s="1">
        <f>SUMIF(Table15[End of life],"&gt;="&amp;Table3[[#This Row],[Year]],Table15[Existing capacity
GW])</f>
        <v>87.137000000000015</v>
      </c>
      <c r="E23" s="1">
        <f>SUMIF(Table1[End of life],"&gt;="&amp;Table3[[#This Row],[Year]],Table1[Existing capacity
GW])</f>
        <v>92.668999999999997</v>
      </c>
      <c r="F23" s="1">
        <f>SUMIF(Table1[End of life],"&gt;="&amp;Table3[[#This Row],[Year]],Table1[Existing capacity
GW])</f>
        <v>92.668999999999997</v>
      </c>
    </row>
    <row r="24" spans="2:6">
      <c r="B24">
        <v>2031</v>
      </c>
      <c r="C24" s="1">
        <f>SUMIF(Table157[End of life],"&gt;="&amp;Table3[[#This Row],[Year]],Table157[Existing capacity
GW])</f>
        <v>17.874000000000002</v>
      </c>
      <c r="D24" s="1">
        <f>SUMIF(Table15[End of life],"&gt;="&amp;Table3[[#This Row],[Year]],Table15[Existing capacity
GW])</f>
        <v>77.373000000000005</v>
      </c>
      <c r="E24" s="1">
        <f>SUMIF(Table1[End of life],"&gt;="&amp;Table3[[#This Row],[Year]],Table1[Existing capacity
GW])</f>
        <v>92.668999999999997</v>
      </c>
      <c r="F24" s="1">
        <f>SUMIF(Table1[End of life],"&gt;="&amp;Table3[[#This Row],[Year]],Table1[Existing capacity
GW])</f>
        <v>92.668999999999997</v>
      </c>
    </row>
    <row r="25" spans="2:6">
      <c r="B25">
        <v>2032</v>
      </c>
      <c r="C25" s="1">
        <f>SUMIF(Table157[End of life],"&gt;="&amp;Table3[[#This Row],[Year]],Table157[Existing capacity
GW])</f>
        <v>15.621</v>
      </c>
      <c r="D25" s="1">
        <f>SUMIF(Table15[End of life],"&gt;="&amp;Table3[[#This Row],[Year]],Table15[Existing capacity
GW])</f>
        <v>68.428999999999988</v>
      </c>
      <c r="E25" s="1">
        <f>SUMIF(Table1[End of life],"&gt;="&amp;Table3[[#This Row],[Year]],Table1[Existing capacity
GW])</f>
        <v>92.222999999999999</v>
      </c>
      <c r="F25" s="1">
        <f>SUMIF(Table1[End of life],"&gt;="&amp;Table3[[#This Row],[Year]],Table1[Existing capacity
GW])</f>
        <v>92.222999999999999</v>
      </c>
    </row>
    <row r="26" spans="2:6">
      <c r="B26">
        <v>2033</v>
      </c>
      <c r="C26" s="1">
        <f>SUMIF(Table157[End of life],"&gt;="&amp;Table3[[#This Row],[Year]],Table157[Existing capacity
GW])</f>
        <v>14.291</v>
      </c>
      <c r="D26" s="1">
        <f>SUMIF(Table15[End of life],"&gt;="&amp;Table3[[#This Row],[Year]],Table15[Existing capacity
GW])</f>
        <v>65.203999999999994</v>
      </c>
      <c r="E26" s="1">
        <f>SUMIF(Table1[End of life],"&gt;="&amp;Table3[[#This Row],[Year]],Table1[Existing capacity
GW])</f>
        <v>92.222999999999999</v>
      </c>
      <c r="F26" s="1">
        <f>SUMIF(Table1[End of life],"&gt;="&amp;Table3[[#This Row],[Year]],Table1[Existing capacity
GW])</f>
        <v>92.222999999999999</v>
      </c>
    </row>
    <row r="27" spans="2:6">
      <c r="B27">
        <v>2034</v>
      </c>
      <c r="C27" s="1">
        <f>SUMIF(Table157[End of life],"&gt;="&amp;Table3[[#This Row],[Year]],Table157[Existing capacity
GW])</f>
        <v>12.981</v>
      </c>
      <c r="D27" s="1">
        <f>SUMIF(Table15[End of life],"&gt;="&amp;Table3[[#This Row],[Year]],Table15[Existing capacity
GW])</f>
        <v>59.557999999999993</v>
      </c>
      <c r="E27" s="1">
        <f>SUMIF(Table1[End of life],"&gt;="&amp;Table3[[#This Row],[Year]],Table1[Existing capacity
GW])</f>
        <v>92.093000000000004</v>
      </c>
      <c r="F27" s="1">
        <f>SUMIF(Table1[End of life],"&gt;="&amp;Table3[[#This Row],[Year]],Table1[Existing capacity
GW])</f>
        <v>92.093000000000004</v>
      </c>
    </row>
    <row r="28" spans="2:6">
      <c r="B28">
        <v>2035</v>
      </c>
      <c r="C28" s="1">
        <f>SUMIF(Table157[End of life],"&gt;="&amp;Table3[[#This Row],[Year]],Table157[Existing capacity
GW])</f>
        <v>11.279000000000002</v>
      </c>
      <c r="D28" s="1">
        <f>SUMIF(Table15[End of life],"&gt;="&amp;Table3[[#This Row],[Year]],Table15[Existing capacity
GW])</f>
        <v>49.589999999999996</v>
      </c>
      <c r="E28" s="1">
        <f>SUMIF(Table1[End of life],"&gt;="&amp;Table3[[#This Row],[Year]],Table1[Existing capacity
GW])</f>
        <v>90.391000000000005</v>
      </c>
      <c r="F28" s="1">
        <f>SUMIF(Table1[End of life],"&gt;="&amp;Table3[[#This Row],[Year]],Table1[Existing capacity
GW])</f>
        <v>90.391000000000005</v>
      </c>
    </row>
    <row r="29" spans="2:6">
      <c r="B29">
        <v>2036</v>
      </c>
      <c r="C29" s="1">
        <f>SUMIF(Table157[End of life],"&gt;="&amp;Table3[[#This Row],[Year]],Table157[Existing capacity
GW])</f>
        <v>10.088000000000001</v>
      </c>
      <c r="D29" s="1">
        <f>SUMIF(Table15[End of life],"&gt;="&amp;Table3[[#This Row],[Year]],Table15[Existing capacity
GW])</f>
        <v>37.922999999999995</v>
      </c>
      <c r="E29" s="1">
        <f>SUMIF(Table1[End of life],"&gt;="&amp;Table3[[#This Row],[Year]],Table1[Existing capacity
GW])</f>
        <v>89.2</v>
      </c>
      <c r="F29" s="1">
        <f>SUMIF(Table1[End of life],"&gt;="&amp;Table3[[#This Row],[Year]],Table1[Existing capacity
GW])</f>
        <v>89.2</v>
      </c>
    </row>
    <row r="30" spans="2:6">
      <c r="B30">
        <v>2037</v>
      </c>
      <c r="C30" s="1">
        <f>SUMIF(Table157[End of life],"&gt;="&amp;Table3[[#This Row],[Year]],Table157[Existing capacity
GW])</f>
        <v>7.9380000000000006</v>
      </c>
      <c r="D30" s="1">
        <f>SUMIF(Table15[End of life],"&gt;="&amp;Table3[[#This Row],[Year]],Table15[Existing capacity
GW])</f>
        <v>30.310999999999993</v>
      </c>
      <c r="E30" s="1">
        <f>SUMIF(Table1[End of life],"&gt;="&amp;Table3[[#This Row],[Year]],Table1[Existing capacity
GW])</f>
        <v>89.2</v>
      </c>
      <c r="F30" s="1">
        <f>SUMIF(Table1[End of life],"&gt;="&amp;Table3[[#This Row],[Year]],Table1[Existing capacity
GW])</f>
        <v>89.2</v>
      </c>
    </row>
    <row r="31" spans="2:6">
      <c r="B31">
        <v>2038</v>
      </c>
      <c r="C31" s="1">
        <f>SUMIF(Table157[End of life],"&gt;="&amp;Table3[[#This Row],[Year]],Table157[Existing capacity
GW])</f>
        <v>4.9430000000000005</v>
      </c>
      <c r="D31" s="1">
        <f>SUMIF(Table15[End of life],"&gt;="&amp;Table3[[#This Row],[Year]],Table15[Existing capacity
GW])</f>
        <v>22.543999999999997</v>
      </c>
      <c r="E31" s="1">
        <f>SUMIF(Table1[End of life],"&gt;="&amp;Table3[[#This Row],[Year]],Table1[Existing capacity
GW])</f>
        <v>88.704000000000022</v>
      </c>
      <c r="F31" s="1">
        <f>SUMIF(Table1[End of life],"&gt;="&amp;Table3[[#This Row],[Year]],Table1[Existing capacity
GW])</f>
        <v>88.704000000000022</v>
      </c>
    </row>
    <row r="32" spans="2:6">
      <c r="B32">
        <v>2039</v>
      </c>
      <c r="C32" s="1">
        <f>SUMIF(Table157[End of life],"&gt;="&amp;Table3[[#This Row],[Year]],Table157[Existing capacity
GW])</f>
        <v>4.5070000000000006</v>
      </c>
      <c r="D32" s="1">
        <f>SUMIF(Table15[End of life],"&gt;="&amp;Table3[[#This Row],[Year]],Table15[Existing capacity
GW])</f>
        <v>18.920999999999999</v>
      </c>
      <c r="E32" s="1">
        <f>SUMIF(Table1[End of life],"&gt;="&amp;Table3[[#This Row],[Year]],Table1[Existing capacity
GW])</f>
        <v>86.004000000000005</v>
      </c>
      <c r="F32" s="1">
        <f>SUMIF(Table1[End of life],"&gt;="&amp;Table3[[#This Row],[Year]],Table1[Existing capacity
GW])</f>
        <v>86.004000000000005</v>
      </c>
    </row>
    <row r="33" spans="2:6">
      <c r="B33">
        <v>2040</v>
      </c>
      <c r="C33" s="1">
        <f>SUMIF(Table157[End of life],"&gt;="&amp;Table3[[#This Row],[Year]],Table157[Existing capacity
GW])</f>
        <v>2.5760000000000001</v>
      </c>
      <c r="D33" s="1">
        <f>SUMIF(Table15[End of life],"&gt;="&amp;Table3[[#This Row],[Year]],Table15[Existing capacity
GW])</f>
        <v>18.920999999999999</v>
      </c>
      <c r="E33" s="1">
        <f>SUMIF(Table1[End of life],"&gt;="&amp;Table3[[#This Row],[Year]],Table1[Existing capacity
GW])</f>
        <v>84.244000000000014</v>
      </c>
      <c r="F33" s="1">
        <f>SUMIF(Table1[End of life],"&gt;="&amp;Table3[[#This Row],[Year]],Table1[Existing capacity
GW])</f>
        <v>84.244000000000014</v>
      </c>
    </row>
    <row r="34" spans="2:6">
      <c r="B34">
        <v>2041</v>
      </c>
      <c r="C34" s="1">
        <f>SUMIF(Table157[End of life],"&gt;="&amp;Table3[[#This Row],[Year]],Table157[Existing capacity
GW])</f>
        <v>1.613</v>
      </c>
      <c r="D34" s="1">
        <f>SUMIF(Table15[End of life],"&gt;="&amp;Table3[[#This Row],[Year]],Table15[Existing capacity
GW])</f>
        <v>14.981000000000002</v>
      </c>
      <c r="E34" s="1">
        <f>SUMIF(Table1[End of life],"&gt;="&amp;Table3[[#This Row],[Year]],Table1[Existing capacity
GW])</f>
        <v>74.48</v>
      </c>
      <c r="F34" s="1">
        <f>SUMIF(Table1[End of life],"&gt;="&amp;Table3[[#This Row],[Year]],Table1[Existing capacity
GW])</f>
        <v>74.48</v>
      </c>
    </row>
    <row r="35" spans="2:6">
      <c r="B35">
        <v>2042</v>
      </c>
      <c r="C35" s="1">
        <f>SUMIF(Table157[End of life],"&gt;="&amp;Table3[[#This Row],[Year]],Table157[Existing capacity
GW])</f>
        <v>1.613</v>
      </c>
      <c r="D35" s="1">
        <f>SUMIF(Table15[End of life],"&gt;="&amp;Table3[[#This Row],[Year]],Table15[Existing capacity
GW])</f>
        <v>12.728000000000002</v>
      </c>
      <c r="E35" s="1">
        <f>SUMIF(Table1[End of life],"&gt;="&amp;Table3[[#This Row],[Year]],Table1[Existing capacity
GW])</f>
        <v>65.535999999999987</v>
      </c>
      <c r="F35" s="1">
        <f>SUMIF(Table1[End of life],"&gt;="&amp;Table3[[#This Row],[Year]],Table1[Existing capacity
GW])</f>
        <v>65.535999999999987</v>
      </c>
    </row>
    <row r="36" spans="2:6">
      <c r="B36">
        <v>2043</v>
      </c>
      <c r="C36" s="1">
        <f>SUMIF(Table157[End of life],"&gt;="&amp;Table3[[#This Row],[Year]],Table157[Existing capacity
GW])</f>
        <v>0.65</v>
      </c>
      <c r="D36" s="1">
        <f>SUMIF(Table15[End of life],"&gt;="&amp;Table3[[#This Row],[Year]],Table15[Existing capacity
GW])</f>
        <v>11.398000000000001</v>
      </c>
      <c r="E36" s="1">
        <f>SUMIF(Table1[End of life],"&gt;="&amp;Table3[[#This Row],[Year]],Table1[Existing capacity
GW])</f>
        <v>62.310999999999993</v>
      </c>
      <c r="F36" s="1">
        <f>SUMIF(Table1[End of life],"&gt;="&amp;Table3[[#This Row],[Year]],Table1[Existing capacity
GW])</f>
        <v>62.310999999999993</v>
      </c>
    </row>
    <row r="37" spans="2:6">
      <c r="B37">
        <v>2044</v>
      </c>
      <c r="C37" s="1">
        <f>SUMIF(Table157[End of life],"&gt;="&amp;Table3[[#This Row],[Year]],Table157[Existing capacity
GW])</f>
        <v>0.65</v>
      </c>
      <c r="D37" s="1">
        <f>SUMIF(Table15[End of life],"&gt;="&amp;Table3[[#This Row],[Year]],Table15[Existing capacity
GW])</f>
        <v>10.088000000000001</v>
      </c>
      <c r="E37" s="1">
        <f>SUMIF(Table1[End of life],"&gt;="&amp;Table3[[#This Row],[Year]],Table1[Existing capacity
GW])</f>
        <v>56.664999999999992</v>
      </c>
      <c r="F37" s="1">
        <f>SUMIF(Table1[End of life],"&gt;="&amp;Table3[[#This Row],[Year]],Table1[Existing capacity
GW])</f>
        <v>56.664999999999992</v>
      </c>
    </row>
    <row r="38" spans="2:6">
      <c r="B38">
        <v>2045</v>
      </c>
      <c r="C38" s="1">
        <f>SUMIF(Table157[End of life],"&gt;="&amp;Table3[[#This Row],[Year]],Table157[Existing capacity
GW])</f>
        <v>0.65</v>
      </c>
      <c r="D38" s="1">
        <f>SUMIF(Table15[End of life],"&gt;="&amp;Table3[[#This Row],[Year]],Table15[Existing capacity
GW])</f>
        <v>10.088000000000001</v>
      </c>
      <c r="E38" s="1">
        <f>SUMIF(Table1[End of life],"&gt;="&amp;Table3[[#This Row],[Year]],Table1[Existing capacity
GW])</f>
        <v>48.398999999999994</v>
      </c>
      <c r="F38" s="1">
        <f>SUMIF(Table1[End of life],"&gt;="&amp;Table3[[#This Row],[Year]],Table1[Existing capacity
GW])</f>
        <v>48.398999999999994</v>
      </c>
    </row>
    <row r="39" spans="2:6">
      <c r="B39">
        <v>2046</v>
      </c>
      <c r="C39" s="1">
        <f>SUMIF(Table157[End of life],"&gt;="&amp;Table3[[#This Row],[Year]],Table157[Existing capacity
GW])</f>
        <v>0.65</v>
      </c>
      <c r="D39" s="1">
        <f>SUMIF(Table15[End of life],"&gt;="&amp;Table3[[#This Row],[Year]],Table15[Existing capacity
GW])</f>
        <v>10.088000000000001</v>
      </c>
      <c r="E39" s="1">
        <f>SUMIF(Table1[End of life],"&gt;="&amp;Table3[[#This Row],[Year]],Table1[Existing capacity
GW])</f>
        <v>37.922999999999995</v>
      </c>
      <c r="F39" s="1">
        <f>SUMIF(Table1[End of life],"&gt;="&amp;Table3[[#This Row],[Year]],Table1[Existing capacity
GW])</f>
        <v>37.922999999999995</v>
      </c>
    </row>
    <row r="40" spans="2:6">
      <c r="B40">
        <v>2047</v>
      </c>
      <c r="C40" s="1">
        <f>SUMIF(Table157[End of life],"&gt;="&amp;Table3[[#This Row],[Year]],Table157[Existing capacity
GW])</f>
        <v>0.65</v>
      </c>
      <c r="D40" s="1">
        <f>SUMIF(Table15[End of life],"&gt;="&amp;Table3[[#This Row],[Year]],Table15[Existing capacity
GW])</f>
        <v>7.9380000000000006</v>
      </c>
      <c r="E40" s="1">
        <f>SUMIF(Table1[End of life],"&gt;="&amp;Table3[[#This Row],[Year]],Table1[Existing capacity
GW])</f>
        <v>30.310999999999993</v>
      </c>
      <c r="F40" s="1">
        <f>SUMIF(Table1[End of life],"&gt;="&amp;Table3[[#This Row],[Year]],Table1[Existing capacity
GW])</f>
        <v>30.310999999999993</v>
      </c>
    </row>
    <row r="41" spans="2:6">
      <c r="B41">
        <v>2048</v>
      </c>
      <c r="C41" s="1">
        <f>SUMIF(Table157[End of life],"&gt;="&amp;Table3[[#This Row],[Year]],Table157[Existing capacity
GW])</f>
        <v>0</v>
      </c>
      <c r="D41" s="1">
        <f>SUMIF(Table15[End of life],"&gt;="&amp;Table3[[#This Row],[Year]],Table15[Existing capacity
GW])</f>
        <v>4.9430000000000005</v>
      </c>
      <c r="E41" s="1">
        <f>SUMIF(Table1[End of life],"&gt;="&amp;Table3[[#This Row],[Year]],Table1[Existing capacity
GW])</f>
        <v>22.543999999999997</v>
      </c>
      <c r="F41" s="1">
        <f>SUMIF(Table1[End of life],"&gt;="&amp;Table3[[#This Row],[Year]],Table1[Existing capacity
GW])</f>
        <v>22.543999999999997</v>
      </c>
    </row>
    <row r="42" spans="2:6">
      <c r="B42">
        <v>2049</v>
      </c>
      <c r="C42" s="1">
        <f>SUMIF(Table157[End of life],"&gt;="&amp;Table3[[#This Row],[Year]],Table157[Existing capacity
GW])</f>
        <v>0</v>
      </c>
      <c r="D42" s="1">
        <f>SUMIF(Table15[End of life],"&gt;="&amp;Table3[[#This Row],[Year]],Table15[Existing capacity
GW])</f>
        <v>4.5070000000000006</v>
      </c>
      <c r="E42" s="1">
        <f>SUMIF(Table1[End of life],"&gt;="&amp;Table3[[#This Row],[Year]],Table1[Existing capacity
GW])</f>
        <v>18.920999999999999</v>
      </c>
      <c r="F42" s="1">
        <f>SUMIF(Table1[End of life],"&gt;="&amp;Table3[[#This Row],[Year]],Table1[Existing capacity
GW])</f>
        <v>18.920999999999999</v>
      </c>
    </row>
    <row r="43" spans="2:6">
      <c r="B43">
        <v>2050</v>
      </c>
      <c r="C43" s="1">
        <f>SUMIF(Table157[End of life],"&gt;="&amp;Table3[[#This Row],[Year]],Table157[Existing capacity
GW])</f>
        <v>0</v>
      </c>
      <c r="D43" s="1">
        <f>SUMIF(Table15[End of life],"&gt;="&amp;Table3[[#This Row],[Year]],Table15[Existing capacity
GW])</f>
        <v>2.5760000000000001</v>
      </c>
      <c r="E43" s="1">
        <f>SUMIF(Table1[End of life],"&gt;="&amp;Table3[[#This Row],[Year]],Table1[Existing capacity
GW])</f>
        <v>18.920999999999999</v>
      </c>
      <c r="F43" s="1">
        <f>SUMIF(Table1[End of life],"&gt;="&amp;Table3[[#This Row],[Year]],Table1[Existing capacity
GW])</f>
        <v>18.920999999999999</v>
      </c>
    </row>
  </sheetData>
  <pageMargins left="0.7" right="0.7" top="0.75" bottom="0.75" header="0.3" footer="0.3"/>
  <pageSetup orientation="portrait" horizontalDpi="1200" verticalDpi="1200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0">
    <tabColor theme="5" tint="-0.249977111117893"/>
    <pageSetUpPr fitToPage="1"/>
  </sheetPr>
  <dimension ref="A1:M155"/>
  <sheetViews>
    <sheetView zoomScaleNormal="100" workbookViewId="0">
      <pane xSplit="3" ySplit="1" topLeftCell="D2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RowHeight="15"/>
  <cols>
    <col min="1" max="1" width="10.7109375" bestFit="1" customWidth="1"/>
    <col min="3" max="3" width="11.7109375" bestFit="1" customWidth="1"/>
    <col min="4" max="4" width="32.28515625" bestFit="1" customWidth="1"/>
    <col min="5" max="5" width="14" bestFit="1" customWidth="1"/>
    <col min="6" max="6" width="14.140625" bestFit="1" customWidth="1"/>
    <col min="7" max="7" width="14.140625" customWidth="1"/>
    <col min="8" max="8" width="9.5703125" bestFit="1" customWidth="1"/>
    <col min="9" max="10" width="14.5703125" bestFit="1" customWidth="1"/>
    <col min="11" max="11" width="20.140625" bestFit="1" customWidth="1"/>
    <col min="12" max="12" width="43.42578125" customWidth="1"/>
    <col min="13" max="13" width="108.85546875" bestFit="1" customWidth="1"/>
  </cols>
  <sheetData>
    <row r="1" spans="1:13" s="5" customFormat="1" ht="44.25" customHeight="1">
      <c r="A1" s="3" t="s">
        <v>195</v>
      </c>
      <c r="C1" s="2" t="s">
        <v>206</v>
      </c>
      <c r="D1" s="2" t="s">
        <v>0</v>
      </c>
      <c r="E1" s="2" t="s">
        <v>2</v>
      </c>
      <c r="F1" s="2" t="s">
        <v>196</v>
      </c>
      <c r="G1" s="2" t="s">
        <v>200</v>
      </c>
      <c r="H1" s="2" t="s">
        <v>198</v>
      </c>
      <c r="I1" s="2" t="s">
        <v>203</v>
      </c>
      <c r="J1" s="2" t="s">
        <v>199</v>
      </c>
      <c r="K1" s="2" t="s">
        <v>197</v>
      </c>
      <c r="L1" s="2" t="s">
        <v>172</v>
      </c>
      <c r="M1" s="2" t="s">
        <v>184</v>
      </c>
    </row>
    <row r="2" spans="1:13" ht="26.25">
      <c r="A2" s="4">
        <v>40</v>
      </c>
      <c r="C2" t="s">
        <v>4</v>
      </c>
      <c r="D2" t="s">
        <v>5</v>
      </c>
      <c r="E2">
        <v>1974</v>
      </c>
      <c r="F2" s="6">
        <v>1.3464164759725401</v>
      </c>
      <c r="G2" s="6" t="s">
        <v>201</v>
      </c>
      <c r="H2">
        <f>IF(Table157[[#This Row],[Lifetime Option]]="fixed",Table157[[#This Row],[End of life (fixed)]]-Table157[[#This Row],[Start year]],Table268[Generic  Lifetime])</f>
        <v>51</v>
      </c>
      <c r="I2">
        <v>2025</v>
      </c>
      <c r="J2">
        <f>IF(Table157[[#This Row],[Lifetime Option]]="fixed",Table157[[#This Row],[End of life (fixed)]],Table157[[#This Row],[Start year]]+Table268[Generic  Lifetime])</f>
        <v>2025</v>
      </c>
      <c r="K2">
        <v>0.433</v>
      </c>
      <c r="M2" s="7" t="s">
        <v>173</v>
      </c>
    </row>
    <row r="3" spans="1:13" ht="26.25">
      <c r="C3" t="s">
        <v>4</v>
      </c>
      <c r="D3" t="s">
        <v>6</v>
      </c>
      <c r="E3">
        <v>1975</v>
      </c>
      <c r="F3" s="6">
        <v>1.3464164759725401</v>
      </c>
      <c r="G3" s="6" t="s">
        <v>201</v>
      </c>
      <c r="H3">
        <f>IF(Table157[[#This Row],[Lifetime Option]]="fixed",Table157[[#This Row],[End of life (fixed)]]-Table157[[#This Row],[Start year]],Table268[Generic  Lifetime])</f>
        <v>50</v>
      </c>
      <c r="I3">
        <v>2025</v>
      </c>
      <c r="J3">
        <f>IF(Table157[[#This Row],[Lifetime Option]]="fixed",Table157[[#This Row],[End of life (fixed)]],Table157[[#This Row],[Start year]]+Table268[Generic  Lifetime])</f>
        <v>2025</v>
      </c>
      <c r="K3">
        <v>0.433</v>
      </c>
      <c r="M3" s="7" t="s">
        <v>173</v>
      </c>
    </row>
    <row r="4" spans="1:13">
      <c r="C4" t="s">
        <v>4</v>
      </c>
      <c r="D4" t="s">
        <v>7</v>
      </c>
      <c r="E4">
        <v>1982</v>
      </c>
      <c r="F4" s="6">
        <v>1.46387740667976</v>
      </c>
      <c r="G4" s="6" t="s">
        <v>201</v>
      </c>
      <c r="H4">
        <f>IF(Table157[[#This Row],[Lifetime Option]]="fixed",Table157[[#This Row],[End of life (fixed)]]-Table157[[#This Row],[Start year]],Table268[Generic  Lifetime])</f>
        <v>40</v>
      </c>
      <c r="I4">
        <v>2022</v>
      </c>
      <c r="J4">
        <f>IF(Table157[[#This Row],[Lifetime Option]]="fixed",Table157[[#This Row],[End of life (fixed)]],Table157[[#This Row],[Start year]]+Table268[Generic  Lifetime])</f>
        <v>2022</v>
      </c>
      <c r="K4">
        <v>1.006</v>
      </c>
      <c r="L4" t="s">
        <v>185</v>
      </c>
      <c r="M4" s="7" t="s">
        <v>175</v>
      </c>
    </row>
    <row r="5" spans="1:13">
      <c r="C5" t="s">
        <v>4</v>
      </c>
      <c r="D5" t="s">
        <v>8</v>
      </c>
      <c r="E5">
        <v>1985</v>
      </c>
      <c r="F5" s="6">
        <v>1.4183132530120499</v>
      </c>
      <c r="G5" s="6" t="s">
        <v>201</v>
      </c>
      <c r="H5">
        <f>IF(Table157[[#This Row],[Lifetime Option]]="fixed",Table157[[#This Row],[End of life (fixed)]]-Table157[[#This Row],[Start year]],Table268[Generic  Lifetime])</f>
        <v>40</v>
      </c>
      <c r="I5">
        <v>2025</v>
      </c>
      <c r="J5">
        <f>IF(Table157[[#This Row],[Lifetime Option]]="fixed",Table157[[#This Row],[End of life (fixed)]],Table157[[#This Row],[Start year]]+Table268[Generic  Lifetime])</f>
        <v>2025</v>
      </c>
      <c r="K5">
        <v>1.0389999999999999</v>
      </c>
      <c r="M5" s="8"/>
    </row>
    <row r="6" spans="1:13">
      <c r="C6" t="s">
        <v>4</v>
      </c>
      <c r="D6" t="s">
        <v>9</v>
      </c>
      <c r="E6">
        <v>1975</v>
      </c>
      <c r="F6" s="6">
        <v>1.3654688478941901</v>
      </c>
      <c r="G6" s="6" t="s">
        <v>201</v>
      </c>
      <c r="H6">
        <f>IF(Table157[[#This Row],[Lifetime Option]]="fixed",Table157[[#This Row],[End of life (fixed)]]-Table157[[#This Row],[Start year]],Table268[Generic  Lifetime])</f>
        <v>50</v>
      </c>
      <c r="I6">
        <v>2025</v>
      </c>
      <c r="J6">
        <f>IF(Table157[[#This Row],[Lifetime Option]]="fixed",Table157[[#This Row],[End of life (fixed)]],Table157[[#This Row],[Start year]]+Table268[Generic  Lifetime])</f>
        <v>2025</v>
      </c>
      <c r="K6">
        <v>0.96199999999999997</v>
      </c>
      <c r="M6" s="7" t="s">
        <v>174</v>
      </c>
    </row>
    <row r="7" spans="1:13">
      <c r="C7" t="s">
        <v>4</v>
      </c>
      <c r="D7" t="s">
        <v>10</v>
      </c>
      <c r="E7">
        <v>1982</v>
      </c>
      <c r="F7" s="6">
        <v>1.3387206266318501</v>
      </c>
      <c r="G7" s="6" t="s">
        <v>201</v>
      </c>
      <c r="H7">
        <f>IF(Table157[[#This Row],[Lifetime Option]]="fixed",Table157[[#This Row],[End of life (fixed)]]-Table157[[#This Row],[Start year]],Table268[Generic  Lifetime])</f>
        <v>40</v>
      </c>
      <c r="I7">
        <v>2022</v>
      </c>
      <c r="J7">
        <f>IF(Table157[[#This Row],[Lifetime Option]]="fixed",Table157[[#This Row],[End of life (fixed)]],Table157[[#This Row],[Start year]]+Table268[Generic  Lifetime])</f>
        <v>2022</v>
      </c>
      <c r="K7">
        <v>1.008</v>
      </c>
      <c r="L7" t="s">
        <v>185</v>
      </c>
      <c r="M7" s="7" t="s">
        <v>175</v>
      </c>
    </row>
    <row r="8" spans="1:13">
      <c r="C8" t="s">
        <v>4</v>
      </c>
      <c r="D8" t="s">
        <v>11</v>
      </c>
      <c r="E8">
        <v>1985</v>
      </c>
      <c r="F8" s="6">
        <v>1.417824</v>
      </c>
      <c r="G8" s="6" t="s">
        <v>201</v>
      </c>
      <c r="H8">
        <f>IF(Table157[[#This Row],[Lifetime Option]]="fixed",Table157[[#This Row],[End of life (fixed)]]-Table157[[#This Row],[Start year]],Table268[Generic  Lifetime])</f>
        <v>40</v>
      </c>
      <c r="I8">
        <v>2025</v>
      </c>
      <c r="J8">
        <f>IF(Table157[[#This Row],[Lifetime Option]]="fixed",Table157[[#This Row],[End of life (fixed)]],Table157[[#This Row],[Start year]]+Table268[Generic  Lifetime])</f>
        <v>2025</v>
      </c>
      <c r="K8">
        <v>1.046</v>
      </c>
      <c r="M8" s="8"/>
    </row>
    <row r="9" spans="1:13">
      <c r="C9" t="s">
        <v>12</v>
      </c>
      <c r="D9" t="s">
        <v>13</v>
      </c>
      <c r="E9">
        <v>1980</v>
      </c>
      <c r="F9" s="6">
        <v>0.77</v>
      </c>
      <c r="G9" s="6" t="s">
        <v>201</v>
      </c>
      <c r="H9">
        <f>IF(Table157[[#This Row],[Lifetime Option]]="fixed",Table157[[#This Row],[End of life (fixed)]]-Table157[[#This Row],[Start year]],Table268[Generic  Lifetime])</f>
        <v>26</v>
      </c>
      <c r="I9">
        <v>2006</v>
      </c>
      <c r="J9">
        <f>IF(Table157[[#This Row],[Lifetime Option]]="fixed",Table157[[#This Row],[End of life (fixed)]],Table157[[#This Row],[Start year]]+Table268[Generic  Lifetime])</f>
        <v>2006</v>
      </c>
      <c r="K9">
        <v>0.40799999999999997</v>
      </c>
      <c r="L9" t="s">
        <v>186</v>
      </c>
      <c r="M9" s="8"/>
    </row>
    <row r="10" spans="1:13">
      <c r="C10" t="s">
        <v>12</v>
      </c>
      <c r="D10" t="s">
        <v>14</v>
      </c>
      <c r="E10">
        <v>1982</v>
      </c>
      <c r="F10" s="6">
        <v>0.77</v>
      </c>
      <c r="G10" s="6" t="s">
        <v>201</v>
      </c>
      <c r="H10">
        <f>IF(Table157[[#This Row],[Lifetime Option]]="fixed",Table157[[#This Row],[End of life (fixed)]]-Table157[[#This Row],[Start year]],Table268[Generic  Lifetime])</f>
        <v>24</v>
      </c>
      <c r="I10">
        <v>2006</v>
      </c>
      <c r="J10">
        <f>IF(Table157[[#This Row],[Lifetime Option]]="fixed",Table157[[#This Row],[End of life (fixed)]],Table157[[#This Row],[Start year]]+Table268[Generic  Lifetime])</f>
        <v>2006</v>
      </c>
      <c r="K10">
        <v>0.40799999999999997</v>
      </c>
      <c r="L10" t="s">
        <v>186</v>
      </c>
      <c r="M10" s="8"/>
    </row>
    <row r="11" spans="1:13">
      <c r="C11" t="s">
        <v>12</v>
      </c>
      <c r="D11" t="s">
        <v>15</v>
      </c>
      <c r="E11">
        <v>1987</v>
      </c>
      <c r="F11" s="6">
        <v>0.77759999999999996</v>
      </c>
      <c r="G11" s="6" t="s">
        <v>202</v>
      </c>
      <c r="H11">
        <f>IF(Table157[[#This Row],[Lifetime Option]]="fixed",Table157[[#This Row],[End of life (fixed)]]-Table157[[#This Row],[Start year]],Table268[Generic  Lifetime])</f>
        <v>40</v>
      </c>
      <c r="J11">
        <f>IF(Table157[[#This Row],[Lifetime Option]]="fixed",Table157[[#This Row],[End of life (fixed)]],Table157[[#This Row],[Start year]]+Table268[Generic  Lifetime])</f>
        <v>2027</v>
      </c>
      <c r="K11">
        <v>0.95299999999999996</v>
      </c>
      <c r="M11" s="7" t="s">
        <v>177</v>
      </c>
    </row>
    <row r="12" spans="1:13">
      <c r="C12" t="s">
        <v>12</v>
      </c>
      <c r="D12" t="s">
        <v>16</v>
      </c>
      <c r="E12">
        <v>1991</v>
      </c>
      <c r="F12" s="6">
        <v>0.77759999999999996</v>
      </c>
      <c r="G12" s="6" t="s">
        <v>202</v>
      </c>
      <c r="H12">
        <f>IF(Table157[[#This Row],[Lifetime Option]]="fixed",Table157[[#This Row],[End of life (fixed)]]-Table157[[#This Row],[Start year]],Table268[Generic  Lifetime])</f>
        <v>40</v>
      </c>
      <c r="J12">
        <f>IF(Table157[[#This Row],[Lifetime Option]]="fixed",Table157[[#This Row],[End of life (fixed)]],Table157[[#This Row],[Start year]]+Table268[Generic  Lifetime])</f>
        <v>2031</v>
      </c>
      <c r="K12">
        <v>0.95299999999999996</v>
      </c>
      <c r="M12" s="7" t="s">
        <v>177</v>
      </c>
    </row>
    <row r="13" spans="1:13">
      <c r="C13" t="s">
        <v>17</v>
      </c>
      <c r="D13" t="s">
        <v>18</v>
      </c>
      <c r="E13">
        <v>1969</v>
      </c>
      <c r="F13" s="6">
        <v>1.22030442477876</v>
      </c>
      <c r="G13" s="6" t="s">
        <v>201</v>
      </c>
      <c r="H13">
        <f>IF(Table157[[#This Row],[Lifetime Option]]="fixed",Table157[[#This Row],[End of life (fixed)]]-Table157[[#This Row],[Start year]],Table268[Generic  Lifetime])</f>
        <v>50</v>
      </c>
      <c r="I13">
        <v>2019</v>
      </c>
      <c r="J13">
        <f>IF(Table157[[#This Row],[Lifetime Option]]="fixed",Table157[[#This Row],[End of life (fixed)]],Table157[[#This Row],[Start year]]+Table268[Generic  Lifetime])</f>
        <v>2019</v>
      </c>
      <c r="K13">
        <v>0.36499999999999999</v>
      </c>
      <c r="L13" t="s">
        <v>205</v>
      </c>
      <c r="M13" s="7" t="s">
        <v>204</v>
      </c>
    </row>
    <row r="14" spans="1:13">
      <c r="C14" t="s">
        <v>17</v>
      </c>
      <c r="D14" t="s">
        <v>19</v>
      </c>
      <c r="E14">
        <v>1971</v>
      </c>
      <c r="F14" s="6">
        <v>1.22030442477876</v>
      </c>
      <c r="G14" s="6" t="s">
        <v>201</v>
      </c>
      <c r="H14">
        <f>IF(Table157[[#This Row],[Lifetime Option]]="fixed",Table157[[#This Row],[End of life (fixed)]]-Table157[[#This Row],[Start year]],Table268[Generic  Lifetime])</f>
        <v>50</v>
      </c>
      <c r="I14">
        <v>2021</v>
      </c>
      <c r="J14">
        <f>IF(Table157[[#This Row],[Lifetime Option]]="fixed",Table157[[#This Row],[End of life (fixed)]],Table157[[#This Row],[Start year]]+Table268[Generic  Lifetime])</f>
        <v>2021</v>
      </c>
      <c r="K14">
        <v>0.36499999999999999</v>
      </c>
      <c r="L14" t="s">
        <v>205</v>
      </c>
      <c r="M14" s="7" t="s">
        <v>204</v>
      </c>
    </row>
    <row r="15" spans="1:13">
      <c r="C15" t="s">
        <v>17</v>
      </c>
      <c r="D15" t="s">
        <v>20</v>
      </c>
      <c r="E15">
        <v>1979</v>
      </c>
      <c r="F15" s="6">
        <v>1.54898334443704</v>
      </c>
      <c r="G15" s="6" t="s">
        <v>201</v>
      </c>
      <c r="H15">
        <f>IF(Table157[[#This Row],[Lifetime Option]]="fixed",Table157[[#This Row],[End of life (fixed)]]-Table157[[#This Row],[Start year]],Table268[Generic  Lifetime])</f>
        <v>50</v>
      </c>
      <c r="I15">
        <v>2029</v>
      </c>
      <c r="J15">
        <f>IF(Table157[[#This Row],[Lifetime Option]]="fixed",Table157[[#This Row],[End of life (fixed)]],Table157[[#This Row],[Start year]]+Table268[Generic  Lifetime])</f>
        <v>2029</v>
      </c>
      <c r="K15">
        <v>0.98499999999999999</v>
      </c>
      <c r="L15" t="s">
        <v>205</v>
      </c>
      <c r="M15" s="7" t="s">
        <v>204</v>
      </c>
    </row>
    <row r="16" spans="1:13">
      <c r="C16" t="s">
        <v>17</v>
      </c>
      <c r="D16" t="s">
        <v>21</v>
      </c>
      <c r="E16">
        <v>1984</v>
      </c>
      <c r="F16" s="6">
        <v>1.28484</v>
      </c>
      <c r="G16" s="6" t="s">
        <v>201</v>
      </c>
      <c r="H16">
        <f>IF(Table157[[#This Row],[Lifetime Option]]="fixed",Table157[[#This Row],[End of life (fixed)]]-Table157[[#This Row],[Start year]],Table268[Generic  Lifetime])</f>
        <v>50</v>
      </c>
      <c r="I16">
        <v>2034</v>
      </c>
      <c r="J16">
        <f>IF(Table157[[#This Row],[Lifetime Option]]="fixed",Table157[[#This Row],[End of life (fixed)]],Table157[[#This Row],[Start year]]+Table268[Generic  Lifetime])</f>
        <v>2034</v>
      </c>
      <c r="K16">
        <v>1.22</v>
      </c>
      <c r="L16" t="s">
        <v>205</v>
      </c>
      <c r="M16" s="7" t="s">
        <v>204</v>
      </c>
    </row>
    <row r="17" spans="3:13">
      <c r="C17" t="s">
        <v>17</v>
      </c>
      <c r="D17" t="s">
        <v>22</v>
      </c>
      <c r="E17">
        <v>1971</v>
      </c>
      <c r="F17" s="6">
        <v>1.4743919781221499</v>
      </c>
      <c r="G17" s="6" t="s">
        <v>201</v>
      </c>
      <c r="H17">
        <f>IF(Table157[[#This Row],[Lifetime Option]]="fixed",Table157[[#This Row],[End of life (fixed)]]-Table157[[#This Row],[Start year]],Table268[Generic  Lifetime])</f>
        <v>48</v>
      </c>
      <c r="I17">
        <v>2019</v>
      </c>
      <c r="J17">
        <f>IF(Table157[[#This Row],[Lifetime Option]]="fixed",Table157[[#This Row],[End of life (fixed)]],Table157[[#This Row],[Start year]]+Table268[Generic  Lifetime])</f>
        <v>2019</v>
      </c>
      <c r="K17">
        <v>0.373</v>
      </c>
      <c r="L17" t="s">
        <v>205</v>
      </c>
      <c r="M17" s="7" t="s">
        <v>204</v>
      </c>
    </row>
    <row r="18" spans="3:13">
      <c r="C18" t="s">
        <v>23</v>
      </c>
      <c r="D18" t="s">
        <v>24</v>
      </c>
      <c r="E18">
        <v>1985</v>
      </c>
      <c r="F18" s="6">
        <v>1.2607488</v>
      </c>
      <c r="G18" s="6" t="s">
        <v>202</v>
      </c>
      <c r="H18">
        <f>IF(Table157[[#This Row],[Lifetime Option]]="fixed",Table157[[#This Row],[End of life (fixed)]]-Table157[[#This Row],[Start year]],Table268[Generic  Lifetime])</f>
        <v>40</v>
      </c>
      <c r="J18">
        <f>IF(Table157[[#This Row],[Lifetime Option]]="fixed",Table157[[#This Row],[End of life (fixed)]],Table157[[#This Row],[Start year]]+Table268[Generic  Lifetime])</f>
        <v>2025</v>
      </c>
      <c r="K18">
        <v>0.46800000000000003</v>
      </c>
      <c r="M18" s="7" t="s">
        <v>180</v>
      </c>
    </row>
    <row r="19" spans="3:13">
      <c r="C19" t="s">
        <v>23</v>
      </c>
      <c r="D19" t="s">
        <v>25</v>
      </c>
      <c r="E19">
        <v>1986</v>
      </c>
      <c r="F19" s="6">
        <v>1.2607488</v>
      </c>
      <c r="G19" s="6" t="s">
        <v>202</v>
      </c>
      <c r="H19">
        <f>IF(Table157[[#This Row],[Lifetime Option]]="fixed",Table157[[#This Row],[End of life (fixed)]]-Table157[[#This Row],[Start year]],Table268[Generic  Lifetime])</f>
        <v>40</v>
      </c>
      <c r="J19">
        <f>IF(Table157[[#This Row],[Lifetime Option]]="fixed",Table157[[#This Row],[End of life (fixed)]],Table157[[#This Row],[Start year]]+Table268[Generic  Lifetime])</f>
        <v>2026</v>
      </c>
      <c r="K19">
        <v>0.47099999999999997</v>
      </c>
      <c r="M19" s="8"/>
    </row>
    <row r="20" spans="3:13">
      <c r="C20" t="s">
        <v>23</v>
      </c>
      <c r="D20" t="s">
        <v>26</v>
      </c>
      <c r="E20">
        <v>1986</v>
      </c>
      <c r="F20" s="6">
        <v>1.3110781163434899</v>
      </c>
      <c r="G20" s="6" t="s">
        <v>202</v>
      </c>
      <c r="H20">
        <f>IF(Table157[[#This Row],[Lifetime Option]]="fixed",Table157[[#This Row],[End of life (fixed)]]-Table157[[#This Row],[Start year]],Table268[Generic  Lifetime])</f>
        <v>40</v>
      </c>
      <c r="J20">
        <f>IF(Table157[[#This Row],[Lifetime Option]]="fixed",Table157[[#This Row],[End of life (fixed)]],Table157[[#This Row],[Start year]]+Table268[Generic  Lifetime])</f>
        <v>2026</v>
      </c>
      <c r="K20">
        <v>0.46800000000000003</v>
      </c>
      <c r="M20" s="8"/>
    </row>
    <row r="21" spans="3:13">
      <c r="C21" t="s">
        <v>23</v>
      </c>
      <c r="D21" t="s">
        <v>27</v>
      </c>
      <c r="E21">
        <v>1987</v>
      </c>
      <c r="F21" s="6">
        <v>1.2607488</v>
      </c>
      <c r="G21" s="6" t="s">
        <v>202</v>
      </c>
      <c r="H21">
        <f>IF(Table157[[#This Row],[Lifetime Option]]="fixed",Table157[[#This Row],[End of life (fixed)]]-Table157[[#This Row],[Start year]],Table268[Generic  Lifetime])</f>
        <v>40</v>
      </c>
      <c r="J21">
        <f>IF(Table157[[#This Row],[Lifetime Option]]="fixed",Table157[[#This Row],[End of life (fixed)]],Table157[[#This Row],[Start year]]+Table268[Generic  Lifetime])</f>
        <v>2027</v>
      </c>
      <c r="K21">
        <v>0.47099999999999997</v>
      </c>
      <c r="M21" s="8"/>
    </row>
    <row r="22" spans="3:13">
      <c r="C22" t="s">
        <v>23</v>
      </c>
      <c r="D22" t="s">
        <v>28</v>
      </c>
      <c r="E22">
        <v>2000</v>
      </c>
      <c r="F22" s="6">
        <v>1.312848</v>
      </c>
      <c r="G22" s="6" t="s">
        <v>202</v>
      </c>
      <c r="H22">
        <f>IF(Table157[[#This Row],[Lifetime Option]]="fixed",Table157[[#This Row],[End of life (fixed)]]-Table157[[#This Row],[Start year]],Table268[Generic  Lifetime])</f>
        <v>40</v>
      </c>
      <c r="J22">
        <f>IF(Table157[[#This Row],[Lifetime Option]]="fixed",Table157[[#This Row],[End of life (fixed)]],Table157[[#This Row],[Start year]]+Table268[Generic  Lifetime])</f>
        <v>2040</v>
      </c>
      <c r="K22">
        <v>0.96299999999999997</v>
      </c>
      <c r="M22" s="8"/>
    </row>
    <row r="23" spans="3:13">
      <c r="C23" t="s">
        <v>23</v>
      </c>
      <c r="D23" t="s">
        <v>29</v>
      </c>
      <c r="E23">
        <v>2002</v>
      </c>
      <c r="F23" s="6">
        <v>1.312848</v>
      </c>
      <c r="G23" s="6" t="s">
        <v>202</v>
      </c>
      <c r="H23">
        <f>IF(Table157[[#This Row],[Lifetime Option]]="fixed",Table157[[#This Row],[End of life (fixed)]]-Table157[[#This Row],[Start year]],Table268[Generic  Lifetime])</f>
        <v>40</v>
      </c>
      <c r="J23">
        <f>IF(Table157[[#This Row],[Lifetime Option]]="fixed",Table157[[#This Row],[End of life (fixed)]],Table157[[#This Row],[Start year]]+Table268[Generic  Lifetime])</f>
        <v>2042</v>
      </c>
      <c r="K23">
        <v>0.96299999999999997</v>
      </c>
      <c r="M23" s="8"/>
    </row>
    <row r="24" spans="3:13">
      <c r="C24" t="s">
        <v>1</v>
      </c>
      <c r="D24" t="s">
        <v>30</v>
      </c>
      <c r="E24">
        <v>1974</v>
      </c>
      <c r="F24" s="6">
        <v>0.94089599999999995</v>
      </c>
      <c r="G24" s="6" t="s">
        <v>201</v>
      </c>
      <c r="H24">
        <f>IF(Table157[[#This Row],[Lifetime Option]]="fixed",Table157[[#This Row],[End of life (fixed)]]-Table157[[#This Row],[Start year]],Table268[Generic  Lifetime])</f>
        <v>37</v>
      </c>
      <c r="I24">
        <v>2011</v>
      </c>
      <c r="J24">
        <f>IF(Table157[[#This Row],[Lifetime Option]]="fixed",Table157[[#This Row],[End of life (fixed)]],Table157[[#This Row],[Start year]]+Table268[Generic  Lifetime])</f>
        <v>2011</v>
      </c>
      <c r="K24">
        <v>1.167</v>
      </c>
      <c r="L24" t="s">
        <v>186</v>
      </c>
      <c r="M24" s="8"/>
    </row>
    <row r="25" spans="3:13">
      <c r="C25" t="s">
        <v>1</v>
      </c>
      <c r="D25" t="s">
        <v>31</v>
      </c>
      <c r="E25">
        <v>1976</v>
      </c>
      <c r="F25" s="6">
        <v>0.94089599999999995</v>
      </c>
      <c r="G25" s="6" t="s">
        <v>201</v>
      </c>
      <c r="H25">
        <f>IF(Table157[[#This Row],[Lifetime Option]]="fixed",Table157[[#This Row],[End of life (fixed)]]-Table157[[#This Row],[Start year]],Table268[Generic  Lifetime])</f>
        <v>35</v>
      </c>
      <c r="I25">
        <v>2011</v>
      </c>
      <c r="J25">
        <f>IF(Table157[[#This Row],[Lifetime Option]]="fixed",Table157[[#This Row],[End of life (fixed)]],Table157[[#This Row],[Start year]]+Table268[Generic  Lifetime])</f>
        <v>2011</v>
      </c>
      <c r="K25">
        <v>1.24</v>
      </c>
      <c r="L25" t="s">
        <v>186</v>
      </c>
      <c r="M25" s="8"/>
    </row>
    <row r="26" spans="3:13">
      <c r="C26" t="s">
        <v>1</v>
      </c>
      <c r="D26" t="s">
        <v>32</v>
      </c>
      <c r="E26">
        <v>1986</v>
      </c>
      <c r="F26" s="6">
        <v>1.11478153846154</v>
      </c>
      <c r="G26" s="6" t="s">
        <v>201</v>
      </c>
      <c r="H26">
        <f>IF(Table157[[#This Row],[Lifetime Option]]="fixed",Table157[[#This Row],[End of life (fixed)]]-Table157[[#This Row],[Start year]],Table268[Generic  Lifetime])</f>
        <v>35</v>
      </c>
      <c r="I26">
        <v>2021</v>
      </c>
      <c r="J26">
        <f>IF(Table157[[#This Row],[Lifetime Option]]="fixed",Table157[[#This Row],[End of life (fixed)]],Table157[[#This Row],[Start year]]+Table268[Generic  Lifetime])</f>
        <v>2021</v>
      </c>
      <c r="K26">
        <v>1.41</v>
      </c>
      <c r="M26" s="8"/>
    </row>
    <row r="27" spans="3:13">
      <c r="C27" t="s">
        <v>1</v>
      </c>
      <c r="D27" t="s">
        <v>33</v>
      </c>
      <c r="E27">
        <v>1976</v>
      </c>
      <c r="F27" s="6">
        <v>0.91238399999999997</v>
      </c>
      <c r="G27" s="6" t="s">
        <v>201</v>
      </c>
      <c r="H27">
        <f>IF(Table157[[#This Row],[Lifetime Option]]="fixed",Table157[[#This Row],[End of life (fixed)]]-Table157[[#This Row],[Start year]],Table268[Generic  Lifetime])</f>
        <v>35</v>
      </c>
      <c r="I27">
        <v>2011</v>
      </c>
      <c r="J27">
        <f>IF(Table157[[#This Row],[Lifetime Option]]="fixed",Table157[[#This Row],[End of life (fixed)]],Table157[[#This Row],[Start year]]+Table268[Generic  Lifetime])</f>
        <v>2011</v>
      </c>
      <c r="K27">
        <v>0.77100000000000002</v>
      </c>
      <c r="L27" t="s">
        <v>186</v>
      </c>
      <c r="M27" s="8"/>
    </row>
    <row r="28" spans="3:13">
      <c r="C28" t="s">
        <v>1</v>
      </c>
      <c r="D28" t="s">
        <v>34</v>
      </c>
      <c r="E28">
        <v>1988</v>
      </c>
      <c r="F28" s="6">
        <v>1.0053818181818199</v>
      </c>
      <c r="G28" s="6" t="s">
        <v>201</v>
      </c>
      <c r="H28">
        <f>IF(Table157[[#This Row],[Lifetime Option]]="fixed",Table157[[#This Row],[End of life (fixed)]]-Table157[[#This Row],[Start year]],Table268[Generic  Lifetime])</f>
        <v>34</v>
      </c>
      <c r="I28">
        <v>2022</v>
      </c>
      <c r="J28">
        <f>IF(Table157[[#This Row],[Lifetime Option]]="fixed",Table157[[#This Row],[End of life (fixed)]],Table157[[#This Row],[Start year]]+Table268[Generic  Lifetime])</f>
        <v>2022</v>
      </c>
      <c r="K28">
        <v>1.335</v>
      </c>
      <c r="M28" s="8" t="s">
        <v>181</v>
      </c>
    </row>
    <row r="29" spans="3:13">
      <c r="C29" t="s">
        <v>1</v>
      </c>
      <c r="D29" t="s">
        <v>35</v>
      </c>
      <c r="E29">
        <v>1981</v>
      </c>
      <c r="F29" s="6">
        <v>1.04942151394422</v>
      </c>
      <c r="G29" s="6" t="s">
        <v>201</v>
      </c>
      <c r="H29">
        <f>IF(Table157[[#This Row],[Lifetime Option]]="fixed",Table157[[#This Row],[End of life (fixed)]]-Table157[[#This Row],[Start year]],Table268[Generic  Lifetime])</f>
        <v>34</v>
      </c>
      <c r="I29">
        <v>2015</v>
      </c>
      <c r="J29">
        <f>IF(Table157[[#This Row],[Lifetime Option]]="fixed",Table157[[#This Row],[End of life (fixed)]],Table157[[#This Row],[Start year]]+Table268[Generic  Lifetime])</f>
        <v>2015</v>
      </c>
      <c r="K29">
        <v>1.2749999999999999</v>
      </c>
      <c r="L29" t="s">
        <v>186</v>
      </c>
      <c r="M29" s="8"/>
    </row>
    <row r="30" spans="3:13">
      <c r="C30" t="s">
        <v>1</v>
      </c>
      <c r="D30" t="s">
        <v>36</v>
      </c>
      <c r="E30">
        <v>1984</v>
      </c>
      <c r="F30" s="6">
        <v>1.0771200000000001</v>
      </c>
      <c r="G30" s="6" t="s">
        <v>201</v>
      </c>
      <c r="H30">
        <f>IF(Table157[[#This Row],[Lifetime Option]]="fixed",Table157[[#This Row],[End of life (fixed)]]-Table157[[#This Row],[Start year]],Table268[Generic  Lifetime])</f>
        <v>37</v>
      </c>
      <c r="I30">
        <v>2021</v>
      </c>
      <c r="J30">
        <f>IF(Table157[[#This Row],[Lifetime Option]]="fixed",Table157[[#This Row],[End of life (fixed)]],Table157[[#This Row],[Start year]]+Table268[Generic  Lifetime])</f>
        <v>2021</v>
      </c>
      <c r="K30">
        <v>1.36</v>
      </c>
      <c r="M30" s="8"/>
    </row>
    <row r="31" spans="3:13">
      <c r="C31" t="s">
        <v>1</v>
      </c>
      <c r="D31" t="s">
        <v>37</v>
      </c>
      <c r="E31">
        <v>1984</v>
      </c>
      <c r="F31" s="6">
        <v>0.83160000000000001</v>
      </c>
      <c r="G31" s="6" t="s">
        <v>201</v>
      </c>
      <c r="H31">
        <f>IF(Table157[[#This Row],[Lifetime Option]]="fixed",Table157[[#This Row],[End of life (fixed)]]-Table157[[#This Row],[Start year]],Table268[Generic  Lifetime])</f>
        <v>33</v>
      </c>
      <c r="I31">
        <v>2017</v>
      </c>
      <c r="J31">
        <f>IF(Table157[[#This Row],[Lifetime Option]]="fixed",Table157[[#This Row],[End of life (fixed)]],Table157[[#This Row],[Start year]]+Table268[Generic  Lifetime])</f>
        <v>2017</v>
      </c>
      <c r="K31">
        <v>1.284</v>
      </c>
      <c r="M31" s="8"/>
    </row>
    <row r="32" spans="3:13">
      <c r="C32" t="s">
        <v>1</v>
      </c>
      <c r="D32" t="s">
        <v>38</v>
      </c>
      <c r="E32">
        <v>1984</v>
      </c>
      <c r="F32" s="6">
        <v>0.83160000000000001</v>
      </c>
      <c r="G32" s="6" t="s">
        <v>201</v>
      </c>
      <c r="H32">
        <f>IF(Table157[[#This Row],[Lifetime Option]]="fixed",Table157[[#This Row],[End of life (fixed)]]-Table157[[#This Row],[Start year]],Table268[Generic  Lifetime])</f>
        <v>37</v>
      </c>
      <c r="I32">
        <v>2021</v>
      </c>
      <c r="J32">
        <f>IF(Table157[[#This Row],[Lifetime Option]]="fixed",Table157[[#This Row],[End of life (fixed)]],Table157[[#This Row],[Start year]]+Table268[Generic  Lifetime])</f>
        <v>2021</v>
      </c>
      <c r="K32">
        <v>1.288</v>
      </c>
      <c r="M32" s="8"/>
    </row>
    <row r="33" spans="3:13">
      <c r="C33" t="s">
        <v>1</v>
      </c>
      <c r="D33" t="s">
        <v>39</v>
      </c>
      <c r="E33">
        <v>1988</v>
      </c>
      <c r="F33" s="6">
        <v>1.28304</v>
      </c>
      <c r="G33" s="6" t="s">
        <v>201</v>
      </c>
      <c r="H33">
        <f>IF(Table157[[#This Row],[Lifetime Option]]="fixed",Table157[[#This Row],[End of life (fixed)]]-Table157[[#This Row],[Start year]],Table268[Generic  Lifetime])</f>
        <v>23</v>
      </c>
      <c r="I33">
        <v>2011</v>
      </c>
      <c r="J33">
        <f>IF(Table157[[#This Row],[Lifetime Option]]="fixed",Table157[[#This Row],[End of life (fixed)]],Table157[[#This Row],[Start year]]+Table268[Generic  Lifetime])</f>
        <v>2011</v>
      </c>
      <c r="K33">
        <v>0.878</v>
      </c>
      <c r="L33" t="s">
        <v>186</v>
      </c>
      <c r="M33" s="8"/>
    </row>
    <row r="34" spans="3:13">
      <c r="C34" t="s">
        <v>1</v>
      </c>
      <c r="D34" t="s">
        <v>40</v>
      </c>
      <c r="E34">
        <v>1988</v>
      </c>
      <c r="F34" s="6">
        <v>1.0394248101265799</v>
      </c>
      <c r="G34" s="6" t="s">
        <v>201</v>
      </c>
      <c r="H34">
        <f>IF(Table157[[#This Row],[Lifetime Option]]="fixed",Table157[[#This Row],[End of life (fixed)]]-Table157[[#This Row],[Start year]],Table268[Generic  Lifetime])</f>
        <v>34</v>
      </c>
      <c r="I34">
        <v>2022</v>
      </c>
      <c r="J34">
        <f>IF(Table157[[#This Row],[Lifetime Option]]="fixed",Table157[[#This Row],[End of life (fixed)]],Table157[[#This Row],[Start year]]+Table268[Generic  Lifetime])</f>
        <v>2022</v>
      </c>
      <c r="K34">
        <v>1.41</v>
      </c>
      <c r="M34" s="8"/>
    </row>
    <row r="35" spans="3:13">
      <c r="C35" t="s">
        <v>1</v>
      </c>
      <c r="D35" t="s">
        <v>41</v>
      </c>
      <c r="E35">
        <v>1983</v>
      </c>
      <c r="F35" s="6">
        <v>0.91238399999999997</v>
      </c>
      <c r="G35" s="6" t="s">
        <v>201</v>
      </c>
      <c r="H35">
        <f>IF(Table157[[#This Row],[Lifetime Option]]="fixed",Table157[[#This Row],[End of life (fixed)]]-Table157[[#This Row],[Start year]],Table268[Generic  Lifetime])</f>
        <v>28</v>
      </c>
      <c r="I35">
        <v>2011</v>
      </c>
      <c r="J35">
        <f>IF(Table157[[#This Row],[Lifetime Option]]="fixed",Table157[[#This Row],[End of life (fixed)]],Table157[[#This Row],[Start year]]+Table268[Generic  Lifetime])</f>
        <v>2011</v>
      </c>
      <c r="K35">
        <v>1.26</v>
      </c>
      <c r="M35" s="8"/>
    </row>
    <row r="36" spans="3:13">
      <c r="C36" t="s">
        <v>1</v>
      </c>
      <c r="D36" t="s">
        <v>42</v>
      </c>
      <c r="E36">
        <v>1989</v>
      </c>
      <c r="F36" s="6">
        <v>1.4452363636363601</v>
      </c>
      <c r="G36" s="6" t="s">
        <v>201</v>
      </c>
      <c r="H36">
        <f>IF(Table157[[#This Row],[Lifetime Option]]="fixed",Table157[[#This Row],[End of life (fixed)]]-Table157[[#This Row],[Start year]],Table268[Generic  Lifetime])</f>
        <v>33</v>
      </c>
      <c r="I36">
        <v>2022</v>
      </c>
      <c r="J36">
        <f>IF(Table157[[#This Row],[Lifetime Option]]="fixed",Table157[[#This Row],[End of life (fixed)]],Table157[[#This Row],[Start year]]+Table268[Generic  Lifetime])</f>
        <v>2022</v>
      </c>
      <c r="K36">
        <v>1.31</v>
      </c>
      <c r="M36" s="8"/>
    </row>
    <row r="37" spans="3:13">
      <c r="C37" t="s">
        <v>1</v>
      </c>
      <c r="D37" t="s">
        <v>43</v>
      </c>
      <c r="E37">
        <v>1976</v>
      </c>
      <c r="F37" s="6">
        <v>1.0463903999999999</v>
      </c>
      <c r="G37" s="6" t="s">
        <v>201</v>
      </c>
      <c r="H37">
        <f>IF(Table157[[#This Row],[Lifetime Option]]="fixed",Table157[[#This Row],[End of life (fixed)]]-Table157[[#This Row],[Start year]],Table268[Generic  Lifetime])</f>
        <v>35</v>
      </c>
      <c r="I37">
        <v>2011</v>
      </c>
      <c r="J37">
        <f>IF(Table157[[#This Row],[Lifetime Option]]="fixed",Table157[[#This Row],[End of life (fixed)]],Table157[[#This Row],[Start year]]+Table268[Generic  Lifetime])</f>
        <v>2011</v>
      </c>
      <c r="K37">
        <v>0.78500000000000003</v>
      </c>
      <c r="L37" t="s">
        <v>186</v>
      </c>
      <c r="M37" s="8"/>
    </row>
    <row r="38" spans="3:13">
      <c r="C38" t="s">
        <v>1</v>
      </c>
      <c r="D38" t="s">
        <v>44</v>
      </c>
      <c r="E38">
        <v>1979</v>
      </c>
      <c r="F38" s="6">
        <v>1.1376288000000001</v>
      </c>
      <c r="G38" s="6" t="s">
        <v>201</v>
      </c>
      <c r="H38">
        <f>IF(Table157[[#This Row],[Lifetime Option]]="fixed",Table157[[#This Row],[End of life (fixed)]]-Table157[[#This Row],[Start year]],Table268[Generic  Lifetime])</f>
        <v>32</v>
      </c>
      <c r="I38">
        <v>2011</v>
      </c>
      <c r="J38">
        <f>IF(Table157[[#This Row],[Lifetime Option]]="fixed",Table157[[#This Row],[End of life (fixed)]],Table157[[#This Row],[Start year]]+Table268[Generic  Lifetime])</f>
        <v>2011</v>
      </c>
      <c r="K38">
        <v>0.89</v>
      </c>
      <c r="L38" t="s">
        <v>186</v>
      </c>
      <c r="M38" s="8"/>
    </row>
    <row r="39" spans="3:13">
      <c r="C39" t="s">
        <v>1</v>
      </c>
      <c r="D39" t="s">
        <v>45</v>
      </c>
      <c r="E39">
        <v>1984</v>
      </c>
      <c r="F39" s="6">
        <v>1.05963584810127</v>
      </c>
      <c r="G39" s="6" t="s">
        <v>201</v>
      </c>
      <c r="H39">
        <f>IF(Table157[[#This Row],[Lifetime Option]]="fixed",Table157[[#This Row],[End of life (fixed)]]-Table157[[#This Row],[Start year]],Table268[Generic  Lifetime])</f>
        <v>35</v>
      </c>
      <c r="I39">
        <v>2019</v>
      </c>
      <c r="J39">
        <f>IF(Table157[[#This Row],[Lifetime Option]]="fixed",Table157[[#This Row],[End of life (fixed)]],Table157[[#This Row],[Start year]]+Table268[Generic  Lifetime])</f>
        <v>2019</v>
      </c>
      <c r="K39">
        <v>1.4019999999999999</v>
      </c>
      <c r="M39" s="8"/>
    </row>
    <row r="40" spans="3:13">
      <c r="C40" t="s">
        <v>1</v>
      </c>
      <c r="D40" t="s">
        <v>46</v>
      </c>
      <c r="E40">
        <v>1978</v>
      </c>
      <c r="F40" s="6">
        <v>1.0093247999999999</v>
      </c>
      <c r="G40" s="6" t="s">
        <v>201</v>
      </c>
      <c r="H40">
        <f>IF(Table157[[#This Row],[Lifetime Option]]="fixed",Table157[[#This Row],[End of life (fixed)]]-Table157[[#This Row],[Start year]],Table268[Generic  Lifetime])</f>
        <v>33</v>
      </c>
      <c r="I40">
        <v>2011</v>
      </c>
      <c r="J40">
        <f>IF(Table157[[#This Row],[Lifetime Option]]="fixed",Table157[[#This Row],[End of life (fixed)]],Table157[[#This Row],[Start year]]+Table268[Generic  Lifetime])</f>
        <v>2011</v>
      </c>
      <c r="K40">
        <v>1.345</v>
      </c>
      <c r="L40" t="s">
        <v>186</v>
      </c>
      <c r="M40" s="8"/>
    </row>
    <row r="41" spans="3:13">
      <c r="C41" t="s">
        <v>47</v>
      </c>
      <c r="D41" t="s">
        <v>48</v>
      </c>
      <c r="E41">
        <v>1983</v>
      </c>
      <c r="F41" s="6">
        <v>1.7769609772650199</v>
      </c>
      <c r="G41" s="6" t="s">
        <v>202</v>
      </c>
      <c r="H41">
        <f>IF(Table157[[#This Row],[Lifetime Option]]="fixed",Table157[[#This Row],[End of life (fixed)]]-Table157[[#This Row],[Start year]],Table268[Generic  Lifetime])</f>
        <v>40</v>
      </c>
      <c r="J41">
        <f>IF(Table157[[#This Row],[Lifetime Option]]="fixed",Table157[[#This Row],[End of life (fixed)]],Table157[[#This Row],[Start year]]+Table268[Generic  Lifetime])</f>
        <v>2023</v>
      </c>
      <c r="K41">
        <v>1.0109999999999999</v>
      </c>
      <c r="M41" s="8"/>
    </row>
    <row r="42" spans="3:13">
      <c r="C42" t="s">
        <v>47</v>
      </c>
      <c r="D42" t="s">
        <v>49</v>
      </c>
      <c r="E42">
        <v>1984</v>
      </c>
      <c r="F42" s="6">
        <v>1.37735731252121</v>
      </c>
      <c r="G42" s="6" t="s">
        <v>202</v>
      </c>
      <c r="H42">
        <f>IF(Table157[[#This Row],[Lifetime Option]]="fixed",Table157[[#This Row],[End of life (fixed)]]-Table157[[#This Row],[Start year]],Table268[Generic  Lifetime])</f>
        <v>40</v>
      </c>
      <c r="J42">
        <f>IF(Table157[[#This Row],[Lifetime Option]]="fixed",Table157[[#This Row],[End of life (fixed)]],Table157[[#This Row],[Start year]]+Table268[Generic  Lifetime])</f>
        <v>2024</v>
      </c>
      <c r="K42">
        <v>1.006</v>
      </c>
      <c r="M42" s="8"/>
    </row>
    <row r="43" spans="3:13">
      <c r="C43" t="s">
        <v>47</v>
      </c>
      <c r="D43" t="s">
        <v>50</v>
      </c>
      <c r="E43">
        <v>1983</v>
      </c>
      <c r="F43" s="6">
        <v>1.5325350561033699</v>
      </c>
      <c r="G43" s="6" t="s">
        <v>202</v>
      </c>
      <c r="H43">
        <f>IF(Table157[[#This Row],[Lifetime Option]]="fixed",Table157[[#This Row],[End of life (fixed)]]-Table157[[#This Row],[Start year]],Table268[Generic  Lifetime])</f>
        <v>40</v>
      </c>
      <c r="J43">
        <f>IF(Table157[[#This Row],[Lifetime Option]]="fixed",Table157[[#This Row],[End of life (fixed)]],Table157[[#This Row],[Start year]]+Table268[Generic  Lifetime])</f>
        <v>2023</v>
      </c>
      <c r="K43">
        <v>0.995</v>
      </c>
      <c r="M43" s="8"/>
    </row>
    <row r="44" spans="3:13">
      <c r="C44" t="s">
        <v>47</v>
      </c>
      <c r="D44" t="s">
        <v>51</v>
      </c>
      <c r="E44">
        <v>1985</v>
      </c>
      <c r="F44" s="6">
        <v>1.52363359401564</v>
      </c>
      <c r="G44" s="6" t="s">
        <v>202</v>
      </c>
      <c r="H44">
        <f>IF(Table157[[#This Row],[Lifetime Option]]="fixed",Table157[[#This Row],[End of life (fixed)]]-Table157[[#This Row],[Start year]],Table268[Generic  Lifetime])</f>
        <v>40</v>
      </c>
      <c r="J44">
        <f>IF(Table157[[#This Row],[Lifetime Option]]="fixed",Table157[[#This Row],[End of life (fixed)]],Table157[[#This Row],[Start year]]+Table268[Generic  Lifetime])</f>
        <v>2025</v>
      </c>
      <c r="K44">
        <v>0.997</v>
      </c>
      <c r="M44" s="8"/>
    </row>
    <row r="45" spans="3:13">
      <c r="C45" t="s">
        <v>47</v>
      </c>
      <c r="D45" t="s">
        <v>52</v>
      </c>
      <c r="E45">
        <v>1985</v>
      </c>
      <c r="F45" s="6">
        <v>1.1658795180722901</v>
      </c>
      <c r="G45" s="6" t="s">
        <v>202</v>
      </c>
      <c r="H45">
        <f>IF(Table157[[#This Row],[Lifetime Option]]="fixed",Table157[[#This Row],[End of life (fixed)]]-Table157[[#This Row],[Start year]],Table268[Generic  Lifetime])</f>
        <v>40</v>
      </c>
      <c r="J45">
        <f>IF(Table157[[#This Row],[Lifetime Option]]="fixed",Table157[[#This Row],[End of life (fixed)]],Table157[[#This Row],[Start year]]+Table268[Generic  Lifetime])</f>
        <v>2025</v>
      </c>
      <c r="K45">
        <v>1.0640000000000001</v>
      </c>
      <c r="M45" s="8"/>
    </row>
    <row r="46" spans="3:13">
      <c r="C46" t="s">
        <v>47</v>
      </c>
      <c r="D46" t="s">
        <v>53</v>
      </c>
      <c r="E46">
        <v>1971</v>
      </c>
      <c r="F46" s="6">
        <v>0.90379029688631396</v>
      </c>
      <c r="G46" s="6" t="s">
        <v>202</v>
      </c>
      <c r="H46">
        <f>IF(Table157[[#This Row],[Lifetime Option]]="fixed",Table157[[#This Row],[End of life (fixed)]]-Table157[[#This Row],[Start year]],Table268[Generic  Lifetime])</f>
        <v>40</v>
      </c>
      <c r="J46">
        <f>IF(Table157[[#This Row],[Lifetime Option]]="fixed",Table157[[#This Row],[End of life (fixed)]],Table157[[#This Row],[Start year]]+Table268[Generic  Lifetime])</f>
        <v>2011</v>
      </c>
      <c r="K46">
        <v>0.44600000000000001</v>
      </c>
      <c r="M46" s="8"/>
    </row>
    <row r="47" spans="3:13">
      <c r="C47" t="s">
        <v>47</v>
      </c>
      <c r="D47" t="s">
        <v>54</v>
      </c>
      <c r="E47">
        <v>1988</v>
      </c>
      <c r="F47" s="6">
        <v>1.00976053156146</v>
      </c>
      <c r="G47" s="6" t="s">
        <v>202</v>
      </c>
      <c r="H47">
        <f>IF(Table157[[#This Row],[Lifetime Option]]="fixed",Table157[[#This Row],[End of life (fixed)]]-Table157[[#This Row],[Start year]],Table268[Generic  Lifetime])</f>
        <v>40</v>
      </c>
      <c r="J47">
        <f>IF(Table157[[#This Row],[Lifetime Option]]="fixed",Table157[[#This Row],[End of life (fixed)]],Table157[[#This Row],[Start year]]+Table268[Generic  Lifetime])</f>
        <v>2028</v>
      </c>
      <c r="K47">
        <v>1.0029999999999999</v>
      </c>
      <c r="M47" s="8"/>
    </row>
    <row r="48" spans="3:13">
      <c r="C48" t="s">
        <v>47</v>
      </c>
      <c r="D48" t="s">
        <v>55</v>
      </c>
      <c r="E48">
        <v>1987</v>
      </c>
      <c r="F48" s="6">
        <v>1.61264821489289</v>
      </c>
      <c r="G48" s="6" t="s">
        <v>202</v>
      </c>
      <c r="H48">
        <f>IF(Table157[[#This Row],[Lifetime Option]]="fixed",Table157[[#This Row],[End of life (fixed)]]-Table157[[#This Row],[Start year]],Table268[Generic  Lifetime])</f>
        <v>40</v>
      </c>
      <c r="J48">
        <f>IF(Table157[[#This Row],[Lifetime Option]]="fixed",Table157[[#This Row],[End of life (fixed)]],Table157[[#This Row],[Start year]]+Table268[Generic  Lifetime])</f>
        <v>2027</v>
      </c>
      <c r="K48">
        <v>1.0449999999999999</v>
      </c>
      <c r="M48" s="8"/>
    </row>
    <row r="49" spans="3:13">
      <c r="C49" t="s">
        <v>56</v>
      </c>
      <c r="D49" t="s">
        <v>57</v>
      </c>
      <c r="E49">
        <v>1977</v>
      </c>
      <c r="F49" s="6">
        <v>1.1750400000000001</v>
      </c>
      <c r="G49" s="6" t="s">
        <v>202</v>
      </c>
      <c r="H49">
        <f>IF(Table157[[#This Row],[Lifetime Option]]="fixed",Table157[[#This Row],[End of life (fixed)]]-Table157[[#This Row],[Start year]],Table268[Generic  Lifetime])</f>
        <v>40</v>
      </c>
      <c r="J49">
        <f>IF(Table157[[#This Row],[Lifetime Option]]="fixed",Table157[[#This Row],[End of life (fixed)]],Table157[[#This Row],[Start year]]+Table268[Generic  Lifetime])</f>
        <v>2017</v>
      </c>
      <c r="K49">
        <v>0.496</v>
      </c>
      <c r="M49" s="8"/>
    </row>
    <row r="50" spans="3:13">
      <c r="C50" t="s">
        <v>56</v>
      </c>
      <c r="D50" t="s">
        <v>58</v>
      </c>
      <c r="E50">
        <v>1980</v>
      </c>
      <c r="F50" s="6">
        <v>1.1750400000000001</v>
      </c>
      <c r="G50" s="6" t="s">
        <v>202</v>
      </c>
      <c r="H50">
        <f>IF(Table157[[#This Row],[Lifetime Option]]="fixed",Table157[[#This Row],[End of life (fixed)]]-Table157[[#This Row],[Start year]],Table268[Generic  Lifetime])</f>
        <v>40</v>
      </c>
      <c r="J50">
        <f>IF(Table157[[#This Row],[Lifetime Option]]="fixed",Table157[[#This Row],[End of life (fixed)]],Table157[[#This Row],[Start year]]+Table268[Generic  Lifetime])</f>
        <v>2020</v>
      </c>
      <c r="K50">
        <v>0.496</v>
      </c>
      <c r="M50" s="8"/>
    </row>
    <row r="51" spans="3:13">
      <c r="C51" t="s">
        <v>56</v>
      </c>
      <c r="D51" t="s">
        <v>59</v>
      </c>
      <c r="E51">
        <v>1978</v>
      </c>
      <c r="F51" s="6">
        <v>1.1636352000000001</v>
      </c>
      <c r="G51" s="6" t="s">
        <v>202</v>
      </c>
      <c r="H51">
        <f>IF(Table157[[#This Row],[Lifetime Option]]="fixed",Table157[[#This Row],[End of life (fixed)]]-Table157[[#This Row],[Start year]],Table268[Generic  Lifetime])</f>
        <v>40</v>
      </c>
      <c r="J51">
        <f>IF(Table157[[#This Row],[Lifetime Option]]="fixed",Table157[[#This Row],[End of life (fixed)]],Table157[[#This Row],[Start year]]+Table268[Generic  Lifetime])</f>
        <v>2018</v>
      </c>
      <c r="K51">
        <v>0.88</v>
      </c>
      <c r="M51" s="8"/>
    </row>
    <row r="52" spans="3:13">
      <c r="C52" t="s">
        <v>56</v>
      </c>
      <c r="D52" t="s">
        <v>60</v>
      </c>
      <c r="E52">
        <v>1980</v>
      </c>
      <c r="F52" s="6">
        <v>1.1380608000000001</v>
      </c>
      <c r="G52" s="6" t="s">
        <v>202</v>
      </c>
      <c r="H52">
        <f>IF(Table157[[#This Row],[Lifetime Option]]="fixed",Table157[[#This Row],[End of life (fixed)]]-Table157[[#This Row],[Start year]],Table268[Generic  Lifetime])</f>
        <v>40</v>
      </c>
      <c r="J52">
        <f>IF(Table157[[#This Row],[Lifetime Option]]="fixed",Table157[[#This Row],[End of life (fixed)]],Table157[[#This Row],[Start year]]+Table268[Generic  Lifetime])</f>
        <v>2020</v>
      </c>
      <c r="K52">
        <v>0.88</v>
      </c>
      <c r="M52" s="8"/>
    </row>
    <row r="53" spans="3:13">
      <c r="C53" t="s">
        <v>3</v>
      </c>
      <c r="D53" t="s">
        <v>61</v>
      </c>
      <c r="E53">
        <v>1987</v>
      </c>
      <c r="F53" s="6">
        <v>1.0181256484149901</v>
      </c>
      <c r="G53" s="6" t="s">
        <v>202</v>
      </c>
      <c r="H53">
        <f>IF(Table157[[#This Row],[Lifetime Option]]="fixed",Table157[[#This Row],[End of life (fixed)]]-Table157[[#This Row],[Start year]],Table268[Generic  Lifetime])</f>
        <v>40</v>
      </c>
      <c r="J53">
        <f>IF(Table157[[#This Row],[Lifetime Option]]="fixed",Table157[[#This Row],[End of life (fixed)]],Table157[[#This Row],[Start year]]+Table268[Generic  Lifetime])</f>
        <v>2027</v>
      </c>
      <c r="K53">
        <v>1.31</v>
      </c>
      <c r="L53" t="s">
        <v>207</v>
      </c>
      <c r="M53" s="7" t="s">
        <v>179</v>
      </c>
    </row>
    <row r="54" spans="3:13">
      <c r="C54" t="s">
        <v>3</v>
      </c>
      <c r="D54" t="s">
        <v>62</v>
      </c>
      <c r="E54">
        <v>1988</v>
      </c>
      <c r="F54" s="6">
        <v>1.0181256484149901</v>
      </c>
      <c r="G54" s="6" t="s">
        <v>202</v>
      </c>
      <c r="H54">
        <f>IF(Table157[[#This Row],[Lifetime Option]]="fixed",Table157[[#This Row],[End of life (fixed)]]-Table157[[#This Row],[Start year]],Table268[Generic  Lifetime])</f>
        <v>40</v>
      </c>
      <c r="J54">
        <f>IF(Table157[[#This Row],[Lifetime Option]]="fixed",Table157[[#This Row],[End of life (fixed)]],Table157[[#This Row],[Start year]]+Table268[Generic  Lifetime])</f>
        <v>2028</v>
      </c>
      <c r="K54">
        <v>1.31</v>
      </c>
      <c r="M54" s="7"/>
    </row>
    <row r="55" spans="3:13">
      <c r="C55" t="s">
        <v>3</v>
      </c>
      <c r="D55" t="s">
        <v>63</v>
      </c>
      <c r="E55">
        <v>1981</v>
      </c>
      <c r="F55" s="6">
        <v>0.99529030664272899</v>
      </c>
      <c r="G55" s="6" t="s">
        <v>202</v>
      </c>
      <c r="H55">
        <f>IF(Table157[[#This Row],[Lifetime Option]]="fixed",Table157[[#This Row],[End of life (fixed)]]-Table157[[#This Row],[Start year]],Table268[Generic  Lifetime])</f>
        <v>40</v>
      </c>
      <c r="J55">
        <f>IF(Table157[[#This Row],[Lifetime Option]]="fixed",Table157[[#This Row],[End of life (fixed)]],Table157[[#This Row],[Start year]]+Table268[Generic  Lifetime])</f>
        <v>2021</v>
      </c>
      <c r="K55">
        <v>0.91</v>
      </c>
      <c r="M55" s="8"/>
    </row>
    <row r="56" spans="3:13">
      <c r="C56" t="s">
        <v>3</v>
      </c>
      <c r="D56" t="s">
        <v>64</v>
      </c>
      <c r="E56">
        <v>1982</v>
      </c>
      <c r="F56" s="6">
        <v>0.99529030664272899</v>
      </c>
      <c r="G56" s="6" t="s">
        <v>202</v>
      </c>
      <c r="H56">
        <f>IF(Table157[[#This Row],[Lifetime Option]]="fixed",Table157[[#This Row],[End of life (fixed)]]-Table157[[#This Row],[Start year]],Table268[Generic  Lifetime])</f>
        <v>40</v>
      </c>
      <c r="J56">
        <f>IF(Table157[[#This Row],[Lifetime Option]]="fixed",Table157[[#This Row],[End of life (fixed)]],Table157[[#This Row],[Start year]]+Table268[Generic  Lifetime])</f>
        <v>2022</v>
      </c>
      <c r="K56">
        <v>0.91</v>
      </c>
      <c r="M56" s="8"/>
    </row>
    <row r="57" spans="3:13">
      <c r="C57" t="s">
        <v>3</v>
      </c>
      <c r="D57" t="s">
        <v>65</v>
      </c>
      <c r="E57">
        <v>1983</v>
      </c>
      <c r="F57" s="6">
        <v>0.99529030664272899</v>
      </c>
      <c r="G57" s="6" t="s">
        <v>202</v>
      </c>
      <c r="H57">
        <f>IF(Table157[[#This Row],[Lifetime Option]]="fixed",Table157[[#This Row],[End of life (fixed)]]-Table157[[#This Row],[Start year]],Table268[Generic  Lifetime])</f>
        <v>40</v>
      </c>
      <c r="J57">
        <f>IF(Table157[[#This Row],[Lifetime Option]]="fixed",Table157[[#This Row],[End of life (fixed)]],Table157[[#This Row],[Start year]]+Table268[Generic  Lifetime])</f>
        <v>2023</v>
      </c>
      <c r="K57">
        <v>0.91</v>
      </c>
      <c r="M57" s="8"/>
    </row>
    <row r="58" spans="3:13">
      <c r="C58" t="s">
        <v>3</v>
      </c>
      <c r="D58" t="s">
        <v>66</v>
      </c>
      <c r="E58">
        <v>1983</v>
      </c>
      <c r="F58" s="6">
        <v>0.99529030664272899</v>
      </c>
      <c r="G58" s="6" t="s">
        <v>202</v>
      </c>
      <c r="H58">
        <f>IF(Table157[[#This Row],[Lifetime Option]]="fixed",Table157[[#This Row],[End of life (fixed)]]-Table157[[#This Row],[Start year]],Table268[Generic  Lifetime])</f>
        <v>40</v>
      </c>
      <c r="J58">
        <f>IF(Table157[[#This Row],[Lifetime Option]]="fixed",Table157[[#This Row],[End of life (fixed)]],Table157[[#This Row],[Start year]]+Table268[Generic  Lifetime])</f>
        <v>2023</v>
      </c>
      <c r="K58">
        <v>0.91</v>
      </c>
      <c r="M58" s="8"/>
    </row>
    <row r="59" spans="3:13">
      <c r="C59" t="s">
        <v>3</v>
      </c>
      <c r="D59" t="s">
        <v>67</v>
      </c>
      <c r="E59">
        <v>1978</v>
      </c>
      <c r="F59" s="6">
        <v>0.98901087253141795</v>
      </c>
      <c r="G59" s="6" t="s">
        <v>202</v>
      </c>
      <c r="H59">
        <f>IF(Table157[[#This Row],[Lifetime Option]]="fixed",Table157[[#This Row],[End of life (fixed)]]-Table157[[#This Row],[Start year]],Table268[Generic  Lifetime])</f>
        <v>40</v>
      </c>
      <c r="J59">
        <f>IF(Table157[[#This Row],[Lifetime Option]]="fixed",Table157[[#This Row],[End of life (fixed)]],Table157[[#This Row],[Start year]]+Table268[Generic  Lifetime])</f>
        <v>2018</v>
      </c>
      <c r="K59">
        <v>0.91</v>
      </c>
      <c r="M59" s="8"/>
    </row>
    <row r="60" spans="3:13">
      <c r="C60" t="s">
        <v>3</v>
      </c>
      <c r="D60" t="s">
        <v>68</v>
      </c>
      <c r="E60">
        <v>1978</v>
      </c>
      <c r="F60" s="6">
        <v>0.98901087253141895</v>
      </c>
      <c r="G60" s="6" t="s">
        <v>202</v>
      </c>
      <c r="H60">
        <f>IF(Table157[[#This Row],[Lifetime Option]]="fixed",Table157[[#This Row],[End of life (fixed)]]-Table157[[#This Row],[Start year]],Table268[Generic  Lifetime])</f>
        <v>40</v>
      </c>
      <c r="J60">
        <f>IF(Table157[[#This Row],[Lifetime Option]]="fixed",Table157[[#This Row],[End of life (fixed)]],Table157[[#This Row],[Start year]]+Table268[Generic  Lifetime])</f>
        <v>2018</v>
      </c>
      <c r="K60">
        <v>0.91</v>
      </c>
      <c r="M60" s="8"/>
    </row>
    <row r="61" spans="3:13">
      <c r="C61" t="s">
        <v>3</v>
      </c>
      <c r="D61" t="s">
        <v>69</v>
      </c>
      <c r="E61">
        <v>1979</v>
      </c>
      <c r="F61" s="6">
        <v>0.95970684667863504</v>
      </c>
      <c r="G61" s="6" t="s">
        <v>202</v>
      </c>
      <c r="H61">
        <f>IF(Table157[[#This Row],[Lifetime Option]]="fixed",Table157[[#This Row],[End of life (fixed)]]-Table157[[#This Row],[Start year]],Table268[Generic  Lifetime])</f>
        <v>40</v>
      </c>
      <c r="J61">
        <f>IF(Table157[[#This Row],[Lifetime Option]]="fixed",Table157[[#This Row],[End of life (fixed)]],Table157[[#This Row],[Start year]]+Table268[Generic  Lifetime])</f>
        <v>2019</v>
      </c>
      <c r="K61">
        <v>0.88</v>
      </c>
      <c r="M61" s="8"/>
    </row>
    <row r="62" spans="3:13">
      <c r="C62" t="s">
        <v>3</v>
      </c>
      <c r="D62" t="s">
        <v>70</v>
      </c>
      <c r="E62">
        <v>1979</v>
      </c>
      <c r="F62" s="6">
        <v>0.95970684667863604</v>
      </c>
      <c r="G62" s="6" t="s">
        <v>202</v>
      </c>
      <c r="H62">
        <f>IF(Table157[[#This Row],[Lifetime Option]]="fixed",Table157[[#This Row],[End of life (fixed)]]-Table157[[#This Row],[Start year]],Table268[Generic  Lifetime])</f>
        <v>40</v>
      </c>
      <c r="J62">
        <f>IF(Table157[[#This Row],[Lifetime Option]]="fixed",Table157[[#This Row],[End of life (fixed)]],Table157[[#This Row],[Start year]]+Table268[Generic  Lifetime])</f>
        <v>2019</v>
      </c>
      <c r="K62">
        <v>0.88</v>
      </c>
      <c r="M62" s="8"/>
    </row>
    <row r="63" spans="3:13">
      <c r="C63" t="s">
        <v>3</v>
      </c>
      <c r="D63" t="s">
        <v>71</v>
      </c>
      <c r="E63">
        <v>1986</v>
      </c>
      <c r="F63" s="6">
        <v>1.01737867435158</v>
      </c>
      <c r="G63" s="6" t="s">
        <v>202</v>
      </c>
      <c r="H63">
        <f>IF(Table157[[#This Row],[Lifetime Option]]="fixed",Table157[[#This Row],[End of life (fixed)]]-Table157[[#This Row],[Start year]],Table268[Generic  Lifetime])</f>
        <v>40</v>
      </c>
      <c r="J63">
        <f>IF(Table157[[#This Row],[Lifetime Option]]="fixed",Table157[[#This Row],[End of life (fixed)]],Table157[[#This Row],[Start year]]+Table268[Generic  Lifetime])</f>
        <v>2026</v>
      </c>
      <c r="K63">
        <v>1.3</v>
      </c>
      <c r="M63" s="8"/>
    </row>
    <row r="64" spans="3:13">
      <c r="C64" t="s">
        <v>3</v>
      </c>
      <c r="D64" t="s">
        <v>72</v>
      </c>
      <c r="E64">
        <v>1987</v>
      </c>
      <c r="F64" s="6">
        <v>1.01737867435159</v>
      </c>
      <c r="G64" s="6" t="s">
        <v>202</v>
      </c>
      <c r="H64">
        <f>IF(Table157[[#This Row],[Lifetime Option]]="fixed",Table157[[#This Row],[End of life (fixed)]]-Table157[[#This Row],[Start year]],Table268[Generic  Lifetime])</f>
        <v>40</v>
      </c>
      <c r="J64">
        <f>IF(Table157[[#This Row],[Lifetime Option]]="fixed",Table157[[#This Row],[End of life (fixed)]],Table157[[#This Row],[Start year]]+Table268[Generic  Lifetime])</f>
        <v>2027</v>
      </c>
      <c r="K64">
        <v>1.3</v>
      </c>
      <c r="M64" s="8"/>
    </row>
    <row r="65" spans="3:13">
      <c r="C65" t="s">
        <v>3</v>
      </c>
      <c r="D65" t="s">
        <v>73</v>
      </c>
      <c r="E65">
        <v>1990</v>
      </c>
      <c r="F65" s="6">
        <v>1.01737867435159</v>
      </c>
      <c r="G65" s="6" t="s">
        <v>202</v>
      </c>
      <c r="H65">
        <f>IF(Table157[[#This Row],[Lifetime Option]]="fixed",Table157[[#This Row],[End of life (fixed)]]-Table157[[#This Row],[Start year]],Table268[Generic  Lifetime])</f>
        <v>40</v>
      </c>
      <c r="J65">
        <f>IF(Table157[[#This Row],[Lifetime Option]]="fixed",Table157[[#This Row],[End of life (fixed)]],Table157[[#This Row],[Start year]]+Table268[Generic  Lifetime])</f>
        <v>2030</v>
      </c>
      <c r="K65">
        <v>1.3</v>
      </c>
      <c r="M65" s="8"/>
    </row>
    <row r="66" spans="3:13">
      <c r="C66" t="s">
        <v>3</v>
      </c>
      <c r="D66" t="s">
        <v>74</v>
      </c>
      <c r="E66">
        <v>1991</v>
      </c>
      <c r="F66" s="6">
        <v>1.01737867435159</v>
      </c>
      <c r="G66" s="6" t="s">
        <v>202</v>
      </c>
      <c r="H66">
        <f>IF(Table157[[#This Row],[Lifetime Option]]="fixed",Table157[[#This Row],[End of life (fixed)]]-Table157[[#This Row],[Start year]],Table268[Generic  Lifetime])</f>
        <v>40</v>
      </c>
      <c r="J66">
        <f>IF(Table157[[#This Row],[Lifetime Option]]="fixed",Table157[[#This Row],[End of life (fixed)]],Table157[[#This Row],[Start year]]+Table268[Generic  Lifetime])</f>
        <v>2031</v>
      </c>
      <c r="K66">
        <v>1.3</v>
      </c>
      <c r="M66" s="8"/>
    </row>
    <row r="67" spans="3:13">
      <c r="C67" t="s">
        <v>3</v>
      </c>
      <c r="D67" t="s">
        <v>75</v>
      </c>
      <c r="E67">
        <v>1982</v>
      </c>
      <c r="F67" s="6">
        <v>0.99843002369838396</v>
      </c>
      <c r="G67" s="6" t="s">
        <v>202</v>
      </c>
      <c r="H67">
        <f>IF(Table157[[#This Row],[Lifetime Option]]="fixed",Table157[[#This Row],[End of life (fixed)]]-Table157[[#This Row],[Start year]],Table268[Generic  Lifetime])</f>
        <v>40</v>
      </c>
      <c r="J67">
        <f>IF(Table157[[#This Row],[Lifetime Option]]="fixed",Table157[[#This Row],[End of life (fixed)]],Table157[[#This Row],[Start year]]+Table268[Generic  Lifetime])</f>
        <v>2022</v>
      </c>
      <c r="K67">
        <v>0.90500000000000003</v>
      </c>
      <c r="M67" s="8"/>
    </row>
    <row r="68" spans="3:13">
      <c r="C68" t="s">
        <v>3</v>
      </c>
      <c r="D68" t="s">
        <v>76</v>
      </c>
      <c r="E68">
        <v>1983</v>
      </c>
      <c r="F68" s="6">
        <v>0.99843002369838396</v>
      </c>
      <c r="G68" s="6" t="s">
        <v>202</v>
      </c>
      <c r="H68">
        <f>IF(Table157[[#This Row],[Lifetime Option]]="fixed",Table157[[#This Row],[End of life (fixed)]]-Table157[[#This Row],[Start year]],Table268[Generic  Lifetime])</f>
        <v>40</v>
      </c>
      <c r="J68">
        <f>IF(Table157[[#This Row],[Lifetime Option]]="fixed",Table157[[#This Row],[End of life (fixed)]],Table157[[#This Row],[Start year]]+Table268[Generic  Lifetime])</f>
        <v>2023</v>
      </c>
      <c r="K68">
        <v>0.90500000000000003</v>
      </c>
      <c r="M68" s="8"/>
    </row>
    <row r="69" spans="3:13">
      <c r="C69" t="s">
        <v>3</v>
      </c>
      <c r="D69" t="s">
        <v>77</v>
      </c>
      <c r="E69">
        <v>1986</v>
      </c>
      <c r="F69" s="6">
        <v>0.99843002369838396</v>
      </c>
      <c r="G69" s="6" t="s">
        <v>202</v>
      </c>
      <c r="H69">
        <f>IF(Table157[[#This Row],[Lifetime Option]]="fixed",Table157[[#This Row],[End of life (fixed)]]-Table157[[#This Row],[Start year]],Table268[Generic  Lifetime])</f>
        <v>40</v>
      </c>
      <c r="J69">
        <f>IF(Table157[[#This Row],[Lifetime Option]]="fixed",Table157[[#This Row],[End of life (fixed)]],Table157[[#This Row],[Start year]]+Table268[Generic  Lifetime])</f>
        <v>2026</v>
      </c>
      <c r="K69">
        <v>0.90500000000000003</v>
      </c>
      <c r="M69" s="8"/>
    </row>
    <row r="70" spans="3:13">
      <c r="C70" t="s">
        <v>3</v>
      </c>
      <c r="D70" t="s">
        <v>78</v>
      </c>
      <c r="E70">
        <v>1987</v>
      </c>
      <c r="F70" s="6">
        <v>0.99843002369838396</v>
      </c>
      <c r="G70" s="6" t="s">
        <v>202</v>
      </c>
      <c r="H70">
        <f>IF(Table157[[#This Row],[Lifetime Option]]="fixed",Table157[[#This Row],[End of life (fixed)]]-Table157[[#This Row],[Start year]],Table268[Generic  Lifetime])</f>
        <v>40</v>
      </c>
      <c r="J70">
        <f>IF(Table157[[#This Row],[Lifetime Option]]="fixed",Table157[[#This Row],[End of life (fixed)]],Table157[[#This Row],[Start year]]+Table268[Generic  Lifetime])</f>
        <v>2027</v>
      </c>
      <c r="K70">
        <v>0.90500000000000003</v>
      </c>
      <c r="M70" s="8"/>
    </row>
    <row r="71" spans="3:13">
      <c r="C71" t="s">
        <v>3</v>
      </c>
      <c r="D71" t="s">
        <v>79</v>
      </c>
      <c r="E71">
        <v>1996</v>
      </c>
      <c r="F71" s="6">
        <v>1.2310482435597201</v>
      </c>
      <c r="G71" s="6" t="s">
        <v>202</v>
      </c>
      <c r="H71">
        <f>IF(Table157[[#This Row],[Lifetime Option]]="fixed",Table157[[#This Row],[End of life (fixed)]]-Table157[[#This Row],[Start year]],Table268[Generic  Lifetime])</f>
        <v>40</v>
      </c>
      <c r="J71">
        <f>IF(Table157[[#This Row],[Lifetime Option]]="fixed",Table157[[#This Row],[End of life (fixed)]],Table157[[#This Row],[Start year]]+Table268[Generic  Lifetime])</f>
        <v>2036</v>
      </c>
      <c r="K71">
        <v>1.5</v>
      </c>
      <c r="M71" s="8"/>
    </row>
    <row r="72" spans="3:13">
      <c r="C72" t="s">
        <v>3</v>
      </c>
      <c r="D72" t="s">
        <v>80</v>
      </c>
      <c r="E72">
        <v>1997</v>
      </c>
      <c r="F72" s="6">
        <v>1.2310482435597201</v>
      </c>
      <c r="G72" s="6" t="s">
        <v>202</v>
      </c>
      <c r="H72">
        <f>IF(Table157[[#This Row],[Lifetime Option]]="fixed",Table157[[#This Row],[End of life (fixed)]]-Table157[[#This Row],[Start year]],Table268[Generic  Lifetime])</f>
        <v>40</v>
      </c>
      <c r="J72">
        <f>IF(Table157[[#This Row],[Lifetime Option]]="fixed",Table157[[#This Row],[End of life (fixed)]],Table157[[#This Row],[Start year]]+Table268[Generic  Lifetime])</f>
        <v>2037</v>
      </c>
      <c r="K72">
        <v>1.5</v>
      </c>
      <c r="M72" s="8"/>
    </row>
    <row r="73" spans="3:13">
      <c r="C73" t="s">
        <v>3</v>
      </c>
      <c r="D73" t="s">
        <v>81</v>
      </c>
      <c r="E73">
        <v>1997</v>
      </c>
      <c r="F73" s="6">
        <v>1.10549508196721</v>
      </c>
      <c r="G73" s="6" t="s">
        <v>202</v>
      </c>
      <c r="H73">
        <f>IF(Table157[[#This Row],[Lifetime Option]]="fixed",Table157[[#This Row],[End of life (fixed)]]-Table157[[#This Row],[Start year]],Table268[Generic  Lifetime])</f>
        <v>40</v>
      </c>
      <c r="J73">
        <f>IF(Table157[[#This Row],[Lifetime Option]]="fixed",Table157[[#This Row],[End of life (fixed)]],Table157[[#This Row],[Start year]]+Table268[Generic  Lifetime])</f>
        <v>2037</v>
      </c>
      <c r="K73">
        <v>1.4950000000000001</v>
      </c>
      <c r="M73" s="8"/>
    </row>
    <row r="74" spans="3:13">
      <c r="C74" t="s">
        <v>3</v>
      </c>
      <c r="D74" t="s">
        <v>82</v>
      </c>
      <c r="E74">
        <v>1999</v>
      </c>
      <c r="F74" s="6">
        <v>1.10549508196721</v>
      </c>
      <c r="G74" s="6" t="s">
        <v>202</v>
      </c>
      <c r="H74">
        <f>IF(Table157[[#This Row],[Lifetime Option]]="fixed",Table157[[#This Row],[End of life (fixed)]]-Table157[[#This Row],[Start year]],Table268[Generic  Lifetime])</f>
        <v>40</v>
      </c>
      <c r="J74">
        <f>IF(Table157[[#This Row],[Lifetime Option]]="fixed",Table157[[#This Row],[End of life (fixed)]],Table157[[#This Row],[Start year]]+Table268[Generic  Lifetime])</f>
        <v>2039</v>
      </c>
      <c r="K74">
        <v>1.4950000000000001</v>
      </c>
      <c r="M74" s="8"/>
    </row>
    <row r="75" spans="3:13">
      <c r="C75" t="s">
        <v>3</v>
      </c>
      <c r="D75" t="s">
        <v>83</v>
      </c>
      <c r="E75">
        <v>1983</v>
      </c>
      <c r="F75" s="6">
        <v>1.0005231684021501</v>
      </c>
      <c r="G75" s="6" t="s">
        <v>202</v>
      </c>
      <c r="H75">
        <f>IF(Table157[[#This Row],[Lifetime Option]]="fixed",Table157[[#This Row],[End of life (fixed)]]-Table157[[#This Row],[Start year]],Table268[Generic  Lifetime])</f>
        <v>40</v>
      </c>
      <c r="J75">
        <f>IF(Table157[[#This Row],[Lifetime Option]]="fixed",Table157[[#This Row],[End of life (fixed)]],Table157[[#This Row],[Start year]]+Table268[Generic  Lifetime])</f>
        <v>2023</v>
      </c>
      <c r="K75">
        <v>0.91500000000000004</v>
      </c>
      <c r="M75" s="8"/>
    </row>
    <row r="76" spans="3:13">
      <c r="C76" t="s">
        <v>3</v>
      </c>
      <c r="D76" t="s">
        <v>84</v>
      </c>
      <c r="E76">
        <v>1984</v>
      </c>
      <c r="F76" s="6">
        <v>1.0005231684021501</v>
      </c>
      <c r="G76" s="6" t="s">
        <v>202</v>
      </c>
      <c r="H76">
        <f>IF(Table157[[#This Row],[Lifetime Option]]="fixed",Table157[[#This Row],[End of life (fixed)]]-Table157[[#This Row],[Start year]],Table268[Generic  Lifetime])</f>
        <v>40</v>
      </c>
      <c r="J76">
        <f>IF(Table157[[#This Row],[Lifetime Option]]="fixed",Table157[[#This Row],[End of life (fixed)]],Table157[[#This Row],[Start year]]+Table268[Generic  Lifetime])</f>
        <v>2024</v>
      </c>
      <c r="K76">
        <v>0.91500000000000004</v>
      </c>
      <c r="M76" s="8"/>
    </row>
    <row r="77" spans="3:13">
      <c r="C77" t="s">
        <v>3</v>
      </c>
      <c r="D77" t="s">
        <v>85</v>
      </c>
      <c r="E77">
        <v>1984</v>
      </c>
      <c r="F77" s="6">
        <v>1.0005231684021501</v>
      </c>
      <c r="G77" s="6" t="s">
        <v>202</v>
      </c>
      <c r="H77">
        <f>IF(Table157[[#This Row],[Lifetime Option]]="fixed",Table157[[#This Row],[End of life (fixed)]]-Table157[[#This Row],[Start year]],Table268[Generic  Lifetime])</f>
        <v>40</v>
      </c>
      <c r="J77">
        <f>IF(Table157[[#This Row],[Lifetime Option]]="fixed",Table157[[#This Row],[End of life (fixed)]],Table157[[#This Row],[Start year]]+Table268[Generic  Lifetime])</f>
        <v>2024</v>
      </c>
      <c r="K77">
        <v>0.91500000000000004</v>
      </c>
      <c r="M77" s="8"/>
    </row>
    <row r="78" spans="3:13">
      <c r="C78" t="s">
        <v>3</v>
      </c>
      <c r="D78" t="s">
        <v>86</v>
      </c>
      <c r="E78">
        <v>1984</v>
      </c>
      <c r="F78" s="6">
        <v>1.0005231684021501</v>
      </c>
      <c r="G78" s="6" t="s">
        <v>202</v>
      </c>
      <c r="H78">
        <f>IF(Table157[[#This Row],[Lifetime Option]]="fixed",Table157[[#This Row],[End of life (fixed)]]-Table157[[#This Row],[Start year]],Table268[Generic  Lifetime])</f>
        <v>40</v>
      </c>
      <c r="J78">
        <f>IF(Table157[[#This Row],[Lifetime Option]]="fixed",Table157[[#This Row],[End of life (fixed)]],Table157[[#This Row],[Start year]]+Table268[Generic  Lifetime])</f>
        <v>2024</v>
      </c>
      <c r="K78">
        <v>0.91500000000000004</v>
      </c>
      <c r="M78" s="8"/>
    </row>
    <row r="79" spans="3:13">
      <c r="C79" t="s">
        <v>3</v>
      </c>
      <c r="D79" t="s">
        <v>87</v>
      </c>
      <c r="E79">
        <v>1980</v>
      </c>
      <c r="F79" s="6">
        <v>0.98063829371633704</v>
      </c>
      <c r="G79" s="6" t="s">
        <v>202</v>
      </c>
      <c r="H79">
        <f>IF(Table157[[#This Row],[Lifetime Option]]="fixed",Table157[[#This Row],[End of life (fixed)]]-Table157[[#This Row],[Start year]],Table268[Generic  Lifetime])</f>
        <v>40</v>
      </c>
      <c r="J79">
        <f>IF(Table157[[#This Row],[Lifetime Option]]="fixed",Table157[[#This Row],[End of life (fixed)]],Table157[[#This Row],[Start year]]+Table268[Generic  Lifetime])</f>
        <v>2020</v>
      </c>
      <c r="K79">
        <v>0.89</v>
      </c>
      <c r="M79" s="8"/>
    </row>
    <row r="80" spans="3:13">
      <c r="C80" t="s">
        <v>3</v>
      </c>
      <c r="D80" t="s">
        <v>88</v>
      </c>
      <c r="E80">
        <v>1980</v>
      </c>
      <c r="F80" s="6">
        <v>0.98063829371633704</v>
      </c>
      <c r="G80" s="6" t="s">
        <v>202</v>
      </c>
      <c r="H80">
        <f>IF(Table157[[#This Row],[Lifetime Option]]="fixed",Table157[[#This Row],[End of life (fixed)]]-Table157[[#This Row],[Start year]],Table268[Generic  Lifetime])</f>
        <v>40</v>
      </c>
      <c r="J80">
        <f>IF(Table157[[#This Row],[Lifetime Option]]="fixed",Table157[[#This Row],[End of life (fixed)]],Table157[[#This Row],[Start year]]+Table268[Generic  Lifetime])</f>
        <v>2020</v>
      </c>
      <c r="K80">
        <v>0.89</v>
      </c>
      <c r="M80" s="8"/>
    </row>
    <row r="81" spans="3:13">
      <c r="C81" t="s">
        <v>3</v>
      </c>
      <c r="D81" t="s">
        <v>89</v>
      </c>
      <c r="E81">
        <v>1981</v>
      </c>
      <c r="F81" s="6">
        <v>0.98063829371633704</v>
      </c>
      <c r="G81" s="6" t="s">
        <v>202</v>
      </c>
      <c r="H81">
        <f>IF(Table157[[#This Row],[Lifetime Option]]="fixed",Table157[[#This Row],[End of life (fixed)]]-Table157[[#This Row],[Start year]],Table268[Generic  Lifetime])</f>
        <v>40</v>
      </c>
      <c r="J81">
        <f>IF(Table157[[#This Row],[Lifetime Option]]="fixed",Table157[[#This Row],[End of life (fixed)]],Table157[[#This Row],[Start year]]+Table268[Generic  Lifetime])</f>
        <v>2021</v>
      </c>
      <c r="K81">
        <v>0.89</v>
      </c>
      <c r="M81" s="8"/>
    </row>
    <row r="82" spans="3:13">
      <c r="C82" t="s">
        <v>3</v>
      </c>
      <c r="D82" t="s">
        <v>90</v>
      </c>
      <c r="E82">
        <v>1981</v>
      </c>
      <c r="F82" s="6">
        <v>0.98063829371633704</v>
      </c>
      <c r="G82" s="6" t="s">
        <v>202</v>
      </c>
      <c r="H82">
        <f>IF(Table157[[#This Row],[Lifetime Option]]="fixed",Table157[[#This Row],[End of life (fixed)]]-Table157[[#This Row],[Start year]],Table268[Generic  Lifetime])</f>
        <v>40</v>
      </c>
      <c r="J82">
        <f>IF(Table157[[#This Row],[Lifetime Option]]="fixed",Table157[[#This Row],[End of life (fixed)]],Table157[[#This Row],[Start year]]+Table268[Generic  Lifetime])</f>
        <v>2021</v>
      </c>
      <c r="K82">
        <v>0.89</v>
      </c>
      <c r="M82" s="8"/>
    </row>
    <row r="83" spans="3:13">
      <c r="C83" t="s">
        <v>3</v>
      </c>
      <c r="D83" t="s">
        <v>91</v>
      </c>
      <c r="E83">
        <v>1977</v>
      </c>
      <c r="F83" s="6">
        <v>1.31483909774436</v>
      </c>
      <c r="G83" s="6" t="s">
        <v>201</v>
      </c>
      <c r="H83">
        <f>IF(Table157[[#This Row],[Lifetime Option]]="fixed",Table157[[#This Row],[End of life (fixed)]]-Table157[[#This Row],[Start year]],Table268[Generic  Lifetime])</f>
        <v>40</v>
      </c>
      <c r="I83">
        <v>2017</v>
      </c>
      <c r="J83">
        <f>IF(Table157[[#This Row],[Lifetime Option]]="fixed",Table157[[#This Row],[End of life (fixed)]],Table157[[#This Row],[Start year]]+Table268[Generic  Lifetime])</f>
        <v>2017</v>
      </c>
      <c r="K83">
        <v>0.88</v>
      </c>
      <c r="L83" t="s">
        <v>187</v>
      </c>
      <c r="M83" s="8"/>
    </row>
    <row r="84" spans="3:13">
      <c r="C84" t="s">
        <v>3</v>
      </c>
      <c r="D84" t="s">
        <v>92</v>
      </c>
      <c r="E84">
        <v>1977</v>
      </c>
      <c r="F84" s="6">
        <v>1.31483909774436</v>
      </c>
      <c r="G84" s="6" t="s">
        <v>201</v>
      </c>
      <c r="H84">
        <f>IF(Table157[[#This Row],[Lifetime Option]]="fixed",Table157[[#This Row],[End of life (fixed)]]-Table157[[#This Row],[Start year]],Table268[Generic  Lifetime])</f>
        <v>40</v>
      </c>
      <c r="I84">
        <v>2017</v>
      </c>
      <c r="J84">
        <f>IF(Table157[[#This Row],[Lifetime Option]]="fixed",Table157[[#This Row],[End of life (fixed)]],Table157[[#This Row],[Start year]]+Table268[Generic  Lifetime])</f>
        <v>2017</v>
      </c>
      <c r="K84">
        <v>0.88</v>
      </c>
      <c r="L84" t="s">
        <v>187</v>
      </c>
      <c r="M84" s="8"/>
    </row>
    <row r="85" spans="3:13">
      <c r="C85" t="s">
        <v>3</v>
      </c>
      <c r="D85" t="s">
        <v>93</v>
      </c>
      <c r="E85">
        <v>1985</v>
      </c>
      <c r="F85" s="6">
        <v>1.0323181556195999</v>
      </c>
      <c r="G85" s="6" t="s">
        <v>202</v>
      </c>
      <c r="H85">
        <f>IF(Table157[[#This Row],[Lifetime Option]]="fixed",Table157[[#This Row],[End of life (fixed)]]-Table157[[#This Row],[Start year]],Table268[Generic  Lifetime])</f>
        <v>40</v>
      </c>
      <c r="J85">
        <f>IF(Table157[[#This Row],[Lifetime Option]]="fixed",Table157[[#This Row],[End of life (fixed)]],Table157[[#This Row],[Start year]]+Table268[Generic  Lifetime])</f>
        <v>2025</v>
      </c>
      <c r="K85">
        <v>1.33</v>
      </c>
      <c r="M85" s="8"/>
    </row>
    <row r="86" spans="3:13">
      <c r="C86" t="s">
        <v>3</v>
      </c>
      <c r="D86" t="s">
        <v>94</v>
      </c>
      <c r="E86">
        <v>1986</v>
      </c>
      <c r="F86" s="6">
        <v>1.0323181556195999</v>
      </c>
      <c r="G86" s="6" t="s">
        <v>202</v>
      </c>
      <c r="H86">
        <f>IF(Table157[[#This Row],[Lifetime Option]]="fixed",Table157[[#This Row],[End of life (fixed)]]-Table157[[#This Row],[Start year]],Table268[Generic  Lifetime])</f>
        <v>40</v>
      </c>
      <c r="J86">
        <f>IF(Table157[[#This Row],[Lifetime Option]]="fixed",Table157[[#This Row],[End of life (fixed)]],Table157[[#This Row],[Start year]]+Table268[Generic  Lifetime])</f>
        <v>2026</v>
      </c>
      <c r="K86">
        <v>1.33</v>
      </c>
      <c r="M86" s="8"/>
    </row>
    <row r="87" spans="3:13">
      <c r="C87" t="s">
        <v>3</v>
      </c>
      <c r="D87" t="s">
        <v>95</v>
      </c>
      <c r="E87">
        <v>1990</v>
      </c>
      <c r="F87" s="6">
        <v>1.0181256484149901</v>
      </c>
      <c r="G87" s="6" t="s">
        <v>202</v>
      </c>
      <c r="H87">
        <f>IF(Table157[[#This Row],[Lifetime Option]]="fixed",Table157[[#This Row],[End of life (fixed)]]-Table157[[#This Row],[Start year]],Table268[Generic  Lifetime])</f>
        <v>40</v>
      </c>
      <c r="J87">
        <f>IF(Table157[[#This Row],[Lifetime Option]]="fixed",Table157[[#This Row],[End of life (fixed)]],Table157[[#This Row],[Start year]]+Table268[Generic  Lifetime])</f>
        <v>2030</v>
      </c>
      <c r="K87">
        <v>1.31</v>
      </c>
      <c r="M87" s="8"/>
    </row>
    <row r="88" spans="3:13">
      <c r="C88" t="s">
        <v>3</v>
      </c>
      <c r="D88" t="s">
        <v>96</v>
      </c>
      <c r="E88">
        <v>1993</v>
      </c>
      <c r="F88" s="6">
        <v>1.0181256484149901</v>
      </c>
      <c r="G88" s="6" t="s">
        <v>202</v>
      </c>
      <c r="H88">
        <f>IF(Table157[[#This Row],[Lifetime Option]]="fixed",Table157[[#This Row],[End of life (fixed)]]-Table157[[#This Row],[Start year]],Table268[Generic  Lifetime])</f>
        <v>40</v>
      </c>
      <c r="J88">
        <f>IF(Table157[[#This Row],[Lifetime Option]]="fixed",Table157[[#This Row],[End of life (fixed)]],Table157[[#This Row],[Start year]]+Table268[Generic  Lifetime])</f>
        <v>2033</v>
      </c>
      <c r="K88">
        <v>1.31</v>
      </c>
      <c r="M88" s="8"/>
    </row>
    <row r="89" spans="3:13">
      <c r="C89" t="s">
        <v>3</v>
      </c>
      <c r="D89" t="s">
        <v>97</v>
      </c>
      <c r="E89">
        <v>1980</v>
      </c>
      <c r="F89" s="6">
        <v>0.99529030664272899</v>
      </c>
      <c r="G89" s="6" t="s">
        <v>202</v>
      </c>
      <c r="H89">
        <f>IF(Table157[[#This Row],[Lifetime Option]]="fixed",Table157[[#This Row],[End of life (fixed)]]-Table157[[#This Row],[Start year]],Table268[Generic  Lifetime])</f>
        <v>40</v>
      </c>
      <c r="J89">
        <f>IF(Table157[[#This Row],[Lifetime Option]]="fixed",Table157[[#This Row],[End of life (fixed)]],Table157[[#This Row],[Start year]]+Table268[Generic  Lifetime])</f>
        <v>2020</v>
      </c>
      <c r="K89">
        <v>0.91</v>
      </c>
      <c r="M89" s="8"/>
    </row>
    <row r="90" spans="3:13">
      <c r="C90" t="s">
        <v>3</v>
      </c>
      <c r="D90" t="s">
        <v>98</v>
      </c>
      <c r="E90">
        <v>1980</v>
      </c>
      <c r="F90" s="6">
        <v>0.99529030664272899</v>
      </c>
      <c r="G90" s="6" t="s">
        <v>202</v>
      </c>
      <c r="H90">
        <f>IF(Table157[[#This Row],[Lifetime Option]]="fixed",Table157[[#This Row],[End of life (fixed)]]-Table157[[#This Row],[Start year]],Table268[Generic  Lifetime])</f>
        <v>40</v>
      </c>
      <c r="J90">
        <f>IF(Table157[[#This Row],[Lifetime Option]]="fixed",Table157[[#This Row],[End of life (fixed)]],Table157[[#This Row],[Start year]]+Table268[Generic  Lifetime])</f>
        <v>2020</v>
      </c>
      <c r="K90">
        <v>0.91</v>
      </c>
      <c r="M90" s="8"/>
    </row>
    <row r="91" spans="3:13">
      <c r="C91" t="s">
        <v>3</v>
      </c>
      <c r="D91" t="s">
        <v>99</v>
      </c>
      <c r="E91">
        <v>1980</v>
      </c>
      <c r="F91" s="6">
        <v>0.99529030664272899</v>
      </c>
      <c r="G91" s="6" t="s">
        <v>202</v>
      </c>
      <c r="H91">
        <f>IF(Table157[[#This Row],[Lifetime Option]]="fixed",Table157[[#This Row],[End of life (fixed)]]-Table157[[#This Row],[Start year]],Table268[Generic  Lifetime])</f>
        <v>40</v>
      </c>
      <c r="J91">
        <f>IF(Table157[[#This Row],[Lifetime Option]]="fixed",Table157[[#This Row],[End of life (fixed)]],Table157[[#This Row],[Start year]]+Table268[Generic  Lifetime])</f>
        <v>2020</v>
      </c>
      <c r="K91">
        <v>0.91</v>
      </c>
      <c r="M91" s="8"/>
    </row>
    <row r="92" spans="3:13">
      <c r="C92" t="s">
        <v>3</v>
      </c>
      <c r="D92" t="s">
        <v>100</v>
      </c>
      <c r="E92">
        <v>1981</v>
      </c>
      <c r="F92" s="6">
        <v>0.99529030664272899</v>
      </c>
      <c r="G92" s="6" t="s">
        <v>202</v>
      </c>
      <c r="H92">
        <f>IF(Table157[[#This Row],[Lifetime Option]]="fixed",Table157[[#This Row],[End of life (fixed)]]-Table157[[#This Row],[Start year]],Table268[Generic  Lifetime])</f>
        <v>40</v>
      </c>
      <c r="J92">
        <f>IF(Table157[[#This Row],[Lifetime Option]]="fixed",Table157[[#This Row],[End of life (fixed)]],Table157[[#This Row],[Start year]]+Table268[Generic  Lifetime])</f>
        <v>2021</v>
      </c>
      <c r="K92">
        <v>0.91</v>
      </c>
      <c r="M92" s="8"/>
    </row>
    <row r="93" spans="3:13">
      <c r="C93" t="s">
        <v>3</v>
      </c>
      <c r="D93" t="s">
        <v>101</v>
      </c>
      <c r="E93">
        <v>1984</v>
      </c>
      <c r="F93" s="6">
        <v>1.3866501974865399</v>
      </c>
      <c r="G93" s="6" t="s">
        <v>202</v>
      </c>
      <c r="H93">
        <f>IF(Table157[[#This Row],[Lifetime Option]]="fixed",Table157[[#This Row],[End of life (fixed)]]-Table157[[#This Row],[Start year]],Table268[Generic  Lifetime])</f>
        <v>40</v>
      </c>
      <c r="J93">
        <f>IF(Table157[[#This Row],[Lifetime Option]]="fixed",Table157[[#This Row],[End of life (fixed)]],Table157[[#This Row],[Start year]]+Table268[Generic  Lifetime])</f>
        <v>2024</v>
      </c>
      <c r="K93">
        <v>0.91</v>
      </c>
      <c r="M93" s="8"/>
    </row>
    <row r="94" spans="3:13">
      <c r="C94" t="s">
        <v>3</v>
      </c>
      <c r="D94" t="s">
        <v>102</v>
      </c>
      <c r="E94">
        <v>1985</v>
      </c>
      <c r="F94" s="6">
        <v>1.38665019748653</v>
      </c>
      <c r="G94" s="6" t="s">
        <v>202</v>
      </c>
      <c r="H94">
        <f>IF(Table157[[#This Row],[Lifetime Option]]="fixed",Table157[[#This Row],[End of life (fixed)]]-Table157[[#This Row],[Start year]],Table268[Generic  Lifetime])</f>
        <v>40</v>
      </c>
      <c r="J94">
        <f>IF(Table157[[#This Row],[Lifetime Option]]="fixed",Table157[[#This Row],[End of life (fixed)]],Table157[[#This Row],[Start year]]+Table268[Generic  Lifetime])</f>
        <v>2025</v>
      </c>
      <c r="K94">
        <v>0.91</v>
      </c>
      <c r="M94" s="8"/>
    </row>
    <row r="95" spans="3:13">
      <c r="C95" t="s">
        <v>3</v>
      </c>
      <c r="D95" t="s">
        <v>103</v>
      </c>
      <c r="E95">
        <v>1987</v>
      </c>
      <c r="F95" s="6">
        <v>1.0181256484149901</v>
      </c>
      <c r="G95" s="6" t="s">
        <v>202</v>
      </c>
      <c r="H95">
        <f>IF(Table157[[#This Row],[Lifetime Option]]="fixed",Table157[[#This Row],[End of life (fixed)]]-Table157[[#This Row],[Start year]],Table268[Generic  Lifetime])</f>
        <v>40</v>
      </c>
      <c r="J95">
        <f>IF(Table157[[#This Row],[Lifetime Option]]="fixed",Table157[[#This Row],[End of life (fixed)]],Table157[[#This Row],[Start year]]+Table268[Generic  Lifetime])</f>
        <v>2027</v>
      </c>
      <c r="K95">
        <v>1.31</v>
      </c>
      <c r="M95" s="8"/>
    </row>
    <row r="96" spans="3:13">
      <c r="C96" t="s">
        <v>3</v>
      </c>
      <c r="D96" t="s">
        <v>104</v>
      </c>
      <c r="E96">
        <v>1988</v>
      </c>
      <c r="F96" s="6">
        <v>1.0181256484149901</v>
      </c>
      <c r="G96" s="6" t="s">
        <v>202</v>
      </c>
      <c r="H96">
        <f>IF(Table157[[#This Row],[Lifetime Option]]="fixed",Table157[[#This Row],[End of life (fixed)]]-Table157[[#This Row],[Start year]],Table268[Generic  Lifetime])</f>
        <v>40</v>
      </c>
      <c r="J96">
        <f>IF(Table157[[#This Row],[Lifetime Option]]="fixed",Table157[[#This Row],[End of life (fixed)]],Table157[[#This Row],[Start year]]+Table268[Generic  Lifetime])</f>
        <v>2028</v>
      </c>
      <c r="K96">
        <v>1.31</v>
      </c>
      <c r="M96" s="8"/>
    </row>
    <row r="97" spans="3:13">
      <c r="C97" t="s">
        <v>3</v>
      </c>
      <c r="D97" t="s">
        <v>105</v>
      </c>
      <c r="E97">
        <v>1984</v>
      </c>
      <c r="F97" s="6">
        <v>1.0323181556195999</v>
      </c>
      <c r="G97" s="6" t="s">
        <v>202</v>
      </c>
      <c r="H97">
        <f>IF(Table157[[#This Row],[Lifetime Option]]="fixed",Table157[[#This Row],[End of life (fixed)]]-Table157[[#This Row],[Start year]],Table268[Generic  Lifetime])</f>
        <v>40</v>
      </c>
      <c r="J97">
        <f>IF(Table157[[#This Row],[Lifetime Option]]="fixed",Table157[[#This Row],[End of life (fixed)]],Table157[[#This Row],[Start year]]+Table268[Generic  Lifetime])</f>
        <v>2024</v>
      </c>
      <c r="K97">
        <v>1.33</v>
      </c>
      <c r="M97" s="8"/>
    </row>
    <row r="98" spans="3:13">
      <c r="C98" t="s">
        <v>3</v>
      </c>
      <c r="D98" t="s">
        <v>106</v>
      </c>
      <c r="E98">
        <v>1984</v>
      </c>
      <c r="F98" s="6">
        <v>1.0323181556195999</v>
      </c>
      <c r="G98" s="6" t="s">
        <v>202</v>
      </c>
      <c r="H98">
        <f>IF(Table157[[#This Row],[Lifetime Option]]="fixed",Table157[[#This Row],[End of life (fixed)]]-Table157[[#This Row],[Start year]],Table268[Generic  Lifetime])</f>
        <v>40</v>
      </c>
      <c r="J98">
        <f>IF(Table157[[#This Row],[Lifetime Option]]="fixed",Table157[[#This Row],[End of life (fixed)]],Table157[[#This Row],[Start year]]+Table268[Generic  Lifetime])</f>
        <v>2024</v>
      </c>
      <c r="K98">
        <v>1.33</v>
      </c>
      <c r="M98" s="8"/>
    </row>
    <row r="99" spans="3:13">
      <c r="C99" t="s">
        <v>3</v>
      </c>
      <c r="D99" t="s">
        <v>107</v>
      </c>
      <c r="E99">
        <v>1985</v>
      </c>
      <c r="F99" s="6">
        <v>1.0323181556195999</v>
      </c>
      <c r="G99" s="6" t="s">
        <v>202</v>
      </c>
      <c r="H99">
        <f>IF(Table157[[#This Row],[Lifetime Option]]="fixed",Table157[[#This Row],[End of life (fixed)]]-Table157[[#This Row],[Start year]],Table268[Generic  Lifetime])</f>
        <v>40</v>
      </c>
      <c r="J99">
        <f>IF(Table157[[#This Row],[Lifetime Option]]="fixed",Table157[[#This Row],[End of life (fixed)]],Table157[[#This Row],[Start year]]+Table268[Generic  Lifetime])</f>
        <v>2025</v>
      </c>
      <c r="K99">
        <v>1.33</v>
      </c>
      <c r="M99" s="8"/>
    </row>
    <row r="100" spans="3:13">
      <c r="C100" t="s">
        <v>3</v>
      </c>
      <c r="D100" t="s">
        <v>108</v>
      </c>
      <c r="E100">
        <v>1986</v>
      </c>
      <c r="F100" s="6">
        <v>1.0323181556195999</v>
      </c>
      <c r="G100" s="6" t="s">
        <v>202</v>
      </c>
      <c r="H100">
        <f>IF(Table157[[#This Row],[Lifetime Option]]="fixed",Table157[[#This Row],[End of life (fixed)]]-Table157[[#This Row],[Start year]],Table268[Generic  Lifetime])</f>
        <v>40</v>
      </c>
      <c r="J100">
        <f>IF(Table157[[#This Row],[Lifetime Option]]="fixed",Table157[[#This Row],[End of life (fixed)]],Table157[[#This Row],[Start year]]+Table268[Generic  Lifetime])</f>
        <v>2026</v>
      </c>
      <c r="K100">
        <v>1.33</v>
      </c>
      <c r="M100" s="8"/>
    </row>
    <row r="101" spans="3:13">
      <c r="C101" t="s">
        <v>3</v>
      </c>
      <c r="D101" t="s">
        <v>109</v>
      </c>
      <c r="E101">
        <v>1990</v>
      </c>
      <c r="F101" s="6">
        <v>1.0323181556195999</v>
      </c>
      <c r="G101" s="6" t="s">
        <v>202</v>
      </c>
      <c r="H101">
        <f>IF(Table157[[#This Row],[Lifetime Option]]="fixed",Table157[[#This Row],[End of life (fixed)]]-Table157[[#This Row],[Start year]],Table268[Generic  Lifetime])</f>
        <v>40</v>
      </c>
      <c r="J101">
        <f>IF(Table157[[#This Row],[Lifetime Option]]="fixed",Table157[[#This Row],[End of life (fixed)]],Table157[[#This Row],[Start year]]+Table268[Generic  Lifetime])</f>
        <v>2030</v>
      </c>
      <c r="K101">
        <v>1.33</v>
      </c>
      <c r="M101" s="8"/>
    </row>
    <row r="102" spans="3:13">
      <c r="C102" t="s">
        <v>3</v>
      </c>
      <c r="D102" t="s">
        <v>110</v>
      </c>
      <c r="E102">
        <v>1992</v>
      </c>
      <c r="F102" s="6">
        <v>1.0323181556195999</v>
      </c>
      <c r="G102" s="6" t="s">
        <v>202</v>
      </c>
      <c r="H102">
        <f>IF(Table157[[#This Row],[Lifetime Option]]="fixed",Table157[[#This Row],[End of life (fixed)]]-Table157[[#This Row],[Start year]],Table268[Generic  Lifetime])</f>
        <v>40</v>
      </c>
      <c r="J102">
        <f>IF(Table157[[#This Row],[Lifetime Option]]="fixed",Table157[[#This Row],[End of life (fixed)]],Table157[[#This Row],[Start year]]+Table268[Generic  Lifetime])</f>
        <v>2032</v>
      </c>
      <c r="K102">
        <v>1.33</v>
      </c>
      <c r="M102" s="8"/>
    </row>
    <row r="103" spans="3:13">
      <c r="C103" t="s">
        <v>3</v>
      </c>
      <c r="D103" t="s">
        <v>111</v>
      </c>
      <c r="E103">
        <v>1973</v>
      </c>
      <c r="F103" s="6">
        <v>2.85</v>
      </c>
      <c r="G103" s="6" t="s">
        <v>202</v>
      </c>
      <c r="H103">
        <f>IF(Table157[[#This Row],[Lifetime Option]]="fixed",Table157[[#This Row],[End of life (fixed)]]-Table157[[#This Row],[Start year]],Table268[Generic  Lifetime])</f>
        <v>40</v>
      </c>
      <c r="J103">
        <f>IF(Table157[[#This Row],[Lifetime Option]]="fixed",Table157[[#This Row],[End of life (fixed)]],Table157[[#This Row],[Start year]]+Table268[Generic  Lifetime])</f>
        <v>2013</v>
      </c>
      <c r="K103">
        <v>0.13</v>
      </c>
      <c r="M103" s="8"/>
    </row>
    <row r="104" spans="3:13">
      <c r="C104" t="s">
        <v>3</v>
      </c>
      <c r="D104" t="s">
        <v>112</v>
      </c>
      <c r="E104">
        <v>1985</v>
      </c>
      <c r="F104" s="6">
        <v>1.0315711815562001</v>
      </c>
      <c r="G104" s="6" t="s">
        <v>202</v>
      </c>
      <c r="H104">
        <f>IF(Table157[[#This Row],[Lifetime Option]]="fixed",Table157[[#This Row],[End of life (fixed)]]-Table157[[#This Row],[Start year]],Table268[Generic  Lifetime])</f>
        <v>40</v>
      </c>
      <c r="J104">
        <f>IF(Table157[[#This Row],[Lifetime Option]]="fixed",Table157[[#This Row],[End of life (fixed)]],Table157[[#This Row],[Start year]]+Table268[Generic  Lifetime])</f>
        <v>2025</v>
      </c>
      <c r="K104">
        <v>1.335</v>
      </c>
      <c r="M104" s="8"/>
    </row>
    <row r="105" spans="3:13">
      <c r="C105" t="s">
        <v>3</v>
      </c>
      <c r="D105" t="s">
        <v>113</v>
      </c>
      <c r="E105">
        <v>1986</v>
      </c>
      <c r="F105" s="6">
        <v>1.0315711815562001</v>
      </c>
      <c r="G105" s="6" t="s">
        <v>202</v>
      </c>
      <c r="H105">
        <f>IF(Table157[[#This Row],[Lifetime Option]]="fixed",Table157[[#This Row],[End of life (fixed)]]-Table157[[#This Row],[Start year]],Table268[Generic  Lifetime])</f>
        <v>40</v>
      </c>
      <c r="J105">
        <f>IF(Table157[[#This Row],[Lifetime Option]]="fixed",Table157[[#This Row],[End of life (fixed)]],Table157[[#This Row],[Start year]]+Table268[Generic  Lifetime])</f>
        <v>2026</v>
      </c>
      <c r="K105">
        <v>1.335</v>
      </c>
      <c r="M105" s="8"/>
    </row>
    <row r="106" spans="3:13">
      <c r="C106" t="s">
        <v>3</v>
      </c>
      <c r="D106" t="s">
        <v>114</v>
      </c>
      <c r="E106">
        <v>1981</v>
      </c>
      <c r="F106" s="6">
        <v>1.0005231684021501</v>
      </c>
      <c r="G106" s="6" t="s">
        <v>202</v>
      </c>
      <c r="H106">
        <f>IF(Table157[[#This Row],[Lifetime Option]]="fixed",Table157[[#This Row],[End of life (fixed)]]-Table157[[#This Row],[Start year]],Table268[Generic  Lifetime])</f>
        <v>40</v>
      </c>
      <c r="J106">
        <f>IF(Table157[[#This Row],[Lifetime Option]]="fixed",Table157[[#This Row],[End of life (fixed)]],Table157[[#This Row],[Start year]]+Table268[Generic  Lifetime])</f>
        <v>2021</v>
      </c>
      <c r="K106">
        <v>0.91500000000000004</v>
      </c>
      <c r="M106" s="8"/>
    </row>
    <row r="107" spans="3:13">
      <c r="C107" t="s">
        <v>3</v>
      </c>
      <c r="D107" t="s">
        <v>115</v>
      </c>
      <c r="E107">
        <v>1981</v>
      </c>
      <c r="F107" s="6">
        <v>1.0005231684021501</v>
      </c>
      <c r="G107" s="6" t="s">
        <v>202</v>
      </c>
      <c r="H107">
        <f>IF(Table157[[#This Row],[Lifetime Option]]="fixed",Table157[[#This Row],[End of life (fixed)]]-Table157[[#This Row],[Start year]],Table268[Generic  Lifetime])</f>
        <v>40</v>
      </c>
      <c r="J107">
        <f>IF(Table157[[#This Row],[Lifetime Option]]="fixed",Table157[[#This Row],[End of life (fixed)]],Table157[[#This Row],[Start year]]+Table268[Generic  Lifetime])</f>
        <v>2021</v>
      </c>
      <c r="K107">
        <v>0.91500000000000004</v>
      </c>
      <c r="M107" s="8"/>
    </row>
    <row r="108" spans="3:13">
      <c r="C108" t="s">
        <v>3</v>
      </c>
      <c r="D108" t="s">
        <v>116</v>
      </c>
      <c r="E108">
        <v>1980</v>
      </c>
      <c r="F108" s="6">
        <v>1.2443461400359099</v>
      </c>
      <c r="G108" s="6" t="s">
        <v>202</v>
      </c>
      <c r="H108">
        <f>IF(Table157[[#This Row],[Lifetime Option]]="fixed",Table157[[#This Row],[End of life (fixed)]]-Table157[[#This Row],[Start year]],Table268[Generic  Lifetime])</f>
        <v>40</v>
      </c>
      <c r="J108">
        <f>IF(Table157[[#This Row],[Lifetime Option]]="fixed",Table157[[#This Row],[End of life (fixed)]],Table157[[#This Row],[Start year]]+Table268[Generic  Lifetime])</f>
        <v>2020</v>
      </c>
      <c r="K108">
        <v>0.91500000000000004</v>
      </c>
      <c r="M108" s="8"/>
    </row>
    <row r="109" spans="3:13">
      <c r="C109" t="s">
        <v>3</v>
      </c>
      <c r="D109" t="s">
        <v>117</v>
      </c>
      <c r="E109">
        <v>1980</v>
      </c>
      <c r="F109" s="6">
        <v>0.99947659605026895</v>
      </c>
      <c r="G109" s="6" t="s">
        <v>202</v>
      </c>
      <c r="H109">
        <f>IF(Table157[[#This Row],[Lifetime Option]]="fixed",Table157[[#This Row],[End of life (fixed)]]-Table157[[#This Row],[Start year]],Table268[Generic  Lifetime])</f>
        <v>40</v>
      </c>
      <c r="J109">
        <f>IF(Table157[[#This Row],[Lifetime Option]]="fixed",Table157[[#This Row],[End of life (fixed)]],Table157[[#This Row],[Start year]]+Table268[Generic  Lifetime])</f>
        <v>2020</v>
      </c>
      <c r="K109">
        <v>0.91500000000000004</v>
      </c>
      <c r="M109" s="8"/>
    </row>
    <row r="110" spans="3:13">
      <c r="C110" t="s">
        <v>3</v>
      </c>
      <c r="D110" t="s">
        <v>118</v>
      </c>
      <c r="E110">
        <v>1981</v>
      </c>
      <c r="F110" s="6">
        <v>0.99947659605026895</v>
      </c>
      <c r="G110" s="6" t="s">
        <v>202</v>
      </c>
      <c r="H110">
        <f>IF(Table157[[#This Row],[Lifetime Option]]="fixed",Table157[[#This Row],[End of life (fixed)]]-Table157[[#This Row],[Start year]],Table268[Generic  Lifetime])</f>
        <v>40</v>
      </c>
      <c r="J110">
        <f>IF(Table157[[#This Row],[Lifetime Option]]="fixed",Table157[[#This Row],[End of life (fixed)]],Table157[[#This Row],[Start year]]+Table268[Generic  Lifetime])</f>
        <v>2021</v>
      </c>
      <c r="K110">
        <v>0.91500000000000004</v>
      </c>
      <c r="M110" s="8"/>
    </row>
    <row r="111" spans="3:13">
      <c r="C111" t="s">
        <v>3</v>
      </c>
      <c r="D111" t="s">
        <v>119</v>
      </c>
      <c r="E111">
        <v>1981</v>
      </c>
      <c r="F111" s="6">
        <v>0.99947659605026895</v>
      </c>
      <c r="G111" s="6" t="s">
        <v>202</v>
      </c>
      <c r="H111">
        <f>IF(Table157[[#This Row],[Lifetime Option]]="fixed",Table157[[#This Row],[End of life (fixed)]]-Table157[[#This Row],[Start year]],Table268[Generic  Lifetime])</f>
        <v>40</v>
      </c>
      <c r="J111">
        <f>IF(Table157[[#This Row],[Lifetime Option]]="fixed",Table157[[#This Row],[End of life (fixed)]],Table157[[#This Row],[Start year]]+Table268[Generic  Lifetime])</f>
        <v>2021</v>
      </c>
      <c r="K111">
        <v>0.91500000000000004</v>
      </c>
      <c r="M111" s="8"/>
    </row>
    <row r="112" spans="3:13">
      <c r="C112" t="s">
        <v>120</v>
      </c>
      <c r="D112" t="s">
        <v>121</v>
      </c>
      <c r="E112">
        <v>1982</v>
      </c>
      <c r="F112" s="6">
        <v>1.07636363636364</v>
      </c>
      <c r="G112" s="6" t="s">
        <v>202</v>
      </c>
      <c r="H112">
        <f>IF(Table157[[#This Row],[Lifetime Option]]="fixed",Table157[[#This Row],[End of life (fixed)]]-Table157[[#This Row],[Start year]],Table268[Generic  Lifetime])</f>
        <v>40</v>
      </c>
      <c r="J112">
        <f>IF(Table157[[#This Row],[Lifetime Option]]="fixed",Table157[[#This Row],[End of life (fixed)]],Table157[[#This Row],[Start year]]+Table268[Generic  Lifetime])</f>
        <v>2022</v>
      </c>
      <c r="K112">
        <v>0.47</v>
      </c>
      <c r="M112" s="8"/>
    </row>
    <row r="113" spans="3:13">
      <c r="C113" t="s">
        <v>120</v>
      </c>
      <c r="D113" t="s">
        <v>122</v>
      </c>
      <c r="E113">
        <v>1984</v>
      </c>
      <c r="F113" s="6">
        <v>1.07636363636364</v>
      </c>
      <c r="G113" s="6" t="s">
        <v>202</v>
      </c>
      <c r="H113">
        <f>IF(Table157[[#This Row],[Lifetime Option]]="fixed",Table157[[#This Row],[End of life (fixed)]]-Table157[[#This Row],[Start year]],Table268[Generic  Lifetime])</f>
        <v>40</v>
      </c>
      <c r="J113">
        <f>IF(Table157[[#This Row],[Lifetime Option]]="fixed",Table157[[#This Row],[End of life (fixed)]],Table157[[#This Row],[Start year]]+Table268[Generic  Lifetime])</f>
        <v>2024</v>
      </c>
      <c r="K113">
        <v>0.47299999999999998</v>
      </c>
      <c r="M113" s="8"/>
    </row>
    <row r="114" spans="3:13">
      <c r="C114" t="s">
        <v>120</v>
      </c>
      <c r="D114" t="s">
        <v>123</v>
      </c>
      <c r="E114">
        <v>1986</v>
      </c>
      <c r="F114" s="6">
        <v>1.07636363636364</v>
      </c>
      <c r="G114" s="6" t="s">
        <v>202</v>
      </c>
      <c r="H114">
        <f>IF(Table157[[#This Row],[Lifetime Option]]="fixed",Table157[[#This Row],[End of life (fixed)]]-Table157[[#This Row],[Start year]],Table268[Generic  Lifetime])</f>
        <v>40</v>
      </c>
      <c r="J114">
        <f>IF(Table157[[#This Row],[Lifetime Option]]="fixed",Table157[[#This Row],[End of life (fixed)]],Table157[[#This Row],[Start year]]+Table268[Generic  Lifetime])</f>
        <v>2026</v>
      </c>
      <c r="K114">
        <v>0.47299999999999998</v>
      </c>
      <c r="M114" s="8"/>
    </row>
    <row r="115" spans="3:13">
      <c r="C115" t="s">
        <v>120</v>
      </c>
      <c r="D115" t="s">
        <v>124</v>
      </c>
      <c r="E115">
        <v>1987</v>
      </c>
      <c r="F115" s="6">
        <v>1.07636363636364</v>
      </c>
      <c r="G115" s="6" t="s">
        <v>202</v>
      </c>
      <c r="H115">
        <f>IF(Table157[[#This Row],[Lifetime Option]]="fixed",Table157[[#This Row],[End of life (fixed)]]-Table157[[#This Row],[Start year]],Table268[Generic  Lifetime])</f>
        <v>40</v>
      </c>
      <c r="J115">
        <f>IF(Table157[[#This Row],[Lifetime Option]]="fixed",Table157[[#This Row],[End of life (fixed)]],Table157[[#This Row],[Start year]]+Table268[Generic  Lifetime])</f>
        <v>2027</v>
      </c>
      <c r="K115">
        <v>0.47299999999999998</v>
      </c>
      <c r="M115" s="8"/>
    </row>
    <row r="116" spans="3:13">
      <c r="C116" t="s">
        <v>125</v>
      </c>
      <c r="D116" t="s">
        <v>126</v>
      </c>
      <c r="E116">
        <v>1983</v>
      </c>
      <c r="F116" s="6">
        <v>0.66</v>
      </c>
      <c r="G116" s="6" t="s">
        <v>201</v>
      </c>
      <c r="H116">
        <f>IF(Table157[[#This Row],[Lifetime Option]]="fixed",Table157[[#This Row],[End of life (fixed)]]-Table157[[#This Row],[Start year]],Table268[Generic  Lifetime])</f>
        <v>21</v>
      </c>
      <c r="I116">
        <v>2004</v>
      </c>
      <c r="J116">
        <f>IF(Table157[[#This Row],[Lifetime Option]]="fixed",Table157[[#This Row],[End of life (fixed)]],Table157[[#This Row],[Start year]]+Table268[Generic  Lifetime])</f>
        <v>2004</v>
      </c>
      <c r="K116">
        <v>1.1850000000000001</v>
      </c>
      <c r="L116" t="s">
        <v>186</v>
      </c>
      <c r="M116" s="8"/>
    </row>
    <row r="117" spans="3:13">
      <c r="C117" t="s">
        <v>125</v>
      </c>
      <c r="D117" t="s">
        <v>127</v>
      </c>
      <c r="E117">
        <v>1987</v>
      </c>
      <c r="F117" s="6">
        <v>0.66</v>
      </c>
      <c r="G117" s="6" t="s">
        <v>201</v>
      </c>
      <c r="H117">
        <f>IF(Table157[[#This Row],[Lifetime Option]]="fixed",Table157[[#This Row],[End of life (fixed)]]-Table157[[#This Row],[Start year]],Table268[Generic  Lifetime])</f>
        <v>22</v>
      </c>
      <c r="I117">
        <v>2009</v>
      </c>
      <c r="J117">
        <f>IF(Table157[[#This Row],[Lifetime Option]]="fixed",Table157[[#This Row],[End of life (fixed)]],Table157[[#This Row],[Start year]]+Table268[Generic  Lifetime])</f>
        <v>2009</v>
      </c>
      <c r="K117">
        <v>1.1850000000000001</v>
      </c>
      <c r="L117" t="s">
        <v>186</v>
      </c>
      <c r="M117" s="8"/>
    </row>
    <row r="118" spans="3:13">
      <c r="C118" t="s">
        <v>128</v>
      </c>
      <c r="D118" t="s">
        <v>129</v>
      </c>
      <c r="E118">
        <v>1973</v>
      </c>
      <c r="F118" s="6">
        <v>1.2703836017569501</v>
      </c>
      <c r="G118" s="6" t="s">
        <v>201</v>
      </c>
      <c r="H118">
        <f>IF(Table157[[#This Row],[Lifetime Option]]="fixed",Table157[[#This Row],[End of life (fixed)]]-Table157[[#This Row],[Start year]],Table268[Generic  Lifetime])</f>
        <v>61</v>
      </c>
      <c r="I118">
        <v>2034</v>
      </c>
      <c r="J118">
        <f>IF(Table157[[#This Row],[Lifetime Option]]="fixed",Table157[[#This Row],[End of life (fixed)]],Table157[[#This Row],[Start year]]+Table268[Generic  Lifetime])</f>
        <v>2034</v>
      </c>
      <c r="K118">
        <v>0.48199999999999998</v>
      </c>
      <c r="M118" s="8"/>
    </row>
    <row r="119" spans="3:13">
      <c r="C119" t="s">
        <v>130</v>
      </c>
      <c r="D119" t="s">
        <v>131</v>
      </c>
      <c r="E119">
        <v>1996</v>
      </c>
      <c r="F119" s="6">
        <v>0.19866451376146799</v>
      </c>
      <c r="G119" s="6" t="s">
        <v>202</v>
      </c>
      <c r="H119">
        <f>IF(Table157[[#This Row],[Lifetime Option]]="fixed",Table157[[#This Row],[End of life (fixed)]]-Table157[[#This Row],[Start year]],Table268[Generic  Lifetime])</f>
        <v>40</v>
      </c>
      <c r="J119">
        <f>IF(Table157[[#This Row],[Lifetime Option]]="fixed",Table157[[#This Row],[End of life (fixed)]],Table157[[#This Row],[Start year]]+Table268[Generic  Lifetime])</f>
        <v>2036</v>
      </c>
      <c r="K119">
        <v>0.65</v>
      </c>
      <c r="M119" s="8"/>
    </row>
    <row r="120" spans="3:13">
      <c r="C120" t="s">
        <v>130</v>
      </c>
      <c r="D120" t="s">
        <v>132</v>
      </c>
      <c r="E120">
        <v>2007</v>
      </c>
      <c r="F120" s="6">
        <v>0.19866451376146799</v>
      </c>
      <c r="G120" s="6" t="s">
        <v>202</v>
      </c>
      <c r="H120">
        <f>IF(Table157[[#This Row],[Lifetime Option]]="fixed",Table157[[#This Row],[End of life (fixed)]]-Table157[[#This Row],[Start year]],Table268[Generic  Lifetime])</f>
        <v>40</v>
      </c>
      <c r="J120">
        <f>IF(Table157[[#This Row],[Lifetime Option]]="fixed",Table157[[#This Row],[End of life (fixed)]],Table157[[#This Row],[Start year]]+Table268[Generic  Lifetime])</f>
        <v>2047</v>
      </c>
      <c r="K120">
        <v>0.65</v>
      </c>
      <c r="M120" s="8"/>
    </row>
    <row r="121" spans="3:13">
      <c r="C121" t="s">
        <v>133</v>
      </c>
      <c r="D121" t="s">
        <v>134</v>
      </c>
      <c r="E121">
        <v>1980</v>
      </c>
      <c r="F121" s="6">
        <v>1.2802426229508199</v>
      </c>
      <c r="G121" s="6" t="s">
        <v>202</v>
      </c>
      <c r="H121">
        <f>IF(Table157[[#This Row],[Lifetime Option]]="fixed",Table157[[#This Row],[End of life (fixed)]]-Table157[[#This Row],[Start year]],Table268[Generic  Lifetime])</f>
        <v>40</v>
      </c>
      <c r="J121">
        <f>IF(Table157[[#This Row],[Lifetime Option]]="fixed",Table157[[#This Row],[End of life (fixed)]],Table157[[#This Row],[Start year]]+Table268[Generic  Lifetime])</f>
        <v>2020</v>
      </c>
      <c r="K121">
        <v>0.98399999999999999</v>
      </c>
      <c r="M121" s="8"/>
    </row>
    <row r="122" spans="3:13">
      <c r="C122" t="s">
        <v>133</v>
      </c>
      <c r="D122" t="s">
        <v>135</v>
      </c>
      <c r="E122">
        <v>1981</v>
      </c>
      <c r="F122" s="6">
        <v>1.27404590163934</v>
      </c>
      <c r="G122" s="6" t="s">
        <v>202</v>
      </c>
      <c r="H122">
        <f>IF(Table157[[#This Row],[Lifetime Option]]="fixed",Table157[[#This Row],[End of life (fixed)]]-Table157[[#This Row],[Start year]],Table268[Generic  Lifetime])</f>
        <v>40</v>
      </c>
      <c r="J122">
        <f>IF(Table157[[#This Row],[Lifetime Option]]="fixed",Table157[[#This Row],[End of life (fixed)]],Table157[[#This Row],[Start year]]+Table268[Generic  Lifetime])</f>
        <v>2021</v>
      </c>
      <c r="K122">
        <v>0.996</v>
      </c>
      <c r="M122" s="8"/>
    </row>
    <row r="123" spans="3:13">
      <c r="C123" t="s">
        <v>133</v>
      </c>
      <c r="D123" t="s">
        <v>136</v>
      </c>
      <c r="E123">
        <v>1985</v>
      </c>
      <c r="F123" s="6">
        <v>1.3327592727272699</v>
      </c>
      <c r="G123" s="6" t="s">
        <v>202</v>
      </c>
      <c r="H123">
        <f>IF(Table157[[#This Row],[Lifetime Option]]="fixed",Table157[[#This Row],[End of life (fixed)]]-Table157[[#This Row],[Start year]],Table268[Generic  Lifetime])</f>
        <v>40</v>
      </c>
      <c r="J123">
        <f>IF(Table157[[#This Row],[Lifetime Option]]="fixed",Table157[[#This Row],[End of life (fixed)]],Table157[[#This Row],[Start year]]+Table268[Generic  Lifetime])</f>
        <v>2025</v>
      </c>
      <c r="K123">
        <v>1.17</v>
      </c>
      <c r="M123" s="8"/>
    </row>
    <row r="124" spans="3:13">
      <c r="C124" t="s">
        <v>133</v>
      </c>
      <c r="D124" t="s">
        <v>137</v>
      </c>
      <c r="E124">
        <v>1971</v>
      </c>
      <c r="F124" s="6">
        <v>1.3911970909090901</v>
      </c>
      <c r="G124" s="6" t="s">
        <v>201</v>
      </c>
      <c r="H124">
        <f>IF(Table157[[#This Row],[Lifetime Option]]="fixed",Table157[[#This Row],[End of life (fixed)]]-Table157[[#This Row],[Start year]],Table268[Generic  Lifetime])</f>
        <v>47</v>
      </c>
      <c r="I124">
        <v>2018</v>
      </c>
      <c r="J124">
        <f>IF(Table157[[#This Row],[Lifetime Option]]="fixed",Table157[[#This Row],[End of life (fixed)]],Table157[[#This Row],[Start year]]+Table268[Generic  Lifetime])</f>
        <v>2018</v>
      </c>
      <c r="K124">
        <v>0.47299999999999998</v>
      </c>
      <c r="L124" t="s">
        <v>208</v>
      </c>
      <c r="M124" s="7" t="s">
        <v>176</v>
      </c>
    </row>
    <row r="125" spans="3:13">
      <c r="C125" t="s">
        <v>133</v>
      </c>
      <c r="D125" t="s">
        <v>138</v>
      </c>
      <c r="E125">
        <v>1974</v>
      </c>
      <c r="F125" s="6">
        <v>1.4277599999999999</v>
      </c>
      <c r="G125" s="6" t="s">
        <v>201</v>
      </c>
      <c r="H125">
        <f>IF(Table157[[#This Row],[Lifetime Option]]="fixed",Table157[[#This Row],[End of life (fixed)]]-Table157[[#This Row],[Start year]],Table268[Generic  Lifetime])</f>
        <v>46</v>
      </c>
      <c r="I125">
        <v>2020</v>
      </c>
      <c r="J125">
        <f>IF(Table157[[#This Row],[Lifetime Option]]="fixed",Table157[[#This Row],[End of life (fixed)]],Table157[[#This Row],[Start year]]+Table268[Generic  Lifetime])</f>
        <v>2020</v>
      </c>
      <c r="K125">
        <v>0.63800000000000001</v>
      </c>
      <c r="L125" t="s">
        <v>208</v>
      </c>
      <c r="M125" s="8"/>
    </row>
    <row r="126" spans="3:13">
      <c r="C126" t="s">
        <v>133</v>
      </c>
      <c r="D126" t="s">
        <v>139</v>
      </c>
      <c r="E126">
        <v>1985</v>
      </c>
      <c r="F126" s="6">
        <v>1.0279384615384599</v>
      </c>
      <c r="G126" s="6" t="s">
        <v>202</v>
      </c>
      <c r="H126">
        <f>IF(Table157[[#This Row],[Lifetime Option]]="fixed",Table157[[#This Row],[End of life (fixed)]]-Table157[[#This Row],[Start year]],Table268[Generic  Lifetime])</f>
        <v>40</v>
      </c>
      <c r="J126">
        <f>IF(Table157[[#This Row],[Lifetime Option]]="fixed",Table157[[#This Row],[End of life (fixed)]],Table157[[#This Row],[Start year]]+Table268[Generic  Lifetime])</f>
        <v>2025</v>
      </c>
      <c r="K126">
        <v>1.4</v>
      </c>
      <c r="M126" s="8"/>
    </row>
    <row r="127" spans="3:13">
      <c r="C127" t="s">
        <v>133</v>
      </c>
      <c r="D127" t="s">
        <v>140</v>
      </c>
      <c r="E127">
        <v>1974</v>
      </c>
      <c r="F127" s="6">
        <v>1.24541858267717</v>
      </c>
      <c r="G127" s="6" t="s">
        <v>201</v>
      </c>
      <c r="H127">
        <f>IF(Table157[[#This Row],[Lifetime Option]]="fixed",Table157[[#This Row],[End of life (fixed)]]-Table157[[#This Row],[Start year]],Table268[Generic  Lifetime])</f>
        <v>46</v>
      </c>
      <c r="I127">
        <v>2020</v>
      </c>
      <c r="J127">
        <f>IF(Table157[[#This Row],[Lifetime Option]]="fixed",Table157[[#This Row],[End of life (fixed)]],Table157[[#This Row],[Start year]]+Table268[Generic  Lifetime])</f>
        <v>2020</v>
      </c>
      <c r="K127">
        <v>0.878</v>
      </c>
      <c r="L127" t="s">
        <v>194</v>
      </c>
      <c r="M127" s="9" t="s">
        <v>182</v>
      </c>
    </row>
    <row r="128" spans="3:13">
      <c r="C128" t="s">
        <v>133</v>
      </c>
      <c r="D128" t="s">
        <v>141</v>
      </c>
      <c r="E128">
        <v>1974</v>
      </c>
      <c r="F128" s="6">
        <v>1.3999073684210499</v>
      </c>
      <c r="G128" s="6" t="s">
        <v>201</v>
      </c>
      <c r="H128">
        <f>IF(Table157[[#This Row],[Lifetime Option]]="fixed",Table157[[#This Row],[End of life (fixed)]]-Table157[[#This Row],[Start year]],Table268[Generic  Lifetime])</f>
        <v>46</v>
      </c>
      <c r="I128">
        <v>2020</v>
      </c>
      <c r="J128">
        <f>IF(Table157[[#This Row],[Lifetime Option]]="fixed",Table157[[#This Row],[End of life (fixed)]],Table157[[#This Row],[Start year]]+Table268[Generic  Lifetime])</f>
        <v>2020</v>
      </c>
      <c r="K128">
        <v>0.86499999999999999</v>
      </c>
      <c r="L128" t="s">
        <v>194</v>
      </c>
      <c r="M128" s="9" t="s">
        <v>182</v>
      </c>
    </row>
    <row r="129" spans="3:13">
      <c r="C129" t="s">
        <v>133</v>
      </c>
      <c r="D129" t="s">
        <v>142</v>
      </c>
      <c r="E129">
        <v>1980</v>
      </c>
      <c r="F129" s="6">
        <v>1.39706181818182</v>
      </c>
      <c r="G129" s="6" t="s">
        <v>202</v>
      </c>
      <c r="H129">
        <f>IF(Table157[[#This Row],[Lifetime Option]]="fixed",Table157[[#This Row],[End of life (fixed)]]-Table157[[#This Row],[Start year]],Table268[Generic  Lifetime])</f>
        <v>40</v>
      </c>
      <c r="J129">
        <f>IF(Table157[[#This Row],[Lifetime Option]]="fixed",Table157[[#This Row],[End of life (fixed)]],Table157[[#This Row],[Start year]]+Table268[Generic  Lifetime])</f>
        <v>2020</v>
      </c>
      <c r="K129">
        <v>1.0640000000000001</v>
      </c>
      <c r="M129" s="7" t="s">
        <v>182</v>
      </c>
    </row>
    <row r="130" spans="3:13">
      <c r="C130" t="s">
        <v>133</v>
      </c>
      <c r="D130" t="s">
        <v>143</v>
      </c>
      <c r="E130">
        <v>1982</v>
      </c>
      <c r="F130" s="6">
        <v>1.4050041081081099</v>
      </c>
      <c r="G130" s="6" t="s">
        <v>202</v>
      </c>
      <c r="H130">
        <f>IF(Table157[[#This Row],[Lifetime Option]]="fixed",Table157[[#This Row],[End of life (fixed)]]-Table157[[#This Row],[Start year]],Table268[Generic  Lifetime])</f>
        <v>40</v>
      </c>
      <c r="J130">
        <f>IF(Table157[[#This Row],[Lifetime Option]]="fixed",Table157[[#This Row],[End of life (fixed)]],Table157[[#This Row],[Start year]]+Table268[Generic  Lifetime])</f>
        <v>2022</v>
      </c>
      <c r="K130">
        <v>0.94</v>
      </c>
      <c r="M130" s="7" t="s">
        <v>182</v>
      </c>
    </row>
    <row r="131" spans="3:13">
      <c r="C131" t="s">
        <v>144</v>
      </c>
      <c r="D131" t="s">
        <v>145</v>
      </c>
      <c r="E131">
        <v>1981</v>
      </c>
      <c r="F131" s="6">
        <v>1.3869532453360101</v>
      </c>
      <c r="G131" s="6" t="s">
        <v>202</v>
      </c>
      <c r="H131">
        <f>IF(Table157[[#This Row],[Lifetime Option]]="fixed",Table157[[#This Row],[End of life (fixed)]]-Table157[[#This Row],[Start year]],Table268[Generic  Lifetime])</f>
        <v>40</v>
      </c>
      <c r="I131">
        <f t="shared" ref="I131" si="0">E131+H131</f>
        <v>2021</v>
      </c>
      <c r="J131">
        <f>IF(Table157[[#This Row],[Lifetime Option]]="fixed",Table157[[#This Row],[End of life (fixed)]],Table157[[#This Row],[Start year]]+Table268[Generic  Lifetime])</f>
        <v>2021</v>
      </c>
      <c r="K131">
        <v>0.68799999999999994</v>
      </c>
      <c r="L131" t="s">
        <v>189</v>
      </c>
      <c r="M131" s="7" t="s">
        <v>188</v>
      </c>
    </row>
    <row r="132" spans="3:13">
      <c r="C132" t="s">
        <v>146</v>
      </c>
      <c r="D132" t="s">
        <v>147</v>
      </c>
      <c r="E132">
        <v>1978</v>
      </c>
      <c r="F132" s="6">
        <v>1</v>
      </c>
      <c r="G132" s="6" t="s">
        <v>201</v>
      </c>
      <c r="H132">
        <f>IF(Table157[[#This Row],[Lifetime Option]]="fixed",Table157[[#This Row],[End of life (fixed)]]-Table157[[#This Row],[Start year]],Table268[Generic  Lifetime])</f>
        <v>28</v>
      </c>
      <c r="I132">
        <v>2006</v>
      </c>
      <c r="J132">
        <f>IF(Table157[[#This Row],[Lifetime Option]]="fixed",Table157[[#This Row],[End of life (fixed)]],Table157[[#This Row],[Start year]]+Table268[Generic  Lifetime])</f>
        <v>2006</v>
      </c>
      <c r="K132">
        <v>0.40799999999999997</v>
      </c>
      <c r="L132" t="s">
        <v>178</v>
      </c>
      <c r="M132" s="8"/>
    </row>
    <row r="133" spans="3:13">
      <c r="C133" t="s">
        <v>146</v>
      </c>
      <c r="D133" t="s">
        <v>148</v>
      </c>
      <c r="E133">
        <v>1980</v>
      </c>
      <c r="F133" s="6">
        <v>1</v>
      </c>
      <c r="G133" s="6" t="s">
        <v>201</v>
      </c>
      <c r="H133">
        <f>IF(Table157[[#This Row],[Lifetime Option]]="fixed",Table157[[#This Row],[End of life (fixed)]]-Table157[[#This Row],[Start year]],Table268[Generic  Lifetime])</f>
        <v>28</v>
      </c>
      <c r="I133">
        <v>2008</v>
      </c>
      <c r="J133">
        <f>IF(Table157[[#This Row],[Lifetime Option]]="fixed",Table157[[#This Row],[End of life (fixed)]],Table157[[#This Row],[Start year]]+Table268[Generic  Lifetime])</f>
        <v>2008</v>
      </c>
      <c r="K133">
        <v>0.40799999999999997</v>
      </c>
      <c r="L133" t="s">
        <v>178</v>
      </c>
      <c r="M133" s="8"/>
    </row>
    <row r="134" spans="3:13">
      <c r="C134" t="s">
        <v>146</v>
      </c>
      <c r="D134" t="s">
        <v>149</v>
      </c>
      <c r="E134">
        <v>1984</v>
      </c>
      <c r="F134" s="6">
        <v>1.3644269204622701</v>
      </c>
      <c r="G134" s="6" t="s">
        <v>202</v>
      </c>
      <c r="H134">
        <f>IF(Table157[[#This Row],[Lifetime Option]]="fixed",Table157[[#This Row],[End of life (fixed)]]-Table157[[#This Row],[Start year]],Table268[Generic  Lifetime])</f>
        <v>40</v>
      </c>
      <c r="I134">
        <f>E134+H134</f>
        <v>2024</v>
      </c>
      <c r="J134">
        <f>IF(Table157[[#This Row],[Lifetime Option]]="fixed",Table157[[#This Row],[End of life (fixed)]],Table157[[#This Row],[Start year]]+Table268[Generic  Lifetime])</f>
        <v>2024</v>
      </c>
      <c r="K134">
        <v>0.47199999999999998</v>
      </c>
      <c r="L134" t="s">
        <v>190</v>
      </c>
      <c r="M134" s="7" t="s">
        <v>183</v>
      </c>
    </row>
    <row r="135" spans="3:13">
      <c r="C135" t="s">
        <v>146</v>
      </c>
      <c r="D135" t="s">
        <v>150</v>
      </c>
      <c r="E135">
        <v>1985</v>
      </c>
      <c r="F135" s="6">
        <v>1.3644269204622701</v>
      </c>
      <c r="G135" s="6" t="s">
        <v>202</v>
      </c>
      <c r="H135">
        <f>IF(Table157[[#This Row],[Lifetime Option]]="fixed",Table157[[#This Row],[End of life (fixed)]]-Table157[[#This Row],[Start year]],Table268[Generic  Lifetime])</f>
        <v>40</v>
      </c>
      <c r="I135">
        <f t="shared" ref="I135:I137" si="1">E135+H135</f>
        <v>2025</v>
      </c>
      <c r="J135">
        <f>IF(Table157[[#This Row],[Lifetime Option]]="fixed",Table157[[#This Row],[End of life (fixed)]],Table157[[#This Row],[Start year]]+Table268[Generic  Lifetime])</f>
        <v>2025</v>
      </c>
      <c r="K135">
        <v>0.47199999999999998</v>
      </c>
      <c r="L135" t="s">
        <v>190</v>
      </c>
      <c r="M135" s="7" t="s">
        <v>183</v>
      </c>
    </row>
    <row r="136" spans="3:13">
      <c r="C136" t="s">
        <v>146</v>
      </c>
      <c r="D136" t="s">
        <v>151</v>
      </c>
      <c r="E136">
        <v>1998</v>
      </c>
      <c r="F136" s="6">
        <v>1.2146512576478601</v>
      </c>
      <c r="G136" s="6" t="s">
        <v>202</v>
      </c>
      <c r="H136">
        <f>IF(Table157[[#This Row],[Lifetime Option]]="fixed",Table157[[#This Row],[End of life (fixed)]]-Table157[[#This Row],[Start year]],Table268[Generic  Lifetime])</f>
        <v>40</v>
      </c>
      <c r="I136">
        <f t="shared" si="1"/>
        <v>2038</v>
      </c>
      <c r="J136">
        <f>IF(Table157[[#This Row],[Lifetime Option]]="fixed",Table157[[#This Row],[End of life (fixed)]],Table157[[#This Row],[Start year]]+Table268[Generic  Lifetime])</f>
        <v>2038</v>
      </c>
      <c r="K136">
        <v>0.436</v>
      </c>
      <c r="M136" s="8"/>
    </row>
    <row r="137" spans="3:13">
      <c r="C137" t="s">
        <v>146</v>
      </c>
      <c r="D137" t="s">
        <v>152</v>
      </c>
      <c r="E137">
        <v>1999</v>
      </c>
      <c r="F137" s="6">
        <v>1.2146512576478601</v>
      </c>
      <c r="G137" s="6" t="s">
        <v>202</v>
      </c>
      <c r="H137">
        <f>IF(Table157[[#This Row],[Lifetime Option]]="fixed",Table157[[#This Row],[End of life (fixed)]]-Table157[[#This Row],[Start year]],Table268[Generic  Lifetime])</f>
        <v>40</v>
      </c>
      <c r="I137">
        <f t="shared" si="1"/>
        <v>2039</v>
      </c>
      <c r="J137">
        <f>IF(Table157[[#This Row],[Lifetime Option]]="fixed",Table157[[#This Row],[End of life (fixed)]],Table157[[#This Row],[Start year]]+Table268[Generic  Lifetime])</f>
        <v>2039</v>
      </c>
      <c r="K137">
        <v>0.436</v>
      </c>
      <c r="M137" s="8"/>
    </row>
    <row r="138" spans="3:13">
      <c r="C138" t="s">
        <v>153</v>
      </c>
      <c r="D138" t="s">
        <v>154</v>
      </c>
      <c r="E138">
        <v>1983</v>
      </c>
      <c r="F138" s="6">
        <v>0.67305599999999999</v>
      </c>
      <c r="G138" s="6" t="s">
        <v>201</v>
      </c>
      <c r="H138">
        <f>IF(Table157[[#This Row],[Lifetime Option]]="fixed",Table157[[#This Row],[End of life (fixed)]]-Table157[[#This Row],[Start year]],Table268[Generic  Lifetime])</f>
        <v>45</v>
      </c>
      <c r="I138">
        <v>2028</v>
      </c>
      <c r="J138">
        <f>IF(Table157[[#This Row],[Lifetime Option]]="fixed",Table157[[#This Row],[End of life (fixed)]],Table157[[#This Row],[Start year]]+Table268[Generic  Lifetime])</f>
        <v>2028</v>
      </c>
      <c r="K138">
        <v>0.52</v>
      </c>
      <c r="M138" s="7" t="s">
        <v>192</v>
      </c>
    </row>
    <row r="139" spans="3:13">
      <c r="C139" t="s">
        <v>153</v>
      </c>
      <c r="D139" t="s">
        <v>155</v>
      </c>
      <c r="E139">
        <v>1985</v>
      </c>
      <c r="F139" s="6">
        <v>0.63763199999999998</v>
      </c>
      <c r="G139" s="6" t="s">
        <v>201</v>
      </c>
      <c r="H139">
        <f>IF(Table157[[#This Row],[Lifetime Option]]="fixed",Table157[[#This Row],[End of life (fixed)]]-Table157[[#This Row],[Start year]],Table268[Generic  Lifetime])</f>
        <v>43</v>
      </c>
      <c r="I139">
        <v>2028</v>
      </c>
      <c r="J139">
        <f>IF(Table157[[#This Row],[Lifetime Option]]="fixed",Table157[[#This Row],[End of life (fixed)]],Table157[[#This Row],[Start year]]+Table268[Generic  Lifetime])</f>
        <v>2028</v>
      </c>
      <c r="K139">
        <v>0.52</v>
      </c>
      <c r="M139" s="8"/>
    </row>
    <row r="140" spans="3:13">
      <c r="C140" t="s">
        <v>153</v>
      </c>
      <c r="D140" t="s">
        <v>156</v>
      </c>
      <c r="E140">
        <v>1983</v>
      </c>
      <c r="F140" s="6">
        <v>0.90547200000000005</v>
      </c>
      <c r="G140" s="6" t="s">
        <v>201</v>
      </c>
      <c r="H140">
        <f>IF(Table157[[#This Row],[Lifetime Option]]="fixed",Table157[[#This Row],[End of life (fixed)]]-Table157[[#This Row],[Start year]],Table268[Generic  Lifetime])</f>
        <v>36</v>
      </c>
      <c r="I140">
        <v>2019</v>
      </c>
      <c r="J140">
        <f>IF(Table157[[#This Row],[Lifetime Option]]="fixed",Table157[[#This Row],[End of life (fixed)]],Table157[[#This Row],[Start year]]+Table268[Generic  Lifetime])</f>
        <v>2019</v>
      </c>
      <c r="K140">
        <v>0.59499999999999997</v>
      </c>
      <c r="M140" s="8"/>
    </row>
    <row r="141" spans="3:13">
      <c r="C141" t="s">
        <v>153</v>
      </c>
      <c r="D141" t="s">
        <v>157</v>
      </c>
      <c r="E141">
        <v>1984</v>
      </c>
      <c r="F141" s="6">
        <v>0.90547200000000005</v>
      </c>
      <c r="G141" s="6" t="s">
        <v>201</v>
      </c>
      <c r="H141">
        <f>IF(Table157[[#This Row],[Lifetime Option]]="fixed",Table157[[#This Row],[End of life (fixed)]]-Table157[[#This Row],[Start year]],Table268[Generic  Lifetime])</f>
        <v>35</v>
      </c>
      <c r="I141">
        <v>2019</v>
      </c>
      <c r="J141">
        <f>IF(Table157[[#This Row],[Lifetime Option]]="fixed",Table157[[#This Row],[End of life (fixed)]],Table157[[#This Row],[Start year]]+Table268[Generic  Lifetime])</f>
        <v>2019</v>
      </c>
      <c r="K141">
        <v>0.58499999999999996</v>
      </c>
      <c r="M141" s="8"/>
    </row>
    <row r="142" spans="3:13">
      <c r="C142" t="s">
        <v>153</v>
      </c>
      <c r="D142" t="s">
        <v>158</v>
      </c>
      <c r="E142">
        <v>1983</v>
      </c>
      <c r="F142" s="6">
        <v>0.86399999999999999</v>
      </c>
      <c r="G142" s="6" t="s">
        <v>201</v>
      </c>
      <c r="H142">
        <f>IF(Table157[[#This Row],[Lifetime Option]]="fixed",Table157[[#This Row],[End of life (fixed)]]-Table157[[#This Row],[Start year]],Table268[Generic  Lifetime])</f>
        <v>36</v>
      </c>
      <c r="I142">
        <v>2019</v>
      </c>
      <c r="J142">
        <f>IF(Table157[[#This Row],[Lifetime Option]]="fixed",Table157[[#This Row],[End of life (fixed)]],Table157[[#This Row],[Start year]]+Table268[Generic  Lifetime])</f>
        <v>2019</v>
      </c>
      <c r="K142">
        <v>0.58499999999999996</v>
      </c>
      <c r="M142" s="8"/>
    </row>
    <row r="143" spans="3:13">
      <c r="C143" t="s">
        <v>153</v>
      </c>
      <c r="D143" t="s">
        <v>159</v>
      </c>
      <c r="E143">
        <v>1984</v>
      </c>
      <c r="F143" s="6">
        <v>0.86399999999999999</v>
      </c>
      <c r="G143" s="6" t="s">
        <v>201</v>
      </c>
      <c r="H143">
        <f>IF(Table157[[#This Row],[Lifetime Option]]="fixed",Table157[[#This Row],[End of life (fixed)]]-Table157[[#This Row],[Start year]],Table268[Generic  Lifetime])</f>
        <v>35</v>
      </c>
      <c r="I143">
        <v>2019</v>
      </c>
      <c r="J143">
        <f>IF(Table157[[#This Row],[Lifetime Option]]="fixed",Table157[[#This Row],[End of life (fixed)]],Table157[[#This Row],[Start year]]+Table268[Generic  Lifetime])</f>
        <v>2019</v>
      </c>
      <c r="K143">
        <v>0.57499999999999996</v>
      </c>
      <c r="M143" s="8"/>
    </row>
    <row r="144" spans="3:13">
      <c r="C144" t="s">
        <v>153</v>
      </c>
      <c r="D144" t="s">
        <v>160</v>
      </c>
      <c r="E144">
        <v>1988</v>
      </c>
      <c r="F144" s="6">
        <v>1.0234219354838701</v>
      </c>
      <c r="G144" s="6" t="s">
        <v>201</v>
      </c>
      <c r="H144">
        <f>IF(Table157[[#This Row],[Lifetime Option]]="fixed",Table157[[#This Row],[End of life (fixed)]]-Table157[[#This Row],[Start year]],Table268[Generic  Lifetime])</f>
        <v>35</v>
      </c>
      <c r="I144">
        <v>2023</v>
      </c>
      <c r="J144">
        <f>IF(Table157[[#This Row],[Lifetime Option]]="fixed",Table157[[#This Row],[End of life (fixed)]],Table157[[#This Row],[Start year]]+Table268[Generic  Lifetime])</f>
        <v>2023</v>
      </c>
      <c r="K144">
        <v>0.61</v>
      </c>
      <c r="M144" s="8"/>
    </row>
    <row r="145" spans="3:13">
      <c r="C145" t="s">
        <v>153</v>
      </c>
      <c r="D145" t="s">
        <v>161</v>
      </c>
      <c r="E145">
        <v>1988</v>
      </c>
      <c r="F145" s="6">
        <v>1.0234219354838701</v>
      </c>
      <c r="G145" s="6" t="s">
        <v>201</v>
      </c>
      <c r="H145">
        <f>IF(Table157[[#This Row],[Lifetime Option]]="fixed",Table157[[#This Row],[End of life (fixed)]]-Table157[[#This Row],[Start year]],Table268[Generic  Lifetime])</f>
        <v>35</v>
      </c>
      <c r="I145">
        <v>2023</v>
      </c>
      <c r="J145">
        <f>IF(Table157[[#This Row],[Lifetime Option]]="fixed",Table157[[#This Row],[End of life (fixed)]],Table157[[#This Row],[Start year]]+Table268[Generic  Lifetime])</f>
        <v>2023</v>
      </c>
      <c r="K145">
        <v>0.61</v>
      </c>
      <c r="M145" s="8"/>
    </row>
    <row r="146" spans="3:13">
      <c r="C146" t="s">
        <v>153</v>
      </c>
      <c r="D146" t="s">
        <v>162</v>
      </c>
      <c r="E146">
        <v>1976</v>
      </c>
      <c r="F146" s="6">
        <v>1.0227469879518101</v>
      </c>
      <c r="G146" s="6" t="s">
        <v>201</v>
      </c>
      <c r="H146">
        <f>IF(Table157[[#This Row],[Lifetime Option]]="fixed",Table157[[#This Row],[End of life (fixed)]]-Table157[[#This Row],[Start year]],Table268[Generic  Lifetime])</f>
        <v>47</v>
      </c>
      <c r="I146">
        <v>2023</v>
      </c>
      <c r="J146">
        <f>IF(Table157[[#This Row],[Lifetime Option]]="fixed",Table157[[#This Row],[End of life (fixed)]],Table157[[#This Row],[Start year]]+Table268[Generic  Lifetime])</f>
        <v>2023</v>
      </c>
      <c r="K146">
        <v>0.435</v>
      </c>
      <c r="M146" s="8"/>
    </row>
    <row r="147" spans="3:13">
      <c r="C147" t="s">
        <v>153</v>
      </c>
      <c r="D147" t="s">
        <v>163</v>
      </c>
      <c r="E147">
        <v>1976</v>
      </c>
      <c r="F147" s="6">
        <v>1.0227469879518101</v>
      </c>
      <c r="G147" s="6" t="s">
        <v>201</v>
      </c>
      <c r="H147">
        <f>IF(Table157[[#This Row],[Lifetime Option]]="fixed",Table157[[#This Row],[End of life (fixed)]]-Table157[[#This Row],[Start year]],Table268[Generic  Lifetime])</f>
        <v>47</v>
      </c>
      <c r="I147">
        <v>2023</v>
      </c>
      <c r="J147">
        <f>IF(Table157[[#This Row],[Lifetime Option]]="fixed",Table157[[#This Row],[End of life (fixed)]],Table157[[#This Row],[Start year]]+Table268[Generic  Lifetime])</f>
        <v>2023</v>
      </c>
      <c r="K147">
        <v>0.435</v>
      </c>
      <c r="M147" s="8"/>
    </row>
    <row r="148" spans="3:13">
      <c r="C148" t="s">
        <v>153</v>
      </c>
      <c r="D148" t="s">
        <v>164</v>
      </c>
      <c r="E148">
        <v>1976</v>
      </c>
      <c r="F148" s="6">
        <v>0.78106524064171101</v>
      </c>
      <c r="G148" s="6" t="s">
        <v>201</v>
      </c>
      <c r="H148">
        <f>IF(Table157[[#This Row],[Lifetime Option]]="fixed",Table157[[#This Row],[End of life (fixed)]]-Table157[[#This Row],[Start year]],Table268[Generic  Lifetime])</f>
        <v>47</v>
      </c>
      <c r="I148">
        <v>2023</v>
      </c>
      <c r="J148">
        <f>IF(Table157[[#This Row],[Lifetime Option]]="fixed",Table157[[#This Row],[End of life (fixed)]],Table157[[#This Row],[Start year]]+Table268[Generic  Lifetime])</f>
        <v>2023</v>
      </c>
      <c r="K148">
        <v>0.46</v>
      </c>
      <c r="M148" s="8"/>
    </row>
    <row r="149" spans="3:13">
      <c r="C149" t="s">
        <v>153</v>
      </c>
      <c r="D149" t="s">
        <v>165</v>
      </c>
      <c r="E149">
        <v>1977</v>
      </c>
      <c r="F149" s="6">
        <v>0.78106524064171101</v>
      </c>
      <c r="G149" s="6" t="s">
        <v>201</v>
      </c>
      <c r="H149">
        <f>IF(Table157[[#This Row],[Lifetime Option]]="fixed",Table157[[#This Row],[End of life (fixed)]]-Table157[[#This Row],[Start year]],Table268[Generic  Lifetime])</f>
        <v>46</v>
      </c>
      <c r="I149">
        <v>2023</v>
      </c>
      <c r="J149">
        <f>IF(Table157[[#This Row],[Lifetime Option]]="fixed",Table157[[#This Row],[End of life (fixed)]],Table157[[#This Row],[Start year]]+Table268[Generic  Lifetime])</f>
        <v>2023</v>
      </c>
      <c r="K149">
        <v>0.43</v>
      </c>
      <c r="M149" s="8"/>
    </row>
    <row r="150" spans="3:13">
      <c r="C150" t="s">
        <v>153</v>
      </c>
      <c r="D150" t="s">
        <v>166</v>
      </c>
      <c r="E150">
        <v>1967</v>
      </c>
      <c r="F150" s="6">
        <v>0.14781501369863001</v>
      </c>
      <c r="G150" s="6" t="s">
        <v>201</v>
      </c>
      <c r="H150">
        <f>IF(Table157[[#This Row],[Lifetime Option]]="fixed",Table157[[#This Row],[End of life (fixed)]]-Table157[[#This Row],[Start year]],Table268[Generic  Lifetime])</f>
        <v>45</v>
      </c>
      <c r="I150">
        <v>2012</v>
      </c>
      <c r="J150">
        <f>IF(Table157[[#This Row],[Lifetime Option]]="fixed",Table157[[#This Row],[End of life (fixed)]],Table157[[#This Row],[Start year]]+Table268[Generic  Lifetime])</f>
        <v>2012</v>
      </c>
      <c r="K150">
        <v>0.217</v>
      </c>
      <c r="L150" t="s">
        <v>186</v>
      </c>
      <c r="M150" s="7" t="s">
        <v>193</v>
      </c>
    </row>
    <row r="151" spans="3:13">
      <c r="C151" t="s">
        <v>153</v>
      </c>
      <c r="D151" t="s">
        <v>167</v>
      </c>
      <c r="E151">
        <v>1995</v>
      </c>
      <c r="F151" s="6">
        <v>1.04058394160584</v>
      </c>
      <c r="G151" s="6" t="s">
        <v>201</v>
      </c>
      <c r="H151">
        <f>IF(Table157[[#This Row],[Lifetime Option]]="fixed",Table157[[#This Row],[End of life (fixed)]]-Table157[[#This Row],[Start year]],Table268[Generic  Lifetime])</f>
        <v>40</v>
      </c>
      <c r="I151">
        <v>2035</v>
      </c>
      <c r="J151">
        <f>IF(Table157[[#This Row],[Lifetime Option]]="fixed",Table157[[#This Row],[End of life (fixed)]],Table157[[#This Row],[Start year]]+Table268[Generic  Lifetime])</f>
        <v>2035</v>
      </c>
      <c r="K151">
        <v>1.1910000000000001</v>
      </c>
      <c r="M151" s="8"/>
    </row>
    <row r="152" spans="3:13">
      <c r="C152" t="s">
        <v>153</v>
      </c>
      <c r="D152" t="s">
        <v>168</v>
      </c>
      <c r="E152">
        <v>1988</v>
      </c>
      <c r="F152" s="6">
        <v>1.0710299445471301</v>
      </c>
      <c r="G152" s="6" t="s">
        <v>201</v>
      </c>
      <c r="H152">
        <f>IF(Table157[[#This Row],[Lifetime Option]]="fixed",Table157[[#This Row],[End of life (fixed)]]-Table157[[#This Row],[Start year]],Table268[Generic  Lifetime])</f>
        <v>35</v>
      </c>
      <c r="I152">
        <v>2023</v>
      </c>
      <c r="J152">
        <f>IF(Table157[[#This Row],[Lifetime Option]]="fixed",Table157[[#This Row],[End of life (fixed)]],Table157[[#This Row],[Start year]]+Table268[Generic  Lifetime])</f>
        <v>2023</v>
      </c>
      <c r="K152">
        <v>0.59499999999999997</v>
      </c>
      <c r="M152" s="8"/>
    </row>
    <row r="153" spans="3:13">
      <c r="C153" t="s">
        <v>153</v>
      </c>
      <c r="D153" t="s">
        <v>169</v>
      </c>
      <c r="E153">
        <v>1989</v>
      </c>
      <c r="F153" s="6">
        <v>1.0710299445471401</v>
      </c>
      <c r="G153" s="6" t="s">
        <v>201</v>
      </c>
      <c r="H153">
        <f>IF(Table157[[#This Row],[Lifetime Option]]="fixed",Table157[[#This Row],[End of life (fixed)]]-Table157[[#This Row],[Start year]],Table268[Generic  Lifetime])</f>
        <v>34</v>
      </c>
      <c r="I153">
        <v>2023</v>
      </c>
      <c r="J153">
        <f>IF(Table157[[#This Row],[Lifetime Option]]="fixed",Table157[[#This Row],[End of life (fixed)]],Table157[[#This Row],[Start year]]+Table268[Generic  Lifetime])</f>
        <v>2023</v>
      </c>
      <c r="K153">
        <v>0.59499999999999997</v>
      </c>
      <c r="M153" s="8"/>
    </row>
    <row r="154" spans="3:13">
      <c r="C154" t="s">
        <v>153</v>
      </c>
      <c r="D154" t="s">
        <v>170</v>
      </c>
      <c r="E154">
        <v>1971</v>
      </c>
      <c r="F154" s="6">
        <v>1.3122</v>
      </c>
      <c r="G154" s="6" t="s">
        <v>201</v>
      </c>
      <c r="H154">
        <f>IF(Table157[[#This Row],[Lifetime Option]]="fixed",Table157[[#This Row],[End of life (fixed)]]-Table157[[#This Row],[Start year]],Table268[Generic  Lifetime])</f>
        <v>44</v>
      </c>
      <c r="I154">
        <v>2015</v>
      </c>
      <c r="J154">
        <f>IF(Table157[[#This Row],[Lifetime Option]]="fixed",Table157[[#This Row],[End of life (fixed)]],Table157[[#This Row],[Start year]]+Table268[Generic  Lifetime])</f>
        <v>2015</v>
      </c>
      <c r="K154">
        <v>0.49</v>
      </c>
      <c r="M154" s="8"/>
    </row>
    <row r="155" spans="3:13">
      <c r="C155" t="s">
        <v>153</v>
      </c>
      <c r="D155" t="s">
        <v>171</v>
      </c>
      <c r="E155">
        <v>1971</v>
      </c>
      <c r="F155" s="6">
        <v>1.3122</v>
      </c>
      <c r="G155" s="6" t="s">
        <v>201</v>
      </c>
      <c r="H155">
        <f>IF(Table157[[#This Row],[Lifetime Option]]="fixed",Table157[[#This Row],[End of life (fixed)]]-Table157[[#This Row],[Start year]],Table268[Generic  Lifetime])</f>
        <v>41</v>
      </c>
      <c r="I155">
        <v>2012</v>
      </c>
      <c r="J155">
        <f>IF(Table157[[#This Row],[Lifetime Option]]="fixed",Table157[[#This Row],[End of life (fixed)]],Table157[[#This Row],[Start year]]+Table268[Generic  Lifetime])</f>
        <v>2012</v>
      </c>
      <c r="K155">
        <v>0.49</v>
      </c>
      <c r="M155" s="8"/>
    </row>
  </sheetData>
  <hyperlinks>
    <hyperlink ref="M2" r:id="rId1" xr:uid="{00000000-0004-0000-0300-000000000000}"/>
    <hyperlink ref="M3" r:id="rId2" xr:uid="{00000000-0004-0000-0300-000001000000}"/>
    <hyperlink ref="M4" r:id="rId3" xr:uid="{00000000-0004-0000-0300-000002000000}"/>
    <hyperlink ref="M7" r:id="rId4" xr:uid="{00000000-0004-0000-0300-000003000000}"/>
    <hyperlink ref="M6" r:id="rId5" location=".Vdb00Y7DVE4 " xr:uid="{00000000-0004-0000-0300-000004000000}"/>
    <hyperlink ref="M124" r:id="rId6" xr:uid="{00000000-0004-0000-0300-000005000000}"/>
    <hyperlink ref="M11" r:id="rId7" xr:uid="{00000000-0004-0000-0300-000006000000}"/>
    <hyperlink ref="M12" r:id="rId8" xr:uid="{00000000-0004-0000-0300-000007000000}"/>
    <hyperlink ref="M53" r:id="rId9" xr:uid="{00000000-0004-0000-0300-000008000000}"/>
    <hyperlink ref="M18" r:id="rId10" xr:uid="{00000000-0004-0000-0300-000009000000}"/>
    <hyperlink ref="M129" r:id="rId11" xr:uid="{00000000-0004-0000-0300-00000A000000}"/>
    <hyperlink ref="M130" r:id="rId12" xr:uid="{00000000-0004-0000-0300-00000B000000}"/>
    <hyperlink ref="M134" r:id="rId13" xr:uid="{00000000-0004-0000-0300-00000C000000}"/>
    <hyperlink ref="M135" r:id="rId14" xr:uid="{00000000-0004-0000-0300-00000D000000}"/>
    <hyperlink ref="M131" r:id="rId15" xr:uid="{00000000-0004-0000-0300-00000E000000}"/>
    <hyperlink ref="M138" r:id="rId16" xr:uid="{00000000-0004-0000-0300-00000F000000}"/>
    <hyperlink ref="M150" r:id="rId17" xr:uid="{00000000-0004-0000-0300-000010000000}"/>
    <hyperlink ref="M127" r:id="rId18" xr:uid="{00000000-0004-0000-0300-000011000000}"/>
    <hyperlink ref="M128" r:id="rId19" xr:uid="{00000000-0004-0000-0300-000012000000}"/>
    <hyperlink ref="M13" r:id="rId20" xr:uid="{00000000-0004-0000-0300-000013000000}"/>
    <hyperlink ref="M14:M17" r:id="rId21" display="http://www.world-nuclear.org/info/Country-Profiles/Countries-O-S/Switzerland/" xr:uid="{00000000-0004-0000-0300-000014000000}"/>
  </hyperlinks>
  <pageMargins left="0.70866141732283472" right="0.70866141732283472" top="0.74803149606299213" bottom="0.74803149606299213" header="0.31496062992125984" footer="0.31496062992125984"/>
  <pageSetup paperSize="9" scale="53" fitToHeight="0" orientation="landscape" horizontalDpi="1200" verticalDpi="1200" r:id="rId22"/>
  <legacyDrawing r:id="rId23"/>
  <tableParts count="2">
    <tablePart r:id="rId24"/>
    <tablePart r:id="rId25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>
    <tabColor theme="5" tint="-0.249977111117893"/>
    <pageSetUpPr fitToPage="1"/>
  </sheetPr>
  <dimension ref="A1:M155"/>
  <sheetViews>
    <sheetView zoomScaleNormal="100" workbookViewId="0">
      <pane xSplit="3" ySplit="1" topLeftCell="D2" activePane="bottomRight" state="frozen"/>
      <selection pane="topRight" activeCell="C1" sqref="C1"/>
      <selection pane="bottomLeft" activeCell="A5" sqref="A5"/>
      <selection pane="bottomRight" activeCell="H2" sqref="H2"/>
    </sheetView>
  </sheetViews>
  <sheetFormatPr defaultRowHeight="15"/>
  <cols>
    <col min="1" max="1" width="10.7109375" bestFit="1" customWidth="1"/>
    <col min="3" max="3" width="11.7109375" bestFit="1" customWidth="1"/>
    <col min="4" max="4" width="32.28515625" bestFit="1" customWidth="1"/>
    <col min="5" max="5" width="14" bestFit="1" customWidth="1"/>
    <col min="6" max="7" width="14.140625" customWidth="1"/>
    <col min="8" max="8" width="9.5703125" customWidth="1"/>
    <col min="9" max="9" width="14.5703125" customWidth="1"/>
    <col min="10" max="10" width="14.5703125" bestFit="1" customWidth="1"/>
    <col min="11" max="11" width="20.140625" bestFit="1" customWidth="1"/>
    <col min="12" max="12" width="43.42578125" customWidth="1"/>
    <col min="13" max="13" width="108.85546875" bestFit="1" customWidth="1"/>
  </cols>
  <sheetData>
    <row r="1" spans="1:13" s="5" customFormat="1" ht="44.25" customHeight="1">
      <c r="A1" s="3" t="s">
        <v>195</v>
      </c>
      <c r="C1" s="2" t="s">
        <v>206</v>
      </c>
      <c r="D1" s="2" t="s">
        <v>0</v>
      </c>
      <c r="E1" s="2" t="s">
        <v>2</v>
      </c>
      <c r="F1" s="2" t="s">
        <v>196</v>
      </c>
      <c r="G1" s="2" t="s">
        <v>200</v>
      </c>
      <c r="H1" s="2" t="s">
        <v>198</v>
      </c>
      <c r="I1" s="2" t="s">
        <v>203</v>
      </c>
      <c r="J1" s="2" t="s">
        <v>199</v>
      </c>
      <c r="K1" s="2" t="s">
        <v>197</v>
      </c>
      <c r="L1" s="2" t="s">
        <v>172</v>
      </c>
      <c r="M1" s="2" t="s">
        <v>184</v>
      </c>
    </row>
    <row r="2" spans="1:13" ht="26.25">
      <c r="A2" s="4">
        <v>50</v>
      </c>
      <c r="C2" t="s">
        <v>4</v>
      </c>
      <c r="D2" t="s">
        <v>5</v>
      </c>
      <c r="E2">
        <v>1974</v>
      </c>
      <c r="F2" s="6">
        <v>1.3464164759725401</v>
      </c>
      <c r="G2" s="6" t="s">
        <v>201</v>
      </c>
      <c r="H2">
        <f>IF(Table15[[#This Row],[Lifetime Option]]="fixed",Table15[[#This Row],[End of life (fixed)]]-Table15[[#This Row],[Start year]],Table26[Generic  Lifetime])</f>
        <v>51</v>
      </c>
      <c r="I2">
        <v>2025</v>
      </c>
      <c r="J2">
        <f>IF(Table15[[#This Row],[Lifetime Option]]="fixed",Table15[[#This Row],[End of life (fixed)]],Table15[[#This Row],[Start year]]+Table26[Generic  Lifetime])</f>
        <v>2025</v>
      </c>
      <c r="K2">
        <v>0.433</v>
      </c>
      <c r="M2" s="7" t="s">
        <v>173</v>
      </c>
    </row>
    <row r="3" spans="1:13" ht="26.25">
      <c r="C3" t="s">
        <v>4</v>
      </c>
      <c r="D3" t="s">
        <v>6</v>
      </c>
      <c r="E3">
        <v>1975</v>
      </c>
      <c r="F3" s="6">
        <v>1.3464164759725401</v>
      </c>
      <c r="G3" s="6" t="s">
        <v>201</v>
      </c>
      <c r="H3">
        <f>IF(Table15[[#This Row],[Lifetime Option]]="fixed",Table15[[#This Row],[End of life (fixed)]]-Table15[[#This Row],[Start year]],Table26[Generic  Lifetime])</f>
        <v>50</v>
      </c>
      <c r="I3">
        <v>2025</v>
      </c>
      <c r="J3">
        <f>IF(Table15[[#This Row],[Lifetime Option]]="fixed",Table15[[#This Row],[End of life (fixed)]],Table15[[#This Row],[Start year]]+Table26[Generic  Lifetime])</f>
        <v>2025</v>
      </c>
      <c r="K3">
        <v>0.433</v>
      </c>
      <c r="M3" s="7" t="s">
        <v>173</v>
      </c>
    </row>
    <row r="4" spans="1:13">
      <c r="C4" t="s">
        <v>4</v>
      </c>
      <c r="D4" t="s">
        <v>7</v>
      </c>
      <c r="E4">
        <v>1982</v>
      </c>
      <c r="F4" s="6">
        <v>1.46387740667976</v>
      </c>
      <c r="G4" s="6" t="s">
        <v>201</v>
      </c>
      <c r="H4">
        <f>IF(Table15[[#This Row],[Lifetime Option]]="fixed",Table15[[#This Row],[End of life (fixed)]]-Table15[[#This Row],[Start year]],Table26[Generic  Lifetime])</f>
        <v>40</v>
      </c>
      <c r="I4">
        <v>2022</v>
      </c>
      <c r="J4">
        <f>IF(Table15[[#This Row],[Lifetime Option]]="fixed",Table15[[#This Row],[End of life (fixed)]],Table15[[#This Row],[Start year]]+Table26[Generic  Lifetime])</f>
        <v>2022</v>
      </c>
      <c r="K4">
        <v>1.006</v>
      </c>
      <c r="L4" t="s">
        <v>185</v>
      </c>
      <c r="M4" s="7" t="s">
        <v>175</v>
      </c>
    </row>
    <row r="5" spans="1:13">
      <c r="C5" t="s">
        <v>4</v>
      </c>
      <c r="D5" t="s">
        <v>8</v>
      </c>
      <c r="E5">
        <v>1985</v>
      </c>
      <c r="F5" s="6">
        <v>1.4183132530120499</v>
      </c>
      <c r="G5" s="6" t="s">
        <v>201</v>
      </c>
      <c r="H5">
        <f>IF(Table15[[#This Row],[Lifetime Option]]="fixed",Table15[[#This Row],[End of life (fixed)]]-Table15[[#This Row],[Start year]],Table26[Generic  Lifetime])</f>
        <v>40</v>
      </c>
      <c r="I5">
        <v>2025</v>
      </c>
      <c r="J5">
        <f>IF(Table15[[#This Row],[Lifetime Option]]="fixed",Table15[[#This Row],[End of life (fixed)]],Table15[[#This Row],[Start year]]+Table26[Generic  Lifetime])</f>
        <v>2025</v>
      </c>
      <c r="K5">
        <v>1.0389999999999999</v>
      </c>
      <c r="M5" s="8"/>
    </row>
    <row r="6" spans="1:13">
      <c r="C6" t="s">
        <v>4</v>
      </c>
      <c r="D6" t="s">
        <v>9</v>
      </c>
      <c r="E6">
        <v>1975</v>
      </c>
      <c r="F6" s="6">
        <v>1.3654688478941901</v>
      </c>
      <c r="G6" s="6" t="s">
        <v>201</v>
      </c>
      <c r="H6">
        <f>IF(Table15[[#This Row],[Lifetime Option]]="fixed",Table15[[#This Row],[End of life (fixed)]]-Table15[[#This Row],[Start year]],Table26[Generic  Lifetime])</f>
        <v>50</v>
      </c>
      <c r="I6">
        <v>2025</v>
      </c>
      <c r="J6">
        <f>IF(Table15[[#This Row],[Lifetime Option]]="fixed",Table15[[#This Row],[End of life (fixed)]],Table15[[#This Row],[Start year]]+Table26[Generic  Lifetime])</f>
        <v>2025</v>
      </c>
      <c r="K6">
        <v>0.96199999999999997</v>
      </c>
      <c r="M6" s="7" t="s">
        <v>174</v>
      </c>
    </row>
    <row r="7" spans="1:13">
      <c r="C7" t="s">
        <v>4</v>
      </c>
      <c r="D7" t="s">
        <v>10</v>
      </c>
      <c r="E7">
        <v>1982</v>
      </c>
      <c r="F7" s="6">
        <v>1.3387206266318501</v>
      </c>
      <c r="G7" s="6" t="s">
        <v>201</v>
      </c>
      <c r="H7">
        <f>IF(Table15[[#This Row],[Lifetime Option]]="fixed",Table15[[#This Row],[End of life (fixed)]]-Table15[[#This Row],[Start year]],Table26[Generic  Lifetime])</f>
        <v>40</v>
      </c>
      <c r="I7">
        <v>2022</v>
      </c>
      <c r="J7">
        <f>IF(Table15[[#This Row],[Lifetime Option]]="fixed",Table15[[#This Row],[End of life (fixed)]],Table15[[#This Row],[Start year]]+Table26[Generic  Lifetime])</f>
        <v>2022</v>
      </c>
      <c r="K7">
        <v>1.008</v>
      </c>
      <c r="L7" t="s">
        <v>185</v>
      </c>
      <c r="M7" s="7" t="s">
        <v>175</v>
      </c>
    </row>
    <row r="8" spans="1:13">
      <c r="C8" t="s">
        <v>4</v>
      </c>
      <c r="D8" t="s">
        <v>11</v>
      </c>
      <c r="E8">
        <v>1985</v>
      </c>
      <c r="F8" s="6">
        <v>1.417824</v>
      </c>
      <c r="G8" s="6" t="s">
        <v>201</v>
      </c>
      <c r="H8">
        <f>IF(Table15[[#This Row],[Lifetime Option]]="fixed",Table15[[#This Row],[End of life (fixed)]]-Table15[[#This Row],[Start year]],Table26[Generic  Lifetime])</f>
        <v>40</v>
      </c>
      <c r="I8">
        <v>2025</v>
      </c>
      <c r="J8">
        <f>IF(Table15[[#This Row],[Lifetime Option]]="fixed",Table15[[#This Row],[End of life (fixed)]],Table15[[#This Row],[Start year]]+Table26[Generic  Lifetime])</f>
        <v>2025</v>
      </c>
      <c r="K8">
        <v>1.046</v>
      </c>
      <c r="M8" s="8"/>
    </row>
    <row r="9" spans="1:13">
      <c r="C9" t="s">
        <v>12</v>
      </c>
      <c r="D9" t="s">
        <v>13</v>
      </c>
      <c r="E9">
        <v>1980</v>
      </c>
      <c r="F9" s="6">
        <v>0.77</v>
      </c>
      <c r="G9" s="6" t="s">
        <v>201</v>
      </c>
      <c r="H9">
        <f>IF(Table15[[#This Row],[Lifetime Option]]="fixed",Table15[[#This Row],[End of life (fixed)]]-Table15[[#This Row],[Start year]],Table26[Generic  Lifetime])</f>
        <v>26</v>
      </c>
      <c r="I9">
        <v>2006</v>
      </c>
      <c r="J9">
        <f>IF(Table15[[#This Row],[Lifetime Option]]="fixed",Table15[[#This Row],[End of life (fixed)]],Table15[[#This Row],[Start year]]+Table26[Generic  Lifetime])</f>
        <v>2006</v>
      </c>
      <c r="K9">
        <v>0.40799999999999997</v>
      </c>
      <c r="L9" t="s">
        <v>186</v>
      </c>
      <c r="M9" s="8"/>
    </row>
    <row r="10" spans="1:13">
      <c r="C10" t="s">
        <v>12</v>
      </c>
      <c r="D10" t="s">
        <v>14</v>
      </c>
      <c r="E10">
        <v>1982</v>
      </c>
      <c r="F10" s="6">
        <v>0.77</v>
      </c>
      <c r="G10" s="6" t="s">
        <v>201</v>
      </c>
      <c r="H10">
        <f>IF(Table15[[#This Row],[Lifetime Option]]="fixed",Table15[[#This Row],[End of life (fixed)]]-Table15[[#This Row],[Start year]],Table26[Generic  Lifetime])</f>
        <v>24</v>
      </c>
      <c r="I10">
        <v>2006</v>
      </c>
      <c r="J10">
        <f>IF(Table15[[#This Row],[Lifetime Option]]="fixed",Table15[[#This Row],[End of life (fixed)]],Table15[[#This Row],[Start year]]+Table26[Generic  Lifetime])</f>
        <v>2006</v>
      </c>
      <c r="K10">
        <v>0.40799999999999997</v>
      </c>
      <c r="L10" t="s">
        <v>186</v>
      </c>
      <c r="M10" s="8"/>
    </row>
    <row r="11" spans="1:13">
      <c r="C11" t="s">
        <v>12</v>
      </c>
      <c r="D11" t="s">
        <v>15</v>
      </c>
      <c r="E11">
        <v>1987</v>
      </c>
      <c r="F11" s="6">
        <v>0.77759999999999996</v>
      </c>
      <c r="G11" s="6" t="s">
        <v>202</v>
      </c>
      <c r="H11">
        <f>IF(Table15[[#This Row],[Lifetime Option]]="fixed",Table15[[#This Row],[End of life (fixed)]]-Table15[[#This Row],[Start year]],Table26[Generic  Lifetime])</f>
        <v>50</v>
      </c>
      <c r="J11">
        <f>IF(Table15[[#This Row],[Lifetime Option]]="fixed",Table15[[#This Row],[End of life (fixed)]],Table15[[#This Row],[Start year]]+Table26[Generic  Lifetime])</f>
        <v>2037</v>
      </c>
      <c r="K11">
        <v>0.95299999999999996</v>
      </c>
      <c r="M11" s="7" t="s">
        <v>177</v>
      </c>
    </row>
    <row r="12" spans="1:13">
      <c r="C12" t="s">
        <v>12</v>
      </c>
      <c r="D12" t="s">
        <v>16</v>
      </c>
      <c r="E12">
        <v>1991</v>
      </c>
      <c r="F12" s="6">
        <v>0.77759999999999996</v>
      </c>
      <c r="G12" s="6" t="s">
        <v>202</v>
      </c>
      <c r="H12">
        <f>IF(Table15[[#This Row],[Lifetime Option]]="fixed",Table15[[#This Row],[End of life (fixed)]]-Table15[[#This Row],[Start year]],Table26[Generic  Lifetime])</f>
        <v>50</v>
      </c>
      <c r="J12">
        <f>IF(Table15[[#This Row],[Lifetime Option]]="fixed",Table15[[#This Row],[End of life (fixed)]],Table15[[#This Row],[Start year]]+Table26[Generic  Lifetime])</f>
        <v>2041</v>
      </c>
      <c r="K12">
        <v>0.95299999999999996</v>
      </c>
      <c r="M12" s="7" t="s">
        <v>177</v>
      </c>
    </row>
    <row r="13" spans="1:13">
      <c r="C13" t="s">
        <v>17</v>
      </c>
      <c r="D13" t="s">
        <v>18</v>
      </c>
      <c r="E13">
        <v>1969</v>
      </c>
      <c r="F13" s="6">
        <v>1.22030442477876</v>
      </c>
      <c r="G13" s="6" t="s">
        <v>201</v>
      </c>
      <c r="H13">
        <f>IF(Table15[[#This Row],[Lifetime Option]]="fixed",Table15[[#This Row],[End of life (fixed)]]-Table15[[#This Row],[Start year]],Table26[Generic  Lifetime])</f>
        <v>50</v>
      </c>
      <c r="I13">
        <v>2019</v>
      </c>
      <c r="J13">
        <f>IF(Table15[[#This Row],[Lifetime Option]]="fixed",Table15[[#This Row],[End of life (fixed)]],Table15[[#This Row],[Start year]]+Table26[Generic  Lifetime])</f>
        <v>2019</v>
      </c>
      <c r="K13">
        <v>0.36499999999999999</v>
      </c>
      <c r="L13" t="s">
        <v>205</v>
      </c>
      <c r="M13" s="7" t="s">
        <v>204</v>
      </c>
    </row>
    <row r="14" spans="1:13">
      <c r="C14" t="s">
        <v>17</v>
      </c>
      <c r="D14" t="s">
        <v>19</v>
      </c>
      <c r="E14">
        <v>1971</v>
      </c>
      <c r="F14" s="6">
        <v>1.22030442477876</v>
      </c>
      <c r="G14" s="6" t="s">
        <v>201</v>
      </c>
      <c r="H14">
        <f>IF(Table15[[#This Row],[Lifetime Option]]="fixed",Table15[[#This Row],[End of life (fixed)]]-Table15[[#This Row],[Start year]],Table26[Generic  Lifetime])</f>
        <v>50</v>
      </c>
      <c r="I14">
        <v>2021</v>
      </c>
      <c r="J14">
        <f>IF(Table15[[#This Row],[Lifetime Option]]="fixed",Table15[[#This Row],[End of life (fixed)]],Table15[[#This Row],[Start year]]+Table26[Generic  Lifetime])</f>
        <v>2021</v>
      </c>
      <c r="K14">
        <v>0.36499999999999999</v>
      </c>
      <c r="L14" t="s">
        <v>205</v>
      </c>
      <c r="M14" s="7" t="s">
        <v>204</v>
      </c>
    </row>
    <row r="15" spans="1:13">
      <c r="C15" t="s">
        <v>17</v>
      </c>
      <c r="D15" t="s">
        <v>20</v>
      </c>
      <c r="E15">
        <v>1979</v>
      </c>
      <c r="F15" s="6">
        <v>1.54898334443704</v>
      </c>
      <c r="G15" s="6" t="s">
        <v>201</v>
      </c>
      <c r="H15">
        <f>IF(Table15[[#This Row],[Lifetime Option]]="fixed",Table15[[#This Row],[End of life (fixed)]]-Table15[[#This Row],[Start year]],Table26[Generic  Lifetime])</f>
        <v>50</v>
      </c>
      <c r="I15">
        <v>2029</v>
      </c>
      <c r="J15">
        <f>IF(Table15[[#This Row],[Lifetime Option]]="fixed",Table15[[#This Row],[End of life (fixed)]],Table15[[#This Row],[Start year]]+Table26[Generic  Lifetime])</f>
        <v>2029</v>
      </c>
      <c r="K15">
        <v>0.98499999999999999</v>
      </c>
      <c r="L15" t="s">
        <v>205</v>
      </c>
      <c r="M15" s="7" t="s">
        <v>204</v>
      </c>
    </row>
    <row r="16" spans="1:13">
      <c r="C16" t="s">
        <v>17</v>
      </c>
      <c r="D16" t="s">
        <v>21</v>
      </c>
      <c r="E16">
        <v>1984</v>
      </c>
      <c r="F16" s="6">
        <v>1.28484</v>
      </c>
      <c r="G16" s="6" t="s">
        <v>201</v>
      </c>
      <c r="H16">
        <f>IF(Table15[[#This Row],[Lifetime Option]]="fixed",Table15[[#This Row],[End of life (fixed)]]-Table15[[#This Row],[Start year]],Table26[Generic  Lifetime])</f>
        <v>50</v>
      </c>
      <c r="I16">
        <v>2034</v>
      </c>
      <c r="J16">
        <f>IF(Table15[[#This Row],[Lifetime Option]]="fixed",Table15[[#This Row],[End of life (fixed)]],Table15[[#This Row],[Start year]]+Table26[Generic  Lifetime])</f>
        <v>2034</v>
      </c>
      <c r="K16">
        <v>1.22</v>
      </c>
      <c r="L16" t="s">
        <v>205</v>
      </c>
      <c r="M16" s="7" t="s">
        <v>204</v>
      </c>
    </row>
    <row r="17" spans="3:13">
      <c r="C17" t="s">
        <v>17</v>
      </c>
      <c r="D17" t="s">
        <v>22</v>
      </c>
      <c r="E17">
        <v>1971</v>
      </c>
      <c r="F17" s="6">
        <v>1.4743919781221499</v>
      </c>
      <c r="G17" s="6" t="s">
        <v>201</v>
      </c>
      <c r="H17">
        <f>IF(Table15[[#This Row],[Lifetime Option]]="fixed",Table15[[#This Row],[End of life (fixed)]]-Table15[[#This Row],[Start year]],Table26[Generic  Lifetime])</f>
        <v>48</v>
      </c>
      <c r="I17">
        <v>2019</v>
      </c>
      <c r="J17">
        <f>IF(Table15[[#This Row],[Lifetime Option]]="fixed",Table15[[#This Row],[End of life (fixed)]],Table15[[#This Row],[Start year]]+Table26[Generic  Lifetime])</f>
        <v>2019</v>
      </c>
      <c r="K17">
        <v>0.373</v>
      </c>
      <c r="L17" t="s">
        <v>205</v>
      </c>
      <c r="M17" s="7" t="s">
        <v>204</v>
      </c>
    </row>
    <row r="18" spans="3:13">
      <c r="C18" t="s">
        <v>23</v>
      </c>
      <c r="D18" t="s">
        <v>24</v>
      </c>
      <c r="E18">
        <v>1985</v>
      </c>
      <c r="F18" s="6">
        <v>1.2607488</v>
      </c>
      <c r="G18" s="6" t="s">
        <v>202</v>
      </c>
      <c r="H18">
        <f>IF(Table15[[#This Row],[Lifetime Option]]="fixed",Table15[[#This Row],[End of life (fixed)]]-Table15[[#This Row],[Start year]],Table26[Generic  Lifetime])</f>
        <v>50</v>
      </c>
      <c r="J18">
        <f>IF(Table15[[#This Row],[Lifetime Option]]="fixed",Table15[[#This Row],[End of life (fixed)]],Table15[[#This Row],[Start year]]+Table26[Generic  Lifetime])</f>
        <v>2035</v>
      </c>
      <c r="K18">
        <v>0.46800000000000003</v>
      </c>
      <c r="M18" s="7" t="s">
        <v>180</v>
      </c>
    </row>
    <row r="19" spans="3:13">
      <c r="C19" t="s">
        <v>23</v>
      </c>
      <c r="D19" t="s">
        <v>25</v>
      </c>
      <c r="E19">
        <v>1986</v>
      </c>
      <c r="F19" s="6">
        <v>1.2607488</v>
      </c>
      <c r="G19" s="6" t="s">
        <v>202</v>
      </c>
      <c r="H19">
        <f>IF(Table15[[#This Row],[Lifetime Option]]="fixed",Table15[[#This Row],[End of life (fixed)]]-Table15[[#This Row],[Start year]],Table26[Generic  Lifetime])</f>
        <v>50</v>
      </c>
      <c r="J19">
        <f>IF(Table15[[#This Row],[Lifetime Option]]="fixed",Table15[[#This Row],[End of life (fixed)]],Table15[[#This Row],[Start year]]+Table26[Generic  Lifetime])</f>
        <v>2036</v>
      </c>
      <c r="K19">
        <v>0.47099999999999997</v>
      </c>
      <c r="M19" s="8"/>
    </row>
    <row r="20" spans="3:13">
      <c r="C20" t="s">
        <v>23</v>
      </c>
      <c r="D20" t="s">
        <v>26</v>
      </c>
      <c r="E20">
        <v>1986</v>
      </c>
      <c r="F20" s="6">
        <v>1.3110781163434899</v>
      </c>
      <c r="G20" s="6" t="s">
        <v>202</v>
      </c>
      <c r="H20">
        <f>IF(Table15[[#This Row],[Lifetime Option]]="fixed",Table15[[#This Row],[End of life (fixed)]]-Table15[[#This Row],[Start year]],Table26[Generic  Lifetime])</f>
        <v>50</v>
      </c>
      <c r="J20">
        <f>IF(Table15[[#This Row],[Lifetime Option]]="fixed",Table15[[#This Row],[End of life (fixed)]],Table15[[#This Row],[Start year]]+Table26[Generic  Lifetime])</f>
        <v>2036</v>
      </c>
      <c r="K20">
        <v>0.46800000000000003</v>
      </c>
      <c r="M20" s="8"/>
    </row>
    <row r="21" spans="3:13">
      <c r="C21" t="s">
        <v>23</v>
      </c>
      <c r="D21" t="s">
        <v>27</v>
      </c>
      <c r="E21">
        <v>1987</v>
      </c>
      <c r="F21" s="6">
        <v>1.2607488</v>
      </c>
      <c r="G21" s="6" t="s">
        <v>202</v>
      </c>
      <c r="H21">
        <f>IF(Table15[[#This Row],[Lifetime Option]]="fixed",Table15[[#This Row],[End of life (fixed)]]-Table15[[#This Row],[Start year]],Table26[Generic  Lifetime])</f>
        <v>50</v>
      </c>
      <c r="J21">
        <f>IF(Table15[[#This Row],[Lifetime Option]]="fixed",Table15[[#This Row],[End of life (fixed)]],Table15[[#This Row],[Start year]]+Table26[Generic  Lifetime])</f>
        <v>2037</v>
      </c>
      <c r="K21">
        <v>0.47099999999999997</v>
      </c>
      <c r="M21" s="8"/>
    </row>
    <row r="22" spans="3:13">
      <c r="C22" t="s">
        <v>23</v>
      </c>
      <c r="D22" t="s">
        <v>28</v>
      </c>
      <c r="E22">
        <v>2000</v>
      </c>
      <c r="F22" s="6">
        <v>1.312848</v>
      </c>
      <c r="G22" s="6" t="s">
        <v>202</v>
      </c>
      <c r="H22">
        <f>IF(Table15[[#This Row],[Lifetime Option]]="fixed",Table15[[#This Row],[End of life (fixed)]]-Table15[[#This Row],[Start year]],Table26[Generic  Lifetime])</f>
        <v>50</v>
      </c>
      <c r="J22">
        <f>IF(Table15[[#This Row],[Lifetime Option]]="fixed",Table15[[#This Row],[End of life (fixed)]],Table15[[#This Row],[Start year]]+Table26[Generic  Lifetime])</f>
        <v>2050</v>
      </c>
      <c r="K22">
        <v>0.96299999999999997</v>
      </c>
      <c r="M22" s="8"/>
    </row>
    <row r="23" spans="3:13">
      <c r="C23" t="s">
        <v>23</v>
      </c>
      <c r="D23" t="s">
        <v>29</v>
      </c>
      <c r="E23">
        <v>2002</v>
      </c>
      <c r="F23" s="6">
        <v>1.312848</v>
      </c>
      <c r="G23" s="6" t="s">
        <v>202</v>
      </c>
      <c r="H23">
        <f>IF(Table15[[#This Row],[Lifetime Option]]="fixed",Table15[[#This Row],[End of life (fixed)]]-Table15[[#This Row],[Start year]],Table26[Generic  Lifetime])</f>
        <v>50</v>
      </c>
      <c r="J23">
        <f>IF(Table15[[#This Row],[Lifetime Option]]="fixed",Table15[[#This Row],[End of life (fixed)]],Table15[[#This Row],[Start year]]+Table26[Generic  Lifetime])</f>
        <v>2052</v>
      </c>
      <c r="K23">
        <v>0.96299999999999997</v>
      </c>
      <c r="M23" s="8"/>
    </row>
    <row r="24" spans="3:13">
      <c r="C24" t="s">
        <v>1</v>
      </c>
      <c r="D24" t="s">
        <v>30</v>
      </c>
      <c r="E24">
        <v>1974</v>
      </c>
      <c r="F24" s="6">
        <v>0.94089599999999995</v>
      </c>
      <c r="G24" s="6" t="s">
        <v>201</v>
      </c>
      <c r="H24">
        <f>IF(Table15[[#This Row],[Lifetime Option]]="fixed",Table15[[#This Row],[End of life (fixed)]]-Table15[[#This Row],[Start year]],Table26[Generic  Lifetime])</f>
        <v>37</v>
      </c>
      <c r="I24">
        <v>2011</v>
      </c>
      <c r="J24">
        <f>IF(Table15[[#This Row],[Lifetime Option]]="fixed",Table15[[#This Row],[End of life (fixed)]],Table15[[#This Row],[Start year]]+Table26[Generic  Lifetime])</f>
        <v>2011</v>
      </c>
      <c r="K24">
        <v>1.167</v>
      </c>
      <c r="L24" t="s">
        <v>186</v>
      </c>
      <c r="M24" s="8"/>
    </row>
    <row r="25" spans="3:13">
      <c r="C25" t="s">
        <v>1</v>
      </c>
      <c r="D25" t="s">
        <v>31</v>
      </c>
      <c r="E25">
        <v>1976</v>
      </c>
      <c r="F25" s="6">
        <v>0.94089599999999995</v>
      </c>
      <c r="G25" s="6" t="s">
        <v>201</v>
      </c>
      <c r="H25">
        <f>IF(Table15[[#This Row],[Lifetime Option]]="fixed",Table15[[#This Row],[End of life (fixed)]]-Table15[[#This Row],[Start year]],Table26[Generic  Lifetime])</f>
        <v>35</v>
      </c>
      <c r="I25">
        <v>2011</v>
      </c>
      <c r="J25">
        <f>IF(Table15[[#This Row],[Lifetime Option]]="fixed",Table15[[#This Row],[End of life (fixed)]],Table15[[#This Row],[Start year]]+Table26[Generic  Lifetime])</f>
        <v>2011</v>
      </c>
      <c r="K25">
        <v>1.24</v>
      </c>
      <c r="L25" t="s">
        <v>186</v>
      </c>
      <c r="M25" s="8"/>
    </row>
    <row r="26" spans="3:13">
      <c r="C26" t="s">
        <v>1</v>
      </c>
      <c r="D26" t="s">
        <v>32</v>
      </c>
      <c r="E26">
        <v>1986</v>
      </c>
      <c r="F26" s="6">
        <v>1.11478153846154</v>
      </c>
      <c r="G26" s="6" t="s">
        <v>201</v>
      </c>
      <c r="H26">
        <f>IF(Table15[[#This Row],[Lifetime Option]]="fixed",Table15[[#This Row],[End of life (fixed)]]-Table15[[#This Row],[Start year]],Table26[Generic  Lifetime])</f>
        <v>35</v>
      </c>
      <c r="I26">
        <v>2021</v>
      </c>
      <c r="J26">
        <f>IF(Table15[[#This Row],[Lifetime Option]]="fixed",Table15[[#This Row],[End of life (fixed)]],Table15[[#This Row],[Start year]]+Table26[Generic  Lifetime])</f>
        <v>2021</v>
      </c>
      <c r="K26">
        <v>1.41</v>
      </c>
      <c r="M26" s="8"/>
    </row>
    <row r="27" spans="3:13">
      <c r="C27" t="s">
        <v>1</v>
      </c>
      <c r="D27" t="s">
        <v>33</v>
      </c>
      <c r="E27">
        <v>1976</v>
      </c>
      <c r="F27" s="6">
        <v>0.91238399999999997</v>
      </c>
      <c r="G27" s="6" t="s">
        <v>201</v>
      </c>
      <c r="H27">
        <f>IF(Table15[[#This Row],[Lifetime Option]]="fixed",Table15[[#This Row],[End of life (fixed)]]-Table15[[#This Row],[Start year]],Table26[Generic  Lifetime])</f>
        <v>35</v>
      </c>
      <c r="I27">
        <v>2011</v>
      </c>
      <c r="J27">
        <f>IF(Table15[[#This Row],[Lifetime Option]]="fixed",Table15[[#This Row],[End of life (fixed)]],Table15[[#This Row],[Start year]]+Table26[Generic  Lifetime])</f>
        <v>2011</v>
      </c>
      <c r="K27">
        <v>0.77100000000000002</v>
      </c>
      <c r="L27" t="s">
        <v>186</v>
      </c>
      <c r="M27" s="8"/>
    </row>
    <row r="28" spans="3:13">
      <c r="C28" t="s">
        <v>1</v>
      </c>
      <c r="D28" t="s">
        <v>34</v>
      </c>
      <c r="E28">
        <v>1988</v>
      </c>
      <c r="F28" s="6">
        <v>1.0053818181818199</v>
      </c>
      <c r="G28" s="6" t="s">
        <v>201</v>
      </c>
      <c r="H28">
        <f>IF(Table15[[#This Row],[Lifetime Option]]="fixed",Table15[[#This Row],[End of life (fixed)]]-Table15[[#This Row],[Start year]],Table26[Generic  Lifetime])</f>
        <v>34</v>
      </c>
      <c r="I28">
        <v>2022</v>
      </c>
      <c r="J28">
        <f>IF(Table15[[#This Row],[Lifetime Option]]="fixed",Table15[[#This Row],[End of life (fixed)]],Table15[[#This Row],[Start year]]+Table26[Generic  Lifetime])</f>
        <v>2022</v>
      </c>
      <c r="K28">
        <v>1.335</v>
      </c>
      <c r="M28" s="8" t="s">
        <v>181</v>
      </c>
    </row>
    <row r="29" spans="3:13">
      <c r="C29" t="s">
        <v>1</v>
      </c>
      <c r="D29" t="s">
        <v>35</v>
      </c>
      <c r="E29">
        <v>1981</v>
      </c>
      <c r="F29" s="6">
        <v>1.04942151394422</v>
      </c>
      <c r="G29" s="6" t="s">
        <v>201</v>
      </c>
      <c r="H29">
        <f>IF(Table15[[#This Row],[Lifetime Option]]="fixed",Table15[[#This Row],[End of life (fixed)]]-Table15[[#This Row],[Start year]],Table26[Generic  Lifetime])</f>
        <v>34</v>
      </c>
      <c r="I29">
        <v>2015</v>
      </c>
      <c r="J29">
        <f>IF(Table15[[#This Row],[Lifetime Option]]="fixed",Table15[[#This Row],[End of life (fixed)]],Table15[[#This Row],[Start year]]+Table26[Generic  Lifetime])</f>
        <v>2015</v>
      </c>
      <c r="K29">
        <v>1.2749999999999999</v>
      </c>
      <c r="L29" t="s">
        <v>186</v>
      </c>
      <c r="M29" s="8"/>
    </row>
    <row r="30" spans="3:13">
      <c r="C30" t="s">
        <v>1</v>
      </c>
      <c r="D30" t="s">
        <v>36</v>
      </c>
      <c r="E30">
        <v>1984</v>
      </c>
      <c r="F30" s="6">
        <v>1.0771200000000001</v>
      </c>
      <c r="G30" s="6" t="s">
        <v>201</v>
      </c>
      <c r="H30">
        <f>IF(Table15[[#This Row],[Lifetime Option]]="fixed",Table15[[#This Row],[End of life (fixed)]]-Table15[[#This Row],[Start year]],Table26[Generic  Lifetime])</f>
        <v>37</v>
      </c>
      <c r="I30">
        <v>2021</v>
      </c>
      <c r="J30">
        <f>IF(Table15[[#This Row],[Lifetime Option]]="fixed",Table15[[#This Row],[End of life (fixed)]],Table15[[#This Row],[Start year]]+Table26[Generic  Lifetime])</f>
        <v>2021</v>
      </c>
      <c r="K30">
        <v>1.36</v>
      </c>
      <c r="M30" s="8"/>
    </row>
    <row r="31" spans="3:13">
      <c r="C31" t="s">
        <v>1</v>
      </c>
      <c r="D31" t="s">
        <v>37</v>
      </c>
      <c r="E31">
        <v>1984</v>
      </c>
      <c r="F31" s="6">
        <v>0.83160000000000001</v>
      </c>
      <c r="G31" s="6" t="s">
        <v>201</v>
      </c>
      <c r="H31">
        <f>IF(Table15[[#This Row],[Lifetime Option]]="fixed",Table15[[#This Row],[End of life (fixed)]]-Table15[[#This Row],[Start year]],Table26[Generic  Lifetime])</f>
        <v>33</v>
      </c>
      <c r="I31">
        <v>2017</v>
      </c>
      <c r="J31">
        <f>IF(Table15[[#This Row],[Lifetime Option]]="fixed",Table15[[#This Row],[End of life (fixed)]],Table15[[#This Row],[Start year]]+Table26[Generic  Lifetime])</f>
        <v>2017</v>
      </c>
      <c r="K31">
        <v>1.284</v>
      </c>
      <c r="M31" s="8"/>
    </row>
    <row r="32" spans="3:13">
      <c r="C32" t="s">
        <v>1</v>
      </c>
      <c r="D32" t="s">
        <v>38</v>
      </c>
      <c r="E32">
        <v>1984</v>
      </c>
      <c r="F32" s="6">
        <v>0.83160000000000001</v>
      </c>
      <c r="G32" s="6" t="s">
        <v>201</v>
      </c>
      <c r="H32">
        <f>IF(Table15[[#This Row],[Lifetime Option]]="fixed",Table15[[#This Row],[End of life (fixed)]]-Table15[[#This Row],[Start year]],Table26[Generic  Lifetime])</f>
        <v>37</v>
      </c>
      <c r="I32">
        <v>2021</v>
      </c>
      <c r="J32">
        <f>IF(Table15[[#This Row],[Lifetime Option]]="fixed",Table15[[#This Row],[End of life (fixed)]],Table15[[#This Row],[Start year]]+Table26[Generic  Lifetime])</f>
        <v>2021</v>
      </c>
      <c r="K32">
        <v>1.288</v>
      </c>
      <c r="M32" s="8"/>
    </row>
    <row r="33" spans="3:13">
      <c r="C33" t="s">
        <v>1</v>
      </c>
      <c r="D33" t="s">
        <v>39</v>
      </c>
      <c r="E33">
        <v>1988</v>
      </c>
      <c r="F33" s="6">
        <v>1.28304</v>
      </c>
      <c r="G33" s="6" t="s">
        <v>201</v>
      </c>
      <c r="H33">
        <f>IF(Table15[[#This Row],[Lifetime Option]]="fixed",Table15[[#This Row],[End of life (fixed)]]-Table15[[#This Row],[Start year]],Table26[Generic  Lifetime])</f>
        <v>23</v>
      </c>
      <c r="I33">
        <v>2011</v>
      </c>
      <c r="J33">
        <f>IF(Table15[[#This Row],[Lifetime Option]]="fixed",Table15[[#This Row],[End of life (fixed)]],Table15[[#This Row],[Start year]]+Table26[Generic  Lifetime])</f>
        <v>2011</v>
      </c>
      <c r="K33">
        <v>0.878</v>
      </c>
      <c r="L33" t="s">
        <v>186</v>
      </c>
      <c r="M33" s="8"/>
    </row>
    <row r="34" spans="3:13">
      <c r="C34" t="s">
        <v>1</v>
      </c>
      <c r="D34" t="s">
        <v>40</v>
      </c>
      <c r="E34">
        <v>1988</v>
      </c>
      <c r="F34" s="6">
        <v>1.0394248101265799</v>
      </c>
      <c r="G34" s="6" t="s">
        <v>201</v>
      </c>
      <c r="H34">
        <f>IF(Table15[[#This Row],[Lifetime Option]]="fixed",Table15[[#This Row],[End of life (fixed)]]-Table15[[#This Row],[Start year]],Table26[Generic  Lifetime])</f>
        <v>34</v>
      </c>
      <c r="I34">
        <v>2022</v>
      </c>
      <c r="J34">
        <f>IF(Table15[[#This Row],[Lifetime Option]]="fixed",Table15[[#This Row],[End of life (fixed)]],Table15[[#This Row],[Start year]]+Table26[Generic  Lifetime])</f>
        <v>2022</v>
      </c>
      <c r="K34">
        <v>1.41</v>
      </c>
      <c r="M34" s="8"/>
    </row>
    <row r="35" spans="3:13">
      <c r="C35" t="s">
        <v>1</v>
      </c>
      <c r="D35" t="s">
        <v>41</v>
      </c>
      <c r="E35">
        <v>1983</v>
      </c>
      <c r="F35" s="6">
        <v>0.91238399999999997</v>
      </c>
      <c r="G35" s="6" t="s">
        <v>201</v>
      </c>
      <c r="H35">
        <f>IF(Table15[[#This Row],[Lifetime Option]]="fixed",Table15[[#This Row],[End of life (fixed)]]-Table15[[#This Row],[Start year]],Table26[Generic  Lifetime])</f>
        <v>28</v>
      </c>
      <c r="I35">
        <v>2011</v>
      </c>
      <c r="J35">
        <f>IF(Table15[[#This Row],[Lifetime Option]]="fixed",Table15[[#This Row],[End of life (fixed)]],Table15[[#This Row],[Start year]]+Table26[Generic  Lifetime])</f>
        <v>2011</v>
      </c>
      <c r="K35">
        <v>1.26</v>
      </c>
      <c r="M35" s="8"/>
    </row>
    <row r="36" spans="3:13">
      <c r="C36" t="s">
        <v>1</v>
      </c>
      <c r="D36" t="s">
        <v>42</v>
      </c>
      <c r="E36">
        <v>1989</v>
      </c>
      <c r="F36" s="6">
        <v>1.4452363636363601</v>
      </c>
      <c r="G36" s="6" t="s">
        <v>201</v>
      </c>
      <c r="H36">
        <f>IF(Table15[[#This Row],[Lifetime Option]]="fixed",Table15[[#This Row],[End of life (fixed)]]-Table15[[#This Row],[Start year]],Table26[Generic  Lifetime])</f>
        <v>33</v>
      </c>
      <c r="I36">
        <v>2022</v>
      </c>
      <c r="J36">
        <f>IF(Table15[[#This Row],[Lifetime Option]]="fixed",Table15[[#This Row],[End of life (fixed)]],Table15[[#This Row],[Start year]]+Table26[Generic  Lifetime])</f>
        <v>2022</v>
      </c>
      <c r="K36">
        <v>1.31</v>
      </c>
      <c r="M36" s="8"/>
    </row>
    <row r="37" spans="3:13">
      <c r="C37" t="s">
        <v>1</v>
      </c>
      <c r="D37" t="s">
        <v>43</v>
      </c>
      <c r="E37">
        <v>1976</v>
      </c>
      <c r="F37" s="6">
        <v>1.0463903999999999</v>
      </c>
      <c r="G37" s="6" t="s">
        <v>201</v>
      </c>
      <c r="H37">
        <f>IF(Table15[[#This Row],[Lifetime Option]]="fixed",Table15[[#This Row],[End of life (fixed)]]-Table15[[#This Row],[Start year]],Table26[Generic  Lifetime])</f>
        <v>35</v>
      </c>
      <c r="I37">
        <v>2011</v>
      </c>
      <c r="J37">
        <f>IF(Table15[[#This Row],[Lifetime Option]]="fixed",Table15[[#This Row],[End of life (fixed)]],Table15[[#This Row],[Start year]]+Table26[Generic  Lifetime])</f>
        <v>2011</v>
      </c>
      <c r="K37">
        <v>0.78500000000000003</v>
      </c>
      <c r="L37" t="s">
        <v>186</v>
      </c>
      <c r="M37" s="8"/>
    </row>
    <row r="38" spans="3:13">
      <c r="C38" t="s">
        <v>1</v>
      </c>
      <c r="D38" t="s">
        <v>44</v>
      </c>
      <c r="E38">
        <v>1979</v>
      </c>
      <c r="F38" s="6">
        <v>1.1376288000000001</v>
      </c>
      <c r="G38" s="6" t="s">
        <v>201</v>
      </c>
      <c r="H38">
        <f>IF(Table15[[#This Row],[Lifetime Option]]="fixed",Table15[[#This Row],[End of life (fixed)]]-Table15[[#This Row],[Start year]],Table26[Generic  Lifetime])</f>
        <v>32</v>
      </c>
      <c r="I38">
        <v>2011</v>
      </c>
      <c r="J38">
        <f>IF(Table15[[#This Row],[Lifetime Option]]="fixed",Table15[[#This Row],[End of life (fixed)]],Table15[[#This Row],[Start year]]+Table26[Generic  Lifetime])</f>
        <v>2011</v>
      </c>
      <c r="K38">
        <v>0.89</v>
      </c>
      <c r="L38" t="s">
        <v>186</v>
      </c>
      <c r="M38" s="8"/>
    </row>
    <row r="39" spans="3:13">
      <c r="C39" t="s">
        <v>1</v>
      </c>
      <c r="D39" t="s">
        <v>45</v>
      </c>
      <c r="E39">
        <v>1984</v>
      </c>
      <c r="F39" s="6">
        <v>1.05963584810127</v>
      </c>
      <c r="G39" s="6" t="s">
        <v>201</v>
      </c>
      <c r="H39">
        <f>IF(Table15[[#This Row],[Lifetime Option]]="fixed",Table15[[#This Row],[End of life (fixed)]]-Table15[[#This Row],[Start year]],Table26[Generic  Lifetime])</f>
        <v>35</v>
      </c>
      <c r="I39">
        <v>2019</v>
      </c>
      <c r="J39">
        <f>IF(Table15[[#This Row],[Lifetime Option]]="fixed",Table15[[#This Row],[End of life (fixed)]],Table15[[#This Row],[Start year]]+Table26[Generic  Lifetime])</f>
        <v>2019</v>
      </c>
      <c r="K39">
        <v>1.4019999999999999</v>
      </c>
      <c r="M39" s="8"/>
    </row>
    <row r="40" spans="3:13">
      <c r="C40" t="s">
        <v>1</v>
      </c>
      <c r="D40" t="s">
        <v>46</v>
      </c>
      <c r="E40">
        <v>1978</v>
      </c>
      <c r="F40" s="6">
        <v>1.0093247999999999</v>
      </c>
      <c r="G40" s="6" t="s">
        <v>201</v>
      </c>
      <c r="H40">
        <f>IF(Table15[[#This Row],[Lifetime Option]]="fixed",Table15[[#This Row],[End of life (fixed)]]-Table15[[#This Row],[Start year]],Table26[Generic  Lifetime])</f>
        <v>33</v>
      </c>
      <c r="I40">
        <v>2011</v>
      </c>
      <c r="J40">
        <f>IF(Table15[[#This Row],[Lifetime Option]]="fixed",Table15[[#This Row],[End of life (fixed)]],Table15[[#This Row],[Start year]]+Table26[Generic  Lifetime])</f>
        <v>2011</v>
      </c>
      <c r="K40">
        <v>1.345</v>
      </c>
      <c r="L40" t="s">
        <v>186</v>
      </c>
      <c r="M40" s="8"/>
    </row>
    <row r="41" spans="3:13">
      <c r="C41" t="s">
        <v>47</v>
      </c>
      <c r="D41" t="s">
        <v>48</v>
      </c>
      <c r="E41">
        <v>1983</v>
      </c>
      <c r="F41" s="6">
        <v>1.7769609772650199</v>
      </c>
      <c r="G41" s="6" t="s">
        <v>202</v>
      </c>
      <c r="H41">
        <f>IF(Table15[[#This Row],[Lifetime Option]]="fixed",Table15[[#This Row],[End of life (fixed)]]-Table15[[#This Row],[Start year]],Table26[Generic  Lifetime])</f>
        <v>50</v>
      </c>
      <c r="J41">
        <f>IF(Table15[[#This Row],[Lifetime Option]]="fixed",Table15[[#This Row],[End of life (fixed)]],Table15[[#This Row],[Start year]]+Table26[Generic  Lifetime])</f>
        <v>2033</v>
      </c>
      <c r="K41">
        <v>1.0109999999999999</v>
      </c>
      <c r="M41" s="8"/>
    </row>
    <row r="42" spans="3:13">
      <c r="C42" t="s">
        <v>47</v>
      </c>
      <c r="D42" t="s">
        <v>49</v>
      </c>
      <c r="E42">
        <v>1984</v>
      </c>
      <c r="F42" s="6">
        <v>1.37735731252121</v>
      </c>
      <c r="G42" s="6" t="s">
        <v>202</v>
      </c>
      <c r="H42">
        <f>IF(Table15[[#This Row],[Lifetime Option]]="fixed",Table15[[#This Row],[End of life (fixed)]]-Table15[[#This Row],[Start year]],Table26[Generic  Lifetime])</f>
        <v>50</v>
      </c>
      <c r="J42">
        <f>IF(Table15[[#This Row],[Lifetime Option]]="fixed",Table15[[#This Row],[End of life (fixed)]],Table15[[#This Row],[Start year]]+Table26[Generic  Lifetime])</f>
        <v>2034</v>
      </c>
      <c r="K42">
        <v>1.006</v>
      </c>
      <c r="M42" s="8"/>
    </row>
    <row r="43" spans="3:13">
      <c r="C43" t="s">
        <v>47</v>
      </c>
      <c r="D43" t="s">
        <v>50</v>
      </c>
      <c r="E43">
        <v>1983</v>
      </c>
      <c r="F43" s="6">
        <v>1.5325350561033699</v>
      </c>
      <c r="G43" s="6" t="s">
        <v>202</v>
      </c>
      <c r="H43">
        <f>IF(Table15[[#This Row],[Lifetime Option]]="fixed",Table15[[#This Row],[End of life (fixed)]]-Table15[[#This Row],[Start year]],Table26[Generic  Lifetime])</f>
        <v>50</v>
      </c>
      <c r="J43">
        <f>IF(Table15[[#This Row],[Lifetime Option]]="fixed",Table15[[#This Row],[End of life (fixed)]],Table15[[#This Row],[Start year]]+Table26[Generic  Lifetime])</f>
        <v>2033</v>
      </c>
      <c r="K43">
        <v>0.995</v>
      </c>
      <c r="M43" s="8"/>
    </row>
    <row r="44" spans="3:13">
      <c r="C44" t="s">
        <v>47</v>
      </c>
      <c r="D44" t="s">
        <v>51</v>
      </c>
      <c r="E44">
        <v>1985</v>
      </c>
      <c r="F44" s="6">
        <v>1.52363359401564</v>
      </c>
      <c r="G44" s="6" t="s">
        <v>202</v>
      </c>
      <c r="H44">
        <f>IF(Table15[[#This Row],[Lifetime Option]]="fixed",Table15[[#This Row],[End of life (fixed)]]-Table15[[#This Row],[Start year]],Table26[Generic  Lifetime])</f>
        <v>50</v>
      </c>
      <c r="J44">
        <f>IF(Table15[[#This Row],[Lifetime Option]]="fixed",Table15[[#This Row],[End of life (fixed)]],Table15[[#This Row],[Start year]]+Table26[Generic  Lifetime])</f>
        <v>2035</v>
      </c>
      <c r="K44">
        <v>0.997</v>
      </c>
      <c r="M44" s="8"/>
    </row>
    <row r="45" spans="3:13">
      <c r="C45" t="s">
        <v>47</v>
      </c>
      <c r="D45" t="s">
        <v>52</v>
      </c>
      <c r="E45">
        <v>1985</v>
      </c>
      <c r="F45" s="6">
        <v>1.1658795180722901</v>
      </c>
      <c r="G45" s="6" t="s">
        <v>202</v>
      </c>
      <c r="H45">
        <f>IF(Table15[[#This Row],[Lifetime Option]]="fixed",Table15[[#This Row],[End of life (fixed)]]-Table15[[#This Row],[Start year]],Table26[Generic  Lifetime])</f>
        <v>50</v>
      </c>
      <c r="J45">
        <f>IF(Table15[[#This Row],[Lifetime Option]]="fixed",Table15[[#This Row],[End of life (fixed)]],Table15[[#This Row],[Start year]]+Table26[Generic  Lifetime])</f>
        <v>2035</v>
      </c>
      <c r="K45">
        <v>1.0640000000000001</v>
      </c>
      <c r="M45" s="8"/>
    </row>
    <row r="46" spans="3:13">
      <c r="C46" t="s">
        <v>47</v>
      </c>
      <c r="D46" t="s">
        <v>53</v>
      </c>
      <c r="E46">
        <v>1971</v>
      </c>
      <c r="F46" s="6">
        <v>0.90379029688631396</v>
      </c>
      <c r="G46" s="6" t="s">
        <v>202</v>
      </c>
      <c r="H46">
        <f>IF(Table15[[#This Row],[Lifetime Option]]="fixed",Table15[[#This Row],[End of life (fixed)]]-Table15[[#This Row],[Start year]],Table26[Generic  Lifetime])</f>
        <v>50</v>
      </c>
      <c r="J46">
        <f>IF(Table15[[#This Row],[Lifetime Option]]="fixed",Table15[[#This Row],[End of life (fixed)]],Table15[[#This Row],[Start year]]+Table26[Generic  Lifetime])</f>
        <v>2021</v>
      </c>
      <c r="K46">
        <v>0.44600000000000001</v>
      </c>
      <c r="M46" s="8"/>
    </row>
    <row r="47" spans="3:13">
      <c r="C47" t="s">
        <v>47</v>
      </c>
      <c r="D47" t="s">
        <v>54</v>
      </c>
      <c r="E47">
        <v>1988</v>
      </c>
      <c r="F47" s="6">
        <v>1.00976053156146</v>
      </c>
      <c r="G47" s="6" t="s">
        <v>202</v>
      </c>
      <c r="H47">
        <f>IF(Table15[[#This Row],[Lifetime Option]]="fixed",Table15[[#This Row],[End of life (fixed)]]-Table15[[#This Row],[Start year]],Table26[Generic  Lifetime])</f>
        <v>50</v>
      </c>
      <c r="J47">
        <f>IF(Table15[[#This Row],[Lifetime Option]]="fixed",Table15[[#This Row],[End of life (fixed)]],Table15[[#This Row],[Start year]]+Table26[Generic  Lifetime])</f>
        <v>2038</v>
      </c>
      <c r="K47">
        <v>1.0029999999999999</v>
      </c>
      <c r="M47" s="8"/>
    </row>
    <row r="48" spans="3:13">
      <c r="C48" t="s">
        <v>47</v>
      </c>
      <c r="D48" t="s">
        <v>55</v>
      </c>
      <c r="E48">
        <v>1987</v>
      </c>
      <c r="F48" s="6">
        <v>1.61264821489289</v>
      </c>
      <c r="G48" s="6" t="s">
        <v>202</v>
      </c>
      <c r="H48">
        <f>IF(Table15[[#This Row],[Lifetime Option]]="fixed",Table15[[#This Row],[End of life (fixed)]]-Table15[[#This Row],[Start year]],Table26[Generic  Lifetime])</f>
        <v>50</v>
      </c>
      <c r="J48">
        <f>IF(Table15[[#This Row],[Lifetime Option]]="fixed",Table15[[#This Row],[End of life (fixed)]],Table15[[#This Row],[Start year]]+Table26[Generic  Lifetime])</f>
        <v>2037</v>
      </c>
      <c r="K48">
        <v>1.0449999999999999</v>
      </c>
      <c r="M48" s="8"/>
    </row>
    <row r="49" spans="3:13">
      <c r="C49" t="s">
        <v>56</v>
      </c>
      <c r="D49" t="s">
        <v>57</v>
      </c>
      <c r="E49">
        <v>1977</v>
      </c>
      <c r="F49" s="6">
        <v>1.1750400000000001</v>
      </c>
      <c r="G49" s="6" t="s">
        <v>202</v>
      </c>
      <c r="H49">
        <f>IF(Table15[[#This Row],[Lifetime Option]]="fixed",Table15[[#This Row],[End of life (fixed)]]-Table15[[#This Row],[Start year]],Table26[Generic  Lifetime])</f>
        <v>50</v>
      </c>
      <c r="J49">
        <f>IF(Table15[[#This Row],[Lifetime Option]]="fixed",Table15[[#This Row],[End of life (fixed)]],Table15[[#This Row],[Start year]]+Table26[Generic  Lifetime])</f>
        <v>2027</v>
      </c>
      <c r="K49">
        <v>0.496</v>
      </c>
      <c r="M49" s="8"/>
    </row>
    <row r="50" spans="3:13">
      <c r="C50" t="s">
        <v>56</v>
      </c>
      <c r="D50" t="s">
        <v>58</v>
      </c>
      <c r="E50">
        <v>1980</v>
      </c>
      <c r="F50" s="6">
        <v>1.1750400000000001</v>
      </c>
      <c r="G50" s="6" t="s">
        <v>202</v>
      </c>
      <c r="H50">
        <f>IF(Table15[[#This Row],[Lifetime Option]]="fixed",Table15[[#This Row],[End of life (fixed)]]-Table15[[#This Row],[Start year]],Table26[Generic  Lifetime])</f>
        <v>50</v>
      </c>
      <c r="J50">
        <f>IF(Table15[[#This Row],[Lifetime Option]]="fixed",Table15[[#This Row],[End of life (fixed)]],Table15[[#This Row],[Start year]]+Table26[Generic  Lifetime])</f>
        <v>2030</v>
      </c>
      <c r="K50">
        <v>0.496</v>
      </c>
      <c r="M50" s="8"/>
    </row>
    <row r="51" spans="3:13">
      <c r="C51" t="s">
        <v>56</v>
      </c>
      <c r="D51" t="s">
        <v>59</v>
      </c>
      <c r="E51">
        <v>1978</v>
      </c>
      <c r="F51" s="6">
        <v>1.1636352000000001</v>
      </c>
      <c r="G51" s="6" t="s">
        <v>202</v>
      </c>
      <c r="H51">
        <f>IF(Table15[[#This Row],[Lifetime Option]]="fixed",Table15[[#This Row],[End of life (fixed)]]-Table15[[#This Row],[Start year]],Table26[Generic  Lifetime])</f>
        <v>50</v>
      </c>
      <c r="J51">
        <f>IF(Table15[[#This Row],[Lifetime Option]]="fixed",Table15[[#This Row],[End of life (fixed)]],Table15[[#This Row],[Start year]]+Table26[Generic  Lifetime])</f>
        <v>2028</v>
      </c>
      <c r="K51">
        <v>0.88</v>
      </c>
      <c r="M51" s="8"/>
    </row>
    <row r="52" spans="3:13">
      <c r="C52" t="s">
        <v>56</v>
      </c>
      <c r="D52" t="s">
        <v>60</v>
      </c>
      <c r="E52">
        <v>1980</v>
      </c>
      <c r="F52" s="6">
        <v>1.1380608000000001</v>
      </c>
      <c r="G52" s="6" t="s">
        <v>202</v>
      </c>
      <c r="H52">
        <f>IF(Table15[[#This Row],[Lifetime Option]]="fixed",Table15[[#This Row],[End of life (fixed)]]-Table15[[#This Row],[Start year]],Table26[Generic  Lifetime])</f>
        <v>50</v>
      </c>
      <c r="J52">
        <f>IF(Table15[[#This Row],[Lifetime Option]]="fixed",Table15[[#This Row],[End of life (fixed)]],Table15[[#This Row],[Start year]]+Table26[Generic  Lifetime])</f>
        <v>2030</v>
      </c>
      <c r="K52">
        <v>0.88</v>
      </c>
      <c r="M52" s="8"/>
    </row>
    <row r="53" spans="3:13">
      <c r="C53" t="s">
        <v>3</v>
      </c>
      <c r="D53" t="s">
        <v>61</v>
      </c>
      <c r="E53">
        <v>1987</v>
      </c>
      <c r="F53" s="6">
        <v>1.0181256484149901</v>
      </c>
      <c r="G53" s="6" t="s">
        <v>202</v>
      </c>
      <c r="H53">
        <f>IF(Table15[[#This Row],[Lifetime Option]]="fixed",Table15[[#This Row],[End of life (fixed)]]-Table15[[#This Row],[Start year]],Table26[Generic  Lifetime])</f>
        <v>50</v>
      </c>
      <c r="J53">
        <f>IF(Table15[[#This Row],[Lifetime Option]]="fixed",Table15[[#This Row],[End of life (fixed)]],Table15[[#This Row],[Start year]]+Table26[Generic  Lifetime])</f>
        <v>2037</v>
      </c>
      <c r="K53">
        <v>1.31</v>
      </c>
      <c r="L53" t="s">
        <v>207</v>
      </c>
      <c r="M53" s="7" t="s">
        <v>179</v>
      </c>
    </row>
    <row r="54" spans="3:13">
      <c r="C54" t="s">
        <v>3</v>
      </c>
      <c r="D54" t="s">
        <v>62</v>
      </c>
      <c r="E54">
        <v>1988</v>
      </c>
      <c r="F54" s="6">
        <v>1.0181256484149901</v>
      </c>
      <c r="G54" s="6" t="s">
        <v>202</v>
      </c>
      <c r="H54">
        <f>IF(Table15[[#This Row],[Lifetime Option]]="fixed",Table15[[#This Row],[End of life (fixed)]]-Table15[[#This Row],[Start year]],Table26[Generic  Lifetime])</f>
        <v>50</v>
      </c>
      <c r="J54">
        <f>IF(Table15[[#This Row],[Lifetime Option]]="fixed",Table15[[#This Row],[End of life (fixed)]],Table15[[#This Row],[Start year]]+Table26[Generic  Lifetime])</f>
        <v>2038</v>
      </c>
      <c r="K54">
        <v>1.31</v>
      </c>
      <c r="M54" s="7"/>
    </row>
    <row r="55" spans="3:13">
      <c r="C55" t="s">
        <v>3</v>
      </c>
      <c r="D55" t="s">
        <v>63</v>
      </c>
      <c r="E55">
        <v>1981</v>
      </c>
      <c r="F55" s="6">
        <v>0.99529030664272899</v>
      </c>
      <c r="G55" s="6" t="s">
        <v>202</v>
      </c>
      <c r="H55">
        <f>IF(Table15[[#This Row],[Lifetime Option]]="fixed",Table15[[#This Row],[End of life (fixed)]]-Table15[[#This Row],[Start year]],Table26[Generic  Lifetime])</f>
        <v>50</v>
      </c>
      <c r="J55">
        <f>IF(Table15[[#This Row],[Lifetime Option]]="fixed",Table15[[#This Row],[End of life (fixed)]],Table15[[#This Row],[Start year]]+Table26[Generic  Lifetime])</f>
        <v>2031</v>
      </c>
      <c r="K55">
        <v>0.91</v>
      </c>
      <c r="M55" s="8"/>
    </row>
    <row r="56" spans="3:13">
      <c r="C56" t="s">
        <v>3</v>
      </c>
      <c r="D56" t="s">
        <v>64</v>
      </c>
      <c r="E56">
        <v>1982</v>
      </c>
      <c r="F56" s="6">
        <v>0.99529030664272899</v>
      </c>
      <c r="G56" s="6" t="s">
        <v>202</v>
      </c>
      <c r="H56">
        <f>IF(Table15[[#This Row],[Lifetime Option]]="fixed",Table15[[#This Row],[End of life (fixed)]]-Table15[[#This Row],[Start year]],Table26[Generic  Lifetime])</f>
        <v>50</v>
      </c>
      <c r="J56">
        <f>IF(Table15[[#This Row],[Lifetime Option]]="fixed",Table15[[#This Row],[End of life (fixed)]],Table15[[#This Row],[Start year]]+Table26[Generic  Lifetime])</f>
        <v>2032</v>
      </c>
      <c r="K56">
        <v>0.91</v>
      </c>
      <c r="M56" s="8"/>
    </row>
    <row r="57" spans="3:13">
      <c r="C57" t="s">
        <v>3</v>
      </c>
      <c r="D57" t="s">
        <v>65</v>
      </c>
      <c r="E57">
        <v>1983</v>
      </c>
      <c r="F57" s="6">
        <v>0.99529030664272899</v>
      </c>
      <c r="G57" s="6" t="s">
        <v>202</v>
      </c>
      <c r="H57">
        <f>IF(Table15[[#This Row],[Lifetime Option]]="fixed",Table15[[#This Row],[End of life (fixed)]]-Table15[[#This Row],[Start year]],Table26[Generic  Lifetime])</f>
        <v>50</v>
      </c>
      <c r="J57">
        <f>IF(Table15[[#This Row],[Lifetime Option]]="fixed",Table15[[#This Row],[End of life (fixed)]],Table15[[#This Row],[Start year]]+Table26[Generic  Lifetime])</f>
        <v>2033</v>
      </c>
      <c r="K57">
        <v>0.91</v>
      </c>
      <c r="M57" s="8"/>
    </row>
    <row r="58" spans="3:13">
      <c r="C58" t="s">
        <v>3</v>
      </c>
      <c r="D58" t="s">
        <v>66</v>
      </c>
      <c r="E58">
        <v>1983</v>
      </c>
      <c r="F58" s="6">
        <v>0.99529030664272899</v>
      </c>
      <c r="G58" s="6" t="s">
        <v>202</v>
      </c>
      <c r="H58">
        <f>IF(Table15[[#This Row],[Lifetime Option]]="fixed",Table15[[#This Row],[End of life (fixed)]]-Table15[[#This Row],[Start year]],Table26[Generic  Lifetime])</f>
        <v>50</v>
      </c>
      <c r="J58">
        <f>IF(Table15[[#This Row],[Lifetime Option]]="fixed",Table15[[#This Row],[End of life (fixed)]],Table15[[#This Row],[Start year]]+Table26[Generic  Lifetime])</f>
        <v>2033</v>
      </c>
      <c r="K58">
        <v>0.91</v>
      </c>
      <c r="M58" s="8"/>
    </row>
    <row r="59" spans="3:13">
      <c r="C59" t="s">
        <v>3</v>
      </c>
      <c r="D59" t="s">
        <v>67</v>
      </c>
      <c r="E59">
        <v>1978</v>
      </c>
      <c r="F59" s="6">
        <v>0.98901087253141795</v>
      </c>
      <c r="G59" s="6" t="s">
        <v>202</v>
      </c>
      <c r="H59">
        <f>IF(Table15[[#This Row],[Lifetime Option]]="fixed",Table15[[#This Row],[End of life (fixed)]]-Table15[[#This Row],[Start year]],Table26[Generic  Lifetime])</f>
        <v>50</v>
      </c>
      <c r="J59">
        <f>IF(Table15[[#This Row],[Lifetime Option]]="fixed",Table15[[#This Row],[End of life (fixed)]],Table15[[#This Row],[Start year]]+Table26[Generic  Lifetime])</f>
        <v>2028</v>
      </c>
      <c r="K59">
        <v>0.91</v>
      </c>
      <c r="M59" s="8"/>
    </row>
    <row r="60" spans="3:13">
      <c r="C60" t="s">
        <v>3</v>
      </c>
      <c r="D60" t="s">
        <v>68</v>
      </c>
      <c r="E60">
        <v>1978</v>
      </c>
      <c r="F60" s="6">
        <v>0.98901087253141895</v>
      </c>
      <c r="G60" s="6" t="s">
        <v>202</v>
      </c>
      <c r="H60">
        <f>IF(Table15[[#This Row],[Lifetime Option]]="fixed",Table15[[#This Row],[End of life (fixed)]]-Table15[[#This Row],[Start year]],Table26[Generic  Lifetime])</f>
        <v>50</v>
      </c>
      <c r="J60">
        <f>IF(Table15[[#This Row],[Lifetime Option]]="fixed",Table15[[#This Row],[End of life (fixed)]],Table15[[#This Row],[Start year]]+Table26[Generic  Lifetime])</f>
        <v>2028</v>
      </c>
      <c r="K60">
        <v>0.91</v>
      </c>
      <c r="M60" s="8"/>
    </row>
    <row r="61" spans="3:13">
      <c r="C61" t="s">
        <v>3</v>
      </c>
      <c r="D61" t="s">
        <v>69</v>
      </c>
      <c r="E61">
        <v>1979</v>
      </c>
      <c r="F61" s="6">
        <v>0.95970684667863504</v>
      </c>
      <c r="G61" s="6" t="s">
        <v>202</v>
      </c>
      <c r="H61">
        <f>IF(Table15[[#This Row],[Lifetime Option]]="fixed",Table15[[#This Row],[End of life (fixed)]]-Table15[[#This Row],[Start year]],Table26[Generic  Lifetime])</f>
        <v>50</v>
      </c>
      <c r="J61">
        <f>IF(Table15[[#This Row],[Lifetime Option]]="fixed",Table15[[#This Row],[End of life (fixed)]],Table15[[#This Row],[Start year]]+Table26[Generic  Lifetime])</f>
        <v>2029</v>
      </c>
      <c r="K61">
        <v>0.88</v>
      </c>
      <c r="M61" s="8"/>
    </row>
    <row r="62" spans="3:13">
      <c r="C62" t="s">
        <v>3</v>
      </c>
      <c r="D62" t="s">
        <v>70</v>
      </c>
      <c r="E62">
        <v>1979</v>
      </c>
      <c r="F62" s="6">
        <v>0.95970684667863604</v>
      </c>
      <c r="G62" s="6" t="s">
        <v>202</v>
      </c>
      <c r="H62">
        <f>IF(Table15[[#This Row],[Lifetime Option]]="fixed",Table15[[#This Row],[End of life (fixed)]]-Table15[[#This Row],[Start year]],Table26[Generic  Lifetime])</f>
        <v>50</v>
      </c>
      <c r="J62">
        <f>IF(Table15[[#This Row],[Lifetime Option]]="fixed",Table15[[#This Row],[End of life (fixed)]],Table15[[#This Row],[Start year]]+Table26[Generic  Lifetime])</f>
        <v>2029</v>
      </c>
      <c r="K62">
        <v>0.88</v>
      </c>
      <c r="M62" s="8"/>
    </row>
    <row r="63" spans="3:13">
      <c r="C63" t="s">
        <v>3</v>
      </c>
      <c r="D63" t="s">
        <v>71</v>
      </c>
      <c r="E63">
        <v>1986</v>
      </c>
      <c r="F63" s="6">
        <v>1.01737867435158</v>
      </c>
      <c r="G63" s="6" t="s">
        <v>202</v>
      </c>
      <c r="H63">
        <f>IF(Table15[[#This Row],[Lifetime Option]]="fixed",Table15[[#This Row],[End of life (fixed)]]-Table15[[#This Row],[Start year]],Table26[Generic  Lifetime])</f>
        <v>50</v>
      </c>
      <c r="J63">
        <f>IF(Table15[[#This Row],[Lifetime Option]]="fixed",Table15[[#This Row],[End of life (fixed)]],Table15[[#This Row],[Start year]]+Table26[Generic  Lifetime])</f>
        <v>2036</v>
      </c>
      <c r="K63">
        <v>1.3</v>
      </c>
      <c r="M63" s="8"/>
    </row>
    <row r="64" spans="3:13">
      <c r="C64" t="s">
        <v>3</v>
      </c>
      <c r="D64" t="s">
        <v>72</v>
      </c>
      <c r="E64">
        <v>1987</v>
      </c>
      <c r="F64" s="6">
        <v>1.01737867435159</v>
      </c>
      <c r="G64" s="6" t="s">
        <v>202</v>
      </c>
      <c r="H64">
        <f>IF(Table15[[#This Row],[Lifetime Option]]="fixed",Table15[[#This Row],[End of life (fixed)]]-Table15[[#This Row],[Start year]],Table26[Generic  Lifetime])</f>
        <v>50</v>
      </c>
      <c r="J64">
        <f>IF(Table15[[#This Row],[Lifetime Option]]="fixed",Table15[[#This Row],[End of life (fixed)]],Table15[[#This Row],[Start year]]+Table26[Generic  Lifetime])</f>
        <v>2037</v>
      </c>
      <c r="K64">
        <v>1.3</v>
      </c>
      <c r="M64" s="8"/>
    </row>
    <row r="65" spans="3:13">
      <c r="C65" t="s">
        <v>3</v>
      </c>
      <c r="D65" t="s">
        <v>73</v>
      </c>
      <c r="E65">
        <v>1990</v>
      </c>
      <c r="F65" s="6">
        <v>1.01737867435159</v>
      </c>
      <c r="G65" s="6" t="s">
        <v>202</v>
      </c>
      <c r="H65">
        <f>IF(Table15[[#This Row],[Lifetime Option]]="fixed",Table15[[#This Row],[End of life (fixed)]]-Table15[[#This Row],[Start year]],Table26[Generic  Lifetime])</f>
        <v>50</v>
      </c>
      <c r="J65">
        <f>IF(Table15[[#This Row],[Lifetime Option]]="fixed",Table15[[#This Row],[End of life (fixed)]],Table15[[#This Row],[Start year]]+Table26[Generic  Lifetime])</f>
        <v>2040</v>
      </c>
      <c r="K65">
        <v>1.3</v>
      </c>
      <c r="M65" s="8"/>
    </row>
    <row r="66" spans="3:13">
      <c r="C66" t="s">
        <v>3</v>
      </c>
      <c r="D66" t="s">
        <v>74</v>
      </c>
      <c r="E66">
        <v>1991</v>
      </c>
      <c r="F66" s="6">
        <v>1.01737867435159</v>
      </c>
      <c r="G66" s="6" t="s">
        <v>202</v>
      </c>
      <c r="H66">
        <f>IF(Table15[[#This Row],[Lifetime Option]]="fixed",Table15[[#This Row],[End of life (fixed)]]-Table15[[#This Row],[Start year]],Table26[Generic  Lifetime])</f>
        <v>50</v>
      </c>
      <c r="J66">
        <f>IF(Table15[[#This Row],[Lifetime Option]]="fixed",Table15[[#This Row],[End of life (fixed)]],Table15[[#This Row],[Start year]]+Table26[Generic  Lifetime])</f>
        <v>2041</v>
      </c>
      <c r="K66">
        <v>1.3</v>
      </c>
      <c r="M66" s="8"/>
    </row>
    <row r="67" spans="3:13">
      <c r="C67" t="s">
        <v>3</v>
      </c>
      <c r="D67" t="s">
        <v>75</v>
      </c>
      <c r="E67">
        <v>1982</v>
      </c>
      <c r="F67" s="6">
        <v>0.99843002369838396</v>
      </c>
      <c r="G67" s="6" t="s">
        <v>202</v>
      </c>
      <c r="H67">
        <f>IF(Table15[[#This Row],[Lifetime Option]]="fixed",Table15[[#This Row],[End of life (fixed)]]-Table15[[#This Row],[Start year]],Table26[Generic  Lifetime])</f>
        <v>50</v>
      </c>
      <c r="J67">
        <f>IF(Table15[[#This Row],[Lifetime Option]]="fixed",Table15[[#This Row],[End of life (fixed)]],Table15[[#This Row],[Start year]]+Table26[Generic  Lifetime])</f>
        <v>2032</v>
      </c>
      <c r="K67">
        <v>0.90500000000000003</v>
      </c>
      <c r="M67" s="8"/>
    </row>
    <row r="68" spans="3:13">
      <c r="C68" t="s">
        <v>3</v>
      </c>
      <c r="D68" t="s">
        <v>76</v>
      </c>
      <c r="E68">
        <v>1983</v>
      </c>
      <c r="F68" s="6">
        <v>0.99843002369838396</v>
      </c>
      <c r="G68" s="6" t="s">
        <v>202</v>
      </c>
      <c r="H68">
        <f>IF(Table15[[#This Row],[Lifetime Option]]="fixed",Table15[[#This Row],[End of life (fixed)]]-Table15[[#This Row],[Start year]],Table26[Generic  Lifetime])</f>
        <v>50</v>
      </c>
      <c r="J68">
        <f>IF(Table15[[#This Row],[Lifetime Option]]="fixed",Table15[[#This Row],[End of life (fixed)]],Table15[[#This Row],[Start year]]+Table26[Generic  Lifetime])</f>
        <v>2033</v>
      </c>
      <c r="K68">
        <v>0.90500000000000003</v>
      </c>
      <c r="M68" s="8"/>
    </row>
    <row r="69" spans="3:13">
      <c r="C69" t="s">
        <v>3</v>
      </c>
      <c r="D69" t="s">
        <v>77</v>
      </c>
      <c r="E69">
        <v>1986</v>
      </c>
      <c r="F69" s="6">
        <v>0.99843002369838396</v>
      </c>
      <c r="G69" s="6" t="s">
        <v>202</v>
      </c>
      <c r="H69">
        <f>IF(Table15[[#This Row],[Lifetime Option]]="fixed",Table15[[#This Row],[End of life (fixed)]]-Table15[[#This Row],[Start year]],Table26[Generic  Lifetime])</f>
        <v>50</v>
      </c>
      <c r="J69">
        <f>IF(Table15[[#This Row],[Lifetime Option]]="fixed",Table15[[#This Row],[End of life (fixed)]],Table15[[#This Row],[Start year]]+Table26[Generic  Lifetime])</f>
        <v>2036</v>
      </c>
      <c r="K69">
        <v>0.90500000000000003</v>
      </c>
      <c r="M69" s="8"/>
    </row>
    <row r="70" spans="3:13">
      <c r="C70" t="s">
        <v>3</v>
      </c>
      <c r="D70" t="s">
        <v>78</v>
      </c>
      <c r="E70">
        <v>1987</v>
      </c>
      <c r="F70" s="6">
        <v>0.99843002369838396</v>
      </c>
      <c r="G70" s="6" t="s">
        <v>202</v>
      </c>
      <c r="H70">
        <f>IF(Table15[[#This Row],[Lifetime Option]]="fixed",Table15[[#This Row],[End of life (fixed)]]-Table15[[#This Row],[Start year]],Table26[Generic  Lifetime])</f>
        <v>50</v>
      </c>
      <c r="J70">
        <f>IF(Table15[[#This Row],[Lifetime Option]]="fixed",Table15[[#This Row],[End of life (fixed)]],Table15[[#This Row],[Start year]]+Table26[Generic  Lifetime])</f>
        <v>2037</v>
      </c>
      <c r="K70">
        <v>0.90500000000000003</v>
      </c>
      <c r="M70" s="8"/>
    </row>
    <row r="71" spans="3:13">
      <c r="C71" t="s">
        <v>3</v>
      </c>
      <c r="D71" t="s">
        <v>79</v>
      </c>
      <c r="E71">
        <v>1996</v>
      </c>
      <c r="F71" s="6">
        <v>1.2310482435597201</v>
      </c>
      <c r="G71" s="6" t="s">
        <v>202</v>
      </c>
      <c r="H71">
        <f>IF(Table15[[#This Row],[Lifetime Option]]="fixed",Table15[[#This Row],[End of life (fixed)]]-Table15[[#This Row],[Start year]],Table26[Generic  Lifetime])</f>
        <v>50</v>
      </c>
      <c r="J71">
        <f>IF(Table15[[#This Row],[Lifetime Option]]="fixed",Table15[[#This Row],[End of life (fixed)]],Table15[[#This Row],[Start year]]+Table26[Generic  Lifetime])</f>
        <v>2046</v>
      </c>
      <c r="K71">
        <v>1.5</v>
      </c>
      <c r="M71" s="8"/>
    </row>
    <row r="72" spans="3:13">
      <c r="C72" t="s">
        <v>3</v>
      </c>
      <c r="D72" t="s">
        <v>80</v>
      </c>
      <c r="E72">
        <v>1997</v>
      </c>
      <c r="F72" s="6">
        <v>1.2310482435597201</v>
      </c>
      <c r="G72" s="6" t="s">
        <v>202</v>
      </c>
      <c r="H72">
        <f>IF(Table15[[#This Row],[Lifetime Option]]="fixed",Table15[[#This Row],[End of life (fixed)]]-Table15[[#This Row],[Start year]],Table26[Generic  Lifetime])</f>
        <v>50</v>
      </c>
      <c r="J72">
        <f>IF(Table15[[#This Row],[Lifetime Option]]="fixed",Table15[[#This Row],[End of life (fixed)]],Table15[[#This Row],[Start year]]+Table26[Generic  Lifetime])</f>
        <v>2047</v>
      </c>
      <c r="K72">
        <v>1.5</v>
      </c>
      <c r="M72" s="8"/>
    </row>
    <row r="73" spans="3:13">
      <c r="C73" t="s">
        <v>3</v>
      </c>
      <c r="D73" t="s">
        <v>81</v>
      </c>
      <c r="E73">
        <v>1997</v>
      </c>
      <c r="F73" s="6">
        <v>1.10549508196721</v>
      </c>
      <c r="G73" s="6" t="s">
        <v>202</v>
      </c>
      <c r="H73">
        <f>IF(Table15[[#This Row],[Lifetime Option]]="fixed",Table15[[#This Row],[End of life (fixed)]]-Table15[[#This Row],[Start year]],Table26[Generic  Lifetime])</f>
        <v>50</v>
      </c>
      <c r="J73">
        <f>IF(Table15[[#This Row],[Lifetime Option]]="fixed",Table15[[#This Row],[End of life (fixed)]],Table15[[#This Row],[Start year]]+Table26[Generic  Lifetime])</f>
        <v>2047</v>
      </c>
      <c r="K73">
        <v>1.4950000000000001</v>
      </c>
      <c r="M73" s="8"/>
    </row>
    <row r="74" spans="3:13">
      <c r="C74" t="s">
        <v>3</v>
      </c>
      <c r="D74" t="s">
        <v>82</v>
      </c>
      <c r="E74">
        <v>1999</v>
      </c>
      <c r="F74" s="6">
        <v>1.10549508196721</v>
      </c>
      <c r="G74" s="6" t="s">
        <v>202</v>
      </c>
      <c r="H74">
        <f>IF(Table15[[#This Row],[Lifetime Option]]="fixed",Table15[[#This Row],[End of life (fixed)]]-Table15[[#This Row],[Start year]],Table26[Generic  Lifetime])</f>
        <v>50</v>
      </c>
      <c r="J74">
        <f>IF(Table15[[#This Row],[Lifetime Option]]="fixed",Table15[[#This Row],[End of life (fixed)]],Table15[[#This Row],[Start year]]+Table26[Generic  Lifetime])</f>
        <v>2049</v>
      </c>
      <c r="K74">
        <v>1.4950000000000001</v>
      </c>
      <c r="M74" s="8"/>
    </row>
    <row r="75" spans="3:13">
      <c r="C75" t="s">
        <v>3</v>
      </c>
      <c r="D75" t="s">
        <v>83</v>
      </c>
      <c r="E75">
        <v>1983</v>
      </c>
      <c r="F75" s="6">
        <v>1.0005231684021501</v>
      </c>
      <c r="G75" s="6" t="s">
        <v>202</v>
      </c>
      <c r="H75">
        <f>IF(Table15[[#This Row],[Lifetime Option]]="fixed",Table15[[#This Row],[End of life (fixed)]]-Table15[[#This Row],[Start year]],Table26[Generic  Lifetime])</f>
        <v>50</v>
      </c>
      <c r="J75">
        <f>IF(Table15[[#This Row],[Lifetime Option]]="fixed",Table15[[#This Row],[End of life (fixed)]],Table15[[#This Row],[Start year]]+Table26[Generic  Lifetime])</f>
        <v>2033</v>
      </c>
      <c r="K75">
        <v>0.91500000000000004</v>
      </c>
      <c r="M75" s="8"/>
    </row>
    <row r="76" spans="3:13">
      <c r="C76" t="s">
        <v>3</v>
      </c>
      <c r="D76" t="s">
        <v>84</v>
      </c>
      <c r="E76">
        <v>1984</v>
      </c>
      <c r="F76" s="6">
        <v>1.0005231684021501</v>
      </c>
      <c r="G76" s="6" t="s">
        <v>202</v>
      </c>
      <c r="H76">
        <f>IF(Table15[[#This Row],[Lifetime Option]]="fixed",Table15[[#This Row],[End of life (fixed)]]-Table15[[#This Row],[Start year]],Table26[Generic  Lifetime])</f>
        <v>50</v>
      </c>
      <c r="J76">
        <f>IF(Table15[[#This Row],[Lifetime Option]]="fixed",Table15[[#This Row],[End of life (fixed)]],Table15[[#This Row],[Start year]]+Table26[Generic  Lifetime])</f>
        <v>2034</v>
      </c>
      <c r="K76">
        <v>0.91500000000000004</v>
      </c>
      <c r="M76" s="8"/>
    </row>
    <row r="77" spans="3:13">
      <c r="C77" t="s">
        <v>3</v>
      </c>
      <c r="D77" t="s">
        <v>85</v>
      </c>
      <c r="E77">
        <v>1984</v>
      </c>
      <c r="F77" s="6">
        <v>1.0005231684021501</v>
      </c>
      <c r="G77" s="6" t="s">
        <v>202</v>
      </c>
      <c r="H77">
        <f>IF(Table15[[#This Row],[Lifetime Option]]="fixed",Table15[[#This Row],[End of life (fixed)]]-Table15[[#This Row],[Start year]],Table26[Generic  Lifetime])</f>
        <v>50</v>
      </c>
      <c r="J77">
        <f>IF(Table15[[#This Row],[Lifetime Option]]="fixed",Table15[[#This Row],[End of life (fixed)]],Table15[[#This Row],[Start year]]+Table26[Generic  Lifetime])</f>
        <v>2034</v>
      </c>
      <c r="K77">
        <v>0.91500000000000004</v>
      </c>
      <c r="M77" s="8"/>
    </row>
    <row r="78" spans="3:13">
      <c r="C78" t="s">
        <v>3</v>
      </c>
      <c r="D78" t="s">
        <v>86</v>
      </c>
      <c r="E78">
        <v>1984</v>
      </c>
      <c r="F78" s="6">
        <v>1.0005231684021501</v>
      </c>
      <c r="G78" s="6" t="s">
        <v>202</v>
      </c>
      <c r="H78">
        <f>IF(Table15[[#This Row],[Lifetime Option]]="fixed",Table15[[#This Row],[End of life (fixed)]]-Table15[[#This Row],[Start year]],Table26[Generic  Lifetime])</f>
        <v>50</v>
      </c>
      <c r="J78">
        <f>IF(Table15[[#This Row],[Lifetime Option]]="fixed",Table15[[#This Row],[End of life (fixed)]],Table15[[#This Row],[Start year]]+Table26[Generic  Lifetime])</f>
        <v>2034</v>
      </c>
      <c r="K78">
        <v>0.91500000000000004</v>
      </c>
      <c r="M78" s="8"/>
    </row>
    <row r="79" spans="3:13">
      <c r="C79" t="s">
        <v>3</v>
      </c>
      <c r="D79" t="s">
        <v>87</v>
      </c>
      <c r="E79">
        <v>1980</v>
      </c>
      <c r="F79" s="6">
        <v>0.98063829371633704</v>
      </c>
      <c r="G79" s="6" t="s">
        <v>202</v>
      </c>
      <c r="H79">
        <f>IF(Table15[[#This Row],[Lifetime Option]]="fixed",Table15[[#This Row],[End of life (fixed)]]-Table15[[#This Row],[Start year]],Table26[Generic  Lifetime])</f>
        <v>50</v>
      </c>
      <c r="J79">
        <f>IF(Table15[[#This Row],[Lifetime Option]]="fixed",Table15[[#This Row],[End of life (fixed)]],Table15[[#This Row],[Start year]]+Table26[Generic  Lifetime])</f>
        <v>2030</v>
      </c>
      <c r="K79">
        <v>0.89</v>
      </c>
      <c r="M79" s="8"/>
    </row>
    <row r="80" spans="3:13">
      <c r="C80" t="s">
        <v>3</v>
      </c>
      <c r="D80" t="s">
        <v>88</v>
      </c>
      <c r="E80">
        <v>1980</v>
      </c>
      <c r="F80" s="6">
        <v>0.98063829371633704</v>
      </c>
      <c r="G80" s="6" t="s">
        <v>202</v>
      </c>
      <c r="H80">
        <f>IF(Table15[[#This Row],[Lifetime Option]]="fixed",Table15[[#This Row],[End of life (fixed)]]-Table15[[#This Row],[Start year]],Table26[Generic  Lifetime])</f>
        <v>50</v>
      </c>
      <c r="J80">
        <f>IF(Table15[[#This Row],[Lifetime Option]]="fixed",Table15[[#This Row],[End of life (fixed)]],Table15[[#This Row],[Start year]]+Table26[Generic  Lifetime])</f>
        <v>2030</v>
      </c>
      <c r="K80">
        <v>0.89</v>
      </c>
      <c r="M80" s="8"/>
    </row>
    <row r="81" spans="3:13">
      <c r="C81" t="s">
        <v>3</v>
      </c>
      <c r="D81" t="s">
        <v>89</v>
      </c>
      <c r="E81">
        <v>1981</v>
      </c>
      <c r="F81" s="6">
        <v>0.98063829371633704</v>
      </c>
      <c r="G81" s="6" t="s">
        <v>202</v>
      </c>
      <c r="H81">
        <f>IF(Table15[[#This Row],[Lifetime Option]]="fixed",Table15[[#This Row],[End of life (fixed)]]-Table15[[#This Row],[Start year]],Table26[Generic  Lifetime])</f>
        <v>50</v>
      </c>
      <c r="J81">
        <f>IF(Table15[[#This Row],[Lifetime Option]]="fixed",Table15[[#This Row],[End of life (fixed)]],Table15[[#This Row],[Start year]]+Table26[Generic  Lifetime])</f>
        <v>2031</v>
      </c>
      <c r="K81">
        <v>0.89</v>
      </c>
      <c r="M81" s="8"/>
    </row>
    <row r="82" spans="3:13">
      <c r="C82" t="s">
        <v>3</v>
      </c>
      <c r="D82" t="s">
        <v>90</v>
      </c>
      <c r="E82">
        <v>1981</v>
      </c>
      <c r="F82" s="6">
        <v>0.98063829371633704</v>
      </c>
      <c r="G82" s="6" t="s">
        <v>202</v>
      </c>
      <c r="H82">
        <f>IF(Table15[[#This Row],[Lifetime Option]]="fixed",Table15[[#This Row],[End of life (fixed)]]-Table15[[#This Row],[Start year]],Table26[Generic  Lifetime])</f>
        <v>50</v>
      </c>
      <c r="J82">
        <f>IF(Table15[[#This Row],[Lifetime Option]]="fixed",Table15[[#This Row],[End of life (fixed)]],Table15[[#This Row],[Start year]]+Table26[Generic  Lifetime])</f>
        <v>2031</v>
      </c>
      <c r="K82">
        <v>0.89</v>
      </c>
      <c r="M82" s="8"/>
    </row>
    <row r="83" spans="3:13">
      <c r="C83" t="s">
        <v>3</v>
      </c>
      <c r="D83" t="s">
        <v>91</v>
      </c>
      <c r="E83">
        <v>1977</v>
      </c>
      <c r="F83" s="6">
        <v>1.31483909774436</v>
      </c>
      <c r="G83" s="6" t="s">
        <v>201</v>
      </c>
      <c r="H83">
        <f>IF(Table15[[#This Row],[Lifetime Option]]="fixed",Table15[[#This Row],[End of life (fixed)]]-Table15[[#This Row],[Start year]],Table26[Generic  Lifetime])</f>
        <v>40</v>
      </c>
      <c r="I83">
        <v>2017</v>
      </c>
      <c r="J83">
        <f>IF(Table15[[#This Row],[Lifetime Option]]="fixed",Table15[[#This Row],[End of life (fixed)]],Table15[[#This Row],[Start year]]+Table26[Generic  Lifetime])</f>
        <v>2017</v>
      </c>
      <c r="K83">
        <v>0.88</v>
      </c>
      <c r="L83" t="s">
        <v>187</v>
      </c>
      <c r="M83" s="8"/>
    </row>
    <row r="84" spans="3:13">
      <c r="C84" t="s">
        <v>3</v>
      </c>
      <c r="D84" t="s">
        <v>92</v>
      </c>
      <c r="E84">
        <v>1977</v>
      </c>
      <c r="F84" s="6">
        <v>1.31483909774436</v>
      </c>
      <c r="G84" s="6" t="s">
        <v>201</v>
      </c>
      <c r="H84">
        <f>IF(Table15[[#This Row],[Lifetime Option]]="fixed",Table15[[#This Row],[End of life (fixed)]]-Table15[[#This Row],[Start year]],Table26[Generic  Lifetime])</f>
        <v>40</v>
      </c>
      <c r="I84">
        <v>2017</v>
      </c>
      <c r="J84">
        <f>IF(Table15[[#This Row],[Lifetime Option]]="fixed",Table15[[#This Row],[End of life (fixed)]],Table15[[#This Row],[Start year]]+Table26[Generic  Lifetime])</f>
        <v>2017</v>
      </c>
      <c r="K84">
        <v>0.88</v>
      </c>
      <c r="L84" t="s">
        <v>187</v>
      </c>
      <c r="M84" s="8"/>
    </row>
    <row r="85" spans="3:13">
      <c r="C85" t="s">
        <v>3</v>
      </c>
      <c r="D85" t="s">
        <v>93</v>
      </c>
      <c r="E85">
        <v>1985</v>
      </c>
      <c r="F85" s="6">
        <v>1.0323181556195999</v>
      </c>
      <c r="G85" s="6" t="s">
        <v>202</v>
      </c>
      <c r="H85">
        <f>IF(Table15[[#This Row],[Lifetime Option]]="fixed",Table15[[#This Row],[End of life (fixed)]]-Table15[[#This Row],[Start year]],Table26[Generic  Lifetime])</f>
        <v>50</v>
      </c>
      <c r="J85">
        <f>IF(Table15[[#This Row],[Lifetime Option]]="fixed",Table15[[#This Row],[End of life (fixed)]],Table15[[#This Row],[Start year]]+Table26[Generic  Lifetime])</f>
        <v>2035</v>
      </c>
      <c r="K85">
        <v>1.33</v>
      </c>
      <c r="M85" s="8"/>
    </row>
    <row r="86" spans="3:13">
      <c r="C86" t="s">
        <v>3</v>
      </c>
      <c r="D86" t="s">
        <v>94</v>
      </c>
      <c r="E86">
        <v>1986</v>
      </c>
      <c r="F86" s="6">
        <v>1.0323181556195999</v>
      </c>
      <c r="G86" s="6" t="s">
        <v>202</v>
      </c>
      <c r="H86">
        <f>IF(Table15[[#This Row],[Lifetime Option]]="fixed",Table15[[#This Row],[End of life (fixed)]]-Table15[[#This Row],[Start year]],Table26[Generic  Lifetime])</f>
        <v>50</v>
      </c>
      <c r="J86">
        <f>IF(Table15[[#This Row],[Lifetime Option]]="fixed",Table15[[#This Row],[End of life (fixed)]],Table15[[#This Row],[Start year]]+Table26[Generic  Lifetime])</f>
        <v>2036</v>
      </c>
      <c r="K86">
        <v>1.33</v>
      </c>
      <c r="M86" s="8"/>
    </row>
    <row r="87" spans="3:13">
      <c r="C87" t="s">
        <v>3</v>
      </c>
      <c r="D87" t="s">
        <v>95</v>
      </c>
      <c r="E87">
        <v>1990</v>
      </c>
      <c r="F87" s="6">
        <v>1.0181256484149901</v>
      </c>
      <c r="G87" s="6" t="s">
        <v>202</v>
      </c>
      <c r="H87">
        <f>IF(Table15[[#This Row],[Lifetime Option]]="fixed",Table15[[#This Row],[End of life (fixed)]]-Table15[[#This Row],[Start year]],Table26[Generic  Lifetime])</f>
        <v>50</v>
      </c>
      <c r="J87">
        <f>IF(Table15[[#This Row],[Lifetime Option]]="fixed",Table15[[#This Row],[End of life (fixed)]],Table15[[#This Row],[Start year]]+Table26[Generic  Lifetime])</f>
        <v>2040</v>
      </c>
      <c r="K87">
        <v>1.31</v>
      </c>
      <c r="M87" s="8"/>
    </row>
    <row r="88" spans="3:13">
      <c r="C88" t="s">
        <v>3</v>
      </c>
      <c r="D88" t="s">
        <v>96</v>
      </c>
      <c r="E88">
        <v>1993</v>
      </c>
      <c r="F88" s="6">
        <v>1.0181256484149901</v>
      </c>
      <c r="G88" s="6" t="s">
        <v>202</v>
      </c>
      <c r="H88">
        <f>IF(Table15[[#This Row],[Lifetime Option]]="fixed",Table15[[#This Row],[End of life (fixed)]]-Table15[[#This Row],[Start year]],Table26[Generic  Lifetime])</f>
        <v>50</v>
      </c>
      <c r="J88">
        <f>IF(Table15[[#This Row],[Lifetime Option]]="fixed",Table15[[#This Row],[End of life (fixed)]],Table15[[#This Row],[Start year]]+Table26[Generic  Lifetime])</f>
        <v>2043</v>
      </c>
      <c r="K88">
        <v>1.31</v>
      </c>
      <c r="M88" s="8"/>
    </row>
    <row r="89" spans="3:13">
      <c r="C89" t="s">
        <v>3</v>
      </c>
      <c r="D89" t="s">
        <v>97</v>
      </c>
      <c r="E89">
        <v>1980</v>
      </c>
      <c r="F89" s="6">
        <v>0.99529030664272899</v>
      </c>
      <c r="G89" s="6" t="s">
        <v>202</v>
      </c>
      <c r="H89">
        <f>IF(Table15[[#This Row],[Lifetime Option]]="fixed",Table15[[#This Row],[End of life (fixed)]]-Table15[[#This Row],[Start year]],Table26[Generic  Lifetime])</f>
        <v>50</v>
      </c>
      <c r="J89">
        <f>IF(Table15[[#This Row],[Lifetime Option]]="fixed",Table15[[#This Row],[End of life (fixed)]],Table15[[#This Row],[Start year]]+Table26[Generic  Lifetime])</f>
        <v>2030</v>
      </c>
      <c r="K89">
        <v>0.91</v>
      </c>
      <c r="M89" s="8"/>
    </row>
    <row r="90" spans="3:13">
      <c r="C90" t="s">
        <v>3</v>
      </c>
      <c r="D90" t="s">
        <v>98</v>
      </c>
      <c r="E90">
        <v>1980</v>
      </c>
      <c r="F90" s="6">
        <v>0.99529030664272899</v>
      </c>
      <c r="G90" s="6" t="s">
        <v>202</v>
      </c>
      <c r="H90">
        <f>IF(Table15[[#This Row],[Lifetime Option]]="fixed",Table15[[#This Row],[End of life (fixed)]]-Table15[[#This Row],[Start year]],Table26[Generic  Lifetime])</f>
        <v>50</v>
      </c>
      <c r="J90">
        <f>IF(Table15[[#This Row],[Lifetime Option]]="fixed",Table15[[#This Row],[End of life (fixed)]],Table15[[#This Row],[Start year]]+Table26[Generic  Lifetime])</f>
        <v>2030</v>
      </c>
      <c r="K90">
        <v>0.91</v>
      </c>
      <c r="M90" s="8"/>
    </row>
    <row r="91" spans="3:13">
      <c r="C91" t="s">
        <v>3</v>
      </c>
      <c r="D91" t="s">
        <v>99</v>
      </c>
      <c r="E91">
        <v>1980</v>
      </c>
      <c r="F91" s="6">
        <v>0.99529030664272899</v>
      </c>
      <c r="G91" s="6" t="s">
        <v>202</v>
      </c>
      <c r="H91">
        <f>IF(Table15[[#This Row],[Lifetime Option]]="fixed",Table15[[#This Row],[End of life (fixed)]]-Table15[[#This Row],[Start year]],Table26[Generic  Lifetime])</f>
        <v>50</v>
      </c>
      <c r="J91">
        <f>IF(Table15[[#This Row],[Lifetime Option]]="fixed",Table15[[#This Row],[End of life (fixed)]],Table15[[#This Row],[Start year]]+Table26[Generic  Lifetime])</f>
        <v>2030</v>
      </c>
      <c r="K91">
        <v>0.91</v>
      </c>
      <c r="M91" s="8"/>
    </row>
    <row r="92" spans="3:13">
      <c r="C92" t="s">
        <v>3</v>
      </c>
      <c r="D92" t="s">
        <v>100</v>
      </c>
      <c r="E92">
        <v>1981</v>
      </c>
      <c r="F92" s="6">
        <v>0.99529030664272899</v>
      </c>
      <c r="G92" s="6" t="s">
        <v>202</v>
      </c>
      <c r="H92">
        <f>IF(Table15[[#This Row],[Lifetime Option]]="fixed",Table15[[#This Row],[End of life (fixed)]]-Table15[[#This Row],[Start year]],Table26[Generic  Lifetime])</f>
        <v>50</v>
      </c>
      <c r="J92">
        <f>IF(Table15[[#This Row],[Lifetime Option]]="fixed",Table15[[#This Row],[End of life (fixed)]],Table15[[#This Row],[Start year]]+Table26[Generic  Lifetime])</f>
        <v>2031</v>
      </c>
      <c r="K92">
        <v>0.91</v>
      </c>
      <c r="M92" s="8"/>
    </row>
    <row r="93" spans="3:13">
      <c r="C93" t="s">
        <v>3</v>
      </c>
      <c r="D93" t="s">
        <v>101</v>
      </c>
      <c r="E93">
        <v>1984</v>
      </c>
      <c r="F93" s="6">
        <v>1.3866501974865399</v>
      </c>
      <c r="G93" s="6" t="s">
        <v>202</v>
      </c>
      <c r="H93">
        <f>IF(Table15[[#This Row],[Lifetime Option]]="fixed",Table15[[#This Row],[End of life (fixed)]]-Table15[[#This Row],[Start year]],Table26[Generic  Lifetime])</f>
        <v>50</v>
      </c>
      <c r="J93">
        <f>IF(Table15[[#This Row],[Lifetime Option]]="fixed",Table15[[#This Row],[End of life (fixed)]],Table15[[#This Row],[Start year]]+Table26[Generic  Lifetime])</f>
        <v>2034</v>
      </c>
      <c r="K93">
        <v>0.91</v>
      </c>
      <c r="M93" s="8"/>
    </row>
    <row r="94" spans="3:13">
      <c r="C94" t="s">
        <v>3</v>
      </c>
      <c r="D94" t="s">
        <v>102</v>
      </c>
      <c r="E94">
        <v>1985</v>
      </c>
      <c r="F94" s="6">
        <v>1.38665019748653</v>
      </c>
      <c r="G94" s="6" t="s">
        <v>202</v>
      </c>
      <c r="H94">
        <f>IF(Table15[[#This Row],[Lifetime Option]]="fixed",Table15[[#This Row],[End of life (fixed)]]-Table15[[#This Row],[Start year]],Table26[Generic  Lifetime])</f>
        <v>50</v>
      </c>
      <c r="J94">
        <f>IF(Table15[[#This Row],[Lifetime Option]]="fixed",Table15[[#This Row],[End of life (fixed)]],Table15[[#This Row],[Start year]]+Table26[Generic  Lifetime])</f>
        <v>2035</v>
      </c>
      <c r="K94">
        <v>0.91</v>
      </c>
      <c r="M94" s="8"/>
    </row>
    <row r="95" spans="3:13">
      <c r="C95" t="s">
        <v>3</v>
      </c>
      <c r="D95" t="s">
        <v>103</v>
      </c>
      <c r="E95">
        <v>1987</v>
      </c>
      <c r="F95" s="6">
        <v>1.0181256484149901</v>
      </c>
      <c r="G95" s="6" t="s">
        <v>202</v>
      </c>
      <c r="H95">
        <f>IF(Table15[[#This Row],[Lifetime Option]]="fixed",Table15[[#This Row],[End of life (fixed)]]-Table15[[#This Row],[Start year]],Table26[Generic  Lifetime])</f>
        <v>50</v>
      </c>
      <c r="J95">
        <f>IF(Table15[[#This Row],[Lifetime Option]]="fixed",Table15[[#This Row],[End of life (fixed)]],Table15[[#This Row],[Start year]]+Table26[Generic  Lifetime])</f>
        <v>2037</v>
      </c>
      <c r="K95">
        <v>1.31</v>
      </c>
      <c r="M95" s="8"/>
    </row>
    <row r="96" spans="3:13">
      <c r="C96" t="s">
        <v>3</v>
      </c>
      <c r="D96" t="s">
        <v>104</v>
      </c>
      <c r="E96">
        <v>1988</v>
      </c>
      <c r="F96" s="6">
        <v>1.0181256484149901</v>
      </c>
      <c r="G96" s="6" t="s">
        <v>202</v>
      </c>
      <c r="H96">
        <f>IF(Table15[[#This Row],[Lifetime Option]]="fixed",Table15[[#This Row],[End of life (fixed)]]-Table15[[#This Row],[Start year]],Table26[Generic  Lifetime])</f>
        <v>50</v>
      </c>
      <c r="J96">
        <f>IF(Table15[[#This Row],[Lifetime Option]]="fixed",Table15[[#This Row],[End of life (fixed)]],Table15[[#This Row],[Start year]]+Table26[Generic  Lifetime])</f>
        <v>2038</v>
      </c>
      <c r="K96">
        <v>1.31</v>
      </c>
      <c r="M96" s="8"/>
    </row>
    <row r="97" spans="3:13">
      <c r="C97" t="s">
        <v>3</v>
      </c>
      <c r="D97" t="s">
        <v>105</v>
      </c>
      <c r="E97">
        <v>1984</v>
      </c>
      <c r="F97" s="6">
        <v>1.0323181556195999</v>
      </c>
      <c r="G97" s="6" t="s">
        <v>202</v>
      </c>
      <c r="H97">
        <f>IF(Table15[[#This Row],[Lifetime Option]]="fixed",Table15[[#This Row],[End of life (fixed)]]-Table15[[#This Row],[Start year]],Table26[Generic  Lifetime])</f>
        <v>50</v>
      </c>
      <c r="J97">
        <f>IF(Table15[[#This Row],[Lifetime Option]]="fixed",Table15[[#This Row],[End of life (fixed)]],Table15[[#This Row],[Start year]]+Table26[Generic  Lifetime])</f>
        <v>2034</v>
      </c>
      <c r="K97">
        <v>1.33</v>
      </c>
      <c r="M97" s="8"/>
    </row>
    <row r="98" spans="3:13">
      <c r="C98" t="s">
        <v>3</v>
      </c>
      <c r="D98" t="s">
        <v>106</v>
      </c>
      <c r="E98">
        <v>1984</v>
      </c>
      <c r="F98" s="6">
        <v>1.0323181556195999</v>
      </c>
      <c r="G98" s="6" t="s">
        <v>202</v>
      </c>
      <c r="H98">
        <f>IF(Table15[[#This Row],[Lifetime Option]]="fixed",Table15[[#This Row],[End of life (fixed)]]-Table15[[#This Row],[Start year]],Table26[Generic  Lifetime])</f>
        <v>50</v>
      </c>
      <c r="J98">
        <f>IF(Table15[[#This Row],[Lifetime Option]]="fixed",Table15[[#This Row],[End of life (fixed)]],Table15[[#This Row],[Start year]]+Table26[Generic  Lifetime])</f>
        <v>2034</v>
      </c>
      <c r="K98">
        <v>1.33</v>
      </c>
      <c r="M98" s="8"/>
    </row>
    <row r="99" spans="3:13">
      <c r="C99" t="s">
        <v>3</v>
      </c>
      <c r="D99" t="s">
        <v>107</v>
      </c>
      <c r="E99">
        <v>1985</v>
      </c>
      <c r="F99" s="6">
        <v>1.0323181556195999</v>
      </c>
      <c r="G99" s="6" t="s">
        <v>202</v>
      </c>
      <c r="H99">
        <f>IF(Table15[[#This Row],[Lifetime Option]]="fixed",Table15[[#This Row],[End of life (fixed)]]-Table15[[#This Row],[Start year]],Table26[Generic  Lifetime])</f>
        <v>50</v>
      </c>
      <c r="J99">
        <f>IF(Table15[[#This Row],[Lifetime Option]]="fixed",Table15[[#This Row],[End of life (fixed)]],Table15[[#This Row],[Start year]]+Table26[Generic  Lifetime])</f>
        <v>2035</v>
      </c>
      <c r="K99">
        <v>1.33</v>
      </c>
      <c r="M99" s="8"/>
    </row>
    <row r="100" spans="3:13">
      <c r="C100" t="s">
        <v>3</v>
      </c>
      <c r="D100" t="s">
        <v>108</v>
      </c>
      <c r="E100">
        <v>1986</v>
      </c>
      <c r="F100" s="6">
        <v>1.0323181556195999</v>
      </c>
      <c r="G100" s="6" t="s">
        <v>202</v>
      </c>
      <c r="H100">
        <f>IF(Table15[[#This Row],[Lifetime Option]]="fixed",Table15[[#This Row],[End of life (fixed)]]-Table15[[#This Row],[Start year]],Table26[Generic  Lifetime])</f>
        <v>50</v>
      </c>
      <c r="J100">
        <f>IF(Table15[[#This Row],[Lifetime Option]]="fixed",Table15[[#This Row],[End of life (fixed)]],Table15[[#This Row],[Start year]]+Table26[Generic  Lifetime])</f>
        <v>2036</v>
      </c>
      <c r="K100">
        <v>1.33</v>
      </c>
      <c r="M100" s="8"/>
    </row>
    <row r="101" spans="3:13">
      <c r="C101" t="s">
        <v>3</v>
      </c>
      <c r="D101" t="s">
        <v>109</v>
      </c>
      <c r="E101">
        <v>1990</v>
      </c>
      <c r="F101" s="6">
        <v>1.0323181556195999</v>
      </c>
      <c r="G101" s="6" t="s">
        <v>202</v>
      </c>
      <c r="H101">
        <f>IF(Table15[[#This Row],[Lifetime Option]]="fixed",Table15[[#This Row],[End of life (fixed)]]-Table15[[#This Row],[Start year]],Table26[Generic  Lifetime])</f>
        <v>50</v>
      </c>
      <c r="J101">
        <f>IF(Table15[[#This Row],[Lifetime Option]]="fixed",Table15[[#This Row],[End of life (fixed)]],Table15[[#This Row],[Start year]]+Table26[Generic  Lifetime])</f>
        <v>2040</v>
      </c>
      <c r="K101">
        <v>1.33</v>
      </c>
      <c r="M101" s="8"/>
    </row>
    <row r="102" spans="3:13">
      <c r="C102" t="s">
        <v>3</v>
      </c>
      <c r="D102" t="s">
        <v>110</v>
      </c>
      <c r="E102">
        <v>1992</v>
      </c>
      <c r="F102" s="6">
        <v>1.0323181556195999</v>
      </c>
      <c r="G102" s="6" t="s">
        <v>202</v>
      </c>
      <c r="H102">
        <f>IF(Table15[[#This Row],[Lifetime Option]]="fixed",Table15[[#This Row],[End of life (fixed)]]-Table15[[#This Row],[Start year]],Table26[Generic  Lifetime])</f>
        <v>50</v>
      </c>
      <c r="J102">
        <f>IF(Table15[[#This Row],[Lifetime Option]]="fixed",Table15[[#This Row],[End of life (fixed)]],Table15[[#This Row],[Start year]]+Table26[Generic  Lifetime])</f>
        <v>2042</v>
      </c>
      <c r="K102">
        <v>1.33</v>
      </c>
      <c r="M102" s="8"/>
    </row>
    <row r="103" spans="3:13">
      <c r="C103" t="s">
        <v>3</v>
      </c>
      <c r="D103" t="s">
        <v>111</v>
      </c>
      <c r="E103">
        <v>1973</v>
      </c>
      <c r="F103" s="6">
        <v>2.85</v>
      </c>
      <c r="G103" s="6" t="s">
        <v>202</v>
      </c>
      <c r="H103">
        <f>IF(Table15[[#This Row],[Lifetime Option]]="fixed",Table15[[#This Row],[End of life (fixed)]]-Table15[[#This Row],[Start year]],Table26[Generic  Lifetime])</f>
        <v>50</v>
      </c>
      <c r="J103">
        <f>IF(Table15[[#This Row],[Lifetime Option]]="fixed",Table15[[#This Row],[End of life (fixed)]],Table15[[#This Row],[Start year]]+Table26[Generic  Lifetime])</f>
        <v>2023</v>
      </c>
      <c r="K103">
        <v>0.13</v>
      </c>
      <c r="M103" s="8"/>
    </row>
    <row r="104" spans="3:13">
      <c r="C104" t="s">
        <v>3</v>
      </c>
      <c r="D104" t="s">
        <v>112</v>
      </c>
      <c r="E104">
        <v>1985</v>
      </c>
      <c r="F104" s="6">
        <v>1.0315711815562001</v>
      </c>
      <c r="G104" s="6" t="s">
        <v>202</v>
      </c>
      <c r="H104">
        <f>IF(Table15[[#This Row],[Lifetime Option]]="fixed",Table15[[#This Row],[End of life (fixed)]]-Table15[[#This Row],[Start year]],Table26[Generic  Lifetime])</f>
        <v>50</v>
      </c>
      <c r="J104">
        <f>IF(Table15[[#This Row],[Lifetime Option]]="fixed",Table15[[#This Row],[End of life (fixed)]],Table15[[#This Row],[Start year]]+Table26[Generic  Lifetime])</f>
        <v>2035</v>
      </c>
      <c r="K104">
        <v>1.335</v>
      </c>
      <c r="M104" s="8"/>
    </row>
    <row r="105" spans="3:13">
      <c r="C105" t="s">
        <v>3</v>
      </c>
      <c r="D105" t="s">
        <v>113</v>
      </c>
      <c r="E105">
        <v>1986</v>
      </c>
      <c r="F105" s="6">
        <v>1.0315711815562001</v>
      </c>
      <c r="G105" s="6" t="s">
        <v>202</v>
      </c>
      <c r="H105">
        <f>IF(Table15[[#This Row],[Lifetime Option]]="fixed",Table15[[#This Row],[End of life (fixed)]]-Table15[[#This Row],[Start year]],Table26[Generic  Lifetime])</f>
        <v>50</v>
      </c>
      <c r="J105">
        <f>IF(Table15[[#This Row],[Lifetime Option]]="fixed",Table15[[#This Row],[End of life (fixed)]],Table15[[#This Row],[Start year]]+Table26[Generic  Lifetime])</f>
        <v>2036</v>
      </c>
      <c r="K105">
        <v>1.335</v>
      </c>
      <c r="M105" s="8"/>
    </row>
    <row r="106" spans="3:13">
      <c r="C106" t="s">
        <v>3</v>
      </c>
      <c r="D106" t="s">
        <v>114</v>
      </c>
      <c r="E106">
        <v>1981</v>
      </c>
      <c r="F106" s="6">
        <v>1.0005231684021501</v>
      </c>
      <c r="G106" s="6" t="s">
        <v>202</v>
      </c>
      <c r="H106">
        <f>IF(Table15[[#This Row],[Lifetime Option]]="fixed",Table15[[#This Row],[End of life (fixed)]]-Table15[[#This Row],[Start year]],Table26[Generic  Lifetime])</f>
        <v>50</v>
      </c>
      <c r="J106">
        <f>IF(Table15[[#This Row],[Lifetime Option]]="fixed",Table15[[#This Row],[End of life (fixed)]],Table15[[#This Row],[Start year]]+Table26[Generic  Lifetime])</f>
        <v>2031</v>
      </c>
      <c r="K106">
        <v>0.91500000000000004</v>
      </c>
      <c r="M106" s="8"/>
    </row>
    <row r="107" spans="3:13">
      <c r="C107" t="s">
        <v>3</v>
      </c>
      <c r="D107" t="s">
        <v>115</v>
      </c>
      <c r="E107">
        <v>1981</v>
      </c>
      <c r="F107" s="6">
        <v>1.0005231684021501</v>
      </c>
      <c r="G107" s="6" t="s">
        <v>202</v>
      </c>
      <c r="H107">
        <f>IF(Table15[[#This Row],[Lifetime Option]]="fixed",Table15[[#This Row],[End of life (fixed)]]-Table15[[#This Row],[Start year]],Table26[Generic  Lifetime])</f>
        <v>50</v>
      </c>
      <c r="J107">
        <f>IF(Table15[[#This Row],[Lifetime Option]]="fixed",Table15[[#This Row],[End of life (fixed)]],Table15[[#This Row],[Start year]]+Table26[Generic  Lifetime])</f>
        <v>2031</v>
      </c>
      <c r="K107">
        <v>0.91500000000000004</v>
      </c>
      <c r="M107" s="8"/>
    </row>
    <row r="108" spans="3:13">
      <c r="C108" t="s">
        <v>3</v>
      </c>
      <c r="D108" t="s">
        <v>116</v>
      </c>
      <c r="E108">
        <v>1980</v>
      </c>
      <c r="F108" s="6">
        <v>1.2443461400359099</v>
      </c>
      <c r="G108" s="6" t="s">
        <v>202</v>
      </c>
      <c r="H108">
        <f>IF(Table15[[#This Row],[Lifetime Option]]="fixed",Table15[[#This Row],[End of life (fixed)]]-Table15[[#This Row],[Start year]],Table26[Generic  Lifetime])</f>
        <v>50</v>
      </c>
      <c r="J108">
        <f>IF(Table15[[#This Row],[Lifetime Option]]="fixed",Table15[[#This Row],[End of life (fixed)]],Table15[[#This Row],[Start year]]+Table26[Generic  Lifetime])</f>
        <v>2030</v>
      </c>
      <c r="K108">
        <v>0.91500000000000004</v>
      </c>
      <c r="M108" s="8"/>
    </row>
    <row r="109" spans="3:13">
      <c r="C109" t="s">
        <v>3</v>
      </c>
      <c r="D109" t="s">
        <v>117</v>
      </c>
      <c r="E109">
        <v>1980</v>
      </c>
      <c r="F109" s="6">
        <v>0.99947659605026895</v>
      </c>
      <c r="G109" s="6" t="s">
        <v>202</v>
      </c>
      <c r="H109">
        <f>IF(Table15[[#This Row],[Lifetime Option]]="fixed",Table15[[#This Row],[End of life (fixed)]]-Table15[[#This Row],[Start year]],Table26[Generic  Lifetime])</f>
        <v>50</v>
      </c>
      <c r="J109">
        <f>IF(Table15[[#This Row],[Lifetime Option]]="fixed",Table15[[#This Row],[End of life (fixed)]],Table15[[#This Row],[Start year]]+Table26[Generic  Lifetime])</f>
        <v>2030</v>
      </c>
      <c r="K109">
        <v>0.91500000000000004</v>
      </c>
      <c r="M109" s="8"/>
    </row>
    <row r="110" spans="3:13">
      <c r="C110" t="s">
        <v>3</v>
      </c>
      <c r="D110" t="s">
        <v>118</v>
      </c>
      <c r="E110">
        <v>1981</v>
      </c>
      <c r="F110" s="6">
        <v>0.99947659605026895</v>
      </c>
      <c r="G110" s="6" t="s">
        <v>202</v>
      </c>
      <c r="H110">
        <f>IF(Table15[[#This Row],[Lifetime Option]]="fixed",Table15[[#This Row],[End of life (fixed)]]-Table15[[#This Row],[Start year]],Table26[Generic  Lifetime])</f>
        <v>50</v>
      </c>
      <c r="J110">
        <f>IF(Table15[[#This Row],[Lifetime Option]]="fixed",Table15[[#This Row],[End of life (fixed)]],Table15[[#This Row],[Start year]]+Table26[Generic  Lifetime])</f>
        <v>2031</v>
      </c>
      <c r="K110">
        <v>0.91500000000000004</v>
      </c>
      <c r="M110" s="8"/>
    </row>
    <row r="111" spans="3:13">
      <c r="C111" t="s">
        <v>3</v>
      </c>
      <c r="D111" t="s">
        <v>119</v>
      </c>
      <c r="E111">
        <v>1981</v>
      </c>
      <c r="F111" s="6">
        <v>0.99947659605026895</v>
      </c>
      <c r="G111" s="6" t="s">
        <v>202</v>
      </c>
      <c r="H111">
        <f>IF(Table15[[#This Row],[Lifetime Option]]="fixed",Table15[[#This Row],[End of life (fixed)]]-Table15[[#This Row],[Start year]],Table26[Generic  Lifetime])</f>
        <v>50</v>
      </c>
      <c r="J111">
        <f>IF(Table15[[#This Row],[Lifetime Option]]="fixed",Table15[[#This Row],[End of life (fixed)]],Table15[[#This Row],[Start year]]+Table26[Generic  Lifetime])</f>
        <v>2031</v>
      </c>
      <c r="K111">
        <v>0.91500000000000004</v>
      </c>
      <c r="M111" s="8"/>
    </row>
    <row r="112" spans="3:13">
      <c r="C112" t="s">
        <v>120</v>
      </c>
      <c r="D112" t="s">
        <v>121</v>
      </c>
      <c r="E112">
        <v>1982</v>
      </c>
      <c r="F112" s="6">
        <v>1.07636363636364</v>
      </c>
      <c r="G112" s="6" t="s">
        <v>202</v>
      </c>
      <c r="H112">
        <f>IF(Table15[[#This Row],[Lifetime Option]]="fixed",Table15[[#This Row],[End of life (fixed)]]-Table15[[#This Row],[Start year]],Table26[Generic  Lifetime])</f>
        <v>50</v>
      </c>
      <c r="J112">
        <f>IF(Table15[[#This Row],[Lifetime Option]]="fixed",Table15[[#This Row],[End of life (fixed)]],Table15[[#This Row],[Start year]]+Table26[Generic  Lifetime])</f>
        <v>2032</v>
      </c>
      <c r="K112">
        <v>0.47</v>
      </c>
      <c r="M112" s="8"/>
    </row>
    <row r="113" spans="3:13">
      <c r="C113" t="s">
        <v>120</v>
      </c>
      <c r="D113" t="s">
        <v>122</v>
      </c>
      <c r="E113">
        <v>1984</v>
      </c>
      <c r="F113" s="6">
        <v>1.07636363636364</v>
      </c>
      <c r="G113" s="6" t="s">
        <v>202</v>
      </c>
      <c r="H113">
        <f>IF(Table15[[#This Row],[Lifetime Option]]="fixed",Table15[[#This Row],[End of life (fixed)]]-Table15[[#This Row],[Start year]],Table26[Generic  Lifetime])</f>
        <v>50</v>
      </c>
      <c r="J113">
        <f>IF(Table15[[#This Row],[Lifetime Option]]="fixed",Table15[[#This Row],[End of life (fixed)]],Table15[[#This Row],[Start year]]+Table26[Generic  Lifetime])</f>
        <v>2034</v>
      </c>
      <c r="K113">
        <v>0.47299999999999998</v>
      </c>
      <c r="M113" s="8"/>
    </row>
    <row r="114" spans="3:13">
      <c r="C114" t="s">
        <v>120</v>
      </c>
      <c r="D114" t="s">
        <v>123</v>
      </c>
      <c r="E114">
        <v>1986</v>
      </c>
      <c r="F114" s="6">
        <v>1.07636363636364</v>
      </c>
      <c r="G114" s="6" t="s">
        <v>202</v>
      </c>
      <c r="H114">
        <f>IF(Table15[[#This Row],[Lifetime Option]]="fixed",Table15[[#This Row],[End of life (fixed)]]-Table15[[#This Row],[Start year]],Table26[Generic  Lifetime])</f>
        <v>50</v>
      </c>
      <c r="J114">
        <f>IF(Table15[[#This Row],[Lifetime Option]]="fixed",Table15[[#This Row],[End of life (fixed)]],Table15[[#This Row],[Start year]]+Table26[Generic  Lifetime])</f>
        <v>2036</v>
      </c>
      <c r="K114">
        <v>0.47299999999999998</v>
      </c>
      <c r="M114" s="8"/>
    </row>
    <row r="115" spans="3:13">
      <c r="C115" t="s">
        <v>120</v>
      </c>
      <c r="D115" t="s">
        <v>124</v>
      </c>
      <c r="E115">
        <v>1987</v>
      </c>
      <c r="F115" s="6">
        <v>1.07636363636364</v>
      </c>
      <c r="G115" s="6" t="s">
        <v>202</v>
      </c>
      <c r="H115">
        <f>IF(Table15[[#This Row],[Lifetime Option]]="fixed",Table15[[#This Row],[End of life (fixed)]]-Table15[[#This Row],[Start year]],Table26[Generic  Lifetime])</f>
        <v>50</v>
      </c>
      <c r="J115">
        <f>IF(Table15[[#This Row],[Lifetime Option]]="fixed",Table15[[#This Row],[End of life (fixed)]],Table15[[#This Row],[Start year]]+Table26[Generic  Lifetime])</f>
        <v>2037</v>
      </c>
      <c r="K115">
        <v>0.47299999999999998</v>
      </c>
      <c r="M115" s="8"/>
    </row>
    <row r="116" spans="3:13">
      <c r="C116" t="s">
        <v>125</v>
      </c>
      <c r="D116" t="s">
        <v>126</v>
      </c>
      <c r="E116">
        <v>1983</v>
      </c>
      <c r="F116" s="6">
        <v>0.66</v>
      </c>
      <c r="G116" s="6" t="s">
        <v>201</v>
      </c>
      <c r="H116">
        <f>IF(Table15[[#This Row],[Lifetime Option]]="fixed",Table15[[#This Row],[End of life (fixed)]]-Table15[[#This Row],[Start year]],Table26[Generic  Lifetime])</f>
        <v>21</v>
      </c>
      <c r="I116">
        <v>2004</v>
      </c>
      <c r="J116">
        <f>IF(Table15[[#This Row],[Lifetime Option]]="fixed",Table15[[#This Row],[End of life (fixed)]],Table15[[#This Row],[Start year]]+Table26[Generic  Lifetime])</f>
        <v>2004</v>
      </c>
      <c r="K116">
        <v>1.1850000000000001</v>
      </c>
      <c r="L116" t="s">
        <v>186</v>
      </c>
      <c r="M116" s="8"/>
    </row>
    <row r="117" spans="3:13">
      <c r="C117" t="s">
        <v>125</v>
      </c>
      <c r="D117" t="s">
        <v>127</v>
      </c>
      <c r="E117">
        <v>1987</v>
      </c>
      <c r="F117" s="6">
        <v>0.66</v>
      </c>
      <c r="G117" s="6" t="s">
        <v>201</v>
      </c>
      <c r="H117">
        <f>IF(Table15[[#This Row],[Lifetime Option]]="fixed",Table15[[#This Row],[End of life (fixed)]]-Table15[[#This Row],[Start year]],Table26[Generic  Lifetime])</f>
        <v>22</v>
      </c>
      <c r="I117">
        <v>2009</v>
      </c>
      <c r="J117">
        <f>IF(Table15[[#This Row],[Lifetime Option]]="fixed",Table15[[#This Row],[End of life (fixed)]],Table15[[#This Row],[Start year]]+Table26[Generic  Lifetime])</f>
        <v>2009</v>
      </c>
      <c r="K117">
        <v>1.1850000000000001</v>
      </c>
      <c r="L117" t="s">
        <v>186</v>
      </c>
      <c r="M117" s="8"/>
    </row>
    <row r="118" spans="3:13">
      <c r="C118" t="s">
        <v>128</v>
      </c>
      <c r="D118" t="s">
        <v>129</v>
      </c>
      <c r="E118">
        <v>1973</v>
      </c>
      <c r="F118" s="6">
        <v>1.2703836017569501</v>
      </c>
      <c r="G118" s="6" t="s">
        <v>201</v>
      </c>
      <c r="H118">
        <f>IF(Table15[[#This Row],[Lifetime Option]]="fixed",Table15[[#This Row],[End of life (fixed)]]-Table15[[#This Row],[Start year]],Table26[Generic  Lifetime])</f>
        <v>61</v>
      </c>
      <c r="I118">
        <v>2034</v>
      </c>
      <c r="J118">
        <f>IF(Table15[[#This Row],[Lifetime Option]]="fixed",Table15[[#This Row],[End of life (fixed)]],Table15[[#This Row],[Start year]]+Table26[Generic  Lifetime])</f>
        <v>2034</v>
      </c>
      <c r="K118">
        <v>0.48199999999999998</v>
      </c>
      <c r="M118" s="8"/>
    </row>
    <row r="119" spans="3:13">
      <c r="C119" t="s">
        <v>130</v>
      </c>
      <c r="D119" t="s">
        <v>131</v>
      </c>
      <c r="E119">
        <v>1996</v>
      </c>
      <c r="F119" s="6">
        <v>0.19866451376146799</v>
      </c>
      <c r="G119" s="6" t="s">
        <v>202</v>
      </c>
      <c r="H119">
        <f>IF(Table15[[#This Row],[Lifetime Option]]="fixed",Table15[[#This Row],[End of life (fixed)]]-Table15[[#This Row],[Start year]],Table26[Generic  Lifetime])</f>
        <v>50</v>
      </c>
      <c r="J119">
        <f>IF(Table15[[#This Row],[Lifetime Option]]="fixed",Table15[[#This Row],[End of life (fixed)]],Table15[[#This Row],[Start year]]+Table26[Generic  Lifetime])</f>
        <v>2046</v>
      </c>
      <c r="K119">
        <v>0.65</v>
      </c>
      <c r="M119" s="8"/>
    </row>
    <row r="120" spans="3:13">
      <c r="C120" t="s">
        <v>130</v>
      </c>
      <c r="D120" t="s">
        <v>132</v>
      </c>
      <c r="E120">
        <v>2007</v>
      </c>
      <c r="F120" s="6">
        <v>0.19866451376146799</v>
      </c>
      <c r="G120" s="6" t="s">
        <v>202</v>
      </c>
      <c r="H120">
        <f>IF(Table15[[#This Row],[Lifetime Option]]="fixed",Table15[[#This Row],[End of life (fixed)]]-Table15[[#This Row],[Start year]],Table26[Generic  Lifetime])</f>
        <v>50</v>
      </c>
      <c r="J120">
        <f>IF(Table15[[#This Row],[Lifetime Option]]="fixed",Table15[[#This Row],[End of life (fixed)]],Table15[[#This Row],[Start year]]+Table26[Generic  Lifetime])</f>
        <v>2057</v>
      </c>
      <c r="K120">
        <v>0.65</v>
      </c>
      <c r="M120" s="8"/>
    </row>
    <row r="121" spans="3:13">
      <c r="C121" t="s">
        <v>133</v>
      </c>
      <c r="D121" t="s">
        <v>134</v>
      </c>
      <c r="E121">
        <v>1980</v>
      </c>
      <c r="F121" s="6">
        <v>1.2802426229508199</v>
      </c>
      <c r="G121" s="6" t="s">
        <v>202</v>
      </c>
      <c r="H121">
        <f>IF(Table15[[#This Row],[Lifetime Option]]="fixed",Table15[[#This Row],[End of life (fixed)]]-Table15[[#This Row],[Start year]],Table26[Generic  Lifetime])</f>
        <v>50</v>
      </c>
      <c r="J121">
        <f>IF(Table15[[#This Row],[Lifetime Option]]="fixed",Table15[[#This Row],[End of life (fixed)]],Table15[[#This Row],[Start year]]+Table26[Generic  Lifetime])</f>
        <v>2030</v>
      </c>
      <c r="K121">
        <v>0.98399999999999999</v>
      </c>
      <c r="M121" s="8"/>
    </row>
    <row r="122" spans="3:13">
      <c r="C122" t="s">
        <v>133</v>
      </c>
      <c r="D122" t="s">
        <v>135</v>
      </c>
      <c r="E122">
        <v>1981</v>
      </c>
      <c r="F122" s="6">
        <v>1.27404590163934</v>
      </c>
      <c r="G122" s="6" t="s">
        <v>202</v>
      </c>
      <c r="H122">
        <f>IF(Table15[[#This Row],[Lifetime Option]]="fixed",Table15[[#This Row],[End of life (fixed)]]-Table15[[#This Row],[Start year]],Table26[Generic  Lifetime])</f>
        <v>50</v>
      </c>
      <c r="J122">
        <f>IF(Table15[[#This Row],[Lifetime Option]]="fixed",Table15[[#This Row],[End of life (fixed)]],Table15[[#This Row],[Start year]]+Table26[Generic  Lifetime])</f>
        <v>2031</v>
      </c>
      <c r="K122">
        <v>0.996</v>
      </c>
      <c r="M122" s="8"/>
    </row>
    <row r="123" spans="3:13">
      <c r="C123" t="s">
        <v>133</v>
      </c>
      <c r="D123" t="s">
        <v>136</v>
      </c>
      <c r="E123">
        <v>1985</v>
      </c>
      <c r="F123" s="6">
        <v>1.3327592727272699</v>
      </c>
      <c r="G123" s="6" t="s">
        <v>202</v>
      </c>
      <c r="H123">
        <f>IF(Table15[[#This Row],[Lifetime Option]]="fixed",Table15[[#This Row],[End of life (fixed)]]-Table15[[#This Row],[Start year]],Table26[Generic  Lifetime])</f>
        <v>50</v>
      </c>
      <c r="J123">
        <f>IF(Table15[[#This Row],[Lifetime Option]]="fixed",Table15[[#This Row],[End of life (fixed)]],Table15[[#This Row],[Start year]]+Table26[Generic  Lifetime])</f>
        <v>2035</v>
      </c>
      <c r="K123">
        <v>1.17</v>
      </c>
      <c r="M123" s="8"/>
    </row>
    <row r="124" spans="3:13">
      <c r="C124" t="s">
        <v>133</v>
      </c>
      <c r="D124" t="s">
        <v>137</v>
      </c>
      <c r="E124">
        <v>1971</v>
      </c>
      <c r="F124" s="6">
        <v>1.3911970909090901</v>
      </c>
      <c r="G124" s="6" t="s">
        <v>201</v>
      </c>
      <c r="H124">
        <f>IF(Table15[[#This Row],[Lifetime Option]]="fixed",Table15[[#This Row],[End of life (fixed)]]-Table15[[#This Row],[Start year]],Table26[Generic  Lifetime])</f>
        <v>47</v>
      </c>
      <c r="I124">
        <v>2018</v>
      </c>
      <c r="J124">
        <f>IF(Table15[[#This Row],[Lifetime Option]]="fixed",Table15[[#This Row],[End of life (fixed)]],Table15[[#This Row],[Start year]]+Table26[Generic  Lifetime])</f>
        <v>2018</v>
      </c>
      <c r="K124">
        <v>0.47299999999999998</v>
      </c>
      <c r="L124" t="s">
        <v>208</v>
      </c>
      <c r="M124" s="7" t="s">
        <v>176</v>
      </c>
    </row>
    <row r="125" spans="3:13">
      <c r="C125" t="s">
        <v>133</v>
      </c>
      <c r="D125" t="s">
        <v>138</v>
      </c>
      <c r="E125">
        <v>1974</v>
      </c>
      <c r="F125" s="6">
        <v>1.4277599999999999</v>
      </c>
      <c r="G125" s="6" t="s">
        <v>201</v>
      </c>
      <c r="H125">
        <f>IF(Table15[[#This Row],[Lifetime Option]]="fixed",Table15[[#This Row],[End of life (fixed)]]-Table15[[#This Row],[Start year]],Table26[Generic  Lifetime])</f>
        <v>46</v>
      </c>
      <c r="I125">
        <v>2020</v>
      </c>
      <c r="J125">
        <f>IF(Table15[[#This Row],[Lifetime Option]]="fixed",Table15[[#This Row],[End of life (fixed)]],Table15[[#This Row],[Start year]]+Table26[Generic  Lifetime])</f>
        <v>2020</v>
      </c>
      <c r="K125">
        <v>0.63800000000000001</v>
      </c>
      <c r="L125" t="s">
        <v>208</v>
      </c>
      <c r="M125" s="8"/>
    </row>
    <row r="126" spans="3:13">
      <c r="C126" t="s">
        <v>133</v>
      </c>
      <c r="D126" t="s">
        <v>139</v>
      </c>
      <c r="E126">
        <v>1985</v>
      </c>
      <c r="F126" s="6">
        <v>1.0279384615384599</v>
      </c>
      <c r="G126" s="6" t="s">
        <v>202</v>
      </c>
      <c r="H126">
        <f>IF(Table15[[#This Row],[Lifetime Option]]="fixed",Table15[[#This Row],[End of life (fixed)]]-Table15[[#This Row],[Start year]],Table26[Generic  Lifetime])</f>
        <v>50</v>
      </c>
      <c r="J126">
        <f>IF(Table15[[#This Row],[Lifetime Option]]="fixed",Table15[[#This Row],[End of life (fixed)]],Table15[[#This Row],[Start year]]+Table26[Generic  Lifetime])</f>
        <v>2035</v>
      </c>
      <c r="K126">
        <v>1.4</v>
      </c>
      <c r="M126" s="8"/>
    </row>
    <row r="127" spans="3:13">
      <c r="C127" t="s">
        <v>133</v>
      </c>
      <c r="D127" t="s">
        <v>140</v>
      </c>
      <c r="E127">
        <v>1974</v>
      </c>
      <c r="F127" s="6">
        <v>1.24541858267717</v>
      </c>
      <c r="G127" s="6" t="s">
        <v>201</v>
      </c>
      <c r="H127">
        <f>IF(Table15[[#This Row],[Lifetime Option]]="fixed",Table15[[#This Row],[End of life (fixed)]]-Table15[[#This Row],[Start year]],Table26[Generic  Lifetime])</f>
        <v>46</v>
      </c>
      <c r="I127">
        <v>2020</v>
      </c>
      <c r="J127">
        <f>IF(Table15[[#This Row],[Lifetime Option]]="fixed",Table15[[#This Row],[End of life (fixed)]],Table15[[#This Row],[Start year]]+Table26[Generic  Lifetime])</f>
        <v>2020</v>
      </c>
      <c r="K127">
        <v>0.878</v>
      </c>
      <c r="L127" t="s">
        <v>194</v>
      </c>
      <c r="M127" s="9" t="s">
        <v>182</v>
      </c>
    </row>
    <row r="128" spans="3:13">
      <c r="C128" t="s">
        <v>133</v>
      </c>
      <c r="D128" t="s">
        <v>141</v>
      </c>
      <c r="E128">
        <v>1974</v>
      </c>
      <c r="F128" s="6">
        <v>1.3999073684210499</v>
      </c>
      <c r="G128" s="6" t="s">
        <v>201</v>
      </c>
      <c r="H128">
        <f>IF(Table15[[#This Row],[Lifetime Option]]="fixed",Table15[[#This Row],[End of life (fixed)]]-Table15[[#This Row],[Start year]],Table26[Generic  Lifetime])</f>
        <v>46</v>
      </c>
      <c r="I128">
        <v>2020</v>
      </c>
      <c r="J128">
        <f>IF(Table15[[#This Row],[Lifetime Option]]="fixed",Table15[[#This Row],[End of life (fixed)]],Table15[[#This Row],[Start year]]+Table26[Generic  Lifetime])</f>
        <v>2020</v>
      </c>
      <c r="K128">
        <v>0.86499999999999999</v>
      </c>
      <c r="L128" t="s">
        <v>194</v>
      </c>
      <c r="M128" s="9" t="s">
        <v>182</v>
      </c>
    </row>
    <row r="129" spans="3:13">
      <c r="C129" t="s">
        <v>133</v>
      </c>
      <c r="D129" t="s">
        <v>142</v>
      </c>
      <c r="E129">
        <v>1980</v>
      </c>
      <c r="F129" s="6">
        <v>1.39706181818182</v>
      </c>
      <c r="G129" s="6" t="s">
        <v>202</v>
      </c>
      <c r="H129">
        <f>IF(Table15[[#This Row],[Lifetime Option]]="fixed",Table15[[#This Row],[End of life (fixed)]]-Table15[[#This Row],[Start year]],Table26[Generic  Lifetime])</f>
        <v>50</v>
      </c>
      <c r="J129">
        <f>IF(Table15[[#This Row],[Lifetime Option]]="fixed",Table15[[#This Row],[End of life (fixed)]],Table15[[#This Row],[Start year]]+Table26[Generic  Lifetime])</f>
        <v>2030</v>
      </c>
      <c r="K129">
        <v>1.0640000000000001</v>
      </c>
      <c r="M129" s="7" t="s">
        <v>182</v>
      </c>
    </row>
    <row r="130" spans="3:13">
      <c r="C130" t="s">
        <v>133</v>
      </c>
      <c r="D130" t="s">
        <v>143</v>
      </c>
      <c r="E130">
        <v>1982</v>
      </c>
      <c r="F130" s="6">
        <v>1.4050041081081099</v>
      </c>
      <c r="G130" s="6" t="s">
        <v>202</v>
      </c>
      <c r="H130">
        <f>IF(Table15[[#This Row],[Lifetime Option]]="fixed",Table15[[#This Row],[End of life (fixed)]]-Table15[[#This Row],[Start year]],Table26[Generic  Lifetime])</f>
        <v>50</v>
      </c>
      <c r="J130">
        <f>IF(Table15[[#This Row],[Lifetime Option]]="fixed",Table15[[#This Row],[End of life (fixed)]],Table15[[#This Row],[Start year]]+Table26[Generic  Lifetime])</f>
        <v>2032</v>
      </c>
      <c r="K130">
        <v>0.94</v>
      </c>
      <c r="M130" s="7" t="s">
        <v>182</v>
      </c>
    </row>
    <row r="131" spans="3:13">
      <c r="C131" t="s">
        <v>144</v>
      </c>
      <c r="D131" t="s">
        <v>145</v>
      </c>
      <c r="E131">
        <v>1981</v>
      </c>
      <c r="F131" s="6">
        <v>1.3869532453360101</v>
      </c>
      <c r="G131" s="6" t="s">
        <v>202</v>
      </c>
      <c r="H131">
        <f>IF(Table15[[#This Row],[Lifetime Option]]="fixed",Table15[[#This Row],[End of life (fixed)]]-Table15[[#This Row],[Start year]],Table26[Generic  Lifetime])</f>
        <v>50</v>
      </c>
      <c r="I131">
        <f t="shared" ref="I131" si="0">E131+H131</f>
        <v>2031</v>
      </c>
      <c r="J131">
        <f>IF(Table15[[#This Row],[Lifetime Option]]="fixed",Table15[[#This Row],[End of life (fixed)]],Table15[[#This Row],[Start year]]+Table26[Generic  Lifetime])</f>
        <v>2031</v>
      </c>
      <c r="K131">
        <v>0.68799999999999994</v>
      </c>
      <c r="L131" t="s">
        <v>189</v>
      </c>
      <c r="M131" s="7" t="s">
        <v>188</v>
      </c>
    </row>
    <row r="132" spans="3:13">
      <c r="C132" t="s">
        <v>146</v>
      </c>
      <c r="D132" t="s">
        <v>147</v>
      </c>
      <c r="E132">
        <v>1978</v>
      </c>
      <c r="F132" s="6">
        <v>1</v>
      </c>
      <c r="G132" s="6" t="s">
        <v>201</v>
      </c>
      <c r="H132">
        <f>IF(Table15[[#This Row],[Lifetime Option]]="fixed",Table15[[#This Row],[End of life (fixed)]]-Table15[[#This Row],[Start year]],Table26[Generic  Lifetime])</f>
        <v>28</v>
      </c>
      <c r="I132">
        <v>2006</v>
      </c>
      <c r="J132">
        <f>IF(Table15[[#This Row],[Lifetime Option]]="fixed",Table15[[#This Row],[End of life (fixed)]],Table15[[#This Row],[Start year]]+Table26[Generic  Lifetime])</f>
        <v>2006</v>
      </c>
      <c r="K132">
        <v>0.40799999999999997</v>
      </c>
      <c r="L132" t="s">
        <v>178</v>
      </c>
      <c r="M132" s="8"/>
    </row>
    <row r="133" spans="3:13">
      <c r="C133" t="s">
        <v>146</v>
      </c>
      <c r="D133" t="s">
        <v>148</v>
      </c>
      <c r="E133">
        <v>1980</v>
      </c>
      <c r="F133" s="6">
        <v>1</v>
      </c>
      <c r="G133" s="6" t="s">
        <v>201</v>
      </c>
      <c r="H133">
        <f>IF(Table15[[#This Row],[Lifetime Option]]="fixed",Table15[[#This Row],[End of life (fixed)]]-Table15[[#This Row],[Start year]],Table26[Generic  Lifetime])</f>
        <v>28</v>
      </c>
      <c r="I133">
        <v>2008</v>
      </c>
      <c r="J133">
        <f>IF(Table15[[#This Row],[Lifetime Option]]="fixed",Table15[[#This Row],[End of life (fixed)]],Table15[[#This Row],[Start year]]+Table26[Generic  Lifetime])</f>
        <v>2008</v>
      </c>
      <c r="K133">
        <v>0.40799999999999997</v>
      </c>
      <c r="L133" t="s">
        <v>178</v>
      </c>
      <c r="M133" s="8"/>
    </row>
    <row r="134" spans="3:13">
      <c r="C134" t="s">
        <v>146</v>
      </c>
      <c r="D134" t="s">
        <v>149</v>
      </c>
      <c r="E134">
        <v>1984</v>
      </c>
      <c r="F134" s="6">
        <v>1.3644269204622701</v>
      </c>
      <c r="G134" s="6" t="s">
        <v>202</v>
      </c>
      <c r="H134">
        <f>IF(Table15[[#This Row],[Lifetime Option]]="fixed",Table15[[#This Row],[End of life (fixed)]]-Table15[[#This Row],[Start year]],Table26[Generic  Lifetime])</f>
        <v>50</v>
      </c>
      <c r="I134">
        <f>E134+H134</f>
        <v>2034</v>
      </c>
      <c r="J134">
        <f>IF(Table15[[#This Row],[Lifetime Option]]="fixed",Table15[[#This Row],[End of life (fixed)]],Table15[[#This Row],[Start year]]+Table26[Generic  Lifetime])</f>
        <v>2034</v>
      </c>
      <c r="K134">
        <v>0.47199999999999998</v>
      </c>
      <c r="L134" t="s">
        <v>190</v>
      </c>
      <c r="M134" s="7" t="s">
        <v>183</v>
      </c>
    </row>
    <row r="135" spans="3:13">
      <c r="C135" t="s">
        <v>146</v>
      </c>
      <c r="D135" t="s">
        <v>150</v>
      </c>
      <c r="E135">
        <v>1985</v>
      </c>
      <c r="F135" s="6">
        <v>1.3644269204622701</v>
      </c>
      <c r="G135" s="6" t="s">
        <v>202</v>
      </c>
      <c r="H135">
        <f>IF(Table15[[#This Row],[Lifetime Option]]="fixed",Table15[[#This Row],[End of life (fixed)]]-Table15[[#This Row],[Start year]],Table26[Generic  Lifetime])</f>
        <v>50</v>
      </c>
      <c r="I135">
        <f t="shared" ref="I135:I137" si="1">E135+H135</f>
        <v>2035</v>
      </c>
      <c r="J135">
        <f>IF(Table15[[#This Row],[Lifetime Option]]="fixed",Table15[[#This Row],[End of life (fixed)]],Table15[[#This Row],[Start year]]+Table26[Generic  Lifetime])</f>
        <v>2035</v>
      </c>
      <c r="K135">
        <v>0.47199999999999998</v>
      </c>
      <c r="L135" t="s">
        <v>190</v>
      </c>
      <c r="M135" s="7" t="s">
        <v>183</v>
      </c>
    </row>
    <row r="136" spans="3:13">
      <c r="C136" t="s">
        <v>146</v>
      </c>
      <c r="D136" t="s">
        <v>151</v>
      </c>
      <c r="E136">
        <v>1998</v>
      </c>
      <c r="F136" s="6">
        <v>1.2146512576478601</v>
      </c>
      <c r="G136" s="6" t="s">
        <v>202</v>
      </c>
      <c r="H136">
        <f>IF(Table15[[#This Row],[Lifetime Option]]="fixed",Table15[[#This Row],[End of life (fixed)]]-Table15[[#This Row],[Start year]],Table26[Generic  Lifetime])</f>
        <v>50</v>
      </c>
      <c r="I136">
        <f t="shared" si="1"/>
        <v>2048</v>
      </c>
      <c r="J136">
        <f>IF(Table15[[#This Row],[Lifetime Option]]="fixed",Table15[[#This Row],[End of life (fixed)]],Table15[[#This Row],[Start year]]+Table26[Generic  Lifetime])</f>
        <v>2048</v>
      </c>
      <c r="K136">
        <v>0.436</v>
      </c>
      <c r="M136" s="8"/>
    </row>
    <row r="137" spans="3:13">
      <c r="C137" t="s">
        <v>146</v>
      </c>
      <c r="D137" t="s">
        <v>152</v>
      </c>
      <c r="E137">
        <v>1999</v>
      </c>
      <c r="F137" s="6">
        <v>1.2146512576478601</v>
      </c>
      <c r="G137" s="6" t="s">
        <v>202</v>
      </c>
      <c r="H137">
        <f>IF(Table15[[#This Row],[Lifetime Option]]="fixed",Table15[[#This Row],[End of life (fixed)]]-Table15[[#This Row],[Start year]],Table26[Generic  Lifetime])</f>
        <v>50</v>
      </c>
      <c r="I137">
        <f t="shared" si="1"/>
        <v>2049</v>
      </c>
      <c r="J137">
        <f>IF(Table15[[#This Row],[Lifetime Option]]="fixed",Table15[[#This Row],[End of life (fixed)]],Table15[[#This Row],[Start year]]+Table26[Generic  Lifetime])</f>
        <v>2049</v>
      </c>
      <c r="K137">
        <v>0.436</v>
      </c>
      <c r="M137" s="8"/>
    </row>
    <row r="138" spans="3:13">
      <c r="C138" t="s">
        <v>153</v>
      </c>
      <c r="D138" t="s">
        <v>154</v>
      </c>
      <c r="E138">
        <v>1983</v>
      </c>
      <c r="F138" s="6">
        <v>0.67305599999999999</v>
      </c>
      <c r="G138" s="6" t="s">
        <v>201</v>
      </c>
      <c r="H138">
        <f>IF(Table15[[#This Row],[Lifetime Option]]="fixed",Table15[[#This Row],[End of life (fixed)]]-Table15[[#This Row],[Start year]],Table26[Generic  Lifetime])</f>
        <v>45</v>
      </c>
      <c r="I138">
        <v>2028</v>
      </c>
      <c r="J138">
        <f>IF(Table15[[#This Row],[Lifetime Option]]="fixed",Table15[[#This Row],[End of life (fixed)]],Table15[[#This Row],[Start year]]+Table26[Generic  Lifetime])</f>
        <v>2028</v>
      </c>
      <c r="K138">
        <v>0.52</v>
      </c>
      <c r="M138" s="7" t="s">
        <v>192</v>
      </c>
    </row>
    <row r="139" spans="3:13">
      <c r="C139" t="s">
        <v>153</v>
      </c>
      <c r="D139" t="s">
        <v>155</v>
      </c>
      <c r="E139">
        <v>1985</v>
      </c>
      <c r="F139" s="6">
        <v>0.63763199999999998</v>
      </c>
      <c r="G139" s="6" t="s">
        <v>201</v>
      </c>
      <c r="H139">
        <f>IF(Table15[[#This Row],[Lifetime Option]]="fixed",Table15[[#This Row],[End of life (fixed)]]-Table15[[#This Row],[Start year]],Table26[Generic  Lifetime])</f>
        <v>43</v>
      </c>
      <c r="I139">
        <v>2028</v>
      </c>
      <c r="J139">
        <f>IF(Table15[[#This Row],[Lifetime Option]]="fixed",Table15[[#This Row],[End of life (fixed)]],Table15[[#This Row],[Start year]]+Table26[Generic  Lifetime])</f>
        <v>2028</v>
      </c>
      <c r="K139">
        <v>0.52</v>
      </c>
      <c r="M139" s="8"/>
    </row>
    <row r="140" spans="3:13">
      <c r="C140" t="s">
        <v>153</v>
      </c>
      <c r="D140" t="s">
        <v>156</v>
      </c>
      <c r="E140">
        <v>1983</v>
      </c>
      <c r="F140" s="6">
        <v>0.90547200000000005</v>
      </c>
      <c r="G140" s="6" t="s">
        <v>201</v>
      </c>
      <c r="H140">
        <f>IF(Table15[[#This Row],[Lifetime Option]]="fixed",Table15[[#This Row],[End of life (fixed)]]-Table15[[#This Row],[Start year]],Table26[Generic  Lifetime])</f>
        <v>36</v>
      </c>
      <c r="I140">
        <v>2019</v>
      </c>
      <c r="J140">
        <f>IF(Table15[[#This Row],[Lifetime Option]]="fixed",Table15[[#This Row],[End of life (fixed)]],Table15[[#This Row],[Start year]]+Table26[Generic  Lifetime])</f>
        <v>2019</v>
      </c>
      <c r="K140">
        <v>0.59499999999999997</v>
      </c>
      <c r="M140" s="8"/>
    </row>
    <row r="141" spans="3:13">
      <c r="C141" t="s">
        <v>153</v>
      </c>
      <c r="D141" t="s">
        <v>157</v>
      </c>
      <c r="E141">
        <v>1984</v>
      </c>
      <c r="F141" s="6">
        <v>0.90547200000000005</v>
      </c>
      <c r="G141" s="6" t="s">
        <v>201</v>
      </c>
      <c r="H141">
        <f>IF(Table15[[#This Row],[Lifetime Option]]="fixed",Table15[[#This Row],[End of life (fixed)]]-Table15[[#This Row],[Start year]],Table26[Generic  Lifetime])</f>
        <v>35</v>
      </c>
      <c r="I141">
        <v>2019</v>
      </c>
      <c r="J141">
        <f>IF(Table15[[#This Row],[Lifetime Option]]="fixed",Table15[[#This Row],[End of life (fixed)]],Table15[[#This Row],[Start year]]+Table26[Generic  Lifetime])</f>
        <v>2019</v>
      </c>
      <c r="K141">
        <v>0.58499999999999996</v>
      </c>
      <c r="M141" s="8"/>
    </row>
    <row r="142" spans="3:13">
      <c r="C142" t="s">
        <v>153</v>
      </c>
      <c r="D142" t="s">
        <v>158</v>
      </c>
      <c r="E142">
        <v>1983</v>
      </c>
      <c r="F142" s="6">
        <v>0.86399999999999999</v>
      </c>
      <c r="G142" s="6" t="s">
        <v>201</v>
      </c>
      <c r="H142">
        <f>IF(Table15[[#This Row],[Lifetime Option]]="fixed",Table15[[#This Row],[End of life (fixed)]]-Table15[[#This Row],[Start year]],Table26[Generic  Lifetime])</f>
        <v>36</v>
      </c>
      <c r="I142">
        <v>2019</v>
      </c>
      <c r="J142">
        <f>IF(Table15[[#This Row],[Lifetime Option]]="fixed",Table15[[#This Row],[End of life (fixed)]],Table15[[#This Row],[Start year]]+Table26[Generic  Lifetime])</f>
        <v>2019</v>
      </c>
      <c r="K142">
        <v>0.58499999999999996</v>
      </c>
      <c r="M142" s="8"/>
    </row>
    <row r="143" spans="3:13">
      <c r="C143" t="s">
        <v>153</v>
      </c>
      <c r="D143" t="s">
        <v>159</v>
      </c>
      <c r="E143">
        <v>1984</v>
      </c>
      <c r="F143" s="6">
        <v>0.86399999999999999</v>
      </c>
      <c r="G143" s="6" t="s">
        <v>201</v>
      </c>
      <c r="H143">
        <f>IF(Table15[[#This Row],[Lifetime Option]]="fixed",Table15[[#This Row],[End of life (fixed)]]-Table15[[#This Row],[Start year]],Table26[Generic  Lifetime])</f>
        <v>35</v>
      </c>
      <c r="I143">
        <v>2019</v>
      </c>
      <c r="J143">
        <f>IF(Table15[[#This Row],[Lifetime Option]]="fixed",Table15[[#This Row],[End of life (fixed)]],Table15[[#This Row],[Start year]]+Table26[Generic  Lifetime])</f>
        <v>2019</v>
      </c>
      <c r="K143">
        <v>0.57499999999999996</v>
      </c>
      <c r="M143" s="8"/>
    </row>
    <row r="144" spans="3:13">
      <c r="C144" t="s">
        <v>153</v>
      </c>
      <c r="D144" t="s">
        <v>160</v>
      </c>
      <c r="E144">
        <v>1988</v>
      </c>
      <c r="F144" s="6">
        <v>1.0234219354838701</v>
      </c>
      <c r="G144" s="6" t="s">
        <v>201</v>
      </c>
      <c r="H144">
        <f>IF(Table15[[#This Row],[Lifetime Option]]="fixed",Table15[[#This Row],[End of life (fixed)]]-Table15[[#This Row],[Start year]],Table26[Generic  Lifetime])</f>
        <v>35</v>
      </c>
      <c r="I144">
        <v>2023</v>
      </c>
      <c r="J144">
        <f>IF(Table15[[#This Row],[Lifetime Option]]="fixed",Table15[[#This Row],[End of life (fixed)]],Table15[[#This Row],[Start year]]+Table26[Generic  Lifetime])</f>
        <v>2023</v>
      </c>
      <c r="K144">
        <v>0.61</v>
      </c>
      <c r="M144" s="8"/>
    </row>
    <row r="145" spans="3:13">
      <c r="C145" t="s">
        <v>153</v>
      </c>
      <c r="D145" t="s">
        <v>161</v>
      </c>
      <c r="E145">
        <v>1988</v>
      </c>
      <c r="F145" s="6">
        <v>1.0234219354838701</v>
      </c>
      <c r="G145" s="6" t="s">
        <v>201</v>
      </c>
      <c r="H145">
        <f>IF(Table15[[#This Row],[Lifetime Option]]="fixed",Table15[[#This Row],[End of life (fixed)]]-Table15[[#This Row],[Start year]],Table26[Generic  Lifetime])</f>
        <v>35</v>
      </c>
      <c r="I145">
        <v>2023</v>
      </c>
      <c r="J145">
        <f>IF(Table15[[#This Row],[Lifetime Option]]="fixed",Table15[[#This Row],[End of life (fixed)]],Table15[[#This Row],[Start year]]+Table26[Generic  Lifetime])</f>
        <v>2023</v>
      </c>
      <c r="K145">
        <v>0.61</v>
      </c>
      <c r="M145" s="8"/>
    </row>
    <row r="146" spans="3:13">
      <c r="C146" t="s">
        <v>153</v>
      </c>
      <c r="D146" t="s">
        <v>162</v>
      </c>
      <c r="E146">
        <v>1976</v>
      </c>
      <c r="F146" s="6">
        <v>1.0227469879518101</v>
      </c>
      <c r="G146" s="6" t="s">
        <v>201</v>
      </c>
      <c r="H146">
        <f>IF(Table15[[#This Row],[Lifetime Option]]="fixed",Table15[[#This Row],[End of life (fixed)]]-Table15[[#This Row],[Start year]],Table26[Generic  Lifetime])</f>
        <v>47</v>
      </c>
      <c r="I146">
        <v>2023</v>
      </c>
      <c r="J146">
        <f>IF(Table15[[#This Row],[Lifetime Option]]="fixed",Table15[[#This Row],[End of life (fixed)]],Table15[[#This Row],[Start year]]+Table26[Generic  Lifetime])</f>
        <v>2023</v>
      </c>
      <c r="K146">
        <v>0.435</v>
      </c>
      <c r="M146" s="8"/>
    </row>
    <row r="147" spans="3:13">
      <c r="C147" t="s">
        <v>153</v>
      </c>
      <c r="D147" t="s">
        <v>163</v>
      </c>
      <c r="E147">
        <v>1976</v>
      </c>
      <c r="F147" s="6">
        <v>1.0227469879518101</v>
      </c>
      <c r="G147" s="6" t="s">
        <v>201</v>
      </c>
      <c r="H147">
        <f>IF(Table15[[#This Row],[Lifetime Option]]="fixed",Table15[[#This Row],[End of life (fixed)]]-Table15[[#This Row],[Start year]],Table26[Generic  Lifetime])</f>
        <v>47</v>
      </c>
      <c r="I147">
        <v>2023</v>
      </c>
      <c r="J147">
        <f>IF(Table15[[#This Row],[Lifetime Option]]="fixed",Table15[[#This Row],[End of life (fixed)]],Table15[[#This Row],[Start year]]+Table26[Generic  Lifetime])</f>
        <v>2023</v>
      </c>
      <c r="K147">
        <v>0.435</v>
      </c>
      <c r="M147" s="8"/>
    </row>
    <row r="148" spans="3:13">
      <c r="C148" t="s">
        <v>153</v>
      </c>
      <c r="D148" t="s">
        <v>164</v>
      </c>
      <c r="E148">
        <v>1976</v>
      </c>
      <c r="F148" s="6">
        <v>0.78106524064171101</v>
      </c>
      <c r="G148" s="6" t="s">
        <v>201</v>
      </c>
      <c r="H148">
        <f>IF(Table15[[#This Row],[Lifetime Option]]="fixed",Table15[[#This Row],[End of life (fixed)]]-Table15[[#This Row],[Start year]],Table26[Generic  Lifetime])</f>
        <v>47</v>
      </c>
      <c r="I148">
        <v>2023</v>
      </c>
      <c r="J148">
        <f>IF(Table15[[#This Row],[Lifetime Option]]="fixed",Table15[[#This Row],[End of life (fixed)]],Table15[[#This Row],[Start year]]+Table26[Generic  Lifetime])</f>
        <v>2023</v>
      </c>
      <c r="K148">
        <v>0.46</v>
      </c>
      <c r="M148" s="8"/>
    </row>
    <row r="149" spans="3:13">
      <c r="C149" t="s">
        <v>153</v>
      </c>
      <c r="D149" t="s">
        <v>165</v>
      </c>
      <c r="E149">
        <v>1977</v>
      </c>
      <c r="F149" s="6">
        <v>0.78106524064171101</v>
      </c>
      <c r="G149" s="6" t="s">
        <v>201</v>
      </c>
      <c r="H149">
        <f>IF(Table15[[#This Row],[Lifetime Option]]="fixed",Table15[[#This Row],[End of life (fixed)]]-Table15[[#This Row],[Start year]],Table26[Generic  Lifetime])</f>
        <v>46</v>
      </c>
      <c r="I149">
        <v>2023</v>
      </c>
      <c r="J149">
        <f>IF(Table15[[#This Row],[Lifetime Option]]="fixed",Table15[[#This Row],[End of life (fixed)]],Table15[[#This Row],[Start year]]+Table26[Generic  Lifetime])</f>
        <v>2023</v>
      </c>
      <c r="K149">
        <v>0.43</v>
      </c>
      <c r="M149" s="8"/>
    </row>
    <row r="150" spans="3:13">
      <c r="C150" t="s">
        <v>153</v>
      </c>
      <c r="D150" t="s">
        <v>166</v>
      </c>
      <c r="E150">
        <v>1967</v>
      </c>
      <c r="F150" s="6">
        <v>0.14781501369863001</v>
      </c>
      <c r="G150" s="6" t="s">
        <v>201</v>
      </c>
      <c r="H150">
        <f>IF(Table15[[#This Row],[Lifetime Option]]="fixed",Table15[[#This Row],[End of life (fixed)]]-Table15[[#This Row],[Start year]],Table26[Generic  Lifetime])</f>
        <v>45</v>
      </c>
      <c r="I150">
        <v>2012</v>
      </c>
      <c r="J150">
        <f>IF(Table15[[#This Row],[Lifetime Option]]="fixed",Table15[[#This Row],[End of life (fixed)]],Table15[[#This Row],[Start year]]+Table26[Generic  Lifetime])</f>
        <v>2012</v>
      </c>
      <c r="K150">
        <v>0.217</v>
      </c>
      <c r="L150" t="s">
        <v>186</v>
      </c>
      <c r="M150" s="7" t="s">
        <v>193</v>
      </c>
    </row>
    <row r="151" spans="3:13">
      <c r="C151" t="s">
        <v>153</v>
      </c>
      <c r="D151" t="s">
        <v>167</v>
      </c>
      <c r="E151">
        <v>1995</v>
      </c>
      <c r="F151" s="6">
        <v>1.04058394160584</v>
      </c>
      <c r="G151" s="6" t="s">
        <v>201</v>
      </c>
      <c r="H151">
        <f>IF(Table15[[#This Row],[Lifetime Option]]="fixed",Table15[[#This Row],[End of life (fixed)]]-Table15[[#This Row],[Start year]],Table26[Generic  Lifetime])</f>
        <v>40</v>
      </c>
      <c r="I151">
        <v>2035</v>
      </c>
      <c r="J151">
        <f>IF(Table15[[#This Row],[Lifetime Option]]="fixed",Table15[[#This Row],[End of life (fixed)]],Table15[[#This Row],[Start year]]+Table26[Generic  Lifetime])</f>
        <v>2035</v>
      </c>
      <c r="K151">
        <v>1.1910000000000001</v>
      </c>
      <c r="M151" s="8"/>
    </row>
    <row r="152" spans="3:13">
      <c r="C152" t="s">
        <v>153</v>
      </c>
      <c r="D152" t="s">
        <v>168</v>
      </c>
      <c r="E152">
        <v>1988</v>
      </c>
      <c r="F152" s="6">
        <v>1.0710299445471301</v>
      </c>
      <c r="G152" s="6" t="s">
        <v>201</v>
      </c>
      <c r="H152">
        <f>IF(Table15[[#This Row],[Lifetime Option]]="fixed",Table15[[#This Row],[End of life (fixed)]]-Table15[[#This Row],[Start year]],Table26[Generic  Lifetime])</f>
        <v>35</v>
      </c>
      <c r="I152">
        <v>2023</v>
      </c>
      <c r="J152">
        <f>IF(Table15[[#This Row],[Lifetime Option]]="fixed",Table15[[#This Row],[End of life (fixed)]],Table15[[#This Row],[Start year]]+Table26[Generic  Lifetime])</f>
        <v>2023</v>
      </c>
      <c r="K152">
        <v>0.59499999999999997</v>
      </c>
      <c r="M152" s="8"/>
    </row>
    <row r="153" spans="3:13">
      <c r="C153" t="s">
        <v>153</v>
      </c>
      <c r="D153" t="s">
        <v>169</v>
      </c>
      <c r="E153">
        <v>1989</v>
      </c>
      <c r="F153" s="6">
        <v>1.0710299445471401</v>
      </c>
      <c r="G153" s="6" t="s">
        <v>201</v>
      </c>
      <c r="H153">
        <f>IF(Table15[[#This Row],[Lifetime Option]]="fixed",Table15[[#This Row],[End of life (fixed)]]-Table15[[#This Row],[Start year]],Table26[Generic  Lifetime])</f>
        <v>34</v>
      </c>
      <c r="I153">
        <v>2023</v>
      </c>
      <c r="J153">
        <f>IF(Table15[[#This Row],[Lifetime Option]]="fixed",Table15[[#This Row],[End of life (fixed)]],Table15[[#This Row],[Start year]]+Table26[Generic  Lifetime])</f>
        <v>2023</v>
      </c>
      <c r="K153">
        <v>0.59499999999999997</v>
      </c>
      <c r="M153" s="8"/>
    </row>
    <row r="154" spans="3:13">
      <c r="C154" t="s">
        <v>153</v>
      </c>
      <c r="D154" t="s">
        <v>170</v>
      </c>
      <c r="E154">
        <v>1971</v>
      </c>
      <c r="F154" s="6">
        <v>1.3122</v>
      </c>
      <c r="G154" s="6" t="s">
        <v>201</v>
      </c>
      <c r="H154">
        <f>IF(Table15[[#This Row],[Lifetime Option]]="fixed",Table15[[#This Row],[End of life (fixed)]]-Table15[[#This Row],[Start year]],Table26[Generic  Lifetime])</f>
        <v>44</v>
      </c>
      <c r="I154">
        <v>2015</v>
      </c>
      <c r="J154">
        <f>IF(Table15[[#This Row],[Lifetime Option]]="fixed",Table15[[#This Row],[End of life (fixed)]],Table15[[#This Row],[Start year]]+Table26[Generic  Lifetime])</f>
        <v>2015</v>
      </c>
      <c r="K154">
        <v>0.49</v>
      </c>
      <c r="M154" s="8"/>
    </row>
    <row r="155" spans="3:13">
      <c r="C155" t="s">
        <v>153</v>
      </c>
      <c r="D155" t="s">
        <v>171</v>
      </c>
      <c r="E155">
        <v>1971</v>
      </c>
      <c r="F155" s="6">
        <v>1.3122</v>
      </c>
      <c r="G155" s="6" t="s">
        <v>201</v>
      </c>
      <c r="H155">
        <f>IF(Table15[[#This Row],[Lifetime Option]]="fixed",Table15[[#This Row],[End of life (fixed)]]-Table15[[#This Row],[Start year]],Table26[Generic  Lifetime])</f>
        <v>41</v>
      </c>
      <c r="I155">
        <v>2012</v>
      </c>
      <c r="J155">
        <f>IF(Table15[[#This Row],[Lifetime Option]]="fixed",Table15[[#This Row],[End of life (fixed)]],Table15[[#This Row],[Start year]]+Table26[Generic  Lifetime])</f>
        <v>2012</v>
      </c>
      <c r="K155">
        <v>0.49</v>
      </c>
      <c r="M155" s="8"/>
    </row>
  </sheetData>
  <hyperlinks>
    <hyperlink ref="M2" r:id="rId1" xr:uid="{00000000-0004-0000-0400-000000000000}"/>
    <hyperlink ref="M3" r:id="rId2" xr:uid="{00000000-0004-0000-0400-000001000000}"/>
    <hyperlink ref="M4" r:id="rId3" xr:uid="{00000000-0004-0000-0400-000002000000}"/>
    <hyperlink ref="M7" r:id="rId4" xr:uid="{00000000-0004-0000-0400-000003000000}"/>
    <hyperlink ref="M6" r:id="rId5" location=".Vdb00Y7DVE4 " xr:uid="{00000000-0004-0000-0400-000004000000}"/>
    <hyperlink ref="M124" r:id="rId6" xr:uid="{00000000-0004-0000-0400-000005000000}"/>
    <hyperlink ref="M11" r:id="rId7" xr:uid="{00000000-0004-0000-0400-000006000000}"/>
    <hyperlink ref="M12" r:id="rId8" xr:uid="{00000000-0004-0000-0400-000007000000}"/>
    <hyperlink ref="M53" r:id="rId9" xr:uid="{00000000-0004-0000-0400-000008000000}"/>
    <hyperlink ref="M18" r:id="rId10" xr:uid="{00000000-0004-0000-0400-000009000000}"/>
    <hyperlink ref="M129" r:id="rId11" xr:uid="{00000000-0004-0000-0400-00000A000000}"/>
    <hyperlink ref="M130" r:id="rId12" xr:uid="{00000000-0004-0000-0400-00000B000000}"/>
    <hyperlink ref="M134" r:id="rId13" xr:uid="{00000000-0004-0000-0400-00000C000000}"/>
    <hyperlink ref="M135" r:id="rId14" xr:uid="{00000000-0004-0000-0400-00000D000000}"/>
    <hyperlink ref="M131" r:id="rId15" xr:uid="{00000000-0004-0000-0400-00000E000000}"/>
    <hyperlink ref="M138" r:id="rId16" xr:uid="{00000000-0004-0000-0400-00000F000000}"/>
    <hyperlink ref="M150" r:id="rId17" xr:uid="{00000000-0004-0000-0400-000010000000}"/>
    <hyperlink ref="M127" r:id="rId18" xr:uid="{00000000-0004-0000-0400-000011000000}"/>
    <hyperlink ref="M128" r:id="rId19" xr:uid="{00000000-0004-0000-0400-000012000000}"/>
    <hyperlink ref="M13" r:id="rId20" xr:uid="{00000000-0004-0000-0400-000013000000}"/>
    <hyperlink ref="M14:M17" r:id="rId21" display="http://www.world-nuclear.org/info/Country-Profiles/Countries-O-S/Switzerland/" xr:uid="{00000000-0004-0000-0400-000014000000}"/>
  </hyperlinks>
  <pageMargins left="0.70866141732283472" right="0.70866141732283472" top="0.74803149606299213" bottom="0.74803149606299213" header="0.31496062992125984" footer="0.31496062992125984"/>
  <pageSetup paperSize="9" scale="53" fitToHeight="0" orientation="landscape" horizontalDpi="1200" verticalDpi="1200" r:id="rId22"/>
  <legacyDrawing r:id="rId23"/>
  <tableParts count="2">
    <tablePart r:id="rId24"/>
    <tablePart r:id="rId25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theme="5" tint="-0.499984740745262"/>
    <pageSetUpPr fitToPage="1"/>
  </sheetPr>
  <dimension ref="A1:M155"/>
  <sheetViews>
    <sheetView tabSelected="1" zoomScaleNormal="100" workbookViewId="0">
      <pane xSplit="3" ySplit="1" topLeftCell="D2" activePane="bottomRight" state="frozen"/>
      <selection pane="topRight" activeCell="C1" sqref="C1"/>
      <selection pane="bottomLeft" activeCell="A5" sqref="A5"/>
      <selection pane="bottomRight" activeCell="E159" sqref="E159"/>
    </sheetView>
  </sheetViews>
  <sheetFormatPr defaultRowHeight="15"/>
  <cols>
    <col min="1" max="1" width="10.7109375" bestFit="1" customWidth="1"/>
    <col min="3" max="3" width="11.7109375" bestFit="1" customWidth="1"/>
    <col min="4" max="4" width="32.28515625" bestFit="1" customWidth="1"/>
    <col min="5" max="5" width="14" bestFit="1" customWidth="1"/>
    <col min="6" max="6" width="14.140625" bestFit="1" customWidth="1"/>
    <col min="7" max="7" width="14.140625" customWidth="1"/>
    <col min="8" max="8" width="9.5703125" bestFit="1" customWidth="1"/>
    <col min="9" max="10" width="14.5703125" bestFit="1" customWidth="1"/>
    <col min="11" max="11" width="20.140625" bestFit="1" customWidth="1"/>
    <col min="12" max="12" width="43.42578125" customWidth="1"/>
    <col min="13" max="13" width="108.85546875" bestFit="1" customWidth="1"/>
  </cols>
  <sheetData>
    <row r="1" spans="1:13" s="5" customFormat="1" ht="44.25" customHeight="1">
      <c r="A1" s="3" t="s">
        <v>195</v>
      </c>
      <c r="C1" s="2" t="s">
        <v>206</v>
      </c>
      <c r="D1" s="2" t="s">
        <v>0</v>
      </c>
      <c r="E1" s="2" t="s">
        <v>2</v>
      </c>
      <c r="F1" s="2" t="s">
        <v>196</v>
      </c>
      <c r="G1" s="2" t="s">
        <v>200</v>
      </c>
      <c r="H1" s="2" t="s">
        <v>198</v>
      </c>
      <c r="I1" s="2" t="s">
        <v>203</v>
      </c>
      <c r="J1" s="2" t="s">
        <v>199</v>
      </c>
      <c r="K1" s="2" t="s">
        <v>197</v>
      </c>
      <c r="L1" s="2" t="s">
        <v>172</v>
      </c>
      <c r="M1" s="2" t="s">
        <v>184</v>
      </c>
    </row>
    <row r="2" spans="1:13" ht="26.25">
      <c r="A2" s="4">
        <v>60</v>
      </c>
      <c r="C2" t="s">
        <v>4</v>
      </c>
      <c r="D2" t="s">
        <v>5</v>
      </c>
      <c r="E2">
        <v>1974</v>
      </c>
      <c r="F2" s="6">
        <v>1.3464164759725401</v>
      </c>
      <c r="G2" s="6" t="s">
        <v>201</v>
      </c>
      <c r="H2">
        <f>IF(Table1[[#This Row],[Lifetime Option]]="fixed",Table1[[#This Row],[End of life (fixed)]]-Table1[[#This Row],[Start year]],Table2[Generic  Lifetime])</f>
        <v>51</v>
      </c>
      <c r="I2">
        <v>2025</v>
      </c>
      <c r="J2">
        <f>IF(Table1[[#This Row],[Lifetime Option]]="fixed",Table1[[#This Row],[End of life (fixed)]],Table1[[#This Row],[Start year]]+Table2[Generic  Lifetime])</f>
        <v>2025</v>
      </c>
      <c r="K2">
        <v>0.433</v>
      </c>
      <c r="M2" s="7" t="s">
        <v>173</v>
      </c>
    </row>
    <row r="3" spans="1:13" ht="26.25">
      <c r="C3" t="s">
        <v>4</v>
      </c>
      <c r="D3" t="s">
        <v>6</v>
      </c>
      <c r="E3">
        <v>1975</v>
      </c>
      <c r="F3" s="6">
        <v>1.3464164759725401</v>
      </c>
      <c r="G3" s="6" t="s">
        <v>201</v>
      </c>
      <c r="H3">
        <f>IF(Table1[[#This Row],[Lifetime Option]]="fixed",Table1[[#This Row],[End of life (fixed)]]-Table1[[#This Row],[Start year]],Table2[Generic  Lifetime])</f>
        <v>50</v>
      </c>
      <c r="I3">
        <v>2025</v>
      </c>
      <c r="J3">
        <f>IF(Table1[[#This Row],[Lifetime Option]]="fixed",Table1[[#This Row],[End of life (fixed)]],Table1[[#This Row],[Start year]]+Table2[Generic  Lifetime])</f>
        <v>2025</v>
      </c>
      <c r="K3">
        <v>0.433</v>
      </c>
      <c r="M3" s="7" t="s">
        <v>173</v>
      </c>
    </row>
    <row r="4" spans="1:13">
      <c r="C4" t="s">
        <v>4</v>
      </c>
      <c r="D4" t="s">
        <v>7</v>
      </c>
      <c r="E4">
        <v>1982</v>
      </c>
      <c r="F4" s="6">
        <v>1.46387740667976</v>
      </c>
      <c r="G4" s="6" t="s">
        <v>201</v>
      </c>
      <c r="H4">
        <f>IF(Table1[[#This Row],[Lifetime Option]]="fixed",Table1[[#This Row],[End of life (fixed)]]-Table1[[#This Row],[Start year]],Table2[Generic  Lifetime])</f>
        <v>40</v>
      </c>
      <c r="I4">
        <v>2022</v>
      </c>
      <c r="J4">
        <f>IF(Table1[[#This Row],[Lifetime Option]]="fixed",Table1[[#This Row],[End of life (fixed)]],Table1[[#This Row],[Start year]]+Table2[Generic  Lifetime])</f>
        <v>2022</v>
      </c>
      <c r="K4">
        <v>1.006</v>
      </c>
      <c r="L4" t="s">
        <v>185</v>
      </c>
      <c r="M4" s="7" t="s">
        <v>175</v>
      </c>
    </row>
    <row r="5" spans="1:13">
      <c r="C5" t="s">
        <v>4</v>
      </c>
      <c r="D5" t="s">
        <v>8</v>
      </c>
      <c r="E5">
        <v>1985</v>
      </c>
      <c r="F5" s="6">
        <v>1.4183132530120499</v>
      </c>
      <c r="G5" s="6" t="s">
        <v>201</v>
      </c>
      <c r="H5">
        <f>IF(Table1[[#This Row],[Lifetime Option]]="fixed",Table1[[#This Row],[End of life (fixed)]]-Table1[[#This Row],[Start year]],Table2[Generic  Lifetime])</f>
        <v>40</v>
      </c>
      <c r="I5">
        <v>2025</v>
      </c>
      <c r="J5">
        <f>IF(Table1[[#This Row],[Lifetime Option]]="fixed",Table1[[#This Row],[End of life (fixed)]],Table1[[#This Row],[Start year]]+Table2[Generic  Lifetime])</f>
        <v>2025</v>
      </c>
      <c r="K5">
        <v>1.0389999999999999</v>
      </c>
      <c r="M5" s="8"/>
    </row>
    <row r="6" spans="1:13">
      <c r="C6" t="s">
        <v>4</v>
      </c>
      <c r="D6" t="s">
        <v>9</v>
      </c>
      <c r="E6">
        <v>1975</v>
      </c>
      <c r="F6" s="6">
        <v>1.3654688478941901</v>
      </c>
      <c r="G6" s="6" t="s">
        <v>201</v>
      </c>
      <c r="H6">
        <f>IF(Table1[[#This Row],[Lifetime Option]]="fixed",Table1[[#This Row],[End of life (fixed)]]-Table1[[#This Row],[Start year]],Table2[Generic  Lifetime])</f>
        <v>50</v>
      </c>
      <c r="I6">
        <v>2025</v>
      </c>
      <c r="J6">
        <f>IF(Table1[[#This Row],[Lifetime Option]]="fixed",Table1[[#This Row],[End of life (fixed)]],Table1[[#This Row],[Start year]]+Table2[Generic  Lifetime])</f>
        <v>2025</v>
      </c>
      <c r="K6">
        <v>0.96199999999999997</v>
      </c>
      <c r="M6" s="7" t="s">
        <v>174</v>
      </c>
    </row>
    <row r="7" spans="1:13">
      <c r="C7" t="s">
        <v>4</v>
      </c>
      <c r="D7" t="s">
        <v>10</v>
      </c>
      <c r="E7">
        <v>1982</v>
      </c>
      <c r="F7" s="6">
        <v>1.3387206266318501</v>
      </c>
      <c r="G7" s="6" t="s">
        <v>201</v>
      </c>
      <c r="H7">
        <f>IF(Table1[[#This Row],[Lifetime Option]]="fixed",Table1[[#This Row],[End of life (fixed)]]-Table1[[#This Row],[Start year]],Table2[Generic  Lifetime])</f>
        <v>40</v>
      </c>
      <c r="I7">
        <v>2022</v>
      </c>
      <c r="J7">
        <f>IF(Table1[[#This Row],[Lifetime Option]]="fixed",Table1[[#This Row],[End of life (fixed)]],Table1[[#This Row],[Start year]]+Table2[Generic  Lifetime])</f>
        <v>2022</v>
      </c>
      <c r="K7">
        <v>1.008</v>
      </c>
      <c r="L7" t="s">
        <v>185</v>
      </c>
      <c r="M7" s="7" t="s">
        <v>175</v>
      </c>
    </row>
    <row r="8" spans="1:13">
      <c r="C8" t="s">
        <v>4</v>
      </c>
      <c r="D8" t="s">
        <v>11</v>
      </c>
      <c r="E8">
        <v>1985</v>
      </c>
      <c r="F8" s="6">
        <v>1.417824</v>
      </c>
      <c r="G8" s="6" t="s">
        <v>201</v>
      </c>
      <c r="H8">
        <f>IF(Table1[[#This Row],[Lifetime Option]]="fixed",Table1[[#This Row],[End of life (fixed)]]-Table1[[#This Row],[Start year]],Table2[Generic  Lifetime])</f>
        <v>40</v>
      </c>
      <c r="I8">
        <v>2025</v>
      </c>
      <c r="J8">
        <f>IF(Table1[[#This Row],[Lifetime Option]]="fixed",Table1[[#This Row],[End of life (fixed)]],Table1[[#This Row],[Start year]]+Table2[Generic  Lifetime])</f>
        <v>2025</v>
      </c>
      <c r="K8">
        <v>1.046</v>
      </c>
      <c r="M8" s="8"/>
    </row>
    <row r="9" spans="1:13">
      <c r="C9" t="s">
        <v>12</v>
      </c>
      <c r="D9" t="s">
        <v>13</v>
      </c>
      <c r="E9">
        <v>1980</v>
      </c>
      <c r="F9" s="6">
        <v>0.77</v>
      </c>
      <c r="G9" s="6" t="s">
        <v>201</v>
      </c>
      <c r="H9">
        <f>IF(Table1[[#This Row],[Lifetime Option]]="fixed",Table1[[#This Row],[End of life (fixed)]]-Table1[[#This Row],[Start year]],Table2[Generic  Lifetime])</f>
        <v>26</v>
      </c>
      <c r="I9">
        <v>2006</v>
      </c>
      <c r="J9">
        <f>IF(Table1[[#This Row],[Lifetime Option]]="fixed",Table1[[#This Row],[End of life (fixed)]],Table1[[#This Row],[Start year]]+Table2[Generic  Lifetime])</f>
        <v>2006</v>
      </c>
      <c r="K9">
        <v>0.40799999999999997</v>
      </c>
      <c r="L9" t="s">
        <v>186</v>
      </c>
      <c r="M9" s="8"/>
    </row>
    <row r="10" spans="1:13">
      <c r="C10" t="s">
        <v>12</v>
      </c>
      <c r="D10" t="s">
        <v>14</v>
      </c>
      <c r="E10">
        <v>1982</v>
      </c>
      <c r="F10" s="6">
        <v>0.77</v>
      </c>
      <c r="G10" s="6" t="s">
        <v>201</v>
      </c>
      <c r="H10">
        <f>IF(Table1[[#This Row],[Lifetime Option]]="fixed",Table1[[#This Row],[End of life (fixed)]]-Table1[[#This Row],[Start year]],Table2[Generic  Lifetime])</f>
        <v>24</v>
      </c>
      <c r="I10">
        <v>2006</v>
      </c>
      <c r="J10">
        <f>IF(Table1[[#This Row],[Lifetime Option]]="fixed",Table1[[#This Row],[End of life (fixed)]],Table1[[#This Row],[Start year]]+Table2[Generic  Lifetime])</f>
        <v>2006</v>
      </c>
      <c r="K10">
        <v>0.40799999999999997</v>
      </c>
      <c r="L10" t="s">
        <v>186</v>
      </c>
      <c r="M10" s="8"/>
    </row>
    <row r="11" spans="1:13">
      <c r="C11" t="s">
        <v>12</v>
      </c>
      <c r="D11" t="s">
        <v>15</v>
      </c>
      <c r="E11">
        <v>1987</v>
      </c>
      <c r="F11" s="6">
        <v>0.77759999999999996</v>
      </c>
      <c r="G11" s="6" t="s">
        <v>202</v>
      </c>
      <c r="H11">
        <f>IF(Table1[[#This Row],[Lifetime Option]]="fixed",Table1[[#This Row],[End of life (fixed)]]-Table1[[#This Row],[Start year]],Table2[Generic  Lifetime])</f>
        <v>60</v>
      </c>
      <c r="J11">
        <f>IF(Table1[[#This Row],[Lifetime Option]]="fixed",Table1[[#This Row],[End of life (fixed)]],Table1[[#This Row],[Start year]]+Table2[Generic  Lifetime])</f>
        <v>2047</v>
      </c>
      <c r="K11">
        <v>0.95299999999999996</v>
      </c>
      <c r="M11" s="7" t="s">
        <v>177</v>
      </c>
    </row>
    <row r="12" spans="1:13">
      <c r="C12" t="s">
        <v>12</v>
      </c>
      <c r="D12" t="s">
        <v>16</v>
      </c>
      <c r="E12">
        <v>1991</v>
      </c>
      <c r="F12" s="6">
        <v>0.77759999999999996</v>
      </c>
      <c r="G12" s="6" t="s">
        <v>202</v>
      </c>
      <c r="H12">
        <f>IF(Table1[[#This Row],[Lifetime Option]]="fixed",Table1[[#This Row],[End of life (fixed)]]-Table1[[#This Row],[Start year]],Table2[Generic  Lifetime])</f>
        <v>60</v>
      </c>
      <c r="J12">
        <f>IF(Table1[[#This Row],[Lifetime Option]]="fixed",Table1[[#This Row],[End of life (fixed)]],Table1[[#This Row],[Start year]]+Table2[Generic  Lifetime])</f>
        <v>2051</v>
      </c>
      <c r="K12">
        <v>0.95299999999999996</v>
      </c>
      <c r="M12" s="7" t="s">
        <v>177</v>
      </c>
    </row>
    <row r="13" spans="1:13">
      <c r="C13" t="s">
        <v>17</v>
      </c>
      <c r="D13" t="s">
        <v>18</v>
      </c>
      <c r="E13">
        <v>1969</v>
      </c>
      <c r="F13" s="6">
        <v>1.22030442477876</v>
      </c>
      <c r="G13" s="6" t="s">
        <v>201</v>
      </c>
      <c r="H13">
        <f>IF(Table1[[#This Row],[Lifetime Option]]="fixed",Table1[[#This Row],[End of life (fixed)]]-Table1[[#This Row],[Start year]],Table2[Generic  Lifetime])</f>
        <v>50</v>
      </c>
      <c r="I13">
        <v>2019</v>
      </c>
      <c r="J13">
        <f>IF(Table1[[#This Row],[Lifetime Option]]="fixed",Table1[[#This Row],[End of life (fixed)]],Table1[[#This Row],[Start year]]+Table2[Generic  Lifetime])</f>
        <v>2019</v>
      </c>
      <c r="K13">
        <v>0.36499999999999999</v>
      </c>
      <c r="L13" t="s">
        <v>205</v>
      </c>
      <c r="M13" s="7" t="s">
        <v>204</v>
      </c>
    </row>
    <row r="14" spans="1:13">
      <c r="C14" t="s">
        <v>17</v>
      </c>
      <c r="D14" t="s">
        <v>19</v>
      </c>
      <c r="E14">
        <v>1971</v>
      </c>
      <c r="F14" s="6">
        <v>1.22030442477876</v>
      </c>
      <c r="G14" s="6" t="s">
        <v>201</v>
      </c>
      <c r="H14">
        <f>IF(Table1[[#This Row],[Lifetime Option]]="fixed",Table1[[#This Row],[End of life (fixed)]]-Table1[[#This Row],[Start year]],Table2[Generic  Lifetime])</f>
        <v>50</v>
      </c>
      <c r="I14">
        <v>2021</v>
      </c>
      <c r="J14">
        <f>IF(Table1[[#This Row],[Lifetime Option]]="fixed",Table1[[#This Row],[End of life (fixed)]],Table1[[#This Row],[Start year]]+Table2[Generic  Lifetime])</f>
        <v>2021</v>
      </c>
      <c r="K14">
        <v>0.36499999999999999</v>
      </c>
      <c r="L14" t="s">
        <v>205</v>
      </c>
      <c r="M14" s="7" t="s">
        <v>204</v>
      </c>
    </row>
    <row r="15" spans="1:13">
      <c r="C15" t="s">
        <v>17</v>
      </c>
      <c r="D15" t="s">
        <v>20</v>
      </c>
      <c r="E15">
        <v>1979</v>
      </c>
      <c r="F15" s="6">
        <v>1.54898334443704</v>
      </c>
      <c r="G15" s="6" t="s">
        <v>201</v>
      </c>
      <c r="H15">
        <f>IF(Table1[[#This Row],[Lifetime Option]]="fixed",Table1[[#This Row],[End of life (fixed)]]-Table1[[#This Row],[Start year]],Table2[Generic  Lifetime])</f>
        <v>50</v>
      </c>
      <c r="I15">
        <v>2029</v>
      </c>
      <c r="J15">
        <f>IF(Table1[[#This Row],[Lifetime Option]]="fixed",Table1[[#This Row],[End of life (fixed)]],Table1[[#This Row],[Start year]]+Table2[Generic  Lifetime])</f>
        <v>2029</v>
      </c>
      <c r="K15">
        <v>0.98499999999999999</v>
      </c>
      <c r="L15" t="s">
        <v>205</v>
      </c>
      <c r="M15" s="7" t="s">
        <v>204</v>
      </c>
    </row>
    <row r="16" spans="1:13">
      <c r="C16" t="s">
        <v>17</v>
      </c>
      <c r="D16" t="s">
        <v>21</v>
      </c>
      <c r="E16">
        <v>1984</v>
      </c>
      <c r="F16" s="6">
        <v>1.28484</v>
      </c>
      <c r="G16" s="6" t="s">
        <v>201</v>
      </c>
      <c r="H16">
        <f>IF(Table1[[#This Row],[Lifetime Option]]="fixed",Table1[[#This Row],[End of life (fixed)]]-Table1[[#This Row],[Start year]],Table2[Generic  Lifetime])</f>
        <v>50</v>
      </c>
      <c r="I16">
        <v>2034</v>
      </c>
      <c r="J16">
        <f>IF(Table1[[#This Row],[Lifetime Option]]="fixed",Table1[[#This Row],[End of life (fixed)]],Table1[[#This Row],[Start year]]+Table2[Generic  Lifetime])</f>
        <v>2034</v>
      </c>
      <c r="K16">
        <v>1.22</v>
      </c>
      <c r="L16" t="s">
        <v>205</v>
      </c>
      <c r="M16" s="7" t="s">
        <v>204</v>
      </c>
    </row>
    <row r="17" spans="3:13">
      <c r="C17" t="s">
        <v>17</v>
      </c>
      <c r="D17" t="s">
        <v>22</v>
      </c>
      <c r="E17">
        <v>1971</v>
      </c>
      <c r="F17" s="6">
        <v>1.4743919781221499</v>
      </c>
      <c r="G17" s="6" t="s">
        <v>201</v>
      </c>
      <c r="H17">
        <f>IF(Table1[[#This Row],[Lifetime Option]]="fixed",Table1[[#This Row],[End of life (fixed)]]-Table1[[#This Row],[Start year]],Table2[Generic  Lifetime])</f>
        <v>48</v>
      </c>
      <c r="I17">
        <v>2019</v>
      </c>
      <c r="J17">
        <f>IF(Table1[[#This Row],[Lifetime Option]]="fixed",Table1[[#This Row],[End of life (fixed)]],Table1[[#This Row],[Start year]]+Table2[Generic  Lifetime])</f>
        <v>2019</v>
      </c>
      <c r="K17">
        <v>0.373</v>
      </c>
      <c r="L17" t="s">
        <v>205</v>
      </c>
      <c r="M17" s="7" t="s">
        <v>204</v>
      </c>
    </row>
    <row r="18" spans="3:13">
      <c r="C18" t="s">
        <v>23</v>
      </c>
      <c r="D18" t="s">
        <v>24</v>
      </c>
      <c r="E18">
        <v>1985</v>
      </c>
      <c r="F18" s="6">
        <v>1.2607488</v>
      </c>
      <c r="G18" s="6" t="s">
        <v>202</v>
      </c>
      <c r="H18">
        <f>IF(Table1[[#This Row],[Lifetime Option]]="fixed",Table1[[#This Row],[End of life (fixed)]]-Table1[[#This Row],[Start year]],Table2[Generic  Lifetime])</f>
        <v>60</v>
      </c>
      <c r="J18">
        <f>IF(Table1[[#This Row],[Lifetime Option]]="fixed",Table1[[#This Row],[End of life (fixed)]],Table1[[#This Row],[Start year]]+Table2[Generic  Lifetime])</f>
        <v>2045</v>
      </c>
      <c r="K18">
        <v>0.46800000000000003</v>
      </c>
      <c r="M18" s="7" t="s">
        <v>180</v>
      </c>
    </row>
    <row r="19" spans="3:13">
      <c r="C19" t="s">
        <v>23</v>
      </c>
      <c r="D19" t="s">
        <v>25</v>
      </c>
      <c r="E19">
        <v>1986</v>
      </c>
      <c r="F19" s="6">
        <v>1.2607488</v>
      </c>
      <c r="G19" s="6" t="s">
        <v>202</v>
      </c>
      <c r="H19">
        <f>IF(Table1[[#This Row],[Lifetime Option]]="fixed",Table1[[#This Row],[End of life (fixed)]]-Table1[[#This Row],[Start year]],Table2[Generic  Lifetime])</f>
        <v>60</v>
      </c>
      <c r="J19">
        <f>IF(Table1[[#This Row],[Lifetime Option]]="fixed",Table1[[#This Row],[End of life (fixed)]],Table1[[#This Row],[Start year]]+Table2[Generic  Lifetime])</f>
        <v>2046</v>
      </c>
      <c r="K19">
        <v>0.47099999999999997</v>
      </c>
      <c r="M19" s="8"/>
    </row>
    <row r="20" spans="3:13">
      <c r="C20" t="s">
        <v>23</v>
      </c>
      <c r="D20" t="s">
        <v>26</v>
      </c>
      <c r="E20">
        <v>1986</v>
      </c>
      <c r="F20" s="6">
        <v>1.3110781163434899</v>
      </c>
      <c r="G20" s="6" t="s">
        <v>202</v>
      </c>
      <c r="H20">
        <f>IF(Table1[[#This Row],[Lifetime Option]]="fixed",Table1[[#This Row],[End of life (fixed)]]-Table1[[#This Row],[Start year]],Table2[Generic  Lifetime])</f>
        <v>60</v>
      </c>
      <c r="J20">
        <f>IF(Table1[[#This Row],[Lifetime Option]]="fixed",Table1[[#This Row],[End of life (fixed)]],Table1[[#This Row],[Start year]]+Table2[Generic  Lifetime])</f>
        <v>2046</v>
      </c>
      <c r="K20">
        <v>0.46800000000000003</v>
      </c>
      <c r="M20" s="8"/>
    </row>
    <row r="21" spans="3:13">
      <c r="C21" t="s">
        <v>23</v>
      </c>
      <c r="D21" t="s">
        <v>27</v>
      </c>
      <c r="E21">
        <v>1987</v>
      </c>
      <c r="F21" s="6">
        <v>1.2607488</v>
      </c>
      <c r="G21" s="6" t="s">
        <v>202</v>
      </c>
      <c r="H21">
        <f>IF(Table1[[#This Row],[Lifetime Option]]="fixed",Table1[[#This Row],[End of life (fixed)]]-Table1[[#This Row],[Start year]],Table2[Generic  Lifetime])</f>
        <v>60</v>
      </c>
      <c r="J21">
        <f>IF(Table1[[#This Row],[Lifetime Option]]="fixed",Table1[[#This Row],[End of life (fixed)]],Table1[[#This Row],[Start year]]+Table2[Generic  Lifetime])</f>
        <v>2047</v>
      </c>
      <c r="K21">
        <v>0.47099999999999997</v>
      </c>
      <c r="M21" s="8"/>
    </row>
    <row r="22" spans="3:13">
      <c r="C22" t="s">
        <v>23</v>
      </c>
      <c r="D22" t="s">
        <v>28</v>
      </c>
      <c r="E22">
        <v>2000</v>
      </c>
      <c r="F22" s="6">
        <v>1.312848</v>
      </c>
      <c r="G22" s="6" t="s">
        <v>202</v>
      </c>
      <c r="H22">
        <f>IF(Table1[[#This Row],[Lifetime Option]]="fixed",Table1[[#This Row],[End of life (fixed)]]-Table1[[#This Row],[Start year]],Table2[Generic  Lifetime])</f>
        <v>60</v>
      </c>
      <c r="J22">
        <f>IF(Table1[[#This Row],[Lifetime Option]]="fixed",Table1[[#This Row],[End of life (fixed)]],Table1[[#This Row],[Start year]]+Table2[Generic  Lifetime])</f>
        <v>2060</v>
      </c>
      <c r="K22">
        <v>0.96299999999999997</v>
      </c>
      <c r="M22" s="8"/>
    </row>
    <row r="23" spans="3:13">
      <c r="C23" t="s">
        <v>23</v>
      </c>
      <c r="D23" t="s">
        <v>29</v>
      </c>
      <c r="E23">
        <v>2002</v>
      </c>
      <c r="F23" s="6">
        <v>1.312848</v>
      </c>
      <c r="G23" s="6" t="s">
        <v>202</v>
      </c>
      <c r="H23">
        <f>IF(Table1[[#This Row],[Lifetime Option]]="fixed",Table1[[#This Row],[End of life (fixed)]]-Table1[[#This Row],[Start year]],Table2[Generic  Lifetime])</f>
        <v>60</v>
      </c>
      <c r="J23">
        <f>IF(Table1[[#This Row],[Lifetime Option]]="fixed",Table1[[#This Row],[End of life (fixed)]],Table1[[#This Row],[Start year]]+Table2[Generic  Lifetime])</f>
        <v>2062</v>
      </c>
      <c r="K23">
        <v>0.96299999999999997</v>
      </c>
      <c r="M23" s="8"/>
    </row>
    <row r="24" spans="3:13">
      <c r="C24" t="s">
        <v>1</v>
      </c>
      <c r="D24" t="s">
        <v>30</v>
      </c>
      <c r="E24">
        <v>1974</v>
      </c>
      <c r="F24" s="6">
        <v>0.94089599999999995</v>
      </c>
      <c r="G24" s="6" t="s">
        <v>201</v>
      </c>
      <c r="H24">
        <f>IF(Table1[[#This Row],[Lifetime Option]]="fixed",Table1[[#This Row],[End of life (fixed)]]-Table1[[#This Row],[Start year]],Table2[Generic  Lifetime])</f>
        <v>37</v>
      </c>
      <c r="I24">
        <v>2011</v>
      </c>
      <c r="J24">
        <f>IF(Table1[[#This Row],[Lifetime Option]]="fixed",Table1[[#This Row],[End of life (fixed)]],Table1[[#This Row],[Start year]]+Table2[Generic  Lifetime])</f>
        <v>2011</v>
      </c>
      <c r="K24">
        <v>1.167</v>
      </c>
      <c r="L24" t="s">
        <v>186</v>
      </c>
      <c r="M24" s="8"/>
    </row>
    <row r="25" spans="3:13">
      <c r="C25" t="s">
        <v>1</v>
      </c>
      <c r="D25" t="s">
        <v>31</v>
      </c>
      <c r="E25">
        <v>1976</v>
      </c>
      <c r="F25" s="6">
        <v>0.94089599999999995</v>
      </c>
      <c r="G25" s="6" t="s">
        <v>201</v>
      </c>
      <c r="H25">
        <f>IF(Table1[[#This Row],[Lifetime Option]]="fixed",Table1[[#This Row],[End of life (fixed)]]-Table1[[#This Row],[Start year]],Table2[Generic  Lifetime])</f>
        <v>35</v>
      </c>
      <c r="I25">
        <v>2011</v>
      </c>
      <c r="J25">
        <f>IF(Table1[[#This Row],[Lifetime Option]]="fixed",Table1[[#This Row],[End of life (fixed)]],Table1[[#This Row],[Start year]]+Table2[Generic  Lifetime])</f>
        <v>2011</v>
      </c>
      <c r="K25">
        <v>1.24</v>
      </c>
      <c r="L25" t="s">
        <v>186</v>
      </c>
      <c r="M25" s="8"/>
    </row>
    <row r="26" spans="3:13">
      <c r="C26" t="s">
        <v>1</v>
      </c>
      <c r="D26" t="s">
        <v>32</v>
      </c>
      <c r="E26">
        <v>1986</v>
      </c>
      <c r="F26" s="6">
        <v>1.11478153846154</v>
      </c>
      <c r="G26" s="6" t="s">
        <v>201</v>
      </c>
      <c r="H26">
        <f>IF(Table1[[#This Row],[Lifetime Option]]="fixed",Table1[[#This Row],[End of life (fixed)]]-Table1[[#This Row],[Start year]],Table2[Generic  Lifetime])</f>
        <v>35</v>
      </c>
      <c r="I26">
        <v>2021</v>
      </c>
      <c r="J26">
        <f>IF(Table1[[#This Row],[Lifetime Option]]="fixed",Table1[[#This Row],[End of life (fixed)]],Table1[[#This Row],[Start year]]+Table2[Generic  Lifetime])</f>
        <v>2021</v>
      </c>
      <c r="K26">
        <v>1.41</v>
      </c>
      <c r="M26" s="8"/>
    </row>
    <row r="27" spans="3:13">
      <c r="C27" t="s">
        <v>1</v>
      </c>
      <c r="D27" t="s">
        <v>33</v>
      </c>
      <c r="E27">
        <v>1976</v>
      </c>
      <c r="F27" s="6">
        <v>0.91238399999999997</v>
      </c>
      <c r="G27" s="6" t="s">
        <v>201</v>
      </c>
      <c r="H27">
        <f>IF(Table1[[#This Row],[Lifetime Option]]="fixed",Table1[[#This Row],[End of life (fixed)]]-Table1[[#This Row],[Start year]],Table2[Generic  Lifetime])</f>
        <v>35</v>
      </c>
      <c r="I27">
        <v>2011</v>
      </c>
      <c r="J27">
        <f>IF(Table1[[#This Row],[Lifetime Option]]="fixed",Table1[[#This Row],[End of life (fixed)]],Table1[[#This Row],[Start year]]+Table2[Generic  Lifetime])</f>
        <v>2011</v>
      </c>
      <c r="K27">
        <v>0.77100000000000002</v>
      </c>
      <c r="L27" t="s">
        <v>186</v>
      </c>
      <c r="M27" s="8"/>
    </row>
    <row r="28" spans="3:13">
      <c r="C28" t="s">
        <v>1</v>
      </c>
      <c r="D28" t="s">
        <v>34</v>
      </c>
      <c r="E28">
        <v>1988</v>
      </c>
      <c r="F28" s="6">
        <v>1.0053818181818199</v>
      </c>
      <c r="G28" s="6" t="s">
        <v>201</v>
      </c>
      <c r="H28">
        <f>IF(Table1[[#This Row],[Lifetime Option]]="fixed",Table1[[#This Row],[End of life (fixed)]]-Table1[[#This Row],[Start year]],Table2[Generic  Lifetime])</f>
        <v>34</v>
      </c>
      <c r="I28">
        <v>2022</v>
      </c>
      <c r="J28">
        <f>IF(Table1[[#This Row],[Lifetime Option]]="fixed",Table1[[#This Row],[End of life (fixed)]],Table1[[#This Row],[Start year]]+Table2[Generic  Lifetime])</f>
        <v>2022</v>
      </c>
      <c r="K28">
        <v>1.335</v>
      </c>
      <c r="M28" s="8" t="s">
        <v>181</v>
      </c>
    </row>
    <row r="29" spans="3:13">
      <c r="C29" t="s">
        <v>1</v>
      </c>
      <c r="D29" t="s">
        <v>35</v>
      </c>
      <c r="E29">
        <v>1981</v>
      </c>
      <c r="F29" s="6">
        <v>1.04942151394422</v>
      </c>
      <c r="G29" s="6" t="s">
        <v>201</v>
      </c>
      <c r="H29">
        <f>IF(Table1[[#This Row],[Lifetime Option]]="fixed",Table1[[#This Row],[End of life (fixed)]]-Table1[[#This Row],[Start year]],Table2[Generic  Lifetime])</f>
        <v>34</v>
      </c>
      <c r="I29">
        <v>2015</v>
      </c>
      <c r="J29">
        <f>IF(Table1[[#This Row],[Lifetime Option]]="fixed",Table1[[#This Row],[End of life (fixed)]],Table1[[#This Row],[Start year]]+Table2[Generic  Lifetime])</f>
        <v>2015</v>
      </c>
      <c r="K29">
        <v>1.2749999999999999</v>
      </c>
      <c r="L29" t="s">
        <v>186</v>
      </c>
      <c r="M29" s="8"/>
    </row>
    <row r="30" spans="3:13">
      <c r="C30" t="s">
        <v>1</v>
      </c>
      <c r="D30" t="s">
        <v>36</v>
      </c>
      <c r="E30">
        <v>1984</v>
      </c>
      <c r="F30" s="6">
        <v>1.0771200000000001</v>
      </c>
      <c r="G30" s="6" t="s">
        <v>201</v>
      </c>
      <c r="H30">
        <f>IF(Table1[[#This Row],[Lifetime Option]]="fixed",Table1[[#This Row],[End of life (fixed)]]-Table1[[#This Row],[Start year]],Table2[Generic  Lifetime])</f>
        <v>37</v>
      </c>
      <c r="I30">
        <v>2021</v>
      </c>
      <c r="J30">
        <f>IF(Table1[[#This Row],[Lifetime Option]]="fixed",Table1[[#This Row],[End of life (fixed)]],Table1[[#This Row],[Start year]]+Table2[Generic  Lifetime])</f>
        <v>2021</v>
      </c>
      <c r="K30">
        <v>1.36</v>
      </c>
      <c r="M30" s="8"/>
    </row>
    <row r="31" spans="3:13">
      <c r="C31" t="s">
        <v>1</v>
      </c>
      <c r="D31" t="s">
        <v>37</v>
      </c>
      <c r="E31">
        <v>1984</v>
      </c>
      <c r="F31" s="6">
        <v>0.83160000000000001</v>
      </c>
      <c r="G31" s="6" t="s">
        <v>201</v>
      </c>
      <c r="H31">
        <f>IF(Table1[[#This Row],[Lifetime Option]]="fixed",Table1[[#This Row],[End of life (fixed)]]-Table1[[#This Row],[Start year]],Table2[Generic  Lifetime])</f>
        <v>33</v>
      </c>
      <c r="I31">
        <v>2017</v>
      </c>
      <c r="J31">
        <f>IF(Table1[[#This Row],[Lifetime Option]]="fixed",Table1[[#This Row],[End of life (fixed)]],Table1[[#This Row],[Start year]]+Table2[Generic  Lifetime])</f>
        <v>2017</v>
      </c>
      <c r="K31">
        <v>1.284</v>
      </c>
      <c r="M31" s="8"/>
    </row>
    <row r="32" spans="3:13">
      <c r="C32" t="s">
        <v>1</v>
      </c>
      <c r="D32" t="s">
        <v>38</v>
      </c>
      <c r="E32">
        <v>1984</v>
      </c>
      <c r="F32" s="6">
        <v>0.83160000000000001</v>
      </c>
      <c r="G32" s="6" t="s">
        <v>201</v>
      </c>
      <c r="H32">
        <f>IF(Table1[[#This Row],[Lifetime Option]]="fixed",Table1[[#This Row],[End of life (fixed)]]-Table1[[#This Row],[Start year]],Table2[Generic  Lifetime])</f>
        <v>37</v>
      </c>
      <c r="I32">
        <v>2021</v>
      </c>
      <c r="J32">
        <f>IF(Table1[[#This Row],[Lifetime Option]]="fixed",Table1[[#This Row],[End of life (fixed)]],Table1[[#This Row],[Start year]]+Table2[Generic  Lifetime])</f>
        <v>2021</v>
      </c>
      <c r="K32">
        <v>1.288</v>
      </c>
      <c r="M32" s="8"/>
    </row>
    <row r="33" spans="3:13">
      <c r="C33" t="s">
        <v>1</v>
      </c>
      <c r="D33" t="s">
        <v>39</v>
      </c>
      <c r="E33">
        <v>1988</v>
      </c>
      <c r="F33" s="6">
        <v>1.28304</v>
      </c>
      <c r="G33" s="6" t="s">
        <v>201</v>
      </c>
      <c r="H33">
        <f>IF(Table1[[#This Row],[Lifetime Option]]="fixed",Table1[[#This Row],[End of life (fixed)]]-Table1[[#This Row],[Start year]],Table2[Generic  Lifetime])</f>
        <v>23</v>
      </c>
      <c r="I33">
        <v>2011</v>
      </c>
      <c r="J33">
        <f>IF(Table1[[#This Row],[Lifetime Option]]="fixed",Table1[[#This Row],[End of life (fixed)]],Table1[[#This Row],[Start year]]+Table2[Generic  Lifetime])</f>
        <v>2011</v>
      </c>
      <c r="K33">
        <v>0.878</v>
      </c>
      <c r="L33" t="s">
        <v>186</v>
      </c>
      <c r="M33" s="8"/>
    </row>
    <row r="34" spans="3:13">
      <c r="C34" t="s">
        <v>1</v>
      </c>
      <c r="D34" t="s">
        <v>40</v>
      </c>
      <c r="E34">
        <v>1988</v>
      </c>
      <c r="F34" s="6">
        <v>1.0394248101265799</v>
      </c>
      <c r="G34" s="6" t="s">
        <v>201</v>
      </c>
      <c r="H34">
        <f>IF(Table1[[#This Row],[Lifetime Option]]="fixed",Table1[[#This Row],[End of life (fixed)]]-Table1[[#This Row],[Start year]],Table2[Generic  Lifetime])</f>
        <v>34</v>
      </c>
      <c r="I34">
        <v>2022</v>
      </c>
      <c r="J34">
        <f>IF(Table1[[#This Row],[Lifetime Option]]="fixed",Table1[[#This Row],[End of life (fixed)]],Table1[[#This Row],[Start year]]+Table2[Generic  Lifetime])</f>
        <v>2022</v>
      </c>
      <c r="K34">
        <v>1.41</v>
      </c>
      <c r="M34" s="8"/>
    </row>
    <row r="35" spans="3:13">
      <c r="C35" t="s">
        <v>1</v>
      </c>
      <c r="D35" t="s">
        <v>41</v>
      </c>
      <c r="E35">
        <v>1983</v>
      </c>
      <c r="F35" s="6">
        <v>0.91238399999999997</v>
      </c>
      <c r="G35" s="6" t="s">
        <v>201</v>
      </c>
      <c r="H35">
        <f>IF(Table1[[#This Row],[Lifetime Option]]="fixed",Table1[[#This Row],[End of life (fixed)]]-Table1[[#This Row],[Start year]],Table2[Generic  Lifetime])</f>
        <v>28</v>
      </c>
      <c r="I35">
        <v>2011</v>
      </c>
      <c r="J35">
        <f>IF(Table1[[#This Row],[Lifetime Option]]="fixed",Table1[[#This Row],[End of life (fixed)]],Table1[[#This Row],[Start year]]+Table2[Generic  Lifetime])</f>
        <v>2011</v>
      </c>
      <c r="K35">
        <v>1.26</v>
      </c>
      <c r="M35" s="8"/>
    </row>
    <row r="36" spans="3:13">
      <c r="C36" t="s">
        <v>1</v>
      </c>
      <c r="D36" t="s">
        <v>42</v>
      </c>
      <c r="E36">
        <v>1989</v>
      </c>
      <c r="F36" s="6">
        <v>1.4452363636363601</v>
      </c>
      <c r="G36" s="6" t="s">
        <v>201</v>
      </c>
      <c r="H36">
        <f>IF(Table1[[#This Row],[Lifetime Option]]="fixed",Table1[[#This Row],[End of life (fixed)]]-Table1[[#This Row],[Start year]],Table2[Generic  Lifetime])</f>
        <v>33</v>
      </c>
      <c r="I36">
        <v>2022</v>
      </c>
      <c r="J36">
        <f>IF(Table1[[#This Row],[Lifetime Option]]="fixed",Table1[[#This Row],[End of life (fixed)]],Table1[[#This Row],[Start year]]+Table2[Generic  Lifetime])</f>
        <v>2022</v>
      </c>
      <c r="K36">
        <v>1.31</v>
      </c>
      <c r="M36" s="8"/>
    </row>
    <row r="37" spans="3:13">
      <c r="C37" t="s">
        <v>1</v>
      </c>
      <c r="D37" t="s">
        <v>43</v>
      </c>
      <c r="E37">
        <v>1976</v>
      </c>
      <c r="F37" s="6">
        <v>1.0463903999999999</v>
      </c>
      <c r="G37" s="6" t="s">
        <v>201</v>
      </c>
      <c r="H37">
        <f>IF(Table1[[#This Row],[Lifetime Option]]="fixed",Table1[[#This Row],[End of life (fixed)]]-Table1[[#This Row],[Start year]],Table2[Generic  Lifetime])</f>
        <v>35</v>
      </c>
      <c r="I37">
        <v>2011</v>
      </c>
      <c r="J37">
        <f>IF(Table1[[#This Row],[Lifetime Option]]="fixed",Table1[[#This Row],[End of life (fixed)]],Table1[[#This Row],[Start year]]+Table2[Generic  Lifetime])</f>
        <v>2011</v>
      </c>
      <c r="K37">
        <v>0.78500000000000003</v>
      </c>
      <c r="L37" t="s">
        <v>186</v>
      </c>
      <c r="M37" s="8"/>
    </row>
    <row r="38" spans="3:13">
      <c r="C38" t="s">
        <v>1</v>
      </c>
      <c r="D38" t="s">
        <v>44</v>
      </c>
      <c r="E38">
        <v>1979</v>
      </c>
      <c r="F38" s="6">
        <v>1.1376288000000001</v>
      </c>
      <c r="G38" s="6" t="s">
        <v>201</v>
      </c>
      <c r="H38">
        <f>IF(Table1[[#This Row],[Lifetime Option]]="fixed",Table1[[#This Row],[End of life (fixed)]]-Table1[[#This Row],[Start year]],Table2[Generic  Lifetime])</f>
        <v>32</v>
      </c>
      <c r="I38">
        <v>2011</v>
      </c>
      <c r="J38">
        <f>IF(Table1[[#This Row],[Lifetime Option]]="fixed",Table1[[#This Row],[End of life (fixed)]],Table1[[#This Row],[Start year]]+Table2[Generic  Lifetime])</f>
        <v>2011</v>
      </c>
      <c r="K38">
        <v>0.89</v>
      </c>
      <c r="L38" t="s">
        <v>186</v>
      </c>
      <c r="M38" s="8"/>
    </row>
    <row r="39" spans="3:13">
      <c r="C39" t="s">
        <v>1</v>
      </c>
      <c r="D39" t="s">
        <v>45</v>
      </c>
      <c r="E39">
        <v>1984</v>
      </c>
      <c r="F39" s="6">
        <v>1.05963584810127</v>
      </c>
      <c r="G39" s="6" t="s">
        <v>201</v>
      </c>
      <c r="H39">
        <f>IF(Table1[[#This Row],[Lifetime Option]]="fixed",Table1[[#This Row],[End of life (fixed)]]-Table1[[#This Row],[Start year]],Table2[Generic  Lifetime])</f>
        <v>35</v>
      </c>
      <c r="I39">
        <v>2019</v>
      </c>
      <c r="J39">
        <f>IF(Table1[[#This Row],[Lifetime Option]]="fixed",Table1[[#This Row],[End of life (fixed)]],Table1[[#This Row],[Start year]]+Table2[Generic  Lifetime])</f>
        <v>2019</v>
      </c>
      <c r="K39">
        <v>1.4019999999999999</v>
      </c>
      <c r="M39" s="8"/>
    </row>
    <row r="40" spans="3:13">
      <c r="C40" t="s">
        <v>1</v>
      </c>
      <c r="D40" t="s">
        <v>46</v>
      </c>
      <c r="E40">
        <v>1978</v>
      </c>
      <c r="F40" s="6">
        <v>1.0093247999999999</v>
      </c>
      <c r="G40" s="6" t="s">
        <v>201</v>
      </c>
      <c r="H40">
        <f>IF(Table1[[#This Row],[Lifetime Option]]="fixed",Table1[[#This Row],[End of life (fixed)]]-Table1[[#This Row],[Start year]],Table2[Generic  Lifetime])</f>
        <v>33</v>
      </c>
      <c r="I40">
        <v>2011</v>
      </c>
      <c r="J40">
        <f>IF(Table1[[#This Row],[Lifetime Option]]="fixed",Table1[[#This Row],[End of life (fixed)]],Table1[[#This Row],[Start year]]+Table2[Generic  Lifetime])</f>
        <v>2011</v>
      </c>
      <c r="K40">
        <v>1.345</v>
      </c>
      <c r="L40" t="s">
        <v>186</v>
      </c>
      <c r="M40" s="8"/>
    </row>
    <row r="41" spans="3:13">
      <c r="C41" t="s">
        <v>47</v>
      </c>
      <c r="D41" t="s">
        <v>48</v>
      </c>
      <c r="E41">
        <v>1983</v>
      </c>
      <c r="F41" s="6">
        <v>1.7769609772650199</v>
      </c>
      <c r="G41" s="6" t="s">
        <v>202</v>
      </c>
      <c r="H41">
        <f>IF(Table1[[#This Row],[Lifetime Option]]="fixed",Table1[[#This Row],[End of life (fixed)]]-Table1[[#This Row],[Start year]],Table2[Generic  Lifetime])</f>
        <v>60</v>
      </c>
      <c r="J41">
        <f>IF(Table1[[#This Row],[Lifetime Option]]="fixed",Table1[[#This Row],[End of life (fixed)]],Table1[[#This Row],[Start year]]+Table2[Generic  Lifetime])</f>
        <v>2043</v>
      </c>
      <c r="K41">
        <v>1.0109999999999999</v>
      </c>
      <c r="M41" s="8"/>
    </row>
    <row r="42" spans="3:13">
      <c r="C42" t="s">
        <v>47</v>
      </c>
      <c r="D42" t="s">
        <v>49</v>
      </c>
      <c r="E42">
        <v>1984</v>
      </c>
      <c r="F42" s="6">
        <v>1.37735731252121</v>
      </c>
      <c r="G42" s="6" t="s">
        <v>202</v>
      </c>
      <c r="H42">
        <f>IF(Table1[[#This Row],[Lifetime Option]]="fixed",Table1[[#This Row],[End of life (fixed)]]-Table1[[#This Row],[Start year]],Table2[Generic  Lifetime])</f>
        <v>60</v>
      </c>
      <c r="J42">
        <f>IF(Table1[[#This Row],[Lifetime Option]]="fixed",Table1[[#This Row],[End of life (fixed)]],Table1[[#This Row],[Start year]]+Table2[Generic  Lifetime])</f>
        <v>2044</v>
      </c>
      <c r="K42">
        <v>1.006</v>
      </c>
      <c r="M42" s="8"/>
    </row>
    <row r="43" spans="3:13">
      <c r="C43" t="s">
        <v>47</v>
      </c>
      <c r="D43" t="s">
        <v>50</v>
      </c>
      <c r="E43">
        <v>1983</v>
      </c>
      <c r="F43" s="6">
        <v>1.5325350561033699</v>
      </c>
      <c r="G43" s="6" t="s">
        <v>202</v>
      </c>
      <c r="H43">
        <f>IF(Table1[[#This Row],[Lifetime Option]]="fixed",Table1[[#This Row],[End of life (fixed)]]-Table1[[#This Row],[Start year]],Table2[Generic  Lifetime])</f>
        <v>60</v>
      </c>
      <c r="J43">
        <f>IF(Table1[[#This Row],[Lifetime Option]]="fixed",Table1[[#This Row],[End of life (fixed)]],Table1[[#This Row],[Start year]]+Table2[Generic  Lifetime])</f>
        <v>2043</v>
      </c>
      <c r="K43">
        <v>0.995</v>
      </c>
      <c r="M43" s="8"/>
    </row>
    <row r="44" spans="3:13">
      <c r="C44" t="s">
        <v>47</v>
      </c>
      <c r="D44" t="s">
        <v>51</v>
      </c>
      <c r="E44">
        <v>1985</v>
      </c>
      <c r="F44" s="6">
        <v>1.52363359401564</v>
      </c>
      <c r="G44" s="6" t="s">
        <v>202</v>
      </c>
      <c r="H44">
        <f>IF(Table1[[#This Row],[Lifetime Option]]="fixed",Table1[[#This Row],[End of life (fixed)]]-Table1[[#This Row],[Start year]],Table2[Generic  Lifetime])</f>
        <v>60</v>
      </c>
      <c r="J44">
        <f>IF(Table1[[#This Row],[Lifetime Option]]="fixed",Table1[[#This Row],[End of life (fixed)]],Table1[[#This Row],[Start year]]+Table2[Generic  Lifetime])</f>
        <v>2045</v>
      </c>
      <c r="K44">
        <v>0.997</v>
      </c>
      <c r="M44" s="8"/>
    </row>
    <row r="45" spans="3:13">
      <c r="C45" t="s">
        <v>47</v>
      </c>
      <c r="D45" t="s">
        <v>52</v>
      </c>
      <c r="E45">
        <v>1985</v>
      </c>
      <c r="F45" s="6">
        <v>1.1658795180722901</v>
      </c>
      <c r="G45" s="6" t="s">
        <v>202</v>
      </c>
      <c r="H45">
        <f>IF(Table1[[#This Row],[Lifetime Option]]="fixed",Table1[[#This Row],[End of life (fixed)]]-Table1[[#This Row],[Start year]],Table2[Generic  Lifetime])</f>
        <v>60</v>
      </c>
      <c r="J45">
        <f>IF(Table1[[#This Row],[Lifetime Option]]="fixed",Table1[[#This Row],[End of life (fixed)]],Table1[[#This Row],[Start year]]+Table2[Generic  Lifetime])</f>
        <v>2045</v>
      </c>
      <c r="K45">
        <v>1.0640000000000001</v>
      </c>
      <c r="M45" s="8"/>
    </row>
    <row r="46" spans="3:13">
      <c r="C46" t="s">
        <v>47</v>
      </c>
      <c r="D46" t="s">
        <v>53</v>
      </c>
      <c r="E46">
        <v>1971</v>
      </c>
      <c r="F46" s="6">
        <v>0.90379029688631396</v>
      </c>
      <c r="G46" s="6" t="s">
        <v>202</v>
      </c>
      <c r="H46">
        <f>IF(Table1[[#This Row],[Lifetime Option]]="fixed",Table1[[#This Row],[End of life (fixed)]]-Table1[[#This Row],[Start year]],Table2[Generic  Lifetime])</f>
        <v>60</v>
      </c>
      <c r="J46">
        <f>IF(Table1[[#This Row],[Lifetime Option]]="fixed",Table1[[#This Row],[End of life (fixed)]],Table1[[#This Row],[Start year]]+Table2[Generic  Lifetime])</f>
        <v>2031</v>
      </c>
      <c r="K46">
        <v>0.44600000000000001</v>
      </c>
      <c r="M46" s="8"/>
    </row>
    <row r="47" spans="3:13">
      <c r="C47" t="s">
        <v>47</v>
      </c>
      <c r="D47" t="s">
        <v>54</v>
      </c>
      <c r="E47">
        <v>1988</v>
      </c>
      <c r="F47" s="6">
        <v>1.00976053156146</v>
      </c>
      <c r="G47" s="6" t="s">
        <v>202</v>
      </c>
      <c r="H47">
        <f>IF(Table1[[#This Row],[Lifetime Option]]="fixed",Table1[[#This Row],[End of life (fixed)]]-Table1[[#This Row],[Start year]],Table2[Generic  Lifetime])</f>
        <v>60</v>
      </c>
      <c r="J47">
        <f>IF(Table1[[#This Row],[Lifetime Option]]="fixed",Table1[[#This Row],[End of life (fixed)]],Table1[[#This Row],[Start year]]+Table2[Generic  Lifetime])</f>
        <v>2048</v>
      </c>
      <c r="K47">
        <v>1.0029999999999999</v>
      </c>
      <c r="M47" s="8"/>
    </row>
    <row r="48" spans="3:13">
      <c r="C48" t="s">
        <v>47</v>
      </c>
      <c r="D48" t="s">
        <v>55</v>
      </c>
      <c r="E48">
        <v>1987</v>
      </c>
      <c r="F48" s="6">
        <v>1.61264821489289</v>
      </c>
      <c r="G48" s="6" t="s">
        <v>202</v>
      </c>
      <c r="H48">
        <f>IF(Table1[[#This Row],[Lifetime Option]]="fixed",Table1[[#This Row],[End of life (fixed)]]-Table1[[#This Row],[Start year]],Table2[Generic  Lifetime])</f>
        <v>60</v>
      </c>
      <c r="J48">
        <f>IF(Table1[[#This Row],[Lifetime Option]]="fixed",Table1[[#This Row],[End of life (fixed)]],Table1[[#This Row],[Start year]]+Table2[Generic  Lifetime])</f>
        <v>2047</v>
      </c>
      <c r="K48">
        <v>1.0449999999999999</v>
      </c>
      <c r="M48" s="8"/>
    </row>
    <row r="49" spans="3:13">
      <c r="C49" t="s">
        <v>56</v>
      </c>
      <c r="D49" t="s">
        <v>57</v>
      </c>
      <c r="E49">
        <v>1977</v>
      </c>
      <c r="F49" s="6">
        <v>1.1750400000000001</v>
      </c>
      <c r="G49" s="6" t="s">
        <v>202</v>
      </c>
      <c r="H49">
        <f>IF(Table1[[#This Row],[Lifetime Option]]="fixed",Table1[[#This Row],[End of life (fixed)]]-Table1[[#This Row],[Start year]],Table2[Generic  Lifetime])</f>
        <v>60</v>
      </c>
      <c r="J49">
        <f>IF(Table1[[#This Row],[Lifetime Option]]="fixed",Table1[[#This Row],[End of life (fixed)]],Table1[[#This Row],[Start year]]+Table2[Generic  Lifetime])</f>
        <v>2037</v>
      </c>
      <c r="K49">
        <v>0.496</v>
      </c>
      <c r="M49" s="8"/>
    </row>
    <row r="50" spans="3:13">
      <c r="C50" t="s">
        <v>56</v>
      </c>
      <c r="D50" t="s">
        <v>58</v>
      </c>
      <c r="E50">
        <v>1980</v>
      </c>
      <c r="F50" s="6">
        <v>1.1750400000000001</v>
      </c>
      <c r="G50" s="6" t="s">
        <v>202</v>
      </c>
      <c r="H50">
        <f>IF(Table1[[#This Row],[Lifetime Option]]="fixed",Table1[[#This Row],[End of life (fixed)]]-Table1[[#This Row],[Start year]],Table2[Generic  Lifetime])</f>
        <v>60</v>
      </c>
      <c r="J50">
        <f>IF(Table1[[#This Row],[Lifetime Option]]="fixed",Table1[[#This Row],[End of life (fixed)]],Table1[[#This Row],[Start year]]+Table2[Generic  Lifetime])</f>
        <v>2040</v>
      </c>
      <c r="K50">
        <v>0.496</v>
      </c>
      <c r="M50" s="8"/>
    </row>
    <row r="51" spans="3:13">
      <c r="C51" t="s">
        <v>56</v>
      </c>
      <c r="D51" t="s">
        <v>59</v>
      </c>
      <c r="E51">
        <v>1978</v>
      </c>
      <c r="F51" s="6">
        <v>1.1636352000000001</v>
      </c>
      <c r="G51" s="6" t="s">
        <v>202</v>
      </c>
      <c r="H51">
        <f>IF(Table1[[#This Row],[Lifetime Option]]="fixed",Table1[[#This Row],[End of life (fixed)]]-Table1[[#This Row],[Start year]],Table2[Generic  Lifetime])</f>
        <v>60</v>
      </c>
      <c r="J51">
        <f>IF(Table1[[#This Row],[Lifetime Option]]="fixed",Table1[[#This Row],[End of life (fixed)]],Table1[[#This Row],[Start year]]+Table2[Generic  Lifetime])</f>
        <v>2038</v>
      </c>
      <c r="K51">
        <v>0.88</v>
      </c>
      <c r="M51" s="8"/>
    </row>
    <row r="52" spans="3:13">
      <c r="C52" t="s">
        <v>56</v>
      </c>
      <c r="D52" t="s">
        <v>60</v>
      </c>
      <c r="E52">
        <v>1980</v>
      </c>
      <c r="F52" s="6">
        <v>1.1380608000000001</v>
      </c>
      <c r="G52" s="6" t="s">
        <v>202</v>
      </c>
      <c r="H52">
        <f>IF(Table1[[#This Row],[Lifetime Option]]="fixed",Table1[[#This Row],[End of life (fixed)]]-Table1[[#This Row],[Start year]],Table2[Generic  Lifetime])</f>
        <v>60</v>
      </c>
      <c r="J52">
        <f>IF(Table1[[#This Row],[Lifetime Option]]="fixed",Table1[[#This Row],[End of life (fixed)]],Table1[[#This Row],[Start year]]+Table2[Generic  Lifetime])</f>
        <v>2040</v>
      </c>
      <c r="K52">
        <v>0.88</v>
      </c>
      <c r="M52" s="8"/>
    </row>
    <row r="53" spans="3:13">
      <c r="C53" t="s">
        <v>3</v>
      </c>
      <c r="D53" t="s">
        <v>61</v>
      </c>
      <c r="E53">
        <v>1987</v>
      </c>
      <c r="F53" s="6">
        <v>1.0181256484149901</v>
      </c>
      <c r="G53" s="6" t="s">
        <v>202</v>
      </c>
      <c r="H53">
        <f>IF(Table1[[#This Row],[Lifetime Option]]="fixed",Table1[[#This Row],[End of life (fixed)]]-Table1[[#This Row],[Start year]],Table2[Generic  Lifetime])</f>
        <v>60</v>
      </c>
      <c r="J53">
        <f>IF(Table1[[#This Row],[Lifetime Option]]="fixed",Table1[[#This Row],[End of life (fixed)]],Table1[[#This Row],[Start year]]+Table2[Generic  Lifetime])</f>
        <v>2047</v>
      </c>
      <c r="K53">
        <v>1.31</v>
      </c>
      <c r="L53" t="s">
        <v>207</v>
      </c>
      <c r="M53" s="7" t="s">
        <v>179</v>
      </c>
    </row>
    <row r="54" spans="3:13">
      <c r="C54" t="s">
        <v>3</v>
      </c>
      <c r="D54" t="s">
        <v>62</v>
      </c>
      <c r="E54">
        <v>1988</v>
      </c>
      <c r="F54" s="6">
        <v>1.0181256484149901</v>
      </c>
      <c r="G54" s="6" t="s">
        <v>202</v>
      </c>
      <c r="H54">
        <f>IF(Table1[[#This Row],[Lifetime Option]]="fixed",Table1[[#This Row],[End of life (fixed)]]-Table1[[#This Row],[Start year]],Table2[Generic  Lifetime])</f>
        <v>60</v>
      </c>
      <c r="J54">
        <f>IF(Table1[[#This Row],[Lifetime Option]]="fixed",Table1[[#This Row],[End of life (fixed)]],Table1[[#This Row],[Start year]]+Table2[Generic  Lifetime])</f>
        <v>2048</v>
      </c>
      <c r="K54">
        <v>1.31</v>
      </c>
      <c r="M54" s="7"/>
    </row>
    <row r="55" spans="3:13">
      <c r="C55" t="s">
        <v>3</v>
      </c>
      <c r="D55" t="s">
        <v>63</v>
      </c>
      <c r="E55">
        <v>1981</v>
      </c>
      <c r="F55" s="6">
        <v>0.99529030664272899</v>
      </c>
      <c r="G55" s="6" t="s">
        <v>202</v>
      </c>
      <c r="H55">
        <f>IF(Table1[[#This Row],[Lifetime Option]]="fixed",Table1[[#This Row],[End of life (fixed)]]-Table1[[#This Row],[Start year]],Table2[Generic  Lifetime])</f>
        <v>60</v>
      </c>
      <c r="J55">
        <f>IF(Table1[[#This Row],[Lifetime Option]]="fixed",Table1[[#This Row],[End of life (fixed)]],Table1[[#This Row],[Start year]]+Table2[Generic  Lifetime])</f>
        <v>2041</v>
      </c>
      <c r="K55">
        <v>0.91</v>
      </c>
      <c r="M55" s="8"/>
    </row>
    <row r="56" spans="3:13">
      <c r="C56" t="s">
        <v>3</v>
      </c>
      <c r="D56" t="s">
        <v>64</v>
      </c>
      <c r="E56">
        <v>1982</v>
      </c>
      <c r="F56" s="6">
        <v>0.99529030664272899</v>
      </c>
      <c r="G56" s="6" t="s">
        <v>202</v>
      </c>
      <c r="H56">
        <f>IF(Table1[[#This Row],[Lifetime Option]]="fixed",Table1[[#This Row],[End of life (fixed)]]-Table1[[#This Row],[Start year]],Table2[Generic  Lifetime])</f>
        <v>60</v>
      </c>
      <c r="J56">
        <f>IF(Table1[[#This Row],[Lifetime Option]]="fixed",Table1[[#This Row],[End of life (fixed)]],Table1[[#This Row],[Start year]]+Table2[Generic  Lifetime])</f>
        <v>2042</v>
      </c>
      <c r="K56">
        <v>0.91</v>
      </c>
      <c r="M56" s="8"/>
    </row>
    <row r="57" spans="3:13">
      <c r="C57" t="s">
        <v>3</v>
      </c>
      <c r="D57" t="s">
        <v>65</v>
      </c>
      <c r="E57">
        <v>1983</v>
      </c>
      <c r="F57" s="6">
        <v>0.99529030664272899</v>
      </c>
      <c r="G57" s="6" t="s">
        <v>202</v>
      </c>
      <c r="H57">
        <f>IF(Table1[[#This Row],[Lifetime Option]]="fixed",Table1[[#This Row],[End of life (fixed)]]-Table1[[#This Row],[Start year]],Table2[Generic  Lifetime])</f>
        <v>60</v>
      </c>
      <c r="J57">
        <f>IF(Table1[[#This Row],[Lifetime Option]]="fixed",Table1[[#This Row],[End of life (fixed)]],Table1[[#This Row],[Start year]]+Table2[Generic  Lifetime])</f>
        <v>2043</v>
      </c>
      <c r="K57">
        <v>0.91</v>
      </c>
      <c r="M57" s="8"/>
    </row>
    <row r="58" spans="3:13">
      <c r="C58" t="s">
        <v>3</v>
      </c>
      <c r="D58" t="s">
        <v>66</v>
      </c>
      <c r="E58">
        <v>1983</v>
      </c>
      <c r="F58" s="6">
        <v>0.99529030664272899</v>
      </c>
      <c r="G58" s="6" t="s">
        <v>202</v>
      </c>
      <c r="H58">
        <f>IF(Table1[[#This Row],[Lifetime Option]]="fixed",Table1[[#This Row],[End of life (fixed)]]-Table1[[#This Row],[Start year]],Table2[Generic  Lifetime])</f>
        <v>60</v>
      </c>
      <c r="J58">
        <f>IF(Table1[[#This Row],[Lifetime Option]]="fixed",Table1[[#This Row],[End of life (fixed)]],Table1[[#This Row],[Start year]]+Table2[Generic  Lifetime])</f>
        <v>2043</v>
      </c>
      <c r="K58">
        <v>0.91</v>
      </c>
      <c r="M58" s="8"/>
    </row>
    <row r="59" spans="3:13">
      <c r="C59" t="s">
        <v>3</v>
      </c>
      <c r="D59" t="s">
        <v>67</v>
      </c>
      <c r="E59">
        <v>1978</v>
      </c>
      <c r="F59" s="6">
        <v>0.98901087253141795</v>
      </c>
      <c r="G59" s="6" t="s">
        <v>202</v>
      </c>
      <c r="H59">
        <f>IF(Table1[[#This Row],[Lifetime Option]]="fixed",Table1[[#This Row],[End of life (fixed)]]-Table1[[#This Row],[Start year]],Table2[Generic  Lifetime])</f>
        <v>60</v>
      </c>
      <c r="J59">
        <f>IF(Table1[[#This Row],[Lifetime Option]]="fixed",Table1[[#This Row],[End of life (fixed)]],Table1[[#This Row],[Start year]]+Table2[Generic  Lifetime])</f>
        <v>2038</v>
      </c>
      <c r="K59">
        <v>0.91</v>
      </c>
      <c r="M59" s="8"/>
    </row>
    <row r="60" spans="3:13">
      <c r="C60" t="s">
        <v>3</v>
      </c>
      <c r="D60" t="s">
        <v>68</v>
      </c>
      <c r="E60">
        <v>1978</v>
      </c>
      <c r="F60" s="6">
        <v>0.98901087253141895</v>
      </c>
      <c r="G60" s="6" t="s">
        <v>202</v>
      </c>
      <c r="H60">
        <f>IF(Table1[[#This Row],[Lifetime Option]]="fixed",Table1[[#This Row],[End of life (fixed)]]-Table1[[#This Row],[Start year]],Table2[Generic  Lifetime])</f>
        <v>60</v>
      </c>
      <c r="J60">
        <f>IF(Table1[[#This Row],[Lifetime Option]]="fixed",Table1[[#This Row],[End of life (fixed)]],Table1[[#This Row],[Start year]]+Table2[Generic  Lifetime])</f>
        <v>2038</v>
      </c>
      <c r="K60">
        <v>0.91</v>
      </c>
      <c r="M60" s="8"/>
    </row>
    <row r="61" spans="3:13">
      <c r="C61" t="s">
        <v>3</v>
      </c>
      <c r="D61" t="s">
        <v>69</v>
      </c>
      <c r="E61">
        <v>1979</v>
      </c>
      <c r="F61" s="6">
        <v>0.95970684667863504</v>
      </c>
      <c r="G61" s="6" t="s">
        <v>202</v>
      </c>
      <c r="H61">
        <f>IF(Table1[[#This Row],[Lifetime Option]]="fixed",Table1[[#This Row],[End of life (fixed)]]-Table1[[#This Row],[Start year]],Table2[Generic  Lifetime])</f>
        <v>60</v>
      </c>
      <c r="J61">
        <f>IF(Table1[[#This Row],[Lifetime Option]]="fixed",Table1[[#This Row],[End of life (fixed)]],Table1[[#This Row],[Start year]]+Table2[Generic  Lifetime])</f>
        <v>2039</v>
      </c>
      <c r="K61">
        <v>0.88</v>
      </c>
      <c r="M61" s="8"/>
    </row>
    <row r="62" spans="3:13">
      <c r="C62" t="s">
        <v>3</v>
      </c>
      <c r="D62" t="s">
        <v>70</v>
      </c>
      <c r="E62">
        <v>1979</v>
      </c>
      <c r="F62" s="6">
        <v>0.95970684667863604</v>
      </c>
      <c r="G62" s="6" t="s">
        <v>202</v>
      </c>
      <c r="H62">
        <f>IF(Table1[[#This Row],[Lifetime Option]]="fixed",Table1[[#This Row],[End of life (fixed)]]-Table1[[#This Row],[Start year]],Table2[Generic  Lifetime])</f>
        <v>60</v>
      </c>
      <c r="J62">
        <f>IF(Table1[[#This Row],[Lifetime Option]]="fixed",Table1[[#This Row],[End of life (fixed)]],Table1[[#This Row],[Start year]]+Table2[Generic  Lifetime])</f>
        <v>2039</v>
      </c>
      <c r="K62">
        <v>0.88</v>
      </c>
      <c r="M62" s="8"/>
    </row>
    <row r="63" spans="3:13">
      <c r="C63" t="s">
        <v>3</v>
      </c>
      <c r="D63" t="s">
        <v>71</v>
      </c>
      <c r="E63">
        <v>1986</v>
      </c>
      <c r="F63" s="6">
        <v>1.01737867435158</v>
      </c>
      <c r="G63" s="6" t="s">
        <v>202</v>
      </c>
      <c r="H63">
        <f>IF(Table1[[#This Row],[Lifetime Option]]="fixed",Table1[[#This Row],[End of life (fixed)]]-Table1[[#This Row],[Start year]],Table2[Generic  Lifetime])</f>
        <v>60</v>
      </c>
      <c r="J63">
        <f>IF(Table1[[#This Row],[Lifetime Option]]="fixed",Table1[[#This Row],[End of life (fixed)]],Table1[[#This Row],[Start year]]+Table2[Generic  Lifetime])</f>
        <v>2046</v>
      </c>
      <c r="K63">
        <v>1.3</v>
      </c>
      <c r="M63" s="8"/>
    </row>
    <row r="64" spans="3:13">
      <c r="C64" t="s">
        <v>3</v>
      </c>
      <c r="D64" t="s">
        <v>72</v>
      </c>
      <c r="E64">
        <v>1987</v>
      </c>
      <c r="F64" s="6">
        <v>1.01737867435159</v>
      </c>
      <c r="G64" s="6" t="s">
        <v>202</v>
      </c>
      <c r="H64">
        <f>IF(Table1[[#This Row],[Lifetime Option]]="fixed",Table1[[#This Row],[End of life (fixed)]]-Table1[[#This Row],[Start year]],Table2[Generic  Lifetime])</f>
        <v>60</v>
      </c>
      <c r="J64">
        <f>IF(Table1[[#This Row],[Lifetime Option]]="fixed",Table1[[#This Row],[End of life (fixed)]],Table1[[#This Row],[Start year]]+Table2[Generic  Lifetime])</f>
        <v>2047</v>
      </c>
      <c r="K64">
        <v>1.3</v>
      </c>
      <c r="M64" s="8"/>
    </row>
    <row r="65" spans="3:13">
      <c r="C65" t="s">
        <v>3</v>
      </c>
      <c r="D65" t="s">
        <v>73</v>
      </c>
      <c r="E65">
        <v>1990</v>
      </c>
      <c r="F65" s="6">
        <v>1.01737867435159</v>
      </c>
      <c r="G65" s="6" t="s">
        <v>202</v>
      </c>
      <c r="H65">
        <f>IF(Table1[[#This Row],[Lifetime Option]]="fixed",Table1[[#This Row],[End of life (fixed)]]-Table1[[#This Row],[Start year]],Table2[Generic  Lifetime])</f>
        <v>60</v>
      </c>
      <c r="J65">
        <f>IF(Table1[[#This Row],[Lifetime Option]]="fixed",Table1[[#This Row],[End of life (fixed)]],Table1[[#This Row],[Start year]]+Table2[Generic  Lifetime])</f>
        <v>2050</v>
      </c>
      <c r="K65">
        <v>1.3</v>
      </c>
      <c r="M65" s="8"/>
    </row>
    <row r="66" spans="3:13">
      <c r="C66" t="s">
        <v>3</v>
      </c>
      <c r="D66" t="s">
        <v>74</v>
      </c>
      <c r="E66">
        <v>1991</v>
      </c>
      <c r="F66" s="6">
        <v>1.01737867435159</v>
      </c>
      <c r="G66" s="6" t="s">
        <v>202</v>
      </c>
      <c r="H66">
        <f>IF(Table1[[#This Row],[Lifetime Option]]="fixed",Table1[[#This Row],[End of life (fixed)]]-Table1[[#This Row],[Start year]],Table2[Generic  Lifetime])</f>
        <v>60</v>
      </c>
      <c r="J66">
        <f>IF(Table1[[#This Row],[Lifetime Option]]="fixed",Table1[[#This Row],[End of life (fixed)]],Table1[[#This Row],[Start year]]+Table2[Generic  Lifetime])</f>
        <v>2051</v>
      </c>
      <c r="K66">
        <v>1.3</v>
      </c>
      <c r="M66" s="8"/>
    </row>
    <row r="67" spans="3:13">
      <c r="C67" t="s">
        <v>3</v>
      </c>
      <c r="D67" t="s">
        <v>75</v>
      </c>
      <c r="E67">
        <v>1982</v>
      </c>
      <c r="F67" s="6">
        <v>0.99843002369838396</v>
      </c>
      <c r="G67" s="6" t="s">
        <v>202</v>
      </c>
      <c r="H67">
        <f>IF(Table1[[#This Row],[Lifetime Option]]="fixed",Table1[[#This Row],[End of life (fixed)]]-Table1[[#This Row],[Start year]],Table2[Generic  Lifetime])</f>
        <v>60</v>
      </c>
      <c r="J67">
        <f>IF(Table1[[#This Row],[Lifetime Option]]="fixed",Table1[[#This Row],[End of life (fixed)]],Table1[[#This Row],[Start year]]+Table2[Generic  Lifetime])</f>
        <v>2042</v>
      </c>
      <c r="K67">
        <v>0.90500000000000003</v>
      </c>
      <c r="M67" s="8"/>
    </row>
    <row r="68" spans="3:13">
      <c r="C68" t="s">
        <v>3</v>
      </c>
      <c r="D68" t="s">
        <v>76</v>
      </c>
      <c r="E68">
        <v>1983</v>
      </c>
      <c r="F68" s="6">
        <v>0.99843002369838396</v>
      </c>
      <c r="G68" s="6" t="s">
        <v>202</v>
      </c>
      <c r="H68">
        <f>IF(Table1[[#This Row],[Lifetime Option]]="fixed",Table1[[#This Row],[End of life (fixed)]]-Table1[[#This Row],[Start year]],Table2[Generic  Lifetime])</f>
        <v>60</v>
      </c>
      <c r="J68">
        <f>IF(Table1[[#This Row],[Lifetime Option]]="fixed",Table1[[#This Row],[End of life (fixed)]],Table1[[#This Row],[Start year]]+Table2[Generic  Lifetime])</f>
        <v>2043</v>
      </c>
      <c r="K68">
        <v>0.90500000000000003</v>
      </c>
      <c r="M68" s="8"/>
    </row>
    <row r="69" spans="3:13">
      <c r="C69" t="s">
        <v>3</v>
      </c>
      <c r="D69" t="s">
        <v>77</v>
      </c>
      <c r="E69">
        <v>1986</v>
      </c>
      <c r="F69" s="6">
        <v>0.99843002369838396</v>
      </c>
      <c r="G69" s="6" t="s">
        <v>202</v>
      </c>
      <c r="H69">
        <f>IF(Table1[[#This Row],[Lifetime Option]]="fixed",Table1[[#This Row],[End of life (fixed)]]-Table1[[#This Row],[Start year]],Table2[Generic  Lifetime])</f>
        <v>60</v>
      </c>
      <c r="J69">
        <f>IF(Table1[[#This Row],[Lifetime Option]]="fixed",Table1[[#This Row],[End of life (fixed)]],Table1[[#This Row],[Start year]]+Table2[Generic  Lifetime])</f>
        <v>2046</v>
      </c>
      <c r="K69">
        <v>0.90500000000000003</v>
      </c>
      <c r="M69" s="8"/>
    </row>
    <row r="70" spans="3:13">
      <c r="C70" t="s">
        <v>3</v>
      </c>
      <c r="D70" t="s">
        <v>78</v>
      </c>
      <c r="E70">
        <v>1987</v>
      </c>
      <c r="F70" s="6">
        <v>0.99843002369838396</v>
      </c>
      <c r="G70" s="6" t="s">
        <v>202</v>
      </c>
      <c r="H70">
        <f>IF(Table1[[#This Row],[Lifetime Option]]="fixed",Table1[[#This Row],[End of life (fixed)]]-Table1[[#This Row],[Start year]],Table2[Generic  Lifetime])</f>
        <v>60</v>
      </c>
      <c r="J70">
        <f>IF(Table1[[#This Row],[Lifetime Option]]="fixed",Table1[[#This Row],[End of life (fixed)]],Table1[[#This Row],[Start year]]+Table2[Generic  Lifetime])</f>
        <v>2047</v>
      </c>
      <c r="K70">
        <v>0.90500000000000003</v>
      </c>
      <c r="M70" s="8"/>
    </row>
    <row r="71" spans="3:13">
      <c r="C71" t="s">
        <v>3</v>
      </c>
      <c r="D71" t="s">
        <v>79</v>
      </c>
      <c r="E71">
        <v>1996</v>
      </c>
      <c r="F71" s="6">
        <v>1.2310482435597201</v>
      </c>
      <c r="G71" s="6" t="s">
        <v>202</v>
      </c>
      <c r="H71">
        <f>IF(Table1[[#This Row],[Lifetime Option]]="fixed",Table1[[#This Row],[End of life (fixed)]]-Table1[[#This Row],[Start year]],Table2[Generic  Lifetime])</f>
        <v>60</v>
      </c>
      <c r="J71">
        <f>IF(Table1[[#This Row],[Lifetime Option]]="fixed",Table1[[#This Row],[End of life (fixed)]],Table1[[#This Row],[Start year]]+Table2[Generic  Lifetime])</f>
        <v>2056</v>
      </c>
      <c r="K71">
        <v>1.5</v>
      </c>
      <c r="M71" s="8"/>
    </row>
    <row r="72" spans="3:13">
      <c r="C72" t="s">
        <v>3</v>
      </c>
      <c r="D72" t="s">
        <v>80</v>
      </c>
      <c r="E72">
        <v>1997</v>
      </c>
      <c r="F72" s="6">
        <v>1.2310482435597201</v>
      </c>
      <c r="G72" s="6" t="s">
        <v>202</v>
      </c>
      <c r="H72">
        <f>IF(Table1[[#This Row],[Lifetime Option]]="fixed",Table1[[#This Row],[End of life (fixed)]]-Table1[[#This Row],[Start year]],Table2[Generic  Lifetime])</f>
        <v>60</v>
      </c>
      <c r="J72">
        <f>IF(Table1[[#This Row],[Lifetime Option]]="fixed",Table1[[#This Row],[End of life (fixed)]],Table1[[#This Row],[Start year]]+Table2[Generic  Lifetime])</f>
        <v>2057</v>
      </c>
      <c r="K72">
        <v>1.5</v>
      </c>
      <c r="M72" s="8"/>
    </row>
    <row r="73" spans="3:13">
      <c r="C73" t="s">
        <v>3</v>
      </c>
      <c r="D73" t="s">
        <v>81</v>
      </c>
      <c r="E73">
        <v>1997</v>
      </c>
      <c r="F73" s="6">
        <v>1.10549508196721</v>
      </c>
      <c r="G73" s="6" t="s">
        <v>202</v>
      </c>
      <c r="H73">
        <f>IF(Table1[[#This Row],[Lifetime Option]]="fixed",Table1[[#This Row],[End of life (fixed)]]-Table1[[#This Row],[Start year]],Table2[Generic  Lifetime])</f>
        <v>60</v>
      </c>
      <c r="J73">
        <f>IF(Table1[[#This Row],[Lifetime Option]]="fixed",Table1[[#This Row],[End of life (fixed)]],Table1[[#This Row],[Start year]]+Table2[Generic  Lifetime])</f>
        <v>2057</v>
      </c>
      <c r="K73">
        <v>1.4950000000000001</v>
      </c>
      <c r="M73" s="8"/>
    </row>
    <row r="74" spans="3:13">
      <c r="C74" t="s">
        <v>3</v>
      </c>
      <c r="D74" t="s">
        <v>82</v>
      </c>
      <c r="E74">
        <v>1999</v>
      </c>
      <c r="F74" s="6">
        <v>1.10549508196721</v>
      </c>
      <c r="G74" s="6" t="s">
        <v>202</v>
      </c>
      <c r="H74">
        <f>IF(Table1[[#This Row],[Lifetime Option]]="fixed",Table1[[#This Row],[End of life (fixed)]]-Table1[[#This Row],[Start year]],Table2[Generic  Lifetime])</f>
        <v>60</v>
      </c>
      <c r="J74">
        <f>IF(Table1[[#This Row],[Lifetime Option]]="fixed",Table1[[#This Row],[End of life (fixed)]],Table1[[#This Row],[Start year]]+Table2[Generic  Lifetime])</f>
        <v>2059</v>
      </c>
      <c r="K74">
        <v>1.4950000000000001</v>
      </c>
      <c r="M74" s="8"/>
    </row>
    <row r="75" spans="3:13">
      <c r="C75" t="s">
        <v>3</v>
      </c>
      <c r="D75" t="s">
        <v>83</v>
      </c>
      <c r="E75">
        <v>1983</v>
      </c>
      <c r="F75" s="6">
        <v>1.0005231684021501</v>
      </c>
      <c r="G75" s="6" t="s">
        <v>202</v>
      </c>
      <c r="H75">
        <f>IF(Table1[[#This Row],[Lifetime Option]]="fixed",Table1[[#This Row],[End of life (fixed)]]-Table1[[#This Row],[Start year]],Table2[Generic  Lifetime])</f>
        <v>60</v>
      </c>
      <c r="J75">
        <f>IF(Table1[[#This Row],[Lifetime Option]]="fixed",Table1[[#This Row],[End of life (fixed)]],Table1[[#This Row],[Start year]]+Table2[Generic  Lifetime])</f>
        <v>2043</v>
      </c>
      <c r="K75">
        <v>0.91500000000000004</v>
      </c>
      <c r="M75" s="8"/>
    </row>
    <row r="76" spans="3:13">
      <c r="C76" t="s">
        <v>3</v>
      </c>
      <c r="D76" t="s">
        <v>84</v>
      </c>
      <c r="E76">
        <v>1984</v>
      </c>
      <c r="F76" s="6">
        <v>1.0005231684021501</v>
      </c>
      <c r="G76" s="6" t="s">
        <v>202</v>
      </c>
      <c r="H76">
        <f>IF(Table1[[#This Row],[Lifetime Option]]="fixed",Table1[[#This Row],[End of life (fixed)]]-Table1[[#This Row],[Start year]],Table2[Generic  Lifetime])</f>
        <v>60</v>
      </c>
      <c r="J76">
        <f>IF(Table1[[#This Row],[Lifetime Option]]="fixed",Table1[[#This Row],[End of life (fixed)]],Table1[[#This Row],[Start year]]+Table2[Generic  Lifetime])</f>
        <v>2044</v>
      </c>
      <c r="K76">
        <v>0.91500000000000004</v>
      </c>
      <c r="M76" s="8"/>
    </row>
    <row r="77" spans="3:13">
      <c r="C77" t="s">
        <v>3</v>
      </c>
      <c r="D77" t="s">
        <v>85</v>
      </c>
      <c r="E77">
        <v>1984</v>
      </c>
      <c r="F77" s="6">
        <v>1.0005231684021501</v>
      </c>
      <c r="G77" s="6" t="s">
        <v>202</v>
      </c>
      <c r="H77">
        <f>IF(Table1[[#This Row],[Lifetime Option]]="fixed",Table1[[#This Row],[End of life (fixed)]]-Table1[[#This Row],[Start year]],Table2[Generic  Lifetime])</f>
        <v>60</v>
      </c>
      <c r="J77">
        <f>IF(Table1[[#This Row],[Lifetime Option]]="fixed",Table1[[#This Row],[End of life (fixed)]],Table1[[#This Row],[Start year]]+Table2[Generic  Lifetime])</f>
        <v>2044</v>
      </c>
      <c r="K77">
        <v>0.91500000000000004</v>
      </c>
      <c r="M77" s="8"/>
    </row>
    <row r="78" spans="3:13">
      <c r="C78" t="s">
        <v>3</v>
      </c>
      <c r="D78" t="s">
        <v>86</v>
      </c>
      <c r="E78">
        <v>1984</v>
      </c>
      <c r="F78" s="6">
        <v>1.0005231684021501</v>
      </c>
      <c r="G78" s="6" t="s">
        <v>202</v>
      </c>
      <c r="H78">
        <f>IF(Table1[[#This Row],[Lifetime Option]]="fixed",Table1[[#This Row],[End of life (fixed)]]-Table1[[#This Row],[Start year]],Table2[Generic  Lifetime])</f>
        <v>60</v>
      </c>
      <c r="J78">
        <f>IF(Table1[[#This Row],[Lifetime Option]]="fixed",Table1[[#This Row],[End of life (fixed)]],Table1[[#This Row],[Start year]]+Table2[Generic  Lifetime])</f>
        <v>2044</v>
      </c>
      <c r="K78">
        <v>0.91500000000000004</v>
      </c>
      <c r="M78" s="8"/>
    </row>
    <row r="79" spans="3:13">
      <c r="C79" t="s">
        <v>3</v>
      </c>
      <c r="D79" t="s">
        <v>87</v>
      </c>
      <c r="E79">
        <v>1980</v>
      </c>
      <c r="F79" s="6">
        <v>0.98063829371633704</v>
      </c>
      <c r="G79" s="6" t="s">
        <v>202</v>
      </c>
      <c r="H79">
        <f>IF(Table1[[#This Row],[Lifetime Option]]="fixed",Table1[[#This Row],[End of life (fixed)]]-Table1[[#This Row],[Start year]],Table2[Generic  Lifetime])</f>
        <v>60</v>
      </c>
      <c r="J79">
        <f>IF(Table1[[#This Row],[Lifetime Option]]="fixed",Table1[[#This Row],[End of life (fixed)]],Table1[[#This Row],[Start year]]+Table2[Generic  Lifetime])</f>
        <v>2040</v>
      </c>
      <c r="K79">
        <v>0.89</v>
      </c>
      <c r="M79" s="8"/>
    </row>
    <row r="80" spans="3:13">
      <c r="C80" t="s">
        <v>3</v>
      </c>
      <c r="D80" t="s">
        <v>88</v>
      </c>
      <c r="E80">
        <v>1980</v>
      </c>
      <c r="F80" s="6">
        <v>0.98063829371633704</v>
      </c>
      <c r="G80" s="6" t="s">
        <v>202</v>
      </c>
      <c r="H80">
        <f>IF(Table1[[#This Row],[Lifetime Option]]="fixed",Table1[[#This Row],[End of life (fixed)]]-Table1[[#This Row],[Start year]],Table2[Generic  Lifetime])</f>
        <v>60</v>
      </c>
      <c r="J80">
        <f>IF(Table1[[#This Row],[Lifetime Option]]="fixed",Table1[[#This Row],[End of life (fixed)]],Table1[[#This Row],[Start year]]+Table2[Generic  Lifetime])</f>
        <v>2040</v>
      </c>
      <c r="K80">
        <v>0.89</v>
      </c>
      <c r="M80" s="8"/>
    </row>
    <row r="81" spans="3:13">
      <c r="C81" t="s">
        <v>3</v>
      </c>
      <c r="D81" t="s">
        <v>89</v>
      </c>
      <c r="E81">
        <v>1981</v>
      </c>
      <c r="F81" s="6">
        <v>0.98063829371633704</v>
      </c>
      <c r="G81" s="6" t="s">
        <v>202</v>
      </c>
      <c r="H81">
        <f>IF(Table1[[#This Row],[Lifetime Option]]="fixed",Table1[[#This Row],[End of life (fixed)]]-Table1[[#This Row],[Start year]],Table2[Generic  Lifetime])</f>
        <v>60</v>
      </c>
      <c r="J81">
        <f>IF(Table1[[#This Row],[Lifetime Option]]="fixed",Table1[[#This Row],[End of life (fixed)]],Table1[[#This Row],[Start year]]+Table2[Generic  Lifetime])</f>
        <v>2041</v>
      </c>
      <c r="K81">
        <v>0.89</v>
      </c>
      <c r="M81" s="8"/>
    </row>
    <row r="82" spans="3:13">
      <c r="C82" t="s">
        <v>3</v>
      </c>
      <c r="D82" t="s">
        <v>90</v>
      </c>
      <c r="E82">
        <v>1981</v>
      </c>
      <c r="F82" s="6">
        <v>0.98063829371633704</v>
      </c>
      <c r="G82" s="6" t="s">
        <v>202</v>
      </c>
      <c r="H82">
        <f>IF(Table1[[#This Row],[Lifetime Option]]="fixed",Table1[[#This Row],[End of life (fixed)]]-Table1[[#This Row],[Start year]],Table2[Generic  Lifetime])</f>
        <v>60</v>
      </c>
      <c r="J82">
        <f>IF(Table1[[#This Row],[Lifetime Option]]="fixed",Table1[[#This Row],[End of life (fixed)]],Table1[[#This Row],[Start year]]+Table2[Generic  Lifetime])</f>
        <v>2041</v>
      </c>
      <c r="K82">
        <v>0.89</v>
      </c>
      <c r="M82" s="8"/>
    </row>
    <row r="83" spans="3:13">
      <c r="C83" t="s">
        <v>3</v>
      </c>
      <c r="D83" t="s">
        <v>91</v>
      </c>
      <c r="E83">
        <v>1977</v>
      </c>
      <c r="F83" s="6">
        <v>1.31483909774436</v>
      </c>
      <c r="G83" s="6" t="s">
        <v>201</v>
      </c>
      <c r="H83">
        <f>IF(Table1[[#This Row],[Lifetime Option]]="fixed",Table1[[#This Row],[End of life (fixed)]]-Table1[[#This Row],[Start year]],Table2[Generic  Lifetime])</f>
        <v>40</v>
      </c>
      <c r="I83">
        <v>2017</v>
      </c>
      <c r="J83">
        <f>IF(Table1[[#This Row],[Lifetime Option]]="fixed",Table1[[#This Row],[End of life (fixed)]],Table1[[#This Row],[Start year]]+Table2[Generic  Lifetime])</f>
        <v>2017</v>
      </c>
      <c r="K83">
        <v>0.88</v>
      </c>
      <c r="L83" t="s">
        <v>187</v>
      </c>
      <c r="M83" s="8"/>
    </row>
    <row r="84" spans="3:13">
      <c r="C84" t="s">
        <v>3</v>
      </c>
      <c r="D84" t="s">
        <v>92</v>
      </c>
      <c r="E84">
        <v>1977</v>
      </c>
      <c r="F84" s="6">
        <v>1.31483909774436</v>
      </c>
      <c r="G84" s="6" t="s">
        <v>201</v>
      </c>
      <c r="H84">
        <f>IF(Table1[[#This Row],[Lifetime Option]]="fixed",Table1[[#This Row],[End of life (fixed)]]-Table1[[#This Row],[Start year]],Table2[Generic  Lifetime])</f>
        <v>40</v>
      </c>
      <c r="I84">
        <v>2017</v>
      </c>
      <c r="J84">
        <f>IF(Table1[[#This Row],[Lifetime Option]]="fixed",Table1[[#This Row],[End of life (fixed)]],Table1[[#This Row],[Start year]]+Table2[Generic  Lifetime])</f>
        <v>2017</v>
      </c>
      <c r="K84">
        <v>0.88</v>
      </c>
      <c r="L84" t="s">
        <v>187</v>
      </c>
      <c r="M84" s="8"/>
    </row>
    <row r="85" spans="3:13">
      <c r="C85" t="s">
        <v>3</v>
      </c>
      <c r="D85" t="s">
        <v>93</v>
      </c>
      <c r="E85">
        <v>1985</v>
      </c>
      <c r="F85" s="6">
        <v>1.0323181556195999</v>
      </c>
      <c r="G85" s="6" t="s">
        <v>202</v>
      </c>
      <c r="H85">
        <f>IF(Table1[[#This Row],[Lifetime Option]]="fixed",Table1[[#This Row],[End of life (fixed)]]-Table1[[#This Row],[Start year]],Table2[Generic  Lifetime])</f>
        <v>60</v>
      </c>
      <c r="J85">
        <f>IF(Table1[[#This Row],[Lifetime Option]]="fixed",Table1[[#This Row],[End of life (fixed)]],Table1[[#This Row],[Start year]]+Table2[Generic  Lifetime])</f>
        <v>2045</v>
      </c>
      <c r="K85">
        <v>1.33</v>
      </c>
      <c r="M85" s="8"/>
    </row>
    <row r="86" spans="3:13">
      <c r="C86" t="s">
        <v>3</v>
      </c>
      <c r="D86" t="s">
        <v>94</v>
      </c>
      <c r="E86">
        <v>1986</v>
      </c>
      <c r="F86" s="6">
        <v>1.0323181556195999</v>
      </c>
      <c r="G86" s="6" t="s">
        <v>202</v>
      </c>
      <c r="H86">
        <f>IF(Table1[[#This Row],[Lifetime Option]]="fixed",Table1[[#This Row],[End of life (fixed)]]-Table1[[#This Row],[Start year]],Table2[Generic  Lifetime])</f>
        <v>60</v>
      </c>
      <c r="J86">
        <f>IF(Table1[[#This Row],[Lifetime Option]]="fixed",Table1[[#This Row],[End of life (fixed)]],Table1[[#This Row],[Start year]]+Table2[Generic  Lifetime])</f>
        <v>2046</v>
      </c>
      <c r="K86">
        <v>1.33</v>
      </c>
      <c r="M86" s="8"/>
    </row>
    <row r="87" spans="3:13">
      <c r="C87" t="s">
        <v>3</v>
      </c>
      <c r="D87" t="s">
        <v>95</v>
      </c>
      <c r="E87">
        <v>1990</v>
      </c>
      <c r="F87" s="6">
        <v>1.0181256484149901</v>
      </c>
      <c r="G87" s="6" t="s">
        <v>202</v>
      </c>
      <c r="H87">
        <f>IF(Table1[[#This Row],[Lifetime Option]]="fixed",Table1[[#This Row],[End of life (fixed)]]-Table1[[#This Row],[Start year]],Table2[Generic  Lifetime])</f>
        <v>60</v>
      </c>
      <c r="J87">
        <f>IF(Table1[[#This Row],[Lifetime Option]]="fixed",Table1[[#This Row],[End of life (fixed)]],Table1[[#This Row],[Start year]]+Table2[Generic  Lifetime])</f>
        <v>2050</v>
      </c>
      <c r="K87">
        <v>1.31</v>
      </c>
      <c r="M87" s="8"/>
    </row>
    <row r="88" spans="3:13">
      <c r="C88" t="s">
        <v>3</v>
      </c>
      <c r="D88" t="s">
        <v>96</v>
      </c>
      <c r="E88">
        <v>1993</v>
      </c>
      <c r="F88" s="6">
        <v>1.0181256484149901</v>
      </c>
      <c r="G88" s="6" t="s">
        <v>202</v>
      </c>
      <c r="H88">
        <f>IF(Table1[[#This Row],[Lifetime Option]]="fixed",Table1[[#This Row],[End of life (fixed)]]-Table1[[#This Row],[Start year]],Table2[Generic  Lifetime])</f>
        <v>60</v>
      </c>
      <c r="J88">
        <f>IF(Table1[[#This Row],[Lifetime Option]]="fixed",Table1[[#This Row],[End of life (fixed)]],Table1[[#This Row],[Start year]]+Table2[Generic  Lifetime])</f>
        <v>2053</v>
      </c>
      <c r="K88">
        <v>1.31</v>
      </c>
      <c r="M88" s="8"/>
    </row>
    <row r="89" spans="3:13">
      <c r="C89" t="s">
        <v>3</v>
      </c>
      <c r="D89" t="s">
        <v>97</v>
      </c>
      <c r="E89">
        <v>1980</v>
      </c>
      <c r="F89" s="6">
        <v>0.99529030664272899</v>
      </c>
      <c r="G89" s="6" t="s">
        <v>202</v>
      </c>
      <c r="H89">
        <f>IF(Table1[[#This Row],[Lifetime Option]]="fixed",Table1[[#This Row],[End of life (fixed)]]-Table1[[#This Row],[Start year]],Table2[Generic  Lifetime])</f>
        <v>60</v>
      </c>
      <c r="J89">
        <f>IF(Table1[[#This Row],[Lifetime Option]]="fixed",Table1[[#This Row],[End of life (fixed)]],Table1[[#This Row],[Start year]]+Table2[Generic  Lifetime])</f>
        <v>2040</v>
      </c>
      <c r="K89">
        <v>0.91</v>
      </c>
      <c r="M89" s="8"/>
    </row>
    <row r="90" spans="3:13">
      <c r="C90" t="s">
        <v>3</v>
      </c>
      <c r="D90" t="s">
        <v>98</v>
      </c>
      <c r="E90">
        <v>1980</v>
      </c>
      <c r="F90" s="6">
        <v>0.99529030664272899</v>
      </c>
      <c r="G90" s="6" t="s">
        <v>202</v>
      </c>
      <c r="H90">
        <f>IF(Table1[[#This Row],[Lifetime Option]]="fixed",Table1[[#This Row],[End of life (fixed)]]-Table1[[#This Row],[Start year]],Table2[Generic  Lifetime])</f>
        <v>60</v>
      </c>
      <c r="J90">
        <f>IF(Table1[[#This Row],[Lifetime Option]]="fixed",Table1[[#This Row],[End of life (fixed)]],Table1[[#This Row],[Start year]]+Table2[Generic  Lifetime])</f>
        <v>2040</v>
      </c>
      <c r="K90">
        <v>0.91</v>
      </c>
      <c r="M90" s="8"/>
    </row>
    <row r="91" spans="3:13">
      <c r="C91" t="s">
        <v>3</v>
      </c>
      <c r="D91" t="s">
        <v>99</v>
      </c>
      <c r="E91">
        <v>1980</v>
      </c>
      <c r="F91" s="6">
        <v>0.99529030664272899</v>
      </c>
      <c r="G91" s="6" t="s">
        <v>202</v>
      </c>
      <c r="H91">
        <f>IF(Table1[[#This Row],[Lifetime Option]]="fixed",Table1[[#This Row],[End of life (fixed)]]-Table1[[#This Row],[Start year]],Table2[Generic  Lifetime])</f>
        <v>60</v>
      </c>
      <c r="J91">
        <f>IF(Table1[[#This Row],[Lifetime Option]]="fixed",Table1[[#This Row],[End of life (fixed)]],Table1[[#This Row],[Start year]]+Table2[Generic  Lifetime])</f>
        <v>2040</v>
      </c>
      <c r="K91">
        <v>0.91</v>
      </c>
      <c r="M91" s="8"/>
    </row>
    <row r="92" spans="3:13">
      <c r="C92" t="s">
        <v>3</v>
      </c>
      <c r="D92" t="s">
        <v>100</v>
      </c>
      <c r="E92">
        <v>1981</v>
      </c>
      <c r="F92" s="6">
        <v>0.99529030664272899</v>
      </c>
      <c r="G92" s="6" t="s">
        <v>202</v>
      </c>
      <c r="H92">
        <f>IF(Table1[[#This Row],[Lifetime Option]]="fixed",Table1[[#This Row],[End of life (fixed)]]-Table1[[#This Row],[Start year]],Table2[Generic  Lifetime])</f>
        <v>60</v>
      </c>
      <c r="J92">
        <f>IF(Table1[[#This Row],[Lifetime Option]]="fixed",Table1[[#This Row],[End of life (fixed)]],Table1[[#This Row],[Start year]]+Table2[Generic  Lifetime])</f>
        <v>2041</v>
      </c>
      <c r="K92">
        <v>0.91</v>
      </c>
      <c r="M92" s="8"/>
    </row>
    <row r="93" spans="3:13">
      <c r="C93" t="s">
        <v>3</v>
      </c>
      <c r="D93" t="s">
        <v>101</v>
      </c>
      <c r="E93">
        <v>1984</v>
      </c>
      <c r="F93" s="6">
        <v>1.3866501974865399</v>
      </c>
      <c r="G93" s="6" t="s">
        <v>202</v>
      </c>
      <c r="H93">
        <f>IF(Table1[[#This Row],[Lifetime Option]]="fixed",Table1[[#This Row],[End of life (fixed)]]-Table1[[#This Row],[Start year]],Table2[Generic  Lifetime])</f>
        <v>60</v>
      </c>
      <c r="J93">
        <f>IF(Table1[[#This Row],[Lifetime Option]]="fixed",Table1[[#This Row],[End of life (fixed)]],Table1[[#This Row],[Start year]]+Table2[Generic  Lifetime])</f>
        <v>2044</v>
      </c>
      <c r="K93">
        <v>0.91</v>
      </c>
      <c r="M93" s="8"/>
    </row>
    <row r="94" spans="3:13">
      <c r="C94" t="s">
        <v>3</v>
      </c>
      <c r="D94" t="s">
        <v>102</v>
      </c>
      <c r="E94">
        <v>1985</v>
      </c>
      <c r="F94" s="6">
        <v>1.38665019748653</v>
      </c>
      <c r="G94" s="6" t="s">
        <v>202</v>
      </c>
      <c r="H94">
        <f>IF(Table1[[#This Row],[Lifetime Option]]="fixed",Table1[[#This Row],[End of life (fixed)]]-Table1[[#This Row],[Start year]],Table2[Generic  Lifetime])</f>
        <v>60</v>
      </c>
      <c r="J94">
        <f>IF(Table1[[#This Row],[Lifetime Option]]="fixed",Table1[[#This Row],[End of life (fixed)]],Table1[[#This Row],[Start year]]+Table2[Generic  Lifetime])</f>
        <v>2045</v>
      </c>
      <c r="K94">
        <v>0.91</v>
      </c>
      <c r="M94" s="8"/>
    </row>
    <row r="95" spans="3:13">
      <c r="C95" t="s">
        <v>3</v>
      </c>
      <c r="D95" t="s">
        <v>103</v>
      </c>
      <c r="E95">
        <v>1987</v>
      </c>
      <c r="F95" s="6">
        <v>1.0181256484149901</v>
      </c>
      <c r="G95" s="6" t="s">
        <v>202</v>
      </c>
      <c r="H95">
        <f>IF(Table1[[#This Row],[Lifetime Option]]="fixed",Table1[[#This Row],[End of life (fixed)]]-Table1[[#This Row],[Start year]],Table2[Generic  Lifetime])</f>
        <v>60</v>
      </c>
      <c r="J95">
        <f>IF(Table1[[#This Row],[Lifetime Option]]="fixed",Table1[[#This Row],[End of life (fixed)]],Table1[[#This Row],[Start year]]+Table2[Generic  Lifetime])</f>
        <v>2047</v>
      </c>
      <c r="K95">
        <v>1.31</v>
      </c>
      <c r="M95" s="8"/>
    </row>
    <row r="96" spans="3:13">
      <c r="C96" t="s">
        <v>3</v>
      </c>
      <c r="D96" t="s">
        <v>104</v>
      </c>
      <c r="E96">
        <v>1988</v>
      </c>
      <c r="F96" s="6">
        <v>1.0181256484149901</v>
      </c>
      <c r="G96" s="6" t="s">
        <v>202</v>
      </c>
      <c r="H96">
        <f>IF(Table1[[#This Row],[Lifetime Option]]="fixed",Table1[[#This Row],[End of life (fixed)]]-Table1[[#This Row],[Start year]],Table2[Generic  Lifetime])</f>
        <v>60</v>
      </c>
      <c r="J96">
        <f>IF(Table1[[#This Row],[Lifetime Option]]="fixed",Table1[[#This Row],[End of life (fixed)]],Table1[[#This Row],[Start year]]+Table2[Generic  Lifetime])</f>
        <v>2048</v>
      </c>
      <c r="K96">
        <v>1.31</v>
      </c>
      <c r="M96" s="8"/>
    </row>
    <row r="97" spans="3:13">
      <c r="C97" t="s">
        <v>3</v>
      </c>
      <c r="D97" t="s">
        <v>105</v>
      </c>
      <c r="E97">
        <v>1984</v>
      </c>
      <c r="F97" s="6">
        <v>1.0323181556195999</v>
      </c>
      <c r="G97" s="6" t="s">
        <v>202</v>
      </c>
      <c r="H97">
        <f>IF(Table1[[#This Row],[Lifetime Option]]="fixed",Table1[[#This Row],[End of life (fixed)]]-Table1[[#This Row],[Start year]],Table2[Generic  Lifetime])</f>
        <v>60</v>
      </c>
      <c r="J97">
        <f>IF(Table1[[#This Row],[Lifetime Option]]="fixed",Table1[[#This Row],[End of life (fixed)]],Table1[[#This Row],[Start year]]+Table2[Generic  Lifetime])</f>
        <v>2044</v>
      </c>
      <c r="K97">
        <v>1.33</v>
      </c>
      <c r="M97" s="8"/>
    </row>
    <row r="98" spans="3:13">
      <c r="C98" t="s">
        <v>3</v>
      </c>
      <c r="D98" t="s">
        <v>106</v>
      </c>
      <c r="E98">
        <v>1984</v>
      </c>
      <c r="F98" s="6">
        <v>1.0323181556195999</v>
      </c>
      <c r="G98" s="6" t="s">
        <v>202</v>
      </c>
      <c r="H98">
        <f>IF(Table1[[#This Row],[Lifetime Option]]="fixed",Table1[[#This Row],[End of life (fixed)]]-Table1[[#This Row],[Start year]],Table2[Generic  Lifetime])</f>
        <v>60</v>
      </c>
      <c r="J98">
        <f>IF(Table1[[#This Row],[Lifetime Option]]="fixed",Table1[[#This Row],[End of life (fixed)]],Table1[[#This Row],[Start year]]+Table2[Generic  Lifetime])</f>
        <v>2044</v>
      </c>
      <c r="K98">
        <v>1.33</v>
      </c>
      <c r="M98" s="8"/>
    </row>
    <row r="99" spans="3:13">
      <c r="C99" t="s">
        <v>3</v>
      </c>
      <c r="D99" t="s">
        <v>107</v>
      </c>
      <c r="E99">
        <v>1985</v>
      </c>
      <c r="F99" s="6">
        <v>1.0323181556195999</v>
      </c>
      <c r="G99" s="6" t="s">
        <v>202</v>
      </c>
      <c r="H99">
        <f>IF(Table1[[#This Row],[Lifetime Option]]="fixed",Table1[[#This Row],[End of life (fixed)]]-Table1[[#This Row],[Start year]],Table2[Generic  Lifetime])</f>
        <v>60</v>
      </c>
      <c r="J99">
        <f>IF(Table1[[#This Row],[Lifetime Option]]="fixed",Table1[[#This Row],[End of life (fixed)]],Table1[[#This Row],[Start year]]+Table2[Generic  Lifetime])</f>
        <v>2045</v>
      </c>
      <c r="K99">
        <v>1.33</v>
      </c>
      <c r="M99" s="8"/>
    </row>
    <row r="100" spans="3:13">
      <c r="C100" t="s">
        <v>3</v>
      </c>
      <c r="D100" t="s">
        <v>108</v>
      </c>
      <c r="E100">
        <v>1986</v>
      </c>
      <c r="F100" s="6">
        <v>1.0323181556195999</v>
      </c>
      <c r="G100" s="6" t="s">
        <v>202</v>
      </c>
      <c r="H100">
        <f>IF(Table1[[#This Row],[Lifetime Option]]="fixed",Table1[[#This Row],[End of life (fixed)]]-Table1[[#This Row],[Start year]],Table2[Generic  Lifetime])</f>
        <v>60</v>
      </c>
      <c r="J100">
        <f>IF(Table1[[#This Row],[Lifetime Option]]="fixed",Table1[[#This Row],[End of life (fixed)]],Table1[[#This Row],[Start year]]+Table2[Generic  Lifetime])</f>
        <v>2046</v>
      </c>
      <c r="K100">
        <v>1.33</v>
      </c>
      <c r="M100" s="8"/>
    </row>
    <row r="101" spans="3:13">
      <c r="C101" t="s">
        <v>3</v>
      </c>
      <c r="D101" t="s">
        <v>109</v>
      </c>
      <c r="E101">
        <v>1990</v>
      </c>
      <c r="F101" s="6">
        <v>1.0323181556195999</v>
      </c>
      <c r="G101" s="6" t="s">
        <v>202</v>
      </c>
      <c r="H101">
        <f>IF(Table1[[#This Row],[Lifetime Option]]="fixed",Table1[[#This Row],[End of life (fixed)]]-Table1[[#This Row],[Start year]],Table2[Generic  Lifetime])</f>
        <v>60</v>
      </c>
      <c r="J101">
        <f>IF(Table1[[#This Row],[Lifetime Option]]="fixed",Table1[[#This Row],[End of life (fixed)]],Table1[[#This Row],[Start year]]+Table2[Generic  Lifetime])</f>
        <v>2050</v>
      </c>
      <c r="K101">
        <v>1.33</v>
      </c>
      <c r="M101" s="8"/>
    </row>
    <row r="102" spans="3:13">
      <c r="C102" t="s">
        <v>3</v>
      </c>
      <c r="D102" t="s">
        <v>110</v>
      </c>
      <c r="E102">
        <v>1992</v>
      </c>
      <c r="F102" s="6">
        <v>1.0323181556195999</v>
      </c>
      <c r="G102" s="6" t="s">
        <v>202</v>
      </c>
      <c r="H102">
        <f>IF(Table1[[#This Row],[Lifetime Option]]="fixed",Table1[[#This Row],[End of life (fixed)]]-Table1[[#This Row],[Start year]],Table2[Generic  Lifetime])</f>
        <v>60</v>
      </c>
      <c r="J102">
        <f>IF(Table1[[#This Row],[Lifetime Option]]="fixed",Table1[[#This Row],[End of life (fixed)]],Table1[[#This Row],[Start year]]+Table2[Generic  Lifetime])</f>
        <v>2052</v>
      </c>
      <c r="K102">
        <v>1.33</v>
      </c>
      <c r="M102" s="8"/>
    </row>
    <row r="103" spans="3:13">
      <c r="C103" t="s">
        <v>3</v>
      </c>
      <c r="D103" t="s">
        <v>111</v>
      </c>
      <c r="E103">
        <v>1973</v>
      </c>
      <c r="F103" s="6">
        <v>2.85</v>
      </c>
      <c r="G103" s="6" t="s">
        <v>202</v>
      </c>
      <c r="H103">
        <f>IF(Table1[[#This Row],[Lifetime Option]]="fixed",Table1[[#This Row],[End of life (fixed)]]-Table1[[#This Row],[Start year]],Table2[Generic  Lifetime])</f>
        <v>60</v>
      </c>
      <c r="J103">
        <f>IF(Table1[[#This Row],[Lifetime Option]]="fixed",Table1[[#This Row],[End of life (fixed)]],Table1[[#This Row],[Start year]]+Table2[Generic  Lifetime])</f>
        <v>2033</v>
      </c>
      <c r="K103">
        <v>0.13</v>
      </c>
      <c r="M103" s="8"/>
    </row>
    <row r="104" spans="3:13">
      <c r="C104" t="s">
        <v>3</v>
      </c>
      <c r="D104" t="s">
        <v>112</v>
      </c>
      <c r="E104">
        <v>1985</v>
      </c>
      <c r="F104" s="6">
        <v>1.0315711815562001</v>
      </c>
      <c r="G104" s="6" t="s">
        <v>202</v>
      </c>
      <c r="H104">
        <f>IF(Table1[[#This Row],[Lifetime Option]]="fixed",Table1[[#This Row],[End of life (fixed)]]-Table1[[#This Row],[Start year]],Table2[Generic  Lifetime])</f>
        <v>60</v>
      </c>
      <c r="J104">
        <f>IF(Table1[[#This Row],[Lifetime Option]]="fixed",Table1[[#This Row],[End of life (fixed)]],Table1[[#This Row],[Start year]]+Table2[Generic  Lifetime])</f>
        <v>2045</v>
      </c>
      <c r="K104">
        <v>1.335</v>
      </c>
      <c r="M104" s="8"/>
    </row>
    <row r="105" spans="3:13">
      <c r="C105" t="s">
        <v>3</v>
      </c>
      <c r="D105" t="s">
        <v>113</v>
      </c>
      <c r="E105">
        <v>1986</v>
      </c>
      <c r="F105" s="6">
        <v>1.0315711815562001</v>
      </c>
      <c r="G105" s="6" t="s">
        <v>202</v>
      </c>
      <c r="H105">
        <f>IF(Table1[[#This Row],[Lifetime Option]]="fixed",Table1[[#This Row],[End of life (fixed)]]-Table1[[#This Row],[Start year]],Table2[Generic  Lifetime])</f>
        <v>60</v>
      </c>
      <c r="J105">
        <f>IF(Table1[[#This Row],[Lifetime Option]]="fixed",Table1[[#This Row],[End of life (fixed)]],Table1[[#This Row],[Start year]]+Table2[Generic  Lifetime])</f>
        <v>2046</v>
      </c>
      <c r="K105">
        <v>1.335</v>
      </c>
      <c r="M105" s="8"/>
    </row>
    <row r="106" spans="3:13">
      <c r="C106" t="s">
        <v>3</v>
      </c>
      <c r="D106" t="s">
        <v>114</v>
      </c>
      <c r="E106">
        <v>1981</v>
      </c>
      <c r="F106" s="6">
        <v>1.0005231684021501</v>
      </c>
      <c r="G106" s="6" t="s">
        <v>202</v>
      </c>
      <c r="H106">
        <f>IF(Table1[[#This Row],[Lifetime Option]]="fixed",Table1[[#This Row],[End of life (fixed)]]-Table1[[#This Row],[Start year]],Table2[Generic  Lifetime])</f>
        <v>60</v>
      </c>
      <c r="J106">
        <f>IF(Table1[[#This Row],[Lifetime Option]]="fixed",Table1[[#This Row],[End of life (fixed)]],Table1[[#This Row],[Start year]]+Table2[Generic  Lifetime])</f>
        <v>2041</v>
      </c>
      <c r="K106">
        <v>0.91500000000000004</v>
      </c>
      <c r="M106" s="8"/>
    </row>
    <row r="107" spans="3:13">
      <c r="C107" t="s">
        <v>3</v>
      </c>
      <c r="D107" t="s">
        <v>115</v>
      </c>
      <c r="E107">
        <v>1981</v>
      </c>
      <c r="F107" s="6">
        <v>1.0005231684021501</v>
      </c>
      <c r="G107" s="6" t="s">
        <v>202</v>
      </c>
      <c r="H107">
        <f>IF(Table1[[#This Row],[Lifetime Option]]="fixed",Table1[[#This Row],[End of life (fixed)]]-Table1[[#This Row],[Start year]],Table2[Generic  Lifetime])</f>
        <v>60</v>
      </c>
      <c r="J107">
        <f>IF(Table1[[#This Row],[Lifetime Option]]="fixed",Table1[[#This Row],[End of life (fixed)]],Table1[[#This Row],[Start year]]+Table2[Generic  Lifetime])</f>
        <v>2041</v>
      </c>
      <c r="K107">
        <v>0.91500000000000004</v>
      </c>
      <c r="M107" s="8"/>
    </row>
    <row r="108" spans="3:13">
      <c r="C108" t="s">
        <v>3</v>
      </c>
      <c r="D108" t="s">
        <v>116</v>
      </c>
      <c r="E108">
        <v>1980</v>
      </c>
      <c r="F108" s="6">
        <v>1.2443461400359099</v>
      </c>
      <c r="G108" s="6" t="s">
        <v>202</v>
      </c>
      <c r="H108">
        <f>IF(Table1[[#This Row],[Lifetime Option]]="fixed",Table1[[#This Row],[End of life (fixed)]]-Table1[[#This Row],[Start year]],Table2[Generic  Lifetime])</f>
        <v>60</v>
      </c>
      <c r="J108">
        <f>IF(Table1[[#This Row],[Lifetime Option]]="fixed",Table1[[#This Row],[End of life (fixed)]],Table1[[#This Row],[Start year]]+Table2[Generic  Lifetime])</f>
        <v>2040</v>
      </c>
      <c r="K108">
        <v>0.91500000000000004</v>
      </c>
      <c r="M108" s="8"/>
    </row>
    <row r="109" spans="3:13">
      <c r="C109" t="s">
        <v>3</v>
      </c>
      <c r="D109" t="s">
        <v>117</v>
      </c>
      <c r="E109">
        <v>1980</v>
      </c>
      <c r="F109" s="6">
        <v>0.99947659605026895</v>
      </c>
      <c r="G109" s="6" t="s">
        <v>202</v>
      </c>
      <c r="H109">
        <f>IF(Table1[[#This Row],[Lifetime Option]]="fixed",Table1[[#This Row],[End of life (fixed)]]-Table1[[#This Row],[Start year]],Table2[Generic  Lifetime])</f>
        <v>60</v>
      </c>
      <c r="J109">
        <f>IF(Table1[[#This Row],[Lifetime Option]]="fixed",Table1[[#This Row],[End of life (fixed)]],Table1[[#This Row],[Start year]]+Table2[Generic  Lifetime])</f>
        <v>2040</v>
      </c>
      <c r="K109">
        <v>0.91500000000000004</v>
      </c>
      <c r="M109" s="8"/>
    </row>
    <row r="110" spans="3:13">
      <c r="C110" t="s">
        <v>3</v>
      </c>
      <c r="D110" t="s">
        <v>118</v>
      </c>
      <c r="E110">
        <v>1981</v>
      </c>
      <c r="F110" s="6">
        <v>0.99947659605026895</v>
      </c>
      <c r="G110" s="6" t="s">
        <v>202</v>
      </c>
      <c r="H110">
        <f>IF(Table1[[#This Row],[Lifetime Option]]="fixed",Table1[[#This Row],[End of life (fixed)]]-Table1[[#This Row],[Start year]],Table2[Generic  Lifetime])</f>
        <v>60</v>
      </c>
      <c r="J110">
        <f>IF(Table1[[#This Row],[Lifetime Option]]="fixed",Table1[[#This Row],[End of life (fixed)]],Table1[[#This Row],[Start year]]+Table2[Generic  Lifetime])</f>
        <v>2041</v>
      </c>
      <c r="K110">
        <v>0.91500000000000004</v>
      </c>
      <c r="M110" s="8"/>
    </row>
    <row r="111" spans="3:13">
      <c r="C111" t="s">
        <v>3</v>
      </c>
      <c r="D111" t="s">
        <v>119</v>
      </c>
      <c r="E111">
        <v>1981</v>
      </c>
      <c r="F111" s="6">
        <v>0.99947659605026895</v>
      </c>
      <c r="G111" s="6" t="s">
        <v>202</v>
      </c>
      <c r="H111">
        <f>IF(Table1[[#This Row],[Lifetime Option]]="fixed",Table1[[#This Row],[End of life (fixed)]]-Table1[[#This Row],[Start year]],Table2[Generic  Lifetime])</f>
        <v>60</v>
      </c>
      <c r="J111">
        <f>IF(Table1[[#This Row],[Lifetime Option]]="fixed",Table1[[#This Row],[End of life (fixed)]],Table1[[#This Row],[Start year]]+Table2[Generic  Lifetime])</f>
        <v>2041</v>
      </c>
      <c r="K111">
        <v>0.91500000000000004</v>
      </c>
      <c r="M111" s="8"/>
    </row>
    <row r="112" spans="3:13">
      <c r="C112" t="s">
        <v>120</v>
      </c>
      <c r="D112" t="s">
        <v>121</v>
      </c>
      <c r="E112">
        <v>1982</v>
      </c>
      <c r="F112" s="6">
        <v>1.07636363636364</v>
      </c>
      <c r="G112" s="6" t="s">
        <v>202</v>
      </c>
      <c r="H112">
        <f>IF(Table1[[#This Row],[Lifetime Option]]="fixed",Table1[[#This Row],[End of life (fixed)]]-Table1[[#This Row],[Start year]],Table2[Generic  Lifetime])</f>
        <v>60</v>
      </c>
      <c r="J112">
        <f>IF(Table1[[#This Row],[Lifetime Option]]="fixed",Table1[[#This Row],[End of life (fixed)]],Table1[[#This Row],[Start year]]+Table2[Generic  Lifetime])</f>
        <v>2042</v>
      </c>
      <c r="K112">
        <v>0.47</v>
      </c>
      <c r="M112" s="8"/>
    </row>
    <row r="113" spans="3:13">
      <c r="C113" t="s">
        <v>120</v>
      </c>
      <c r="D113" t="s">
        <v>122</v>
      </c>
      <c r="E113">
        <v>1984</v>
      </c>
      <c r="F113" s="6">
        <v>1.07636363636364</v>
      </c>
      <c r="G113" s="6" t="s">
        <v>202</v>
      </c>
      <c r="H113">
        <f>IF(Table1[[#This Row],[Lifetime Option]]="fixed",Table1[[#This Row],[End of life (fixed)]]-Table1[[#This Row],[Start year]],Table2[Generic  Lifetime])</f>
        <v>60</v>
      </c>
      <c r="J113">
        <f>IF(Table1[[#This Row],[Lifetime Option]]="fixed",Table1[[#This Row],[End of life (fixed)]],Table1[[#This Row],[Start year]]+Table2[Generic  Lifetime])</f>
        <v>2044</v>
      </c>
      <c r="K113">
        <v>0.47299999999999998</v>
      </c>
      <c r="M113" s="8"/>
    </row>
    <row r="114" spans="3:13">
      <c r="C114" t="s">
        <v>120</v>
      </c>
      <c r="D114" t="s">
        <v>123</v>
      </c>
      <c r="E114">
        <v>1986</v>
      </c>
      <c r="F114" s="6">
        <v>1.07636363636364</v>
      </c>
      <c r="G114" s="6" t="s">
        <v>202</v>
      </c>
      <c r="H114">
        <f>IF(Table1[[#This Row],[Lifetime Option]]="fixed",Table1[[#This Row],[End of life (fixed)]]-Table1[[#This Row],[Start year]],Table2[Generic  Lifetime])</f>
        <v>60</v>
      </c>
      <c r="J114">
        <f>IF(Table1[[#This Row],[Lifetime Option]]="fixed",Table1[[#This Row],[End of life (fixed)]],Table1[[#This Row],[Start year]]+Table2[Generic  Lifetime])</f>
        <v>2046</v>
      </c>
      <c r="K114">
        <v>0.47299999999999998</v>
      </c>
      <c r="M114" s="8"/>
    </row>
    <row r="115" spans="3:13">
      <c r="C115" t="s">
        <v>120</v>
      </c>
      <c r="D115" t="s">
        <v>124</v>
      </c>
      <c r="E115">
        <v>1987</v>
      </c>
      <c r="F115" s="6">
        <v>1.07636363636364</v>
      </c>
      <c r="G115" s="6" t="s">
        <v>202</v>
      </c>
      <c r="H115">
        <f>IF(Table1[[#This Row],[Lifetime Option]]="fixed",Table1[[#This Row],[End of life (fixed)]]-Table1[[#This Row],[Start year]],Table2[Generic  Lifetime])</f>
        <v>60</v>
      </c>
      <c r="J115">
        <f>IF(Table1[[#This Row],[Lifetime Option]]="fixed",Table1[[#This Row],[End of life (fixed)]],Table1[[#This Row],[Start year]]+Table2[Generic  Lifetime])</f>
        <v>2047</v>
      </c>
      <c r="K115">
        <v>0.47299999999999998</v>
      </c>
      <c r="M115" s="8"/>
    </row>
    <row r="116" spans="3:13">
      <c r="C116" t="s">
        <v>125</v>
      </c>
      <c r="D116" t="s">
        <v>126</v>
      </c>
      <c r="E116">
        <v>1983</v>
      </c>
      <c r="F116" s="6">
        <v>0.66</v>
      </c>
      <c r="G116" s="6" t="s">
        <v>201</v>
      </c>
      <c r="H116">
        <f>IF(Table1[[#This Row],[Lifetime Option]]="fixed",Table1[[#This Row],[End of life (fixed)]]-Table1[[#This Row],[Start year]],Table2[Generic  Lifetime])</f>
        <v>21</v>
      </c>
      <c r="I116">
        <v>2004</v>
      </c>
      <c r="J116">
        <f>IF(Table1[[#This Row],[Lifetime Option]]="fixed",Table1[[#This Row],[End of life (fixed)]],Table1[[#This Row],[Start year]]+Table2[Generic  Lifetime])</f>
        <v>2004</v>
      </c>
      <c r="K116">
        <v>1.1850000000000001</v>
      </c>
      <c r="L116" t="s">
        <v>186</v>
      </c>
      <c r="M116" s="8"/>
    </row>
    <row r="117" spans="3:13">
      <c r="C117" t="s">
        <v>125</v>
      </c>
      <c r="D117" t="s">
        <v>127</v>
      </c>
      <c r="E117">
        <v>1987</v>
      </c>
      <c r="F117" s="6">
        <v>0.66</v>
      </c>
      <c r="G117" s="6" t="s">
        <v>201</v>
      </c>
      <c r="H117">
        <f>IF(Table1[[#This Row],[Lifetime Option]]="fixed",Table1[[#This Row],[End of life (fixed)]]-Table1[[#This Row],[Start year]],Table2[Generic  Lifetime])</f>
        <v>22</v>
      </c>
      <c r="I117">
        <v>2009</v>
      </c>
      <c r="J117">
        <f>IF(Table1[[#This Row],[Lifetime Option]]="fixed",Table1[[#This Row],[End of life (fixed)]],Table1[[#This Row],[Start year]]+Table2[Generic  Lifetime])</f>
        <v>2009</v>
      </c>
      <c r="K117">
        <v>1.1850000000000001</v>
      </c>
      <c r="L117" t="s">
        <v>186</v>
      </c>
      <c r="M117" s="8"/>
    </row>
    <row r="118" spans="3:13">
      <c r="C118" t="s">
        <v>128</v>
      </c>
      <c r="D118" t="s">
        <v>129</v>
      </c>
      <c r="E118">
        <v>1973</v>
      </c>
      <c r="F118" s="6">
        <v>1.2703836017569501</v>
      </c>
      <c r="G118" s="6" t="s">
        <v>201</v>
      </c>
      <c r="H118">
        <f>IF(Table1[[#This Row],[Lifetime Option]]="fixed",Table1[[#This Row],[End of life (fixed)]]-Table1[[#This Row],[Start year]],Table2[Generic  Lifetime])</f>
        <v>61</v>
      </c>
      <c r="I118">
        <v>2034</v>
      </c>
      <c r="J118">
        <f>IF(Table1[[#This Row],[Lifetime Option]]="fixed",Table1[[#This Row],[End of life (fixed)]],Table1[[#This Row],[Start year]]+Table2[Generic  Lifetime])</f>
        <v>2034</v>
      </c>
      <c r="K118">
        <v>0.48199999999999998</v>
      </c>
      <c r="M118" s="8"/>
    </row>
    <row r="119" spans="3:13">
      <c r="C119" t="s">
        <v>130</v>
      </c>
      <c r="D119" t="s">
        <v>131</v>
      </c>
      <c r="E119">
        <v>1996</v>
      </c>
      <c r="F119" s="6">
        <v>0.19866451376146799</v>
      </c>
      <c r="G119" s="6" t="s">
        <v>202</v>
      </c>
      <c r="H119">
        <f>IF(Table1[[#This Row],[Lifetime Option]]="fixed",Table1[[#This Row],[End of life (fixed)]]-Table1[[#This Row],[Start year]],Table2[Generic  Lifetime])</f>
        <v>60</v>
      </c>
      <c r="J119">
        <f>IF(Table1[[#This Row],[Lifetime Option]]="fixed",Table1[[#This Row],[End of life (fixed)]],Table1[[#This Row],[Start year]]+Table2[Generic  Lifetime])</f>
        <v>2056</v>
      </c>
      <c r="K119">
        <v>0.65</v>
      </c>
      <c r="M119" s="8"/>
    </row>
    <row r="120" spans="3:13">
      <c r="C120" t="s">
        <v>130</v>
      </c>
      <c r="D120" t="s">
        <v>132</v>
      </c>
      <c r="E120">
        <v>2007</v>
      </c>
      <c r="F120" s="6">
        <v>0.19866451376146799</v>
      </c>
      <c r="G120" s="6" t="s">
        <v>202</v>
      </c>
      <c r="H120">
        <f>IF(Table1[[#This Row],[Lifetime Option]]="fixed",Table1[[#This Row],[End of life (fixed)]]-Table1[[#This Row],[Start year]],Table2[Generic  Lifetime])</f>
        <v>60</v>
      </c>
      <c r="J120">
        <f>IF(Table1[[#This Row],[Lifetime Option]]="fixed",Table1[[#This Row],[End of life (fixed)]],Table1[[#This Row],[Start year]]+Table2[Generic  Lifetime])</f>
        <v>2067</v>
      </c>
      <c r="K120">
        <v>0.65</v>
      </c>
      <c r="M120" s="8"/>
    </row>
    <row r="121" spans="3:13">
      <c r="C121" t="s">
        <v>133</v>
      </c>
      <c r="D121" t="s">
        <v>134</v>
      </c>
      <c r="E121">
        <v>1980</v>
      </c>
      <c r="F121" s="6">
        <v>1.2802426229508199</v>
      </c>
      <c r="G121" s="6" t="s">
        <v>202</v>
      </c>
      <c r="H121">
        <f>IF(Table1[[#This Row],[Lifetime Option]]="fixed",Table1[[#This Row],[End of life (fixed)]]-Table1[[#This Row],[Start year]],Table2[Generic  Lifetime])</f>
        <v>60</v>
      </c>
      <c r="J121">
        <f>IF(Table1[[#This Row],[Lifetime Option]]="fixed",Table1[[#This Row],[End of life (fixed)]],Table1[[#This Row],[Start year]]+Table2[Generic  Lifetime])</f>
        <v>2040</v>
      </c>
      <c r="K121">
        <v>0.98399999999999999</v>
      </c>
      <c r="M121" s="8"/>
    </row>
    <row r="122" spans="3:13">
      <c r="C122" t="s">
        <v>133</v>
      </c>
      <c r="D122" t="s">
        <v>135</v>
      </c>
      <c r="E122">
        <v>1981</v>
      </c>
      <c r="F122" s="6">
        <v>1.27404590163934</v>
      </c>
      <c r="G122" s="6" t="s">
        <v>202</v>
      </c>
      <c r="H122">
        <f>IF(Table1[[#This Row],[Lifetime Option]]="fixed",Table1[[#This Row],[End of life (fixed)]]-Table1[[#This Row],[Start year]],Table2[Generic  Lifetime])</f>
        <v>60</v>
      </c>
      <c r="J122">
        <f>IF(Table1[[#This Row],[Lifetime Option]]="fixed",Table1[[#This Row],[End of life (fixed)]],Table1[[#This Row],[Start year]]+Table2[Generic  Lifetime])</f>
        <v>2041</v>
      </c>
      <c r="K122">
        <v>0.996</v>
      </c>
      <c r="M122" s="8"/>
    </row>
    <row r="123" spans="3:13">
      <c r="C123" t="s">
        <v>133</v>
      </c>
      <c r="D123" t="s">
        <v>136</v>
      </c>
      <c r="E123">
        <v>1985</v>
      </c>
      <c r="F123" s="6">
        <v>1.3327592727272699</v>
      </c>
      <c r="G123" s="6" t="s">
        <v>202</v>
      </c>
      <c r="H123">
        <f>IF(Table1[[#This Row],[Lifetime Option]]="fixed",Table1[[#This Row],[End of life (fixed)]]-Table1[[#This Row],[Start year]],Table2[Generic  Lifetime])</f>
        <v>60</v>
      </c>
      <c r="J123">
        <f>IF(Table1[[#This Row],[Lifetime Option]]="fixed",Table1[[#This Row],[End of life (fixed)]],Table1[[#This Row],[Start year]]+Table2[Generic  Lifetime])</f>
        <v>2045</v>
      </c>
      <c r="K123">
        <v>1.17</v>
      </c>
      <c r="M123" s="8"/>
    </row>
    <row r="124" spans="3:13">
      <c r="C124" t="s">
        <v>133</v>
      </c>
      <c r="D124" t="s">
        <v>137</v>
      </c>
      <c r="E124">
        <v>1971</v>
      </c>
      <c r="F124" s="6">
        <v>1.3911970909090901</v>
      </c>
      <c r="G124" s="6" t="s">
        <v>201</v>
      </c>
      <c r="H124">
        <f>IF(Table1[[#This Row],[Lifetime Option]]="fixed",Table1[[#This Row],[End of life (fixed)]]-Table1[[#This Row],[Start year]],Table2[Generic  Lifetime])</f>
        <v>47</v>
      </c>
      <c r="I124">
        <v>2018</v>
      </c>
      <c r="J124">
        <f>IF(Table1[[#This Row],[Lifetime Option]]="fixed",Table1[[#This Row],[End of life (fixed)]],Table1[[#This Row],[Start year]]+Table2[Generic  Lifetime])</f>
        <v>2018</v>
      </c>
      <c r="K124">
        <v>0.47299999999999998</v>
      </c>
      <c r="L124" t="s">
        <v>208</v>
      </c>
      <c r="M124" s="7" t="s">
        <v>176</v>
      </c>
    </row>
    <row r="125" spans="3:13">
      <c r="C125" t="s">
        <v>133</v>
      </c>
      <c r="D125" t="s">
        <v>138</v>
      </c>
      <c r="E125">
        <v>1974</v>
      </c>
      <c r="F125" s="6">
        <v>1.4277599999999999</v>
      </c>
      <c r="G125" s="6" t="s">
        <v>201</v>
      </c>
      <c r="H125">
        <f>IF(Table1[[#This Row],[Lifetime Option]]="fixed",Table1[[#This Row],[End of life (fixed)]]-Table1[[#This Row],[Start year]],Table2[Generic  Lifetime])</f>
        <v>46</v>
      </c>
      <c r="I125">
        <v>2020</v>
      </c>
      <c r="J125">
        <f>IF(Table1[[#This Row],[Lifetime Option]]="fixed",Table1[[#This Row],[End of life (fixed)]],Table1[[#This Row],[Start year]]+Table2[Generic  Lifetime])</f>
        <v>2020</v>
      </c>
      <c r="K125">
        <v>0.63800000000000001</v>
      </c>
      <c r="L125" t="s">
        <v>208</v>
      </c>
      <c r="M125" s="8"/>
    </row>
    <row r="126" spans="3:13">
      <c r="C126" t="s">
        <v>133</v>
      </c>
      <c r="D126" t="s">
        <v>139</v>
      </c>
      <c r="E126">
        <v>1985</v>
      </c>
      <c r="F126" s="6">
        <v>1.0279384615384599</v>
      </c>
      <c r="G126" s="6" t="s">
        <v>202</v>
      </c>
      <c r="H126">
        <f>IF(Table1[[#This Row],[Lifetime Option]]="fixed",Table1[[#This Row],[End of life (fixed)]]-Table1[[#This Row],[Start year]],Table2[Generic  Lifetime])</f>
        <v>60</v>
      </c>
      <c r="J126">
        <f>IF(Table1[[#This Row],[Lifetime Option]]="fixed",Table1[[#This Row],[End of life (fixed)]],Table1[[#This Row],[Start year]]+Table2[Generic  Lifetime])</f>
        <v>2045</v>
      </c>
      <c r="K126">
        <v>1.4</v>
      </c>
      <c r="M126" s="8"/>
    </row>
    <row r="127" spans="3:13">
      <c r="C127" t="s">
        <v>133</v>
      </c>
      <c r="D127" t="s">
        <v>140</v>
      </c>
      <c r="E127">
        <v>1974</v>
      </c>
      <c r="F127" s="6">
        <v>1.24541858267717</v>
      </c>
      <c r="G127" s="6" t="s">
        <v>201</v>
      </c>
      <c r="H127">
        <f>IF(Table1[[#This Row],[Lifetime Option]]="fixed",Table1[[#This Row],[End of life (fixed)]]-Table1[[#This Row],[Start year]],Table2[Generic  Lifetime])</f>
        <v>46</v>
      </c>
      <c r="I127">
        <v>2020</v>
      </c>
      <c r="J127">
        <f>IF(Table1[[#This Row],[Lifetime Option]]="fixed",Table1[[#This Row],[End of life (fixed)]],Table1[[#This Row],[Start year]]+Table2[Generic  Lifetime])</f>
        <v>2020</v>
      </c>
      <c r="K127">
        <v>0.878</v>
      </c>
      <c r="L127" t="s">
        <v>194</v>
      </c>
      <c r="M127" s="9" t="s">
        <v>182</v>
      </c>
    </row>
    <row r="128" spans="3:13">
      <c r="C128" t="s">
        <v>133</v>
      </c>
      <c r="D128" t="s">
        <v>141</v>
      </c>
      <c r="E128">
        <v>1974</v>
      </c>
      <c r="F128" s="6">
        <v>1.3999073684210499</v>
      </c>
      <c r="G128" s="6" t="s">
        <v>201</v>
      </c>
      <c r="H128">
        <f>IF(Table1[[#This Row],[Lifetime Option]]="fixed",Table1[[#This Row],[End of life (fixed)]]-Table1[[#This Row],[Start year]],Table2[Generic  Lifetime])</f>
        <v>46</v>
      </c>
      <c r="I128">
        <v>2020</v>
      </c>
      <c r="J128">
        <f>IF(Table1[[#This Row],[Lifetime Option]]="fixed",Table1[[#This Row],[End of life (fixed)]],Table1[[#This Row],[Start year]]+Table2[Generic  Lifetime])</f>
        <v>2020</v>
      </c>
      <c r="K128">
        <v>0.86499999999999999</v>
      </c>
      <c r="L128" t="s">
        <v>194</v>
      </c>
      <c r="M128" s="9" t="s">
        <v>182</v>
      </c>
    </row>
    <row r="129" spans="3:13">
      <c r="C129" t="s">
        <v>133</v>
      </c>
      <c r="D129" t="s">
        <v>142</v>
      </c>
      <c r="E129">
        <v>1980</v>
      </c>
      <c r="F129" s="6">
        <v>1.39706181818182</v>
      </c>
      <c r="G129" s="6" t="s">
        <v>202</v>
      </c>
      <c r="H129">
        <f>IF(Table1[[#This Row],[Lifetime Option]]="fixed",Table1[[#This Row],[End of life (fixed)]]-Table1[[#This Row],[Start year]],Table2[Generic  Lifetime])</f>
        <v>60</v>
      </c>
      <c r="J129">
        <f>IF(Table1[[#This Row],[Lifetime Option]]="fixed",Table1[[#This Row],[End of life (fixed)]],Table1[[#This Row],[Start year]]+Table2[Generic  Lifetime])</f>
        <v>2040</v>
      </c>
      <c r="K129">
        <v>1.0640000000000001</v>
      </c>
      <c r="M129" s="7" t="s">
        <v>182</v>
      </c>
    </row>
    <row r="130" spans="3:13">
      <c r="C130" t="s">
        <v>133</v>
      </c>
      <c r="D130" t="s">
        <v>143</v>
      </c>
      <c r="E130">
        <v>1982</v>
      </c>
      <c r="F130" s="6">
        <v>1.4050041081081099</v>
      </c>
      <c r="G130" s="6" t="s">
        <v>202</v>
      </c>
      <c r="H130">
        <f>IF(Table1[[#This Row],[Lifetime Option]]="fixed",Table1[[#This Row],[End of life (fixed)]]-Table1[[#This Row],[Start year]],Table2[Generic  Lifetime])</f>
        <v>60</v>
      </c>
      <c r="J130">
        <f>IF(Table1[[#This Row],[Lifetime Option]]="fixed",Table1[[#This Row],[End of life (fixed)]],Table1[[#This Row],[Start year]]+Table2[Generic  Lifetime])</f>
        <v>2042</v>
      </c>
      <c r="K130">
        <v>0.94</v>
      </c>
      <c r="M130" s="7" t="s">
        <v>182</v>
      </c>
    </row>
    <row r="131" spans="3:13">
      <c r="C131" t="s">
        <v>144</v>
      </c>
      <c r="D131" t="s">
        <v>145</v>
      </c>
      <c r="E131">
        <v>1981</v>
      </c>
      <c r="F131" s="6">
        <v>1.3869532453360101</v>
      </c>
      <c r="G131" s="6" t="s">
        <v>202</v>
      </c>
      <c r="H131">
        <f>IF(Table1[[#This Row],[Lifetime Option]]="fixed",Table1[[#This Row],[End of life (fixed)]]-Table1[[#This Row],[Start year]],Table2[Generic  Lifetime])</f>
        <v>60</v>
      </c>
      <c r="I131">
        <f t="shared" ref="I131" si="0">E131+H131</f>
        <v>2041</v>
      </c>
      <c r="J131">
        <f>IF(Table1[[#This Row],[Lifetime Option]]="fixed",Table1[[#This Row],[End of life (fixed)]],Table1[[#This Row],[Start year]]+Table2[Generic  Lifetime])</f>
        <v>2041</v>
      </c>
      <c r="K131">
        <v>0.68799999999999994</v>
      </c>
      <c r="L131" t="s">
        <v>189</v>
      </c>
      <c r="M131" s="7" t="s">
        <v>188</v>
      </c>
    </row>
    <row r="132" spans="3:13">
      <c r="C132" t="s">
        <v>146</v>
      </c>
      <c r="D132" t="s">
        <v>147</v>
      </c>
      <c r="E132">
        <v>1978</v>
      </c>
      <c r="F132" s="6">
        <v>1</v>
      </c>
      <c r="G132" s="6" t="s">
        <v>201</v>
      </c>
      <c r="H132">
        <f>IF(Table1[[#This Row],[Lifetime Option]]="fixed",Table1[[#This Row],[End of life (fixed)]]-Table1[[#This Row],[Start year]],Table2[Generic  Lifetime])</f>
        <v>28</v>
      </c>
      <c r="I132">
        <v>2006</v>
      </c>
      <c r="J132">
        <f>IF(Table1[[#This Row],[Lifetime Option]]="fixed",Table1[[#This Row],[End of life (fixed)]],Table1[[#This Row],[Start year]]+Table2[Generic  Lifetime])</f>
        <v>2006</v>
      </c>
      <c r="K132">
        <v>0.40799999999999997</v>
      </c>
      <c r="L132" t="s">
        <v>178</v>
      </c>
      <c r="M132" s="8"/>
    </row>
    <row r="133" spans="3:13">
      <c r="C133" t="s">
        <v>146</v>
      </c>
      <c r="D133" t="s">
        <v>148</v>
      </c>
      <c r="E133">
        <v>1980</v>
      </c>
      <c r="F133" s="6">
        <v>1</v>
      </c>
      <c r="G133" s="6" t="s">
        <v>201</v>
      </c>
      <c r="H133">
        <f>IF(Table1[[#This Row],[Lifetime Option]]="fixed",Table1[[#This Row],[End of life (fixed)]]-Table1[[#This Row],[Start year]],Table2[Generic  Lifetime])</f>
        <v>28</v>
      </c>
      <c r="I133">
        <v>2008</v>
      </c>
      <c r="J133">
        <f>IF(Table1[[#This Row],[Lifetime Option]]="fixed",Table1[[#This Row],[End of life (fixed)]],Table1[[#This Row],[Start year]]+Table2[Generic  Lifetime])</f>
        <v>2008</v>
      </c>
      <c r="K133">
        <v>0.40799999999999997</v>
      </c>
      <c r="L133" t="s">
        <v>178</v>
      </c>
      <c r="M133" s="8"/>
    </row>
    <row r="134" spans="3:13">
      <c r="C134" t="s">
        <v>146</v>
      </c>
      <c r="D134" t="s">
        <v>149</v>
      </c>
      <c r="E134">
        <v>1984</v>
      </c>
      <c r="F134" s="6">
        <v>1.3644269204622701</v>
      </c>
      <c r="G134" s="6" t="s">
        <v>202</v>
      </c>
      <c r="H134">
        <f>IF(Table1[[#This Row],[Lifetime Option]]="fixed",Table1[[#This Row],[End of life (fixed)]]-Table1[[#This Row],[Start year]],Table2[Generic  Lifetime])</f>
        <v>60</v>
      </c>
      <c r="I134">
        <f>E134+H134</f>
        <v>2044</v>
      </c>
      <c r="J134">
        <f>IF(Table1[[#This Row],[Lifetime Option]]="fixed",Table1[[#This Row],[End of life (fixed)]],Table1[[#This Row],[Start year]]+Table2[Generic  Lifetime])</f>
        <v>2044</v>
      </c>
      <c r="K134">
        <v>0.47199999999999998</v>
      </c>
      <c r="L134" t="s">
        <v>190</v>
      </c>
      <c r="M134" s="7" t="s">
        <v>183</v>
      </c>
    </row>
    <row r="135" spans="3:13">
      <c r="C135" t="s">
        <v>146</v>
      </c>
      <c r="D135" t="s">
        <v>150</v>
      </c>
      <c r="E135">
        <v>1985</v>
      </c>
      <c r="F135" s="6">
        <v>1.3644269204622701</v>
      </c>
      <c r="G135" s="6" t="s">
        <v>202</v>
      </c>
      <c r="H135">
        <f>IF(Table1[[#This Row],[Lifetime Option]]="fixed",Table1[[#This Row],[End of life (fixed)]]-Table1[[#This Row],[Start year]],Table2[Generic  Lifetime])</f>
        <v>60</v>
      </c>
      <c r="I135">
        <f t="shared" ref="I135:I137" si="1">E135+H135</f>
        <v>2045</v>
      </c>
      <c r="J135">
        <f>IF(Table1[[#This Row],[Lifetime Option]]="fixed",Table1[[#This Row],[End of life (fixed)]],Table1[[#This Row],[Start year]]+Table2[Generic  Lifetime])</f>
        <v>2045</v>
      </c>
      <c r="K135">
        <v>0.47199999999999998</v>
      </c>
      <c r="L135" t="s">
        <v>190</v>
      </c>
      <c r="M135" s="7" t="s">
        <v>183</v>
      </c>
    </row>
    <row r="136" spans="3:13">
      <c r="C136" t="s">
        <v>146</v>
      </c>
      <c r="D136" t="s">
        <v>151</v>
      </c>
      <c r="E136">
        <v>1998</v>
      </c>
      <c r="F136" s="6">
        <v>1.2146512576478601</v>
      </c>
      <c r="G136" s="6" t="s">
        <v>202</v>
      </c>
      <c r="H136">
        <f>IF(Table1[[#This Row],[Lifetime Option]]="fixed",Table1[[#This Row],[End of life (fixed)]]-Table1[[#This Row],[Start year]],Table2[Generic  Lifetime])</f>
        <v>60</v>
      </c>
      <c r="I136">
        <f t="shared" si="1"/>
        <v>2058</v>
      </c>
      <c r="J136">
        <f>IF(Table1[[#This Row],[Lifetime Option]]="fixed",Table1[[#This Row],[End of life (fixed)]],Table1[[#This Row],[Start year]]+Table2[Generic  Lifetime])</f>
        <v>2058</v>
      </c>
      <c r="K136">
        <v>0.436</v>
      </c>
      <c r="M136" s="8"/>
    </row>
    <row r="137" spans="3:13">
      <c r="C137" t="s">
        <v>146</v>
      </c>
      <c r="D137" t="s">
        <v>152</v>
      </c>
      <c r="E137">
        <v>1999</v>
      </c>
      <c r="F137" s="6">
        <v>1.2146512576478601</v>
      </c>
      <c r="G137" s="6" t="s">
        <v>202</v>
      </c>
      <c r="H137">
        <f>IF(Table1[[#This Row],[Lifetime Option]]="fixed",Table1[[#This Row],[End of life (fixed)]]-Table1[[#This Row],[Start year]],Table2[Generic  Lifetime])</f>
        <v>60</v>
      </c>
      <c r="I137">
        <f t="shared" si="1"/>
        <v>2059</v>
      </c>
      <c r="J137">
        <f>IF(Table1[[#This Row],[Lifetime Option]]="fixed",Table1[[#This Row],[End of life (fixed)]],Table1[[#This Row],[Start year]]+Table2[Generic  Lifetime])</f>
        <v>2059</v>
      </c>
      <c r="K137">
        <v>0.436</v>
      </c>
      <c r="M137" s="8"/>
    </row>
    <row r="138" spans="3:13">
      <c r="C138" t="s">
        <v>153</v>
      </c>
      <c r="D138" t="s">
        <v>154</v>
      </c>
      <c r="E138">
        <v>1983</v>
      </c>
      <c r="F138" s="6">
        <v>0.67305599999999999</v>
      </c>
      <c r="G138" s="6" t="s">
        <v>201</v>
      </c>
      <c r="H138">
        <f>IF(Table1[[#This Row],[Lifetime Option]]="fixed",Table1[[#This Row],[End of life (fixed)]]-Table1[[#This Row],[Start year]],Table2[Generic  Lifetime])</f>
        <v>45</v>
      </c>
      <c r="I138">
        <v>2028</v>
      </c>
      <c r="J138">
        <f>IF(Table1[[#This Row],[Lifetime Option]]="fixed",Table1[[#This Row],[End of life (fixed)]],Table1[[#This Row],[Start year]]+Table2[Generic  Lifetime])</f>
        <v>2028</v>
      </c>
      <c r="K138">
        <v>0.52</v>
      </c>
      <c r="M138" s="7" t="s">
        <v>192</v>
      </c>
    </row>
    <row r="139" spans="3:13">
      <c r="C139" t="s">
        <v>153</v>
      </c>
      <c r="D139" t="s">
        <v>155</v>
      </c>
      <c r="E139">
        <v>1985</v>
      </c>
      <c r="F139" s="6">
        <v>0.63763199999999998</v>
      </c>
      <c r="G139" s="6" t="s">
        <v>201</v>
      </c>
      <c r="H139">
        <f>IF(Table1[[#This Row],[Lifetime Option]]="fixed",Table1[[#This Row],[End of life (fixed)]]-Table1[[#This Row],[Start year]],Table2[Generic  Lifetime])</f>
        <v>43</v>
      </c>
      <c r="I139">
        <v>2028</v>
      </c>
      <c r="J139">
        <f>IF(Table1[[#This Row],[Lifetime Option]]="fixed",Table1[[#This Row],[End of life (fixed)]],Table1[[#This Row],[Start year]]+Table2[Generic  Lifetime])</f>
        <v>2028</v>
      </c>
      <c r="K139">
        <v>0.52</v>
      </c>
      <c r="M139" s="8"/>
    </row>
    <row r="140" spans="3:13">
      <c r="C140" t="s">
        <v>153</v>
      </c>
      <c r="D140" t="s">
        <v>156</v>
      </c>
      <c r="E140">
        <v>1983</v>
      </c>
      <c r="F140" s="6">
        <v>0.90547200000000005</v>
      </c>
      <c r="G140" s="6" t="s">
        <v>201</v>
      </c>
      <c r="H140">
        <f>IF(Table1[[#This Row],[Lifetime Option]]="fixed",Table1[[#This Row],[End of life (fixed)]]-Table1[[#This Row],[Start year]],Table2[Generic  Lifetime])</f>
        <v>36</v>
      </c>
      <c r="I140">
        <v>2019</v>
      </c>
      <c r="J140">
        <f>IF(Table1[[#This Row],[Lifetime Option]]="fixed",Table1[[#This Row],[End of life (fixed)]],Table1[[#This Row],[Start year]]+Table2[Generic  Lifetime])</f>
        <v>2019</v>
      </c>
      <c r="K140">
        <v>0.59499999999999997</v>
      </c>
      <c r="M140" s="8"/>
    </row>
    <row r="141" spans="3:13">
      <c r="C141" t="s">
        <v>153</v>
      </c>
      <c r="D141" t="s">
        <v>157</v>
      </c>
      <c r="E141">
        <v>1984</v>
      </c>
      <c r="F141" s="6">
        <v>0.90547200000000005</v>
      </c>
      <c r="G141" s="6" t="s">
        <v>201</v>
      </c>
      <c r="H141">
        <f>IF(Table1[[#This Row],[Lifetime Option]]="fixed",Table1[[#This Row],[End of life (fixed)]]-Table1[[#This Row],[Start year]],Table2[Generic  Lifetime])</f>
        <v>35</v>
      </c>
      <c r="I141">
        <v>2019</v>
      </c>
      <c r="J141">
        <f>IF(Table1[[#This Row],[Lifetime Option]]="fixed",Table1[[#This Row],[End of life (fixed)]],Table1[[#This Row],[Start year]]+Table2[Generic  Lifetime])</f>
        <v>2019</v>
      </c>
      <c r="K141">
        <v>0.58499999999999996</v>
      </c>
      <c r="M141" s="8"/>
    </row>
    <row r="142" spans="3:13">
      <c r="C142" t="s">
        <v>153</v>
      </c>
      <c r="D142" t="s">
        <v>158</v>
      </c>
      <c r="E142">
        <v>1983</v>
      </c>
      <c r="F142" s="6">
        <v>0.86399999999999999</v>
      </c>
      <c r="G142" s="6" t="s">
        <v>201</v>
      </c>
      <c r="H142">
        <f>IF(Table1[[#This Row],[Lifetime Option]]="fixed",Table1[[#This Row],[End of life (fixed)]]-Table1[[#This Row],[Start year]],Table2[Generic  Lifetime])</f>
        <v>36</v>
      </c>
      <c r="I142">
        <v>2019</v>
      </c>
      <c r="J142">
        <f>IF(Table1[[#This Row],[Lifetime Option]]="fixed",Table1[[#This Row],[End of life (fixed)]],Table1[[#This Row],[Start year]]+Table2[Generic  Lifetime])</f>
        <v>2019</v>
      </c>
      <c r="K142">
        <v>0.58499999999999996</v>
      </c>
      <c r="M142" s="8"/>
    </row>
    <row r="143" spans="3:13">
      <c r="C143" t="s">
        <v>153</v>
      </c>
      <c r="D143" t="s">
        <v>159</v>
      </c>
      <c r="E143">
        <v>1984</v>
      </c>
      <c r="F143" s="6">
        <v>0.86399999999999999</v>
      </c>
      <c r="G143" s="6" t="s">
        <v>201</v>
      </c>
      <c r="H143">
        <f>IF(Table1[[#This Row],[Lifetime Option]]="fixed",Table1[[#This Row],[End of life (fixed)]]-Table1[[#This Row],[Start year]],Table2[Generic  Lifetime])</f>
        <v>35</v>
      </c>
      <c r="I143">
        <v>2019</v>
      </c>
      <c r="J143">
        <f>IF(Table1[[#This Row],[Lifetime Option]]="fixed",Table1[[#This Row],[End of life (fixed)]],Table1[[#This Row],[Start year]]+Table2[Generic  Lifetime])</f>
        <v>2019</v>
      </c>
      <c r="K143">
        <v>0.57499999999999996</v>
      </c>
      <c r="M143" s="8"/>
    </row>
    <row r="144" spans="3:13">
      <c r="C144" t="s">
        <v>153</v>
      </c>
      <c r="D144" t="s">
        <v>160</v>
      </c>
      <c r="E144">
        <v>1988</v>
      </c>
      <c r="F144" s="6">
        <v>1.0234219354838701</v>
      </c>
      <c r="G144" s="6" t="s">
        <v>201</v>
      </c>
      <c r="H144">
        <f>IF(Table1[[#This Row],[Lifetime Option]]="fixed",Table1[[#This Row],[End of life (fixed)]]-Table1[[#This Row],[Start year]],Table2[Generic  Lifetime])</f>
        <v>35</v>
      </c>
      <c r="I144">
        <v>2023</v>
      </c>
      <c r="J144">
        <f>IF(Table1[[#This Row],[Lifetime Option]]="fixed",Table1[[#This Row],[End of life (fixed)]],Table1[[#This Row],[Start year]]+Table2[Generic  Lifetime])</f>
        <v>2023</v>
      </c>
      <c r="K144">
        <v>0.61</v>
      </c>
      <c r="M144" s="8"/>
    </row>
    <row r="145" spans="3:13">
      <c r="C145" t="s">
        <v>153</v>
      </c>
      <c r="D145" t="s">
        <v>161</v>
      </c>
      <c r="E145">
        <v>1988</v>
      </c>
      <c r="F145" s="6">
        <v>1.0234219354838701</v>
      </c>
      <c r="G145" s="6" t="s">
        <v>201</v>
      </c>
      <c r="H145">
        <f>IF(Table1[[#This Row],[Lifetime Option]]="fixed",Table1[[#This Row],[End of life (fixed)]]-Table1[[#This Row],[Start year]],Table2[Generic  Lifetime])</f>
        <v>35</v>
      </c>
      <c r="I145">
        <v>2023</v>
      </c>
      <c r="J145">
        <f>IF(Table1[[#This Row],[Lifetime Option]]="fixed",Table1[[#This Row],[End of life (fixed)]],Table1[[#This Row],[Start year]]+Table2[Generic  Lifetime])</f>
        <v>2023</v>
      </c>
      <c r="K145">
        <v>0.61</v>
      </c>
      <c r="M145" s="8"/>
    </row>
    <row r="146" spans="3:13">
      <c r="C146" t="s">
        <v>153</v>
      </c>
      <c r="D146" t="s">
        <v>162</v>
      </c>
      <c r="E146">
        <v>1976</v>
      </c>
      <c r="F146" s="6">
        <v>1.0227469879518101</v>
      </c>
      <c r="G146" s="6" t="s">
        <v>201</v>
      </c>
      <c r="H146">
        <f>IF(Table1[[#This Row],[Lifetime Option]]="fixed",Table1[[#This Row],[End of life (fixed)]]-Table1[[#This Row],[Start year]],Table2[Generic  Lifetime])</f>
        <v>47</v>
      </c>
      <c r="I146">
        <v>2023</v>
      </c>
      <c r="J146">
        <f>IF(Table1[[#This Row],[Lifetime Option]]="fixed",Table1[[#This Row],[End of life (fixed)]],Table1[[#This Row],[Start year]]+Table2[Generic  Lifetime])</f>
        <v>2023</v>
      </c>
      <c r="K146">
        <v>0.435</v>
      </c>
      <c r="M146" s="8"/>
    </row>
    <row r="147" spans="3:13">
      <c r="C147" t="s">
        <v>153</v>
      </c>
      <c r="D147" t="s">
        <v>163</v>
      </c>
      <c r="E147">
        <v>1976</v>
      </c>
      <c r="F147" s="6">
        <v>1.0227469879518101</v>
      </c>
      <c r="G147" s="6" t="s">
        <v>201</v>
      </c>
      <c r="H147">
        <f>IF(Table1[[#This Row],[Lifetime Option]]="fixed",Table1[[#This Row],[End of life (fixed)]]-Table1[[#This Row],[Start year]],Table2[Generic  Lifetime])</f>
        <v>47</v>
      </c>
      <c r="I147">
        <v>2023</v>
      </c>
      <c r="J147">
        <f>IF(Table1[[#This Row],[Lifetime Option]]="fixed",Table1[[#This Row],[End of life (fixed)]],Table1[[#This Row],[Start year]]+Table2[Generic  Lifetime])</f>
        <v>2023</v>
      </c>
      <c r="K147">
        <v>0.435</v>
      </c>
      <c r="M147" s="8"/>
    </row>
    <row r="148" spans="3:13">
      <c r="C148" t="s">
        <v>153</v>
      </c>
      <c r="D148" t="s">
        <v>164</v>
      </c>
      <c r="E148">
        <v>1976</v>
      </c>
      <c r="F148" s="6">
        <v>0.78106524064171101</v>
      </c>
      <c r="G148" s="6" t="s">
        <v>201</v>
      </c>
      <c r="H148">
        <f>IF(Table1[[#This Row],[Lifetime Option]]="fixed",Table1[[#This Row],[End of life (fixed)]]-Table1[[#This Row],[Start year]],Table2[Generic  Lifetime])</f>
        <v>47</v>
      </c>
      <c r="I148">
        <v>2023</v>
      </c>
      <c r="J148">
        <f>IF(Table1[[#This Row],[Lifetime Option]]="fixed",Table1[[#This Row],[End of life (fixed)]],Table1[[#This Row],[Start year]]+Table2[Generic  Lifetime])</f>
        <v>2023</v>
      </c>
      <c r="K148">
        <v>0.46</v>
      </c>
      <c r="M148" s="8"/>
    </row>
    <row r="149" spans="3:13">
      <c r="C149" t="s">
        <v>153</v>
      </c>
      <c r="D149" t="s">
        <v>165</v>
      </c>
      <c r="E149">
        <v>1977</v>
      </c>
      <c r="F149" s="6">
        <v>0.78106524064171101</v>
      </c>
      <c r="G149" s="6" t="s">
        <v>201</v>
      </c>
      <c r="H149">
        <f>IF(Table1[[#This Row],[Lifetime Option]]="fixed",Table1[[#This Row],[End of life (fixed)]]-Table1[[#This Row],[Start year]],Table2[Generic  Lifetime])</f>
        <v>46</v>
      </c>
      <c r="I149">
        <v>2023</v>
      </c>
      <c r="J149">
        <f>IF(Table1[[#This Row],[Lifetime Option]]="fixed",Table1[[#This Row],[End of life (fixed)]],Table1[[#This Row],[Start year]]+Table2[Generic  Lifetime])</f>
        <v>2023</v>
      </c>
      <c r="K149">
        <v>0.43</v>
      </c>
      <c r="M149" s="8"/>
    </row>
    <row r="150" spans="3:13">
      <c r="C150" t="s">
        <v>153</v>
      </c>
      <c r="D150" t="s">
        <v>166</v>
      </c>
      <c r="E150">
        <v>1967</v>
      </c>
      <c r="F150" s="6">
        <v>0.14781501369863001</v>
      </c>
      <c r="G150" s="6" t="s">
        <v>201</v>
      </c>
      <c r="H150">
        <f>IF(Table1[[#This Row],[Lifetime Option]]="fixed",Table1[[#This Row],[End of life (fixed)]]-Table1[[#This Row],[Start year]],Table2[Generic  Lifetime])</f>
        <v>45</v>
      </c>
      <c r="I150">
        <v>2012</v>
      </c>
      <c r="J150">
        <f>IF(Table1[[#This Row],[Lifetime Option]]="fixed",Table1[[#This Row],[End of life (fixed)]],Table1[[#This Row],[Start year]]+Table2[Generic  Lifetime])</f>
        <v>2012</v>
      </c>
      <c r="K150">
        <v>0.217</v>
      </c>
      <c r="L150" t="s">
        <v>186</v>
      </c>
      <c r="M150" s="7" t="s">
        <v>193</v>
      </c>
    </row>
    <row r="151" spans="3:13">
      <c r="C151" t="s">
        <v>153</v>
      </c>
      <c r="D151" t="s">
        <v>167</v>
      </c>
      <c r="E151">
        <v>1995</v>
      </c>
      <c r="F151" s="6">
        <v>1.04058394160584</v>
      </c>
      <c r="G151" s="6" t="s">
        <v>201</v>
      </c>
      <c r="H151">
        <f>IF(Table1[[#This Row],[Lifetime Option]]="fixed",Table1[[#This Row],[End of life (fixed)]]-Table1[[#This Row],[Start year]],Table2[Generic  Lifetime])</f>
        <v>40</v>
      </c>
      <c r="I151">
        <v>2035</v>
      </c>
      <c r="J151">
        <f>IF(Table1[[#This Row],[Lifetime Option]]="fixed",Table1[[#This Row],[End of life (fixed)]],Table1[[#This Row],[Start year]]+Table2[Generic  Lifetime])</f>
        <v>2035</v>
      </c>
      <c r="K151">
        <v>1.1910000000000001</v>
      </c>
      <c r="M151" s="8"/>
    </row>
    <row r="152" spans="3:13">
      <c r="C152" t="s">
        <v>153</v>
      </c>
      <c r="D152" t="s">
        <v>168</v>
      </c>
      <c r="E152">
        <v>1988</v>
      </c>
      <c r="F152" s="6">
        <v>1.0710299445471301</v>
      </c>
      <c r="G152" s="6" t="s">
        <v>201</v>
      </c>
      <c r="H152">
        <f>IF(Table1[[#This Row],[Lifetime Option]]="fixed",Table1[[#This Row],[End of life (fixed)]]-Table1[[#This Row],[Start year]],Table2[Generic  Lifetime])</f>
        <v>35</v>
      </c>
      <c r="I152">
        <v>2023</v>
      </c>
      <c r="J152">
        <f>IF(Table1[[#This Row],[Lifetime Option]]="fixed",Table1[[#This Row],[End of life (fixed)]],Table1[[#This Row],[Start year]]+Table2[Generic  Lifetime])</f>
        <v>2023</v>
      </c>
      <c r="K152">
        <v>0.59499999999999997</v>
      </c>
      <c r="M152" s="8"/>
    </row>
    <row r="153" spans="3:13">
      <c r="C153" t="s">
        <v>153</v>
      </c>
      <c r="D153" t="s">
        <v>169</v>
      </c>
      <c r="E153">
        <v>1989</v>
      </c>
      <c r="F153" s="6">
        <v>1.0710299445471401</v>
      </c>
      <c r="G153" s="6" t="s">
        <v>201</v>
      </c>
      <c r="H153">
        <f>IF(Table1[[#This Row],[Lifetime Option]]="fixed",Table1[[#This Row],[End of life (fixed)]]-Table1[[#This Row],[Start year]],Table2[Generic  Lifetime])</f>
        <v>34</v>
      </c>
      <c r="I153">
        <v>2023</v>
      </c>
      <c r="J153">
        <f>IF(Table1[[#This Row],[Lifetime Option]]="fixed",Table1[[#This Row],[End of life (fixed)]],Table1[[#This Row],[Start year]]+Table2[Generic  Lifetime])</f>
        <v>2023</v>
      </c>
      <c r="K153">
        <v>0.59499999999999997</v>
      </c>
      <c r="M153" s="8"/>
    </row>
    <row r="154" spans="3:13">
      <c r="C154" t="s">
        <v>153</v>
      </c>
      <c r="D154" t="s">
        <v>170</v>
      </c>
      <c r="E154">
        <v>1971</v>
      </c>
      <c r="F154" s="6">
        <v>1.3122</v>
      </c>
      <c r="G154" s="6" t="s">
        <v>201</v>
      </c>
      <c r="H154">
        <f>IF(Table1[[#This Row],[Lifetime Option]]="fixed",Table1[[#This Row],[End of life (fixed)]]-Table1[[#This Row],[Start year]],Table2[Generic  Lifetime])</f>
        <v>44</v>
      </c>
      <c r="I154">
        <v>2015</v>
      </c>
      <c r="J154">
        <f>IF(Table1[[#This Row],[Lifetime Option]]="fixed",Table1[[#This Row],[End of life (fixed)]],Table1[[#This Row],[Start year]]+Table2[Generic  Lifetime])</f>
        <v>2015</v>
      </c>
      <c r="K154">
        <v>0.49</v>
      </c>
      <c r="M154" s="8"/>
    </row>
    <row r="155" spans="3:13">
      <c r="C155" t="s">
        <v>153</v>
      </c>
      <c r="D155" t="s">
        <v>171</v>
      </c>
      <c r="E155">
        <v>1971</v>
      </c>
      <c r="F155" s="6">
        <v>1.3122</v>
      </c>
      <c r="G155" s="6" t="s">
        <v>201</v>
      </c>
      <c r="H155">
        <f>IF(Table1[[#This Row],[Lifetime Option]]="fixed",Table1[[#This Row],[End of life (fixed)]]-Table1[[#This Row],[Start year]],Table2[Generic  Lifetime])</f>
        <v>41</v>
      </c>
      <c r="I155">
        <v>2012</v>
      </c>
      <c r="J155">
        <f>IF(Table1[[#This Row],[Lifetime Option]]="fixed",Table1[[#This Row],[End of life (fixed)]],Table1[[#This Row],[Start year]]+Table2[Generic  Lifetime])</f>
        <v>2012</v>
      </c>
      <c r="K155">
        <v>0.49</v>
      </c>
      <c r="M155" s="8"/>
    </row>
  </sheetData>
  <hyperlinks>
    <hyperlink ref="M2" r:id="rId1" xr:uid="{00000000-0004-0000-0500-000000000000}"/>
    <hyperlink ref="M3" r:id="rId2" xr:uid="{00000000-0004-0000-0500-000001000000}"/>
    <hyperlink ref="M4" r:id="rId3" xr:uid="{00000000-0004-0000-0500-000002000000}"/>
    <hyperlink ref="M7" r:id="rId4" xr:uid="{00000000-0004-0000-0500-000003000000}"/>
    <hyperlink ref="M6" r:id="rId5" location=".Vdb00Y7DVE4 " xr:uid="{00000000-0004-0000-0500-000004000000}"/>
    <hyperlink ref="M124" r:id="rId6" xr:uid="{00000000-0004-0000-0500-000005000000}"/>
    <hyperlink ref="M11" r:id="rId7" xr:uid="{00000000-0004-0000-0500-000006000000}"/>
    <hyperlink ref="M12" r:id="rId8" xr:uid="{00000000-0004-0000-0500-000007000000}"/>
    <hyperlink ref="M53" r:id="rId9" xr:uid="{00000000-0004-0000-0500-000008000000}"/>
    <hyperlink ref="M18" r:id="rId10" xr:uid="{00000000-0004-0000-0500-000009000000}"/>
    <hyperlink ref="M129" r:id="rId11" xr:uid="{00000000-0004-0000-0500-00000A000000}"/>
    <hyperlink ref="M130" r:id="rId12" xr:uid="{00000000-0004-0000-0500-00000B000000}"/>
    <hyperlink ref="M134" r:id="rId13" xr:uid="{00000000-0004-0000-0500-00000C000000}"/>
    <hyperlink ref="M135" r:id="rId14" xr:uid="{00000000-0004-0000-0500-00000D000000}"/>
    <hyperlink ref="M131" r:id="rId15" xr:uid="{00000000-0004-0000-0500-00000E000000}"/>
    <hyperlink ref="M138" r:id="rId16" xr:uid="{00000000-0004-0000-0500-00000F000000}"/>
    <hyperlink ref="M150" r:id="rId17" xr:uid="{00000000-0004-0000-0500-000010000000}"/>
    <hyperlink ref="M127" r:id="rId18" xr:uid="{00000000-0004-0000-0500-000011000000}"/>
    <hyperlink ref="M128" r:id="rId19" xr:uid="{00000000-0004-0000-0500-000012000000}"/>
    <hyperlink ref="M13" r:id="rId20" xr:uid="{00000000-0004-0000-0500-000013000000}"/>
    <hyperlink ref="M14:M17" r:id="rId21" display="http://www.world-nuclear.org/info/Country-Profiles/Countries-O-S/Switzerland/" xr:uid="{00000000-0004-0000-0500-000014000000}"/>
  </hyperlinks>
  <pageMargins left="0.70866141732283472" right="0.70866141732283472" top="0.74803149606299213" bottom="0.74803149606299213" header="0.31496062992125984" footer="0.31496062992125984"/>
  <pageSetup paperSize="9" scale="53" fitToHeight="0" orientation="landscape" horizontalDpi="1200" verticalDpi="1200" r:id="rId22"/>
  <legacyDrawing r:id="rId23"/>
  <tableParts count="2">
    <tablePart r:id="rId24"/>
    <tablePart r:id="rId25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E1937-0C97-48EE-8CD5-B8678DC02435}">
  <sheetPr>
    <tabColor theme="5" tint="-0.499984740745262"/>
    <pageSetUpPr fitToPage="1"/>
  </sheetPr>
  <dimension ref="A1:M155"/>
  <sheetViews>
    <sheetView zoomScaleNormal="100" workbookViewId="0">
      <pane xSplit="3" ySplit="1" topLeftCell="D2" activePane="bottomRight" state="frozen"/>
      <selection pane="topRight" activeCell="C1" sqref="C1"/>
      <selection pane="bottomLeft" activeCell="A5" sqref="A5"/>
      <selection pane="bottomRight" activeCell="A2" sqref="A2"/>
    </sheetView>
  </sheetViews>
  <sheetFormatPr defaultRowHeight="15"/>
  <cols>
    <col min="1" max="1" width="10.7109375" bestFit="1" customWidth="1"/>
    <col min="3" max="3" width="11.7109375" bestFit="1" customWidth="1"/>
    <col min="4" max="4" width="32.28515625" bestFit="1" customWidth="1"/>
    <col min="5" max="5" width="14" bestFit="1" customWidth="1"/>
    <col min="6" max="6" width="14.140625" bestFit="1" customWidth="1"/>
    <col min="7" max="7" width="14.140625" customWidth="1"/>
    <col min="8" max="8" width="9.5703125" bestFit="1" customWidth="1"/>
    <col min="9" max="10" width="14.5703125" bestFit="1" customWidth="1"/>
    <col min="11" max="11" width="20.140625" bestFit="1" customWidth="1"/>
    <col min="12" max="12" width="43.42578125" customWidth="1"/>
    <col min="13" max="13" width="108.85546875" bestFit="1" customWidth="1"/>
  </cols>
  <sheetData>
    <row r="1" spans="1:13" s="5" customFormat="1" ht="44.25" customHeight="1">
      <c r="A1" s="3" t="s">
        <v>195</v>
      </c>
      <c r="C1" s="2" t="s">
        <v>206</v>
      </c>
      <c r="D1" s="2" t="s">
        <v>0</v>
      </c>
      <c r="E1" s="2" t="s">
        <v>2</v>
      </c>
      <c r="F1" s="2" t="s">
        <v>196</v>
      </c>
      <c r="G1" s="2" t="s">
        <v>200</v>
      </c>
      <c r="H1" s="2" t="s">
        <v>198</v>
      </c>
      <c r="I1" s="2" t="s">
        <v>203</v>
      </c>
      <c r="J1" s="2" t="s">
        <v>199</v>
      </c>
      <c r="K1" s="2" t="s">
        <v>197</v>
      </c>
      <c r="L1" s="2" t="s">
        <v>172</v>
      </c>
      <c r="M1" s="2" t="s">
        <v>184</v>
      </c>
    </row>
    <row r="2" spans="1:13" ht="26.25">
      <c r="A2" s="4">
        <v>70</v>
      </c>
      <c r="C2" t="s">
        <v>4</v>
      </c>
      <c r="D2" t="s">
        <v>5</v>
      </c>
      <c r="E2">
        <v>1974</v>
      </c>
      <c r="F2" s="6">
        <v>1.3464164759725401</v>
      </c>
      <c r="G2" s="6" t="s">
        <v>201</v>
      </c>
      <c r="H2">
        <f>IF(Table19[[#This Row],[Lifetime Option]]="fixed",Table19[[#This Row],[End of life (fixed)]]-Table19[[#This Row],[Start year]],Table210[Generic  Lifetime])</f>
        <v>51</v>
      </c>
      <c r="I2">
        <v>2025</v>
      </c>
      <c r="J2">
        <f>IF(Table19[[#This Row],[Lifetime Option]]="fixed",Table19[[#This Row],[End of life (fixed)]],Table19[[#This Row],[Start year]]+Table210[Generic  Lifetime])</f>
        <v>2025</v>
      </c>
      <c r="K2">
        <v>0.433</v>
      </c>
      <c r="M2" s="7" t="s">
        <v>173</v>
      </c>
    </row>
    <row r="3" spans="1:13" ht="26.25">
      <c r="C3" t="s">
        <v>4</v>
      </c>
      <c r="D3" t="s">
        <v>6</v>
      </c>
      <c r="E3">
        <v>1975</v>
      </c>
      <c r="F3" s="6">
        <v>1.3464164759725401</v>
      </c>
      <c r="G3" s="6" t="s">
        <v>201</v>
      </c>
      <c r="H3">
        <f>IF(Table19[[#This Row],[Lifetime Option]]="fixed",Table19[[#This Row],[End of life (fixed)]]-Table19[[#This Row],[Start year]],Table210[Generic  Lifetime])</f>
        <v>50</v>
      </c>
      <c r="I3">
        <v>2025</v>
      </c>
      <c r="J3">
        <f>IF(Table19[[#This Row],[Lifetime Option]]="fixed",Table19[[#This Row],[End of life (fixed)]],Table19[[#This Row],[Start year]]+Table210[Generic  Lifetime])</f>
        <v>2025</v>
      </c>
      <c r="K3">
        <v>0.433</v>
      </c>
      <c r="M3" s="7" t="s">
        <v>173</v>
      </c>
    </row>
    <row r="4" spans="1:13">
      <c r="C4" t="s">
        <v>4</v>
      </c>
      <c r="D4" t="s">
        <v>7</v>
      </c>
      <c r="E4">
        <v>1982</v>
      </c>
      <c r="F4" s="6">
        <v>1.46387740667976</v>
      </c>
      <c r="G4" s="6" t="s">
        <v>201</v>
      </c>
      <c r="H4">
        <f>IF(Table19[[#This Row],[Lifetime Option]]="fixed",Table19[[#This Row],[End of life (fixed)]]-Table19[[#This Row],[Start year]],Table210[Generic  Lifetime])</f>
        <v>40</v>
      </c>
      <c r="I4">
        <v>2022</v>
      </c>
      <c r="J4">
        <f>IF(Table19[[#This Row],[Lifetime Option]]="fixed",Table19[[#This Row],[End of life (fixed)]],Table19[[#This Row],[Start year]]+Table210[Generic  Lifetime])</f>
        <v>2022</v>
      </c>
      <c r="K4">
        <v>1.006</v>
      </c>
      <c r="L4" t="s">
        <v>185</v>
      </c>
      <c r="M4" s="7" t="s">
        <v>175</v>
      </c>
    </row>
    <row r="5" spans="1:13">
      <c r="C5" t="s">
        <v>4</v>
      </c>
      <c r="D5" t="s">
        <v>8</v>
      </c>
      <c r="E5">
        <v>1985</v>
      </c>
      <c r="F5" s="6">
        <v>1.4183132530120499</v>
      </c>
      <c r="G5" s="6" t="s">
        <v>201</v>
      </c>
      <c r="H5">
        <f>IF(Table19[[#This Row],[Lifetime Option]]="fixed",Table19[[#This Row],[End of life (fixed)]]-Table19[[#This Row],[Start year]],Table210[Generic  Lifetime])</f>
        <v>40</v>
      </c>
      <c r="I5">
        <v>2025</v>
      </c>
      <c r="J5">
        <f>IF(Table19[[#This Row],[Lifetime Option]]="fixed",Table19[[#This Row],[End of life (fixed)]],Table19[[#This Row],[Start year]]+Table210[Generic  Lifetime])</f>
        <v>2025</v>
      </c>
      <c r="K5">
        <v>1.0389999999999999</v>
      </c>
      <c r="M5" s="8"/>
    </row>
    <row r="6" spans="1:13">
      <c r="C6" t="s">
        <v>4</v>
      </c>
      <c r="D6" t="s">
        <v>9</v>
      </c>
      <c r="E6">
        <v>1975</v>
      </c>
      <c r="F6" s="6">
        <v>1.3654688478941901</v>
      </c>
      <c r="G6" s="6" t="s">
        <v>201</v>
      </c>
      <c r="H6">
        <f>IF(Table19[[#This Row],[Lifetime Option]]="fixed",Table19[[#This Row],[End of life (fixed)]]-Table19[[#This Row],[Start year]],Table210[Generic  Lifetime])</f>
        <v>50</v>
      </c>
      <c r="I6">
        <v>2025</v>
      </c>
      <c r="J6">
        <f>IF(Table19[[#This Row],[Lifetime Option]]="fixed",Table19[[#This Row],[End of life (fixed)]],Table19[[#This Row],[Start year]]+Table210[Generic  Lifetime])</f>
        <v>2025</v>
      </c>
      <c r="K6">
        <v>0.96199999999999997</v>
      </c>
      <c r="M6" s="7" t="s">
        <v>174</v>
      </c>
    </row>
    <row r="7" spans="1:13">
      <c r="C7" t="s">
        <v>4</v>
      </c>
      <c r="D7" t="s">
        <v>10</v>
      </c>
      <c r="E7">
        <v>1982</v>
      </c>
      <c r="F7" s="6">
        <v>1.3387206266318501</v>
      </c>
      <c r="G7" s="6" t="s">
        <v>201</v>
      </c>
      <c r="H7">
        <f>IF(Table19[[#This Row],[Lifetime Option]]="fixed",Table19[[#This Row],[End of life (fixed)]]-Table19[[#This Row],[Start year]],Table210[Generic  Lifetime])</f>
        <v>40</v>
      </c>
      <c r="I7">
        <v>2022</v>
      </c>
      <c r="J7">
        <f>IF(Table19[[#This Row],[Lifetime Option]]="fixed",Table19[[#This Row],[End of life (fixed)]],Table19[[#This Row],[Start year]]+Table210[Generic  Lifetime])</f>
        <v>2022</v>
      </c>
      <c r="K7">
        <v>1.008</v>
      </c>
      <c r="L7" t="s">
        <v>185</v>
      </c>
      <c r="M7" s="7" t="s">
        <v>175</v>
      </c>
    </row>
    <row r="8" spans="1:13">
      <c r="C8" t="s">
        <v>4</v>
      </c>
      <c r="D8" t="s">
        <v>11</v>
      </c>
      <c r="E8">
        <v>1985</v>
      </c>
      <c r="F8" s="6">
        <v>1.417824</v>
      </c>
      <c r="G8" s="6" t="s">
        <v>201</v>
      </c>
      <c r="H8">
        <f>IF(Table19[[#This Row],[Lifetime Option]]="fixed",Table19[[#This Row],[End of life (fixed)]]-Table19[[#This Row],[Start year]],Table210[Generic  Lifetime])</f>
        <v>40</v>
      </c>
      <c r="I8">
        <v>2025</v>
      </c>
      <c r="J8">
        <f>IF(Table19[[#This Row],[Lifetime Option]]="fixed",Table19[[#This Row],[End of life (fixed)]],Table19[[#This Row],[Start year]]+Table210[Generic  Lifetime])</f>
        <v>2025</v>
      </c>
      <c r="K8">
        <v>1.046</v>
      </c>
      <c r="M8" s="8"/>
    </row>
    <row r="9" spans="1:13">
      <c r="C9" t="s">
        <v>12</v>
      </c>
      <c r="D9" t="s">
        <v>13</v>
      </c>
      <c r="E9">
        <v>1980</v>
      </c>
      <c r="F9" s="6">
        <v>0.77</v>
      </c>
      <c r="G9" s="6" t="s">
        <v>201</v>
      </c>
      <c r="H9">
        <f>IF(Table19[[#This Row],[Lifetime Option]]="fixed",Table19[[#This Row],[End of life (fixed)]]-Table19[[#This Row],[Start year]],Table210[Generic  Lifetime])</f>
        <v>26</v>
      </c>
      <c r="I9">
        <v>2006</v>
      </c>
      <c r="J9">
        <f>IF(Table19[[#This Row],[Lifetime Option]]="fixed",Table19[[#This Row],[End of life (fixed)]],Table19[[#This Row],[Start year]]+Table210[Generic  Lifetime])</f>
        <v>2006</v>
      </c>
      <c r="K9">
        <v>0.40799999999999997</v>
      </c>
      <c r="L9" t="s">
        <v>186</v>
      </c>
      <c r="M9" s="8"/>
    </row>
    <row r="10" spans="1:13">
      <c r="C10" t="s">
        <v>12</v>
      </c>
      <c r="D10" t="s">
        <v>14</v>
      </c>
      <c r="E10">
        <v>1982</v>
      </c>
      <c r="F10" s="6">
        <v>0.77</v>
      </c>
      <c r="G10" s="6" t="s">
        <v>201</v>
      </c>
      <c r="H10">
        <f>IF(Table19[[#This Row],[Lifetime Option]]="fixed",Table19[[#This Row],[End of life (fixed)]]-Table19[[#This Row],[Start year]],Table210[Generic  Lifetime])</f>
        <v>24</v>
      </c>
      <c r="I10">
        <v>2006</v>
      </c>
      <c r="J10">
        <f>IF(Table19[[#This Row],[Lifetime Option]]="fixed",Table19[[#This Row],[End of life (fixed)]],Table19[[#This Row],[Start year]]+Table210[Generic  Lifetime])</f>
        <v>2006</v>
      </c>
      <c r="K10">
        <v>0.40799999999999997</v>
      </c>
      <c r="L10" t="s">
        <v>186</v>
      </c>
      <c r="M10" s="8"/>
    </row>
    <row r="11" spans="1:13">
      <c r="C11" t="s">
        <v>12</v>
      </c>
      <c r="D11" t="s">
        <v>15</v>
      </c>
      <c r="E11">
        <v>1987</v>
      </c>
      <c r="F11" s="6">
        <v>0.77759999999999996</v>
      </c>
      <c r="G11" s="6" t="s">
        <v>202</v>
      </c>
      <c r="H11">
        <f>IF(Table19[[#This Row],[Lifetime Option]]="fixed",Table19[[#This Row],[End of life (fixed)]]-Table19[[#This Row],[Start year]],Table210[Generic  Lifetime])</f>
        <v>70</v>
      </c>
      <c r="J11">
        <f>IF(Table19[[#This Row],[Lifetime Option]]="fixed",Table19[[#This Row],[End of life (fixed)]],Table19[[#This Row],[Start year]]+Table210[Generic  Lifetime])</f>
        <v>2057</v>
      </c>
      <c r="K11">
        <v>0.95299999999999996</v>
      </c>
      <c r="M11" s="7" t="s">
        <v>177</v>
      </c>
    </row>
    <row r="12" spans="1:13">
      <c r="C12" t="s">
        <v>12</v>
      </c>
      <c r="D12" t="s">
        <v>16</v>
      </c>
      <c r="E12">
        <v>1991</v>
      </c>
      <c r="F12" s="6">
        <v>0.77759999999999996</v>
      </c>
      <c r="G12" s="6" t="s">
        <v>202</v>
      </c>
      <c r="H12">
        <f>IF(Table19[[#This Row],[Lifetime Option]]="fixed",Table19[[#This Row],[End of life (fixed)]]-Table19[[#This Row],[Start year]],Table210[Generic  Lifetime])</f>
        <v>70</v>
      </c>
      <c r="J12">
        <f>IF(Table19[[#This Row],[Lifetime Option]]="fixed",Table19[[#This Row],[End of life (fixed)]],Table19[[#This Row],[Start year]]+Table210[Generic  Lifetime])</f>
        <v>2061</v>
      </c>
      <c r="K12">
        <v>0.95299999999999996</v>
      </c>
      <c r="M12" s="7" t="s">
        <v>177</v>
      </c>
    </row>
    <row r="13" spans="1:13">
      <c r="C13" t="s">
        <v>17</v>
      </c>
      <c r="D13" t="s">
        <v>18</v>
      </c>
      <c r="E13">
        <v>1969</v>
      </c>
      <c r="F13" s="6">
        <v>1.22030442477876</v>
      </c>
      <c r="G13" s="6" t="s">
        <v>201</v>
      </c>
      <c r="H13">
        <f>IF(Table19[[#This Row],[Lifetime Option]]="fixed",Table19[[#This Row],[End of life (fixed)]]-Table19[[#This Row],[Start year]],Table210[Generic  Lifetime])</f>
        <v>50</v>
      </c>
      <c r="I13">
        <v>2019</v>
      </c>
      <c r="J13">
        <f>IF(Table19[[#This Row],[Lifetime Option]]="fixed",Table19[[#This Row],[End of life (fixed)]],Table19[[#This Row],[Start year]]+Table210[Generic  Lifetime])</f>
        <v>2019</v>
      </c>
      <c r="K13">
        <v>0.36499999999999999</v>
      </c>
      <c r="L13" t="s">
        <v>205</v>
      </c>
      <c r="M13" s="7" t="s">
        <v>204</v>
      </c>
    </row>
    <row r="14" spans="1:13">
      <c r="C14" t="s">
        <v>17</v>
      </c>
      <c r="D14" t="s">
        <v>19</v>
      </c>
      <c r="E14">
        <v>1971</v>
      </c>
      <c r="F14" s="6">
        <v>1.22030442477876</v>
      </c>
      <c r="G14" s="6" t="s">
        <v>201</v>
      </c>
      <c r="H14">
        <f>IF(Table19[[#This Row],[Lifetime Option]]="fixed",Table19[[#This Row],[End of life (fixed)]]-Table19[[#This Row],[Start year]],Table210[Generic  Lifetime])</f>
        <v>50</v>
      </c>
      <c r="I14">
        <v>2021</v>
      </c>
      <c r="J14">
        <f>IF(Table19[[#This Row],[Lifetime Option]]="fixed",Table19[[#This Row],[End of life (fixed)]],Table19[[#This Row],[Start year]]+Table210[Generic  Lifetime])</f>
        <v>2021</v>
      </c>
      <c r="K14">
        <v>0.36499999999999999</v>
      </c>
      <c r="L14" t="s">
        <v>205</v>
      </c>
      <c r="M14" s="7" t="s">
        <v>204</v>
      </c>
    </row>
    <row r="15" spans="1:13">
      <c r="C15" t="s">
        <v>17</v>
      </c>
      <c r="D15" t="s">
        <v>20</v>
      </c>
      <c r="E15">
        <v>1979</v>
      </c>
      <c r="F15" s="6">
        <v>1.54898334443704</v>
      </c>
      <c r="G15" s="6" t="s">
        <v>201</v>
      </c>
      <c r="H15">
        <f>IF(Table19[[#This Row],[Lifetime Option]]="fixed",Table19[[#This Row],[End of life (fixed)]]-Table19[[#This Row],[Start year]],Table210[Generic  Lifetime])</f>
        <v>50</v>
      </c>
      <c r="I15">
        <v>2029</v>
      </c>
      <c r="J15">
        <f>IF(Table19[[#This Row],[Lifetime Option]]="fixed",Table19[[#This Row],[End of life (fixed)]],Table19[[#This Row],[Start year]]+Table210[Generic  Lifetime])</f>
        <v>2029</v>
      </c>
      <c r="K15">
        <v>0.98499999999999999</v>
      </c>
      <c r="L15" t="s">
        <v>205</v>
      </c>
      <c r="M15" s="7" t="s">
        <v>204</v>
      </c>
    </row>
    <row r="16" spans="1:13">
      <c r="C16" t="s">
        <v>17</v>
      </c>
      <c r="D16" t="s">
        <v>21</v>
      </c>
      <c r="E16">
        <v>1984</v>
      </c>
      <c r="F16" s="6">
        <v>1.28484</v>
      </c>
      <c r="G16" s="6" t="s">
        <v>201</v>
      </c>
      <c r="H16">
        <f>IF(Table19[[#This Row],[Lifetime Option]]="fixed",Table19[[#This Row],[End of life (fixed)]]-Table19[[#This Row],[Start year]],Table210[Generic  Lifetime])</f>
        <v>50</v>
      </c>
      <c r="I16">
        <v>2034</v>
      </c>
      <c r="J16">
        <f>IF(Table19[[#This Row],[Lifetime Option]]="fixed",Table19[[#This Row],[End of life (fixed)]],Table19[[#This Row],[Start year]]+Table210[Generic  Lifetime])</f>
        <v>2034</v>
      </c>
      <c r="K16">
        <v>1.22</v>
      </c>
      <c r="L16" t="s">
        <v>205</v>
      </c>
      <c r="M16" s="7" t="s">
        <v>204</v>
      </c>
    </row>
    <row r="17" spans="3:13">
      <c r="C17" t="s">
        <v>17</v>
      </c>
      <c r="D17" t="s">
        <v>22</v>
      </c>
      <c r="E17">
        <v>1971</v>
      </c>
      <c r="F17" s="6">
        <v>1.4743919781221499</v>
      </c>
      <c r="G17" s="6" t="s">
        <v>201</v>
      </c>
      <c r="H17">
        <f>IF(Table19[[#This Row],[Lifetime Option]]="fixed",Table19[[#This Row],[End of life (fixed)]]-Table19[[#This Row],[Start year]],Table210[Generic  Lifetime])</f>
        <v>48</v>
      </c>
      <c r="I17">
        <v>2019</v>
      </c>
      <c r="J17">
        <f>IF(Table19[[#This Row],[Lifetime Option]]="fixed",Table19[[#This Row],[End of life (fixed)]],Table19[[#This Row],[Start year]]+Table210[Generic  Lifetime])</f>
        <v>2019</v>
      </c>
      <c r="K17">
        <v>0.373</v>
      </c>
      <c r="L17" t="s">
        <v>205</v>
      </c>
      <c r="M17" s="7" t="s">
        <v>204</v>
      </c>
    </row>
    <row r="18" spans="3:13">
      <c r="C18" t="s">
        <v>23</v>
      </c>
      <c r="D18" t="s">
        <v>24</v>
      </c>
      <c r="E18">
        <v>1985</v>
      </c>
      <c r="F18" s="6">
        <v>1.2607488</v>
      </c>
      <c r="G18" s="6" t="s">
        <v>202</v>
      </c>
      <c r="H18">
        <f>IF(Table19[[#This Row],[Lifetime Option]]="fixed",Table19[[#This Row],[End of life (fixed)]]-Table19[[#This Row],[Start year]],Table210[Generic  Lifetime])</f>
        <v>70</v>
      </c>
      <c r="J18">
        <f>IF(Table19[[#This Row],[Lifetime Option]]="fixed",Table19[[#This Row],[End of life (fixed)]],Table19[[#This Row],[Start year]]+Table210[Generic  Lifetime])</f>
        <v>2055</v>
      </c>
      <c r="K18">
        <v>0.46800000000000003</v>
      </c>
      <c r="M18" s="7" t="s">
        <v>180</v>
      </c>
    </row>
    <row r="19" spans="3:13">
      <c r="C19" t="s">
        <v>23</v>
      </c>
      <c r="D19" t="s">
        <v>25</v>
      </c>
      <c r="E19">
        <v>1986</v>
      </c>
      <c r="F19" s="6">
        <v>1.2607488</v>
      </c>
      <c r="G19" s="6" t="s">
        <v>202</v>
      </c>
      <c r="H19">
        <f>IF(Table19[[#This Row],[Lifetime Option]]="fixed",Table19[[#This Row],[End of life (fixed)]]-Table19[[#This Row],[Start year]],Table210[Generic  Lifetime])</f>
        <v>70</v>
      </c>
      <c r="J19">
        <f>IF(Table19[[#This Row],[Lifetime Option]]="fixed",Table19[[#This Row],[End of life (fixed)]],Table19[[#This Row],[Start year]]+Table210[Generic  Lifetime])</f>
        <v>2056</v>
      </c>
      <c r="K19">
        <v>0.47099999999999997</v>
      </c>
      <c r="M19" s="8"/>
    </row>
    <row r="20" spans="3:13">
      <c r="C20" t="s">
        <v>23</v>
      </c>
      <c r="D20" t="s">
        <v>26</v>
      </c>
      <c r="E20">
        <v>1986</v>
      </c>
      <c r="F20" s="6">
        <v>1.3110781163434899</v>
      </c>
      <c r="G20" s="6" t="s">
        <v>202</v>
      </c>
      <c r="H20">
        <f>IF(Table19[[#This Row],[Lifetime Option]]="fixed",Table19[[#This Row],[End of life (fixed)]]-Table19[[#This Row],[Start year]],Table210[Generic  Lifetime])</f>
        <v>70</v>
      </c>
      <c r="J20">
        <f>IF(Table19[[#This Row],[Lifetime Option]]="fixed",Table19[[#This Row],[End of life (fixed)]],Table19[[#This Row],[Start year]]+Table210[Generic  Lifetime])</f>
        <v>2056</v>
      </c>
      <c r="K20">
        <v>0.46800000000000003</v>
      </c>
      <c r="M20" s="8"/>
    </row>
    <row r="21" spans="3:13">
      <c r="C21" t="s">
        <v>23</v>
      </c>
      <c r="D21" t="s">
        <v>27</v>
      </c>
      <c r="E21">
        <v>1987</v>
      </c>
      <c r="F21" s="6">
        <v>1.2607488</v>
      </c>
      <c r="G21" s="6" t="s">
        <v>202</v>
      </c>
      <c r="H21">
        <f>IF(Table19[[#This Row],[Lifetime Option]]="fixed",Table19[[#This Row],[End of life (fixed)]]-Table19[[#This Row],[Start year]],Table210[Generic  Lifetime])</f>
        <v>70</v>
      </c>
      <c r="J21">
        <f>IF(Table19[[#This Row],[Lifetime Option]]="fixed",Table19[[#This Row],[End of life (fixed)]],Table19[[#This Row],[Start year]]+Table210[Generic  Lifetime])</f>
        <v>2057</v>
      </c>
      <c r="K21">
        <v>0.47099999999999997</v>
      </c>
      <c r="M21" s="8"/>
    </row>
    <row r="22" spans="3:13">
      <c r="C22" t="s">
        <v>23</v>
      </c>
      <c r="D22" t="s">
        <v>28</v>
      </c>
      <c r="E22">
        <v>2000</v>
      </c>
      <c r="F22" s="6">
        <v>1.312848</v>
      </c>
      <c r="G22" s="6" t="s">
        <v>202</v>
      </c>
      <c r="H22">
        <f>IF(Table19[[#This Row],[Lifetime Option]]="fixed",Table19[[#This Row],[End of life (fixed)]]-Table19[[#This Row],[Start year]],Table210[Generic  Lifetime])</f>
        <v>70</v>
      </c>
      <c r="J22">
        <f>IF(Table19[[#This Row],[Lifetime Option]]="fixed",Table19[[#This Row],[End of life (fixed)]],Table19[[#This Row],[Start year]]+Table210[Generic  Lifetime])</f>
        <v>2070</v>
      </c>
      <c r="K22">
        <v>0.96299999999999997</v>
      </c>
      <c r="M22" s="8"/>
    </row>
    <row r="23" spans="3:13">
      <c r="C23" t="s">
        <v>23</v>
      </c>
      <c r="D23" t="s">
        <v>29</v>
      </c>
      <c r="E23">
        <v>2002</v>
      </c>
      <c r="F23" s="6">
        <v>1.312848</v>
      </c>
      <c r="G23" s="6" t="s">
        <v>202</v>
      </c>
      <c r="H23">
        <f>IF(Table19[[#This Row],[Lifetime Option]]="fixed",Table19[[#This Row],[End of life (fixed)]]-Table19[[#This Row],[Start year]],Table210[Generic  Lifetime])</f>
        <v>70</v>
      </c>
      <c r="J23">
        <f>IF(Table19[[#This Row],[Lifetime Option]]="fixed",Table19[[#This Row],[End of life (fixed)]],Table19[[#This Row],[Start year]]+Table210[Generic  Lifetime])</f>
        <v>2072</v>
      </c>
      <c r="K23">
        <v>0.96299999999999997</v>
      </c>
      <c r="M23" s="8"/>
    </row>
    <row r="24" spans="3:13">
      <c r="C24" t="s">
        <v>1</v>
      </c>
      <c r="D24" t="s">
        <v>30</v>
      </c>
      <c r="E24">
        <v>1974</v>
      </c>
      <c r="F24" s="6">
        <v>0.94089599999999995</v>
      </c>
      <c r="G24" s="6" t="s">
        <v>201</v>
      </c>
      <c r="H24">
        <f>IF(Table19[[#This Row],[Lifetime Option]]="fixed",Table19[[#This Row],[End of life (fixed)]]-Table19[[#This Row],[Start year]],Table210[Generic  Lifetime])</f>
        <v>37</v>
      </c>
      <c r="I24">
        <v>2011</v>
      </c>
      <c r="J24">
        <f>IF(Table19[[#This Row],[Lifetime Option]]="fixed",Table19[[#This Row],[End of life (fixed)]],Table19[[#This Row],[Start year]]+Table210[Generic  Lifetime])</f>
        <v>2011</v>
      </c>
      <c r="K24">
        <v>1.167</v>
      </c>
      <c r="L24" t="s">
        <v>186</v>
      </c>
      <c r="M24" s="8"/>
    </row>
    <row r="25" spans="3:13">
      <c r="C25" t="s">
        <v>1</v>
      </c>
      <c r="D25" t="s">
        <v>31</v>
      </c>
      <c r="E25">
        <v>1976</v>
      </c>
      <c r="F25" s="6">
        <v>0.94089599999999995</v>
      </c>
      <c r="G25" s="6" t="s">
        <v>201</v>
      </c>
      <c r="H25">
        <f>IF(Table19[[#This Row],[Lifetime Option]]="fixed",Table19[[#This Row],[End of life (fixed)]]-Table19[[#This Row],[Start year]],Table210[Generic  Lifetime])</f>
        <v>35</v>
      </c>
      <c r="I25">
        <v>2011</v>
      </c>
      <c r="J25">
        <f>IF(Table19[[#This Row],[Lifetime Option]]="fixed",Table19[[#This Row],[End of life (fixed)]],Table19[[#This Row],[Start year]]+Table210[Generic  Lifetime])</f>
        <v>2011</v>
      </c>
      <c r="K25">
        <v>1.24</v>
      </c>
      <c r="L25" t="s">
        <v>186</v>
      </c>
      <c r="M25" s="8"/>
    </row>
    <row r="26" spans="3:13">
      <c r="C26" t="s">
        <v>1</v>
      </c>
      <c r="D26" t="s">
        <v>32</v>
      </c>
      <c r="E26">
        <v>1986</v>
      </c>
      <c r="F26" s="6">
        <v>1.11478153846154</v>
      </c>
      <c r="G26" s="6" t="s">
        <v>201</v>
      </c>
      <c r="H26">
        <f>IF(Table19[[#This Row],[Lifetime Option]]="fixed",Table19[[#This Row],[End of life (fixed)]]-Table19[[#This Row],[Start year]],Table210[Generic  Lifetime])</f>
        <v>35</v>
      </c>
      <c r="I26">
        <v>2021</v>
      </c>
      <c r="J26">
        <f>IF(Table19[[#This Row],[Lifetime Option]]="fixed",Table19[[#This Row],[End of life (fixed)]],Table19[[#This Row],[Start year]]+Table210[Generic  Lifetime])</f>
        <v>2021</v>
      </c>
      <c r="K26">
        <v>1.41</v>
      </c>
      <c r="M26" s="8"/>
    </row>
    <row r="27" spans="3:13">
      <c r="C27" t="s">
        <v>1</v>
      </c>
      <c r="D27" t="s">
        <v>33</v>
      </c>
      <c r="E27">
        <v>1976</v>
      </c>
      <c r="F27" s="6">
        <v>0.91238399999999997</v>
      </c>
      <c r="G27" s="6" t="s">
        <v>201</v>
      </c>
      <c r="H27">
        <f>IF(Table19[[#This Row],[Lifetime Option]]="fixed",Table19[[#This Row],[End of life (fixed)]]-Table19[[#This Row],[Start year]],Table210[Generic  Lifetime])</f>
        <v>35</v>
      </c>
      <c r="I27">
        <v>2011</v>
      </c>
      <c r="J27">
        <f>IF(Table19[[#This Row],[Lifetime Option]]="fixed",Table19[[#This Row],[End of life (fixed)]],Table19[[#This Row],[Start year]]+Table210[Generic  Lifetime])</f>
        <v>2011</v>
      </c>
      <c r="K27">
        <v>0.77100000000000002</v>
      </c>
      <c r="L27" t="s">
        <v>186</v>
      </c>
      <c r="M27" s="8"/>
    </row>
    <row r="28" spans="3:13">
      <c r="C28" t="s">
        <v>1</v>
      </c>
      <c r="D28" t="s">
        <v>34</v>
      </c>
      <c r="E28">
        <v>1988</v>
      </c>
      <c r="F28" s="6">
        <v>1.0053818181818199</v>
      </c>
      <c r="G28" s="6" t="s">
        <v>201</v>
      </c>
      <c r="H28">
        <f>IF(Table19[[#This Row],[Lifetime Option]]="fixed",Table19[[#This Row],[End of life (fixed)]]-Table19[[#This Row],[Start year]],Table210[Generic  Lifetime])</f>
        <v>34</v>
      </c>
      <c r="I28">
        <v>2022</v>
      </c>
      <c r="J28">
        <f>IF(Table19[[#This Row],[Lifetime Option]]="fixed",Table19[[#This Row],[End of life (fixed)]],Table19[[#This Row],[Start year]]+Table210[Generic  Lifetime])</f>
        <v>2022</v>
      </c>
      <c r="K28">
        <v>1.335</v>
      </c>
      <c r="M28" s="8" t="s">
        <v>181</v>
      </c>
    </row>
    <row r="29" spans="3:13">
      <c r="C29" t="s">
        <v>1</v>
      </c>
      <c r="D29" t="s">
        <v>35</v>
      </c>
      <c r="E29">
        <v>1981</v>
      </c>
      <c r="F29" s="6">
        <v>1.04942151394422</v>
      </c>
      <c r="G29" s="6" t="s">
        <v>201</v>
      </c>
      <c r="H29">
        <f>IF(Table19[[#This Row],[Lifetime Option]]="fixed",Table19[[#This Row],[End of life (fixed)]]-Table19[[#This Row],[Start year]],Table210[Generic  Lifetime])</f>
        <v>34</v>
      </c>
      <c r="I29">
        <v>2015</v>
      </c>
      <c r="J29">
        <f>IF(Table19[[#This Row],[Lifetime Option]]="fixed",Table19[[#This Row],[End of life (fixed)]],Table19[[#This Row],[Start year]]+Table210[Generic  Lifetime])</f>
        <v>2015</v>
      </c>
      <c r="K29">
        <v>1.2749999999999999</v>
      </c>
      <c r="L29" t="s">
        <v>186</v>
      </c>
      <c r="M29" s="8"/>
    </row>
    <row r="30" spans="3:13">
      <c r="C30" t="s">
        <v>1</v>
      </c>
      <c r="D30" t="s">
        <v>36</v>
      </c>
      <c r="E30">
        <v>1984</v>
      </c>
      <c r="F30" s="6">
        <v>1.0771200000000001</v>
      </c>
      <c r="G30" s="6" t="s">
        <v>201</v>
      </c>
      <c r="H30">
        <f>IF(Table19[[#This Row],[Lifetime Option]]="fixed",Table19[[#This Row],[End of life (fixed)]]-Table19[[#This Row],[Start year]],Table210[Generic  Lifetime])</f>
        <v>37</v>
      </c>
      <c r="I30">
        <v>2021</v>
      </c>
      <c r="J30">
        <f>IF(Table19[[#This Row],[Lifetime Option]]="fixed",Table19[[#This Row],[End of life (fixed)]],Table19[[#This Row],[Start year]]+Table210[Generic  Lifetime])</f>
        <v>2021</v>
      </c>
      <c r="K30">
        <v>1.36</v>
      </c>
      <c r="M30" s="8"/>
    </row>
    <row r="31" spans="3:13">
      <c r="C31" t="s">
        <v>1</v>
      </c>
      <c r="D31" t="s">
        <v>37</v>
      </c>
      <c r="E31">
        <v>1984</v>
      </c>
      <c r="F31" s="6">
        <v>0.83160000000000001</v>
      </c>
      <c r="G31" s="6" t="s">
        <v>201</v>
      </c>
      <c r="H31">
        <f>IF(Table19[[#This Row],[Lifetime Option]]="fixed",Table19[[#This Row],[End of life (fixed)]]-Table19[[#This Row],[Start year]],Table210[Generic  Lifetime])</f>
        <v>33</v>
      </c>
      <c r="I31">
        <v>2017</v>
      </c>
      <c r="J31">
        <f>IF(Table19[[#This Row],[Lifetime Option]]="fixed",Table19[[#This Row],[End of life (fixed)]],Table19[[#This Row],[Start year]]+Table210[Generic  Lifetime])</f>
        <v>2017</v>
      </c>
      <c r="K31">
        <v>1.284</v>
      </c>
      <c r="M31" s="8"/>
    </row>
    <row r="32" spans="3:13">
      <c r="C32" t="s">
        <v>1</v>
      </c>
      <c r="D32" t="s">
        <v>38</v>
      </c>
      <c r="E32">
        <v>1984</v>
      </c>
      <c r="F32" s="6">
        <v>0.83160000000000001</v>
      </c>
      <c r="G32" s="6" t="s">
        <v>201</v>
      </c>
      <c r="H32">
        <f>IF(Table19[[#This Row],[Lifetime Option]]="fixed",Table19[[#This Row],[End of life (fixed)]]-Table19[[#This Row],[Start year]],Table210[Generic  Lifetime])</f>
        <v>37</v>
      </c>
      <c r="I32">
        <v>2021</v>
      </c>
      <c r="J32">
        <f>IF(Table19[[#This Row],[Lifetime Option]]="fixed",Table19[[#This Row],[End of life (fixed)]],Table19[[#This Row],[Start year]]+Table210[Generic  Lifetime])</f>
        <v>2021</v>
      </c>
      <c r="K32">
        <v>1.288</v>
      </c>
      <c r="M32" s="8"/>
    </row>
    <row r="33" spans="3:13">
      <c r="C33" t="s">
        <v>1</v>
      </c>
      <c r="D33" t="s">
        <v>39</v>
      </c>
      <c r="E33">
        <v>1988</v>
      </c>
      <c r="F33" s="6">
        <v>1.28304</v>
      </c>
      <c r="G33" s="6" t="s">
        <v>201</v>
      </c>
      <c r="H33">
        <f>IF(Table19[[#This Row],[Lifetime Option]]="fixed",Table19[[#This Row],[End of life (fixed)]]-Table19[[#This Row],[Start year]],Table210[Generic  Lifetime])</f>
        <v>23</v>
      </c>
      <c r="I33">
        <v>2011</v>
      </c>
      <c r="J33">
        <f>IF(Table19[[#This Row],[Lifetime Option]]="fixed",Table19[[#This Row],[End of life (fixed)]],Table19[[#This Row],[Start year]]+Table210[Generic  Lifetime])</f>
        <v>2011</v>
      </c>
      <c r="K33">
        <v>0.878</v>
      </c>
      <c r="L33" t="s">
        <v>186</v>
      </c>
      <c r="M33" s="8"/>
    </row>
    <row r="34" spans="3:13">
      <c r="C34" t="s">
        <v>1</v>
      </c>
      <c r="D34" t="s">
        <v>40</v>
      </c>
      <c r="E34">
        <v>1988</v>
      </c>
      <c r="F34" s="6">
        <v>1.0394248101265799</v>
      </c>
      <c r="G34" s="6" t="s">
        <v>201</v>
      </c>
      <c r="H34">
        <f>IF(Table19[[#This Row],[Lifetime Option]]="fixed",Table19[[#This Row],[End of life (fixed)]]-Table19[[#This Row],[Start year]],Table210[Generic  Lifetime])</f>
        <v>34</v>
      </c>
      <c r="I34">
        <v>2022</v>
      </c>
      <c r="J34">
        <f>IF(Table19[[#This Row],[Lifetime Option]]="fixed",Table19[[#This Row],[End of life (fixed)]],Table19[[#This Row],[Start year]]+Table210[Generic  Lifetime])</f>
        <v>2022</v>
      </c>
      <c r="K34">
        <v>1.41</v>
      </c>
      <c r="M34" s="8"/>
    </row>
    <row r="35" spans="3:13">
      <c r="C35" t="s">
        <v>1</v>
      </c>
      <c r="D35" t="s">
        <v>41</v>
      </c>
      <c r="E35">
        <v>1983</v>
      </c>
      <c r="F35" s="6">
        <v>0.91238399999999997</v>
      </c>
      <c r="G35" s="6" t="s">
        <v>201</v>
      </c>
      <c r="H35">
        <f>IF(Table19[[#This Row],[Lifetime Option]]="fixed",Table19[[#This Row],[End of life (fixed)]]-Table19[[#This Row],[Start year]],Table210[Generic  Lifetime])</f>
        <v>28</v>
      </c>
      <c r="I35">
        <v>2011</v>
      </c>
      <c r="J35">
        <f>IF(Table19[[#This Row],[Lifetime Option]]="fixed",Table19[[#This Row],[End of life (fixed)]],Table19[[#This Row],[Start year]]+Table210[Generic  Lifetime])</f>
        <v>2011</v>
      </c>
      <c r="K35">
        <v>1.26</v>
      </c>
      <c r="M35" s="8"/>
    </row>
    <row r="36" spans="3:13">
      <c r="C36" t="s">
        <v>1</v>
      </c>
      <c r="D36" t="s">
        <v>42</v>
      </c>
      <c r="E36">
        <v>1989</v>
      </c>
      <c r="F36" s="6">
        <v>1.4452363636363601</v>
      </c>
      <c r="G36" s="6" t="s">
        <v>201</v>
      </c>
      <c r="H36">
        <f>IF(Table19[[#This Row],[Lifetime Option]]="fixed",Table19[[#This Row],[End of life (fixed)]]-Table19[[#This Row],[Start year]],Table210[Generic  Lifetime])</f>
        <v>33</v>
      </c>
      <c r="I36">
        <v>2022</v>
      </c>
      <c r="J36">
        <f>IF(Table19[[#This Row],[Lifetime Option]]="fixed",Table19[[#This Row],[End of life (fixed)]],Table19[[#This Row],[Start year]]+Table210[Generic  Lifetime])</f>
        <v>2022</v>
      </c>
      <c r="K36">
        <v>1.31</v>
      </c>
      <c r="M36" s="8"/>
    </row>
    <row r="37" spans="3:13">
      <c r="C37" t="s">
        <v>1</v>
      </c>
      <c r="D37" t="s">
        <v>43</v>
      </c>
      <c r="E37">
        <v>1976</v>
      </c>
      <c r="F37" s="6">
        <v>1.0463903999999999</v>
      </c>
      <c r="G37" s="6" t="s">
        <v>201</v>
      </c>
      <c r="H37">
        <f>IF(Table19[[#This Row],[Lifetime Option]]="fixed",Table19[[#This Row],[End of life (fixed)]]-Table19[[#This Row],[Start year]],Table210[Generic  Lifetime])</f>
        <v>35</v>
      </c>
      <c r="I37">
        <v>2011</v>
      </c>
      <c r="J37">
        <f>IF(Table19[[#This Row],[Lifetime Option]]="fixed",Table19[[#This Row],[End of life (fixed)]],Table19[[#This Row],[Start year]]+Table210[Generic  Lifetime])</f>
        <v>2011</v>
      </c>
      <c r="K37">
        <v>0.78500000000000003</v>
      </c>
      <c r="L37" t="s">
        <v>186</v>
      </c>
      <c r="M37" s="8"/>
    </row>
    <row r="38" spans="3:13">
      <c r="C38" t="s">
        <v>1</v>
      </c>
      <c r="D38" t="s">
        <v>44</v>
      </c>
      <c r="E38">
        <v>1979</v>
      </c>
      <c r="F38" s="6">
        <v>1.1376288000000001</v>
      </c>
      <c r="G38" s="6" t="s">
        <v>201</v>
      </c>
      <c r="H38">
        <f>IF(Table19[[#This Row],[Lifetime Option]]="fixed",Table19[[#This Row],[End of life (fixed)]]-Table19[[#This Row],[Start year]],Table210[Generic  Lifetime])</f>
        <v>32</v>
      </c>
      <c r="I38">
        <v>2011</v>
      </c>
      <c r="J38">
        <f>IF(Table19[[#This Row],[Lifetime Option]]="fixed",Table19[[#This Row],[End of life (fixed)]],Table19[[#This Row],[Start year]]+Table210[Generic  Lifetime])</f>
        <v>2011</v>
      </c>
      <c r="K38">
        <v>0.89</v>
      </c>
      <c r="L38" t="s">
        <v>186</v>
      </c>
      <c r="M38" s="8"/>
    </row>
    <row r="39" spans="3:13">
      <c r="C39" t="s">
        <v>1</v>
      </c>
      <c r="D39" t="s">
        <v>45</v>
      </c>
      <c r="E39">
        <v>1984</v>
      </c>
      <c r="F39" s="6">
        <v>1.05963584810127</v>
      </c>
      <c r="G39" s="6" t="s">
        <v>201</v>
      </c>
      <c r="H39">
        <f>IF(Table19[[#This Row],[Lifetime Option]]="fixed",Table19[[#This Row],[End of life (fixed)]]-Table19[[#This Row],[Start year]],Table210[Generic  Lifetime])</f>
        <v>35</v>
      </c>
      <c r="I39">
        <v>2019</v>
      </c>
      <c r="J39">
        <f>IF(Table19[[#This Row],[Lifetime Option]]="fixed",Table19[[#This Row],[End of life (fixed)]],Table19[[#This Row],[Start year]]+Table210[Generic  Lifetime])</f>
        <v>2019</v>
      </c>
      <c r="K39">
        <v>1.4019999999999999</v>
      </c>
      <c r="M39" s="8"/>
    </row>
    <row r="40" spans="3:13">
      <c r="C40" t="s">
        <v>1</v>
      </c>
      <c r="D40" t="s">
        <v>46</v>
      </c>
      <c r="E40">
        <v>1978</v>
      </c>
      <c r="F40" s="6">
        <v>1.0093247999999999</v>
      </c>
      <c r="G40" s="6" t="s">
        <v>201</v>
      </c>
      <c r="H40">
        <f>IF(Table19[[#This Row],[Lifetime Option]]="fixed",Table19[[#This Row],[End of life (fixed)]]-Table19[[#This Row],[Start year]],Table210[Generic  Lifetime])</f>
        <v>33</v>
      </c>
      <c r="I40">
        <v>2011</v>
      </c>
      <c r="J40">
        <f>IF(Table19[[#This Row],[Lifetime Option]]="fixed",Table19[[#This Row],[End of life (fixed)]],Table19[[#This Row],[Start year]]+Table210[Generic  Lifetime])</f>
        <v>2011</v>
      </c>
      <c r="K40">
        <v>1.345</v>
      </c>
      <c r="L40" t="s">
        <v>186</v>
      </c>
      <c r="M40" s="8"/>
    </row>
    <row r="41" spans="3:13">
      <c r="C41" t="s">
        <v>47</v>
      </c>
      <c r="D41" t="s">
        <v>48</v>
      </c>
      <c r="E41">
        <v>1983</v>
      </c>
      <c r="F41" s="6">
        <v>1.7769609772650199</v>
      </c>
      <c r="G41" s="6" t="s">
        <v>202</v>
      </c>
      <c r="H41">
        <f>IF(Table19[[#This Row],[Lifetime Option]]="fixed",Table19[[#This Row],[End of life (fixed)]]-Table19[[#This Row],[Start year]],Table210[Generic  Lifetime])</f>
        <v>70</v>
      </c>
      <c r="J41">
        <f>IF(Table19[[#This Row],[Lifetime Option]]="fixed",Table19[[#This Row],[End of life (fixed)]],Table19[[#This Row],[Start year]]+Table210[Generic  Lifetime])</f>
        <v>2053</v>
      </c>
      <c r="K41">
        <v>1.0109999999999999</v>
      </c>
      <c r="M41" s="8"/>
    </row>
    <row r="42" spans="3:13">
      <c r="C42" t="s">
        <v>47</v>
      </c>
      <c r="D42" t="s">
        <v>49</v>
      </c>
      <c r="E42">
        <v>1984</v>
      </c>
      <c r="F42" s="6">
        <v>1.37735731252121</v>
      </c>
      <c r="G42" s="6" t="s">
        <v>202</v>
      </c>
      <c r="H42">
        <f>IF(Table19[[#This Row],[Lifetime Option]]="fixed",Table19[[#This Row],[End of life (fixed)]]-Table19[[#This Row],[Start year]],Table210[Generic  Lifetime])</f>
        <v>70</v>
      </c>
      <c r="J42">
        <f>IF(Table19[[#This Row],[Lifetime Option]]="fixed",Table19[[#This Row],[End of life (fixed)]],Table19[[#This Row],[Start year]]+Table210[Generic  Lifetime])</f>
        <v>2054</v>
      </c>
      <c r="K42">
        <v>1.006</v>
      </c>
      <c r="M42" s="8"/>
    </row>
    <row r="43" spans="3:13">
      <c r="C43" t="s">
        <v>47</v>
      </c>
      <c r="D43" t="s">
        <v>50</v>
      </c>
      <c r="E43">
        <v>1983</v>
      </c>
      <c r="F43" s="6">
        <v>1.5325350561033699</v>
      </c>
      <c r="G43" s="6" t="s">
        <v>202</v>
      </c>
      <c r="H43">
        <f>IF(Table19[[#This Row],[Lifetime Option]]="fixed",Table19[[#This Row],[End of life (fixed)]]-Table19[[#This Row],[Start year]],Table210[Generic  Lifetime])</f>
        <v>70</v>
      </c>
      <c r="J43">
        <f>IF(Table19[[#This Row],[Lifetime Option]]="fixed",Table19[[#This Row],[End of life (fixed)]],Table19[[#This Row],[Start year]]+Table210[Generic  Lifetime])</f>
        <v>2053</v>
      </c>
      <c r="K43">
        <v>0.995</v>
      </c>
      <c r="M43" s="8"/>
    </row>
    <row r="44" spans="3:13">
      <c r="C44" t="s">
        <v>47</v>
      </c>
      <c r="D44" t="s">
        <v>51</v>
      </c>
      <c r="E44">
        <v>1985</v>
      </c>
      <c r="F44" s="6">
        <v>1.52363359401564</v>
      </c>
      <c r="G44" s="6" t="s">
        <v>202</v>
      </c>
      <c r="H44">
        <f>IF(Table19[[#This Row],[Lifetime Option]]="fixed",Table19[[#This Row],[End of life (fixed)]]-Table19[[#This Row],[Start year]],Table210[Generic  Lifetime])</f>
        <v>70</v>
      </c>
      <c r="J44">
        <f>IF(Table19[[#This Row],[Lifetime Option]]="fixed",Table19[[#This Row],[End of life (fixed)]],Table19[[#This Row],[Start year]]+Table210[Generic  Lifetime])</f>
        <v>2055</v>
      </c>
      <c r="K44">
        <v>0.997</v>
      </c>
      <c r="M44" s="8"/>
    </row>
    <row r="45" spans="3:13">
      <c r="C45" t="s">
        <v>47</v>
      </c>
      <c r="D45" t="s">
        <v>52</v>
      </c>
      <c r="E45">
        <v>1985</v>
      </c>
      <c r="F45" s="6">
        <v>1.1658795180722901</v>
      </c>
      <c r="G45" s="6" t="s">
        <v>202</v>
      </c>
      <c r="H45">
        <f>IF(Table19[[#This Row],[Lifetime Option]]="fixed",Table19[[#This Row],[End of life (fixed)]]-Table19[[#This Row],[Start year]],Table210[Generic  Lifetime])</f>
        <v>70</v>
      </c>
      <c r="J45">
        <f>IF(Table19[[#This Row],[Lifetime Option]]="fixed",Table19[[#This Row],[End of life (fixed)]],Table19[[#This Row],[Start year]]+Table210[Generic  Lifetime])</f>
        <v>2055</v>
      </c>
      <c r="K45">
        <v>1.0640000000000001</v>
      </c>
      <c r="M45" s="8"/>
    </row>
    <row r="46" spans="3:13">
      <c r="C46" t="s">
        <v>47</v>
      </c>
      <c r="D46" t="s">
        <v>53</v>
      </c>
      <c r="E46">
        <v>1971</v>
      </c>
      <c r="F46" s="6">
        <v>0.90379029688631396</v>
      </c>
      <c r="G46" s="6" t="s">
        <v>202</v>
      </c>
      <c r="H46">
        <f>IF(Table19[[#This Row],[Lifetime Option]]="fixed",Table19[[#This Row],[End of life (fixed)]]-Table19[[#This Row],[Start year]],Table210[Generic  Lifetime])</f>
        <v>70</v>
      </c>
      <c r="J46">
        <f>IF(Table19[[#This Row],[Lifetime Option]]="fixed",Table19[[#This Row],[End of life (fixed)]],Table19[[#This Row],[Start year]]+Table210[Generic  Lifetime])</f>
        <v>2041</v>
      </c>
      <c r="K46">
        <v>0.44600000000000001</v>
      </c>
      <c r="M46" s="8"/>
    </row>
    <row r="47" spans="3:13">
      <c r="C47" t="s">
        <v>47</v>
      </c>
      <c r="D47" t="s">
        <v>54</v>
      </c>
      <c r="E47">
        <v>1988</v>
      </c>
      <c r="F47" s="6">
        <v>1.00976053156146</v>
      </c>
      <c r="G47" s="6" t="s">
        <v>202</v>
      </c>
      <c r="H47">
        <f>IF(Table19[[#This Row],[Lifetime Option]]="fixed",Table19[[#This Row],[End of life (fixed)]]-Table19[[#This Row],[Start year]],Table210[Generic  Lifetime])</f>
        <v>70</v>
      </c>
      <c r="J47">
        <f>IF(Table19[[#This Row],[Lifetime Option]]="fixed",Table19[[#This Row],[End of life (fixed)]],Table19[[#This Row],[Start year]]+Table210[Generic  Lifetime])</f>
        <v>2058</v>
      </c>
      <c r="K47">
        <v>1.0029999999999999</v>
      </c>
      <c r="M47" s="8"/>
    </row>
    <row r="48" spans="3:13">
      <c r="C48" t="s">
        <v>47</v>
      </c>
      <c r="D48" t="s">
        <v>55</v>
      </c>
      <c r="E48">
        <v>1987</v>
      </c>
      <c r="F48" s="6">
        <v>1.61264821489289</v>
      </c>
      <c r="G48" s="6" t="s">
        <v>202</v>
      </c>
      <c r="H48">
        <f>IF(Table19[[#This Row],[Lifetime Option]]="fixed",Table19[[#This Row],[End of life (fixed)]]-Table19[[#This Row],[Start year]],Table210[Generic  Lifetime])</f>
        <v>70</v>
      </c>
      <c r="J48">
        <f>IF(Table19[[#This Row],[Lifetime Option]]="fixed",Table19[[#This Row],[End of life (fixed)]],Table19[[#This Row],[Start year]]+Table210[Generic  Lifetime])</f>
        <v>2057</v>
      </c>
      <c r="K48">
        <v>1.0449999999999999</v>
      </c>
      <c r="M48" s="8"/>
    </row>
    <row r="49" spans="3:13">
      <c r="C49" t="s">
        <v>56</v>
      </c>
      <c r="D49" t="s">
        <v>57</v>
      </c>
      <c r="E49">
        <v>1977</v>
      </c>
      <c r="F49" s="6">
        <v>1.1750400000000001</v>
      </c>
      <c r="G49" s="6" t="s">
        <v>202</v>
      </c>
      <c r="H49">
        <f>IF(Table19[[#This Row],[Lifetime Option]]="fixed",Table19[[#This Row],[End of life (fixed)]]-Table19[[#This Row],[Start year]],Table210[Generic  Lifetime])</f>
        <v>70</v>
      </c>
      <c r="J49">
        <f>IF(Table19[[#This Row],[Lifetime Option]]="fixed",Table19[[#This Row],[End of life (fixed)]],Table19[[#This Row],[Start year]]+Table210[Generic  Lifetime])</f>
        <v>2047</v>
      </c>
      <c r="K49">
        <v>0.496</v>
      </c>
      <c r="M49" s="8"/>
    </row>
    <row r="50" spans="3:13">
      <c r="C50" t="s">
        <v>56</v>
      </c>
      <c r="D50" t="s">
        <v>58</v>
      </c>
      <c r="E50">
        <v>1980</v>
      </c>
      <c r="F50" s="6">
        <v>1.1750400000000001</v>
      </c>
      <c r="G50" s="6" t="s">
        <v>202</v>
      </c>
      <c r="H50">
        <f>IF(Table19[[#This Row],[Lifetime Option]]="fixed",Table19[[#This Row],[End of life (fixed)]]-Table19[[#This Row],[Start year]],Table210[Generic  Lifetime])</f>
        <v>70</v>
      </c>
      <c r="J50">
        <f>IF(Table19[[#This Row],[Lifetime Option]]="fixed",Table19[[#This Row],[End of life (fixed)]],Table19[[#This Row],[Start year]]+Table210[Generic  Lifetime])</f>
        <v>2050</v>
      </c>
      <c r="K50">
        <v>0.496</v>
      </c>
      <c r="M50" s="8"/>
    </row>
    <row r="51" spans="3:13">
      <c r="C51" t="s">
        <v>56</v>
      </c>
      <c r="D51" t="s">
        <v>59</v>
      </c>
      <c r="E51">
        <v>1978</v>
      </c>
      <c r="F51" s="6">
        <v>1.1636352000000001</v>
      </c>
      <c r="G51" s="6" t="s">
        <v>202</v>
      </c>
      <c r="H51">
        <f>IF(Table19[[#This Row],[Lifetime Option]]="fixed",Table19[[#This Row],[End of life (fixed)]]-Table19[[#This Row],[Start year]],Table210[Generic  Lifetime])</f>
        <v>70</v>
      </c>
      <c r="J51">
        <f>IF(Table19[[#This Row],[Lifetime Option]]="fixed",Table19[[#This Row],[End of life (fixed)]],Table19[[#This Row],[Start year]]+Table210[Generic  Lifetime])</f>
        <v>2048</v>
      </c>
      <c r="K51">
        <v>0.88</v>
      </c>
      <c r="M51" s="8"/>
    </row>
    <row r="52" spans="3:13">
      <c r="C52" t="s">
        <v>56</v>
      </c>
      <c r="D52" t="s">
        <v>60</v>
      </c>
      <c r="E52">
        <v>1980</v>
      </c>
      <c r="F52" s="6">
        <v>1.1380608000000001</v>
      </c>
      <c r="G52" s="6" t="s">
        <v>202</v>
      </c>
      <c r="H52">
        <f>IF(Table19[[#This Row],[Lifetime Option]]="fixed",Table19[[#This Row],[End of life (fixed)]]-Table19[[#This Row],[Start year]],Table210[Generic  Lifetime])</f>
        <v>70</v>
      </c>
      <c r="J52">
        <f>IF(Table19[[#This Row],[Lifetime Option]]="fixed",Table19[[#This Row],[End of life (fixed)]],Table19[[#This Row],[Start year]]+Table210[Generic  Lifetime])</f>
        <v>2050</v>
      </c>
      <c r="K52">
        <v>0.88</v>
      </c>
      <c r="M52" s="8"/>
    </row>
    <row r="53" spans="3:13">
      <c r="C53" t="s">
        <v>3</v>
      </c>
      <c r="D53" t="s">
        <v>61</v>
      </c>
      <c r="E53">
        <v>1987</v>
      </c>
      <c r="F53" s="6">
        <v>1.0181256484149901</v>
      </c>
      <c r="G53" s="6" t="s">
        <v>202</v>
      </c>
      <c r="H53">
        <f>IF(Table19[[#This Row],[Lifetime Option]]="fixed",Table19[[#This Row],[End of life (fixed)]]-Table19[[#This Row],[Start year]],Table210[Generic  Lifetime])</f>
        <v>70</v>
      </c>
      <c r="J53">
        <f>IF(Table19[[#This Row],[Lifetime Option]]="fixed",Table19[[#This Row],[End of life (fixed)]],Table19[[#This Row],[Start year]]+Table210[Generic  Lifetime])</f>
        <v>2057</v>
      </c>
      <c r="K53">
        <v>1.31</v>
      </c>
      <c r="L53" t="s">
        <v>207</v>
      </c>
      <c r="M53" s="7" t="s">
        <v>179</v>
      </c>
    </row>
    <row r="54" spans="3:13">
      <c r="C54" t="s">
        <v>3</v>
      </c>
      <c r="D54" t="s">
        <v>62</v>
      </c>
      <c r="E54">
        <v>1988</v>
      </c>
      <c r="F54" s="6">
        <v>1.0181256484149901</v>
      </c>
      <c r="G54" s="6" t="s">
        <v>202</v>
      </c>
      <c r="H54">
        <f>IF(Table19[[#This Row],[Lifetime Option]]="fixed",Table19[[#This Row],[End of life (fixed)]]-Table19[[#This Row],[Start year]],Table210[Generic  Lifetime])</f>
        <v>70</v>
      </c>
      <c r="J54">
        <f>IF(Table19[[#This Row],[Lifetime Option]]="fixed",Table19[[#This Row],[End of life (fixed)]],Table19[[#This Row],[Start year]]+Table210[Generic  Lifetime])</f>
        <v>2058</v>
      </c>
      <c r="K54">
        <v>1.31</v>
      </c>
      <c r="M54" s="7"/>
    </row>
    <row r="55" spans="3:13">
      <c r="C55" t="s">
        <v>3</v>
      </c>
      <c r="D55" t="s">
        <v>63</v>
      </c>
      <c r="E55">
        <v>1981</v>
      </c>
      <c r="F55" s="6">
        <v>0.99529030664272899</v>
      </c>
      <c r="G55" s="6" t="s">
        <v>202</v>
      </c>
      <c r="H55">
        <f>IF(Table19[[#This Row],[Lifetime Option]]="fixed",Table19[[#This Row],[End of life (fixed)]]-Table19[[#This Row],[Start year]],Table210[Generic  Lifetime])</f>
        <v>70</v>
      </c>
      <c r="J55">
        <f>IF(Table19[[#This Row],[Lifetime Option]]="fixed",Table19[[#This Row],[End of life (fixed)]],Table19[[#This Row],[Start year]]+Table210[Generic  Lifetime])</f>
        <v>2051</v>
      </c>
      <c r="K55">
        <v>0.91</v>
      </c>
      <c r="M55" s="8"/>
    </row>
    <row r="56" spans="3:13">
      <c r="C56" t="s">
        <v>3</v>
      </c>
      <c r="D56" t="s">
        <v>64</v>
      </c>
      <c r="E56">
        <v>1982</v>
      </c>
      <c r="F56" s="6">
        <v>0.99529030664272899</v>
      </c>
      <c r="G56" s="6" t="s">
        <v>202</v>
      </c>
      <c r="H56">
        <f>IF(Table19[[#This Row],[Lifetime Option]]="fixed",Table19[[#This Row],[End of life (fixed)]]-Table19[[#This Row],[Start year]],Table210[Generic  Lifetime])</f>
        <v>70</v>
      </c>
      <c r="J56">
        <f>IF(Table19[[#This Row],[Lifetime Option]]="fixed",Table19[[#This Row],[End of life (fixed)]],Table19[[#This Row],[Start year]]+Table210[Generic  Lifetime])</f>
        <v>2052</v>
      </c>
      <c r="K56">
        <v>0.91</v>
      </c>
      <c r="M56" s="8"/>
    </row>
    <row r="57" spans="3:13">
      <c r="C57" t="s">
        <v>3</v>
      </c>
      <c r="D57" t="s">
        <v>65</v>
      </c>
      <c r="E57">
        <v>1983</v>
      </c>
      <c r="F57" s="6">
        <v>0.99529030664272899</v>
      </c>
      <c r="G57" s="6" t="s">
        <v>202</v>
      </c>
      <c r="H57">
        <f>IF(Table19[[#This Row],[Lifetime Option]]="fixed",Table19[[#This Row],[End of life (fixed)]]-Table19[[#This Row],[Start year]],Table210[Generic  Lifetime])</f>
        <v>70</v>
      </c>
      <c r="J57">
        <f>IF(Table19[[#This Row],[Lifetime Option]]="fixed",Table19[[#This Row],[End of life (fixed)]],Table19[[#This Row],[Start year]]+Table210[Generic  Lifetime])</f>
        <v>2053</v>
      </c>
      <c r="K57">
        <v>0.91</v>
      </c>
      <c r="M57" s="8"/>
    </row>
    <row r="58" spans="3:13">
      <c r="C58" t="s">
        <v>3</v>
      </c>
      <c r="D58" t="s">
        <v>66</v>
      </c>
      <c r="E58">
        <v>1983</v>
      </c>
      <c r="F58" s="6">
        <v>0.99529030664272899</v>
      </c>
      <c r="G58" s="6" t="s">
        <v>202</v>
      </c>
      <c r="H58">
        <f>IF(Table19[[#This Row],[Lifetime Option]]="fixed",Table19[[#This Row],[End of life (fixed)]]-Table19[[#This Row],[Start year]],Table210[Generic  Lifetime])</f>
        <v>70</v>
      </c>
      <c r="J58">
        <f>IF(Table19[[#This Row],[Lifetime Option]]="fixed",Table19[[#This Row],[End of life (fixed)]],Table19[[#This Row],[Start year]]+Table210[Generic  Lifetime])</f>
        <v>2053</v>
      </c>
      <c r="K58">
        <v>0.91</v>
      </c>
      <c r="M58" s="8"/>
    </row>
    <row r="59" spans="3:13">
      <c r="C59" t="s">
        <v>3</v>
      </c>
      <c r="D59" t="s">
        <v>67</v>
      </c>
      <c r="E59">
        <v>1978</v>
      </c>
      <c r="F59" s="6">
        <v>0.98901087253141795</v>
      </c>
      <c r="G59" s="6" t="s">
        <v>202</v>
      </c>
      <c r="H59">
        <f>IF(Table19[[#This Row],[Lifetime Option]]="fixed",Table19[[#This Row],[End of life (fixed)]]-Table19[[#This Row],[Start year]],Table210[Generic  Lifetime])</f>
        <v>70</v>
      </c>
      <c r="J59">
        <f>IF(Table19[[#This Row],[Lifetime Option]]="fixed",Table19[[#This Row],[End of life (fixed)]],Table19[[#This Row],[Start year]]+Table210[Generic  Lifetime])</f>
        <v>2048</v>
      </c>
      <c r="K59">
        <v>0.91</v>
      </c>
      <c r="M59" s="8"/>
    </row>
    <row r="60" spans="3:13">
      <c r="C60" t="s">
        <v>3</v>
      </c>
      <c r="D60" t="s">
        <v>68</v>
      </c>
      <c r="E60">
        <v>1978</v>
      </c>
      <c r="F60" s="6">
        <v>0.98901087253141895</v>
      </c>
      <c r="G60" s="6" t="s">
        <v>202</v>
      </c>
      <c r="H60">
        <f>IF(Table19[[#This Row],[Lifetime Option]]="fixed",Table19[[#This Row],[End of life (fixed)]]-Table19[[#This Row],[Start year]],Table210[Generic  Lifetime])</f>
        <v>70</v>
      </c>
      <c r="J60">
        <f>IF(Table19[[#This Row],[Lifetime Option]]="fixed",Table19[[#This Row],[End of life (fixed)]],Table19[[#This Row],[Start year]]+Table210[Generic  Lifetime])</f>
        <v>2048</v>
      </c>
      <c r="K60">
        <v>0.91</v>
      </c>
      <c r="M60" s="8"/>
    </row>
    <row r="61" spans="3:13">
      <c r="C61" t="s">
        <v>3</v>
      </c>
      <c r="D61" t="s">
        <v>69</v>
      </c>
      <c r="E61">
        <v>1979</v>
      </c>
      <c r="F61" s="6">
        <v>0.95970684667863504</v>
      </c>
      <c r="G61" s="6" t="s">
        <v>202</v>
      </c>
      <c r="H61">
        <f>IF(Table19[[#This Row],[Lifetime Option]]="fixed",Table19[[#This Row],[End of life (fixed)]]-Table19[[#This Row],[Start year]],Table210[Generic  Lifetime])</f>
        <v>70</v>
      </c>
      <c r="J61">
        <f>IF(Table19[[#This Row],[Lifetime Option]]="fixed",Table19[[#This Row],[End of life (fixed)]],Table19[[#This Row],[Start year]]+Table210[Generic  Lifetime])</f>
        <v>2049</v>
      </c>
      <c r="K61">
        <v>0.88</v>
      </c>
      <c r="M61" s="8"/>
    </row>
    <row r="62" spans="3:13">
      <c r="C62" t="s">
        <v>3</v>
      </c>
      <c r="D62" t="s">
        <v>70</v>
      </c>
      <c r="E62">
        <v>1979</v>
      </c>
      <c r="F62" s="6">
        <v>0.95970684667863604</v>
      </c>
      <c r="G62" s="6" t="s">
        <v>202</v>
      </c>
      <c r="H62">
        <f>IF(Table19[[#This Row],[Lifetime Option]]="fixed",Table19[[#This Row],[End of life (fixed)]]-Table19[[#This Row],[Start year]],Table210[Generic  Lifetime])</f>
        <v>70</v>
      </c>
      <c r="J62">
        <f>IF(Table19[[#This Row],[Lifetime Option]]="fixed",Table19[[#This Row],[End of life (fixed)]],Table19[[#This Row],[Start year]]+Table210[Generic  Lifetime])</f>
        <v>2049</v>
      </c>
      <c r="K62">
        <v>0.88</v>
      </c>
      <c r="M62" s="8"/>
    </row>
    <row r="63" spans="3:13">
      <c r="C63" t="s">
        <v>3</v>
      </c>
      <c r="D63" t="s">
        <v>71</v>
      </c>
      <c r="E63">
        <v>1986</v>
      </c>
      <c r="F63" s="6">
        <v>1.01737867435158</v>
      </c>
      <c r="G63" s="6" t="s">
        <v>202</v>
      </c>
      <c r="H63">
        <f>IF(Table19[[#This Row],[Lifetime Option]]="fixed",Table19[[#This Row],[End of life (fixed)]]-Table19[[#This Row],[Start year]],Table210[Generic  Lifetime])</f>
        <v>70</v>
      </c>
      <c r="J63">
        <f>IF(Table19[[#This Row],[Lifetime Option]]="fixed",Table19[[#This Row],[End of life (fixed)]],Table19[[#This Row],[Start year]]+Table210[Generic  Lifetime])</f>
        <v>2056</v>
      </c>
      <c r="K63">
        <v>1.3</v>
      </c>
      <c r="M63" s="8"/>
    </row>
    <row r="64" spans="3:13">
      <c r="C64" t="s">
        <v>3</v>
      </c>
      <c r="D64" t="s">
        <v>72</v>
      </c>
      <c r="E64">
        <v>1987</v>
      </c>
      <c r="F64" s="6">
        <v>1.01737867435159</v>
      </c>
      <c r="G64" s="6" t="s">
        <v>202</v>
      </c>
      <c r="H64">
        <f>IF(Table19[[#This Row],[Lifetime Option]]="fixed",Table19[[#This Row],[End of life (fixed)]]-Table19[[#This Row],[Start year]],Table210[Generic  Lifetime])</f>
        <v>70</v>
      </c>
      <c r="J64">
        <f>IF(Table19[[#This Row],[Lifetime Option]]="fixed",Table19[[#This Row],[End of life (fixed)]],Table19[[#This Row],[Start year]]+Table210[Generic  Lifetime])</f>
        <v>2057</v>
      </c>
      <c r="K64">
        <v>1.3</v>
      </c>
      <c r="M64" s="8"/>
    </row>
    <row r="65" spans="3:13">
      <c r="C65" t="s">
        <v>3</v>
      </c>
      <c r="D65" t="s">
        <v>73</v>
      </c>
      <c r="E65">
        <v>1990</v>
      </c>
      <c r="F65" s="6">
        <v>1.01737867435159</v>
      </c>
      <c r="G65" s="6" t="s">
        <v>202</v>
      </c>
      <c r="H65">
        <f>IF(Table19[[#This Row],[Lifetime Option]]="fixed",Table19[[#This Row],[End of life (fixed)]]-Table19[[#This Row],[Start year]],Table210[Generic  Lifetime])</f>
        <v>70</v>
      </c>
      <c r="J65">
        <f>IF(Table19[[#This Row],[Lifetime Option]]="fixed",Table19[[#This Row],[End of life (fixed)]],Table19[[#This Row],[Start year]]+Table210[Generic  Lifetime])</f>
        <v>2060</v>
      </c>
      <c r="K65">
        <v>1.3</v>
      </c>
      <c r="M65" s="8"/>
    </row>
    <row r="66" spans="3:13">
      <c r="C66" t="s">
        <v>3</v>
      </c>
      <c r="D66" t="s">
        <v>74</v>
      </c>
      <c r="E66">
        <v>1991</v>
      </c>
      <c r="F66" s="6">
        <v>1.01737867435159</v>
      </c>
      <c r="G66" s="6" t="s">
        <v>202</v>
      </c>
      <c r="H66">
        <f>IF(Table19[[#This Row],[Lifetime Option]]="fixed",Table19[[#This Row],[End of life (fixed)]]-Table19[[#This Row],[Start year]],Table210[Generic  Lifetime])</f>
        <v>70</v>
      </c>
      <c r="J66">
        <f>IF(Table19[[#This Row],[Lifetime Option]]="fixed",Table19[[#This Row],[End of life (fixed)]],Table19[[#This Row],[Start year]]+Table210[Generic  Lifetime])</f>
        <v>2061</v>
      </c>
      <c r="K66">
        <v>1.3</v>
      </c>
      <c r="M66" s="8"/>
    </row>
    <row r="67" spans="3:13">
      <c r="C67" t="s">
        <v>3</v>
      </c>
      <c r="D67" t="s">
        <v>75</v>
      </c>
      <c r="E67">
        <v>1982</v>
      </c>
      <c r="F67" s="6">
        <v>0.99843002369838396</v>
      </c>
      <c r="G67" s="6" t="s">
        <v>202</v>
      </c>
      <c r="H67">
        <f>IF(Table19[[#This Row],[Lifetime Option]]="fixed",Table19[[#This Row],[End of life (fixed)]]-Table19[[#This Row],[Start year]],Table210[Generic  Lifetime])</f>
        <v>70</v>
      </c>
      <c r="J67">
        <f>IF(Table19[[#This Row],[Lifetime Option]]="fixed",Table19[[#This Row],[End of life (fixed)]],Table19[[#This Row],[Start year]]+Table210[Generic  Lifetime])</f>
        <v>2052</v>
      </c>
      <c r="K67">
        <v>0.90500000000000003</v>
      </c>
      <c r="M67" s="8"/>
    </row>
    <row r="68" spans="3:13">
      <c r="C68" t="s">
        <v>3</v>
      </c>
      <c r="D68" t="s">
        <v>76</v>
      </c>
      <c r="E68">
        <v>1983</v>
      </c>
      <c r="F68" s="6">
        <v>0.99843002369838396</v>
      </c>
      <c r="G68" s="6" t="s">
        <v>202</v>
      </c>
      <c r="H68">
        <f>IF(Table19[[#This Row],[Lifetime Option]]="fixed",Table19[[#This Row],[End of life (fixed)]]-Table19[[#This Row],[Start year]],Table210[Generic  Lifetime])</f>
        <v>70</v>
      </c>
      <c r="J68">
        <f>IF(Table19[[#This Row],[Lifetime Option]]="fixed",Table19[[#This Row],[End of life (fixed)]],Table19[[#This Row],[Start year]]+Table210[Generic  Lifetime])</f>
        <v>2053</v>
      </c>
      <c r="K68">
        <v>0.90500000000000003</v>
      </c>
      <c r="M68" s="8"/>
    </row>
    <row r="69" spans="3:13">
      <c r="C69" t="s">
        <v>3</v>
      </c>
      <c r="D69" t="s">
        <v>77</v>
      </c>
      <c r="E69">
        <v>1986</v>
      </c>
      <c r="F69" s="6">
        <v>0.99843002369838396</v>
      </c>
      <c r="G69" s="6" t="s">
        <v>202</v>
      </c>
      <c r="H69">
        <f>IF(Table19[[#This Row],[Lifetime Option]]="fixed",Table19[[#This Row],[End of life (fixed)]]-Table19[[#This Row],[Start year]],Table210[Generic  Lifetime])</f>
        <v>70</v>
      </c>
      <c r="J69">
        <f>IF(Table19[[#This Row],[Lifetime Option]]="fixed",Table19[[#This Row],[End of life (fixed)]],Table19[[#This Row],[Start year]]+Table210[Generic  Lifetime])</f>
        <v>2056</v>
      </c>
      <c r="K69">
        <v>0.90500000000000003</v>
      </c>
      <c r="M69" s="8"/>
    </row>
    <row r="70" spans="3:13">
      <c r="C70" t="s">
        <v>3</v>
      </c>
      <c r="D70" t="s">
        <v>78</v>
      </c>
      <c r="E70">
        <v>1987</v>
      </c>
      <c r="F70" s="6">
        <v>0.99843002369838396</v>
      </c>
      <c r="G70" s="6" t="s">
        <v>202</v>
      </c>
      <c r="H70">
        <f>IF(Table19[[#This Row],[Lifetime Option]]="fixed",Table19[[#This Row],[End of life (fixed)]]-Table19[[#This Row],[Start year]],Table210[Generic  Lifetime])</f>
        <v>70</v>
      </c>
      <c r="J70">
        <f>IF(Table19[[#This Row],[Lifetime Option]]="fixed",Table19[[#This Row],[End of life (fixed)]],Table19[[#This Row],[Start year]]+Table210[Generic  Lifetime])</f>
        <v>2057</v>
      </c>
      <c r="K70">
        <v>0.90500000000000003</v>
      </c>
      <c r="M70" s="8"/>
    </row>
    <row r="71" spans="3:13">
      <c r="C71" t="s">
        <v>3</v>
      </c>
      <c r="D71" t="s">
        <v>79</v>
      </c>
      <c r="E71">
        <v>1996</v>
      </c>
      <c r="F71" s="6">
        <v>1.2310482435597201</v>
      </c>
      <c r="G71" s="6" t="s">
        <v>202</v>
      </c>
      <c r="H71">
        <f>IF(Table19[[#This Row],[Lifetime Option]]="fixed",Table19[[#This Row],[End of life (fixed)]]-Table19[[#This Row],[Start year]],Table210[Generic  Lifetime])</f>
        <v>70</v>
      </c>
      <c r="J71">
        <f>IF(Table19[[#This Row],[Lifetime Option]]="fixed",Table19[[#This Row],[End of life (fixed)]],Table19[[#This Row],[Start year]]+Table210[Generic  Lifetime])</f>
        <v>2066</v>
      </c>
      <c r="K71">
        <v>1.5</v>
      </c>
      <c r="M71" s="8"/>
    </row>
    <row r="72" spans="3:13">
      <c r="C72" t="s">
        <v>3</v>
      </c>
      <c r="D72" t="s">
        <v>80</v>
      </c>
      <c r="E72">
        <v>1997</v>
      </c>
      <c r="F72" s="6">
        <v>1.2310482435597201</v>
      </c>
      <c r="G72" s="6" t="s">
        <v>202</v>
      </c>
      <c r="H72">
        <f>IF(Table19[[#This Row],[Lifetime Option]]="fixed",Table19[[#This Row],[End of life (fixed)]]-Table19[[#This Row],[Start year]],Table210[Generic  Lifetime])</f>
        <v>70</v>
      </c>
      <c r="J72">
        <f>IF(Table19[[#This Row],[Lifetime Option]]="fixed",Table19[[#This Row],[End of life (fixed)]],Table19[[#This Row],[Start year]]+Table210[Generic  Lifetime])</f>
        <v>2067</v>
      </c>
      <c r="K72">
        <v>1.5</v>
      </c>
      <c r="M72" s="8"/>
    </row>
    <row r="73" spans="3:13">
      <c r="C73" t="s">
        <v>3</v>
      </c>
      <c r="D73" t="s">
        <v>81</v>
      </c>
      <c r="E73">
        <v>1997</v>
      </c>
      <c r="F73" s="6">
        <v>1.10549508196721</v>
      </c>
      <c r="G73" s="6" t="s">
        <v>202</v>
      </c>
      <c r="H73">
        <f>IF(Table19[[#This Row],[Lifetime Option]]="fixed",Table19[[#This Row],[End of life (fixed)]]-Table19[[#This Row],[Start year]],Table210[Generic  Lifetime])</f>
        <v>70</v>
      </c>
      <c r="J73">
        <f>IF(Table19[[#This Row],[Lifetime Option]]="fixed",Table19[[#This Row],[End of life (fixed)]],Table19[[#This Row],[Start year]]+Table210[Generic  Lifetime])</f>
        <v>2067</v>
      </c>
      <c r="K73">
        <v>1.4950000000000001</v>
      </c>
      <c r="M73" s="8"/>
    </row>
    <row r="74" spans="3:13">
      <c r="C74" t="s">
        <v>3</v>
      </c>
      <c r="D74" t="s">
        <v>82</v>
      </c>
      <c r="E74">
        <v>1999</v>
      </c>
      <c r="F74" s="6">
        <v>1.10549508196721</v>
      </c>
      <c r="G74" s="6" t="s">
        <v>202</v>
      </c>
      <c r="H74">
        <f>IF(Table19[[#This Row],[Lifetime Option]]="fixed",Table19[[#This Row],[End of life (fixed)]]-Table19[[#This Row],[Start year]],Table210[Generic  Lifetime])</f>
        <v>70</v>
      </c>
      <c r="J74">
        <f>IF(Table19[[#This Row],[Lifetime Option]]="fixed",Table19[[#This Row],[End of life (fixed)]],Table19[[#This Row],[Start year]]+Table210[Generic  Lifetime])</f>
        <v>2069</v>
      </c>
      <c r="K74">
        <v>1.4950000000000001</v>
      </c>
      <c r="M74" s="8"/>
    </row>
    <row r="75" spans="3:13">
      <c r="C75" t="s">
        <v>3</v>
      </c>
      <c r="D75" t="s">
        <v>83</v>
      </c>
      <c r="E75">
        <v>1983</v>
      </c>
      <c r="F75" s="6">
        <v>1.0005231684021501</v>
      </c>
      <c r="G75" s="6" t="s">
        <v>202</v>
      </c>
      <c r="H75">
        <f>IF(Table19[[#This Row],[Lifetime Option]]="fixed",Table19[[#This Row],[End of life (fixed)]]-Table19[[#This Row],[Start year]],Table210[Generic  Lifetime])</f>
        <v>70</v>
      </c>
      <c r="J75">
        <f>IF(Table19[[#This Row],[Lifetime Option]]="fixed",Table19[[#This Row],[End of life (fixed)]],Table19[[#This Row],[Start year]]+Table210[Generic  Lifetime])</f>
        <v>2053</v>
      </c>
      <c r="K75">
        <v>0.91500000000000004</v>
      </c>
      <c r="M75" s="8"/>
    </row>
    <row r="76" spans="3:13">
      <c r="C76" t="s">
        <v>3</v>
      </c>
      <c r="D76" t="s">
        <v>84</v>
      </c>
      <c r="E76">
        <v>1984</v>
      </c>
      <c r="F76" s="6">
        <v>1.0005231684021501</v>
      </c>
      <c r="G76" s="6" t="s">
        <v>202</v>
      </c>
      <c r="H76">
        <f>IF(Table19[[#This Row],[Lifetime Option]]="fixed",Table19[[#This Row],[End of life (fixed)]]-Table19[[#This Row],[Start year]],Table210[Generic  Lifetime])</f>
        <v>70</v>
      </c>
      <c r="J76">
        <f>IF(Table19[[#This Row],[Lifetime Option]]="fixed",Table19[[#This Row],[End of life (fixed)]],Table19[[#This Row],[Start year]]+Table210[Generic  Lifetime])</f>
        <v>2054</v>
      </c>
      <c r="K76">
        <v>0.91500000000000004</v>
      </c>
      <c r="M76" s="8"/>
    </row>
    <row r="77" spans="3:13">
      <c r="C77" t="s">
        <v>3</v>
      </c>
      <c r="D77" t="s">
        <v>85</v>
      </c>
      <c r="E77">
        <v>1984</v>
      </c>
      <c r="F77" s="6">
        <v>1.0005231684021501</v>
      </c>
      <c r="G77" s="6" t="s">
        <v>202</v>
      </c>
      <c r="H77">
        <f>IF(Table19[[#This Row],[Lifetime Option]]="fixed",Table19[[#This Row],[End of life (fixed)]]-Table19[[#This Row],[Start year]],Table210[Generic  Lifetime])</f>
        <v>70</v>
      </c>
      <c r="J77">
        <f>IF(Table19[[#This Row],[Lifetime Option]]="fixed",Table19[[#This Row],[End of life (fixed)]],Table19[[#This Row],[Start year]]+Table210[Generic  Lifetime])</f>
        <v>2054</v>
      </c>
      <c r="K77">
        <v>0.91500000000000004</v>
      </c>
      <c r="M77" s="8"/>
    </row>
    <row r="78" spans="3:13">
      <c r="C78" t="s">
        <v>3</v>
      </c>
      <c r="D78" t="s">
        <v>86</v>
      </c>
      <c r="E78">
        <v>1984</v>
      </c>
      <c r="F78" s="6">
        <v>1.0005231684021501</v>
      </c>
      <c r="G78" s="6" t="s">
        <v>202</v>
      </c>
      <c r="H78">
        <f>IF(Table19[[#This Row],[Lifetime Option]]="fixed",Table19[[#This Row],[End of life (fixed)]]-Table19[[#This Row],[Start year]],Table210[Generic  Lifetime])</f>
        <v>70</v>
      </c>
      <c r="J78">
        <f>IF(Table19[[#This Row],[Lifetime Option]]="fixed",Table19[[#This Row],[End of life (fixed)]],Table19[[#This Row],[Start year]]+Table210[Generic  Lifetime])</f>
        <v>2054</v>
      </c>
      <c r="K78">
        <v>0.91500000000000004</v>
      </c>
      <c r="M78" s="8"/>
    </row>
    <row r="79" spans="3:13">
      <c r="C79" t="s">
        <v>3</v>
      </c>
      <c r="D79" t="s">
        <v>87</v>
      </c>
      <c r="E79">
        <v>1980</v>
      </c>
      <c r="F79" s="6">
        <v>0.98063829371633704</v>
      </c>
      <c r="G79" s="6" t="s">
        <v>202</v>
      </c>
      <c r="H79">
        <f>IF(Table19[[#This Row],[Lifetime Option]]="fixed",Table19[[#This Row],[End of life (fixed)]]-Table19[[#This Row],[Start year]],Table210[Generic  Lifetime])</f>
        <v>70</v>
      </c>
      <c r="J79">
        <f>IF(Table19[[#This Row],[Lifetime Option]]="fixed",Table19[[#This Row],[End of life (fixed)]],Table19[[#This Row],[Start year]]+Table210[Generic  Lifetime])</f>
        <v>2050</v>
      </c>
      <c r="K79">
        <v>0.89</v>
      </c>
      <c r="M79" s="8"/>
    </row>
    <row r="80" spans="3:13">
      <c r="C80" t="s">
        <v>3</v>
      </c>
      <c r="D80" t="s">
        <v>88</v>
      </c>
      <c r="E80">
        <v>1980</v>
      </c>
      <c r="F80" s="6">
        <v>0.98063829371633704</v>
      </c>
      <c r="G80" s="6" t="s">
        <v>202</v>
      </c>
      <c r="H80">
        <f>IF(Table19[[#This Row],[Lifetime Option]]="fixed",Table19[[#This Row],[End of life (fixed)]]-Table19[[#This Row],[Start year]],Table210[Generic  Lifetime])</f>
        <v>70</v>
      </c>
      <c r="J80">
        <f>IF(Table19[[#This Row],[Lifetime Option]]="fixed",Table19[[#This Row],[End of life (fixed)]],Table19[[#This Row],[Start year]]+Table210[Generic  Lifetime])</f>
        <v>2050</v>
      </c>
      <c r="K80">
        <v>0.89</v>
      </c>
      <c r="M80" s="8"/>
    </row>
    <row r="81" spans="3:13">
      <c r="C81" t="s">
        <v>3</v>
      </c>
      <c r="D81" t="s">
        <v>89</v>
      </c>
      <c r="E81">
        <v>1981</v>
      </c>
      <c r="F81" s="6">
        <v>0.98063829371633704</v>
      </c>
      <c r="G81" s="6" t="s">
        <v>202</v>
      </c>
      <c r="H81">
        <f>IF(Table19[[#This Row],[Lifetime Option]]="fixed",Table19[[#This Row],[End of life (fixed)]]-Table19[[#This Row],[Start year]],Table210[Generic  Lifetime])</f>
        <v>70</v>
      </c>
      <c r="J81">
        <f>IF(Table19[[#This Row],[Lifetime Option]]="fixed",Table19[[#This Row],[End of life (fixed)]],Table19[[#This Row],[Start year]]+Table210[Generic  Lifetime])</f>
        <v>2051</v>
      </c>
      <c r="K81">
        <v>0.89</v>
      </c>
      <c r="M81" s="8"/>
    </row>
    <row r="82" spans="3:13">
      <c r="C82" t="s">
        <v>3</v>
      </c>
      <c r="D82" t="s">
        <v>90</v>
      </c>
      <c r="E82">
        <v>1981</v>
      </c>
      <c r="F82" s="6">
        <v>0.98063829371633704</v>
      </c>
      <c r="G82" s="6" t="s">
        <v>202</v>
      </c>
      <c r="H82">
        <f>IF(Table19[[#This Row],[Lifetime Option]]="fixed",Table19[[#This Row],[End of life (fixed)]]-Table19[[#This Row],[Start year]],Table210[Generic  Lifetime])</f>
        <v>70</v>
      </c>
      <c r="J82">
        <f>IF(Table19[[#This Row],[Lifetime Option]]="fixed",Table19[[#This Row],[End of life (fixed)]],Table19[[#This Row],[Start year]]+Table210[Generic  Lifetime])</f>
        <v>2051</v>
      </c>
      <c r="K82">
        <v>0.89</v>
      </c>
      <c r="M82" s="8"/>
    </row>
    <row r="83" spans="3:13">
      <c r="C83" t="s">
        <v>3</v>
      </c>
      <c r="D83" t="s">
        <v>91</v>
      </c>
      <c r="E83">
        <v>1977</v>
      </c>
      <c r="F83" s="6">
        <v>1.31483909774436</v>
      </c>
      <c r="G83" s="6" t="s">
        <v>201</v>
      </c>
      <c r="H83">
        <f>IF(Table19[[#This Row],[Lifetime Option]]="fixed",Table19[[#This Row],[End of life (fixed)]]-Table19[[#This Row],[Start year]],Table210[Generic  Lifetime])</f>
        <v>40</v>
      </c>
      <c r="I83">
        <v>2017</v>
      </c>
      <c r="J83">
        <f>IF(Table19[[#This Row],[Lifetime Option]]="fixed",Table19[[#This Row],[End of life (fixed)]],Table19[[#This Row],[Start year]]+Table210[Generic  Lifetime])</f>
        <v>2017</v>
      </c>
      <c r="K83">
        <v>0.88</v>
      </c>
      <c r="L83" t="s">
        <v>187</v>
      </c>
      <c r="M83" s="8"/>
    </row>
    <row r="84" spans="3:13">
      <c r="C84" t="s">
        <v>3</v>
      </c>
      <c r="D84" t="s">
        <v>92</v>
      </c>
      <c r="E84">
        <v>1977</v>
      </c>
      <c r="F84" s="6">
        <v>1.31483909774436</v>
      </c>
      <c r="G84" s="6" t="s">
        <v>201</v>
      </c>
      <c r="H84">
        <f>IF(Table19[[#This Row],[Lifetime Option]]="fixed",Table19[[#This Row],[End of life (fixed)]]-Table19[[#This Row],[Start year]],Table210[Generic  Lifetime])</f>
        <v>40</v>
      </c>
      <c r="I84">
        <v>2017</v>
      </c>
      <c r="J84">
        <f>IF(Table19[[#This Row],[Lifetime Option]]="fixed",Table19[[#This Row],[End of life (fixed)]],Table19[[#This Row],[Start year]]+Table210[Generic  Lifetime])</f>
        <v>2017</v>
      </c>
      <c r="K84">
        <v>0.88</v>
      </c>
      <c r="L84" t="s">
        <v>187</v>
      </c>
      <c r="M84" s="8"/>
    </row>
    <row r="85" spans="3:13">
      <c r="C85" t="s">
        <v>3</v>
      </c>
      <c r="D85" t="s">
        <v>93</v>
      </c>
      <c r="E85">
        <v>1985</v>
      </c>
      <c r="F85" s="6">
        <v>1.0323181556195999</v>
      </c>
      <c r="G85" s="6" t="s">
        <v>202</v>
      </c>
      <c r="H85">
        <f>IF(Table19[[#This Row],[Lifetime Option]]="fixed",Table19[[#This Row],[End of life (fixed)]]-Table19[[#This Row],[Start year]],Table210[Generic  Lifetime])</f>
        <v>70</v>
      </c>
      <c r="J85">
        <f>IF(Table19[[#This Row],[Lifetime Option]]="fixed",Table19[[#This Row],[End of life (fixed)]],Table19[[#This Row],[Start year]]+Table210[Generic  Lifetime])</f>
        <v>2055</v>
      </c>
      <c r="K85">
        <v>1.33</v>
      </c>
      <c r="M85" s="8"/>
    </row>
    <row r="86" spans="3:13">
      <c r="C86" t="s">
        <v>3</v>
      </c>
      <c r="D86" t="s">
        <v>94</v>
      </c>
      <c r="E86">
        <v>1986</v>
      </c>
      <c r="F86" s="6">
        <v>1.0323181556195999</v>
      </c>
      <c r="G86" s="6" t="s">
        <v>202</v>
      </c>
      <c r="H86">
        <f>IF(Table19[[#This Row],[Lifetime Option]]="fixed",Table19[[#This Row],[End of life (fixed)]]-Table19[[#This Row],[Start year]],Table210[Generic  Lifetime])</f>
        <v>70</v>
      </c>
      <c r="J86">
        <f>IF(Table19[[#This Row],[Lifetime Option]]="fixed",Table19[[#This Row],[End of life (fixed)]],Table19[[#This Row],[Start year]]+Table210[Generic  Lifetime])</f>
        <v>2056</v>
      </c>
      <c r="K86">
        <v>1.33</v>
      </c>
      <c r="M86" s="8"/>
    </row>
    <row r="87" spans="3:13">
      <c r="C87" t="s">
        <v>3</v>
      </c>
      <c r="D87" t="s">
        <v>95</v>
      </c>
      <c r="E87">
        <v>1990</v>
      </c>
      <c r="F87" s="6">
        <v>1.0181256484149901</v>
      </c>
      <c r="G87" s="6" t="s">
        <v>202</v>
      </c>
      <c r="H87">
        <f>IF(Table19[[#This Row],[Lifetime Option]]="fixed",Table19[[#This Row],[End of life (fixed)]]-Table19[[#This Row],[Start year]],Table210[Generic  Lifetime])</f>
        <v>70</v>
      </c>
      <c r="J87">
        <f>IF(Table19[[#This Row],[Lifetime Option]]="fixed",Table19[[#This Row],[End of life (fixed)]],Table19[[#This Row],[Start year]]+Table210[Generic  Lifetime])</f>
        <v>2060</v>
      </c>
      <c r="K87">
        <v>1.31</v>
      </c>
      <c r="M87" s="8"/>
    </row>
    <row r="88" spans="3:13">
      <c r="C88" t="s">
        <v>3</v>
      </c>
      <c r="D88" t="s">
        <v>96</v>
      </c>
      <c r="E88">
        <v>1993</v>
      </c>
      <c r="F88" s="6">
        <v>1.0181256484149901</v>
      </c>
      <c r="G88" s="6" t="s">
        <v>202</v>
      </c>
      <c r="H88">
        <f>IF(Table19[[#This Row],[Lifetime Option]]="fixed",Table19[[#This Row],[End of life (fixed)]]-Table19[[#This Row],[Start year]],Table210[Generic  Lifetime])</f>
        <v>70</v>
      </c>
      <c r="J88">
        <f>IF(Table19[[#This Row],[Lifetime Option]]="fixed",Table19[[#This Row],[End of life (fixed)]],Table19[[#This Row],[Start year]]+Table210[Generic  Lifetime])</f>
        <v>2063</v>
      </c>
      <c r="K88">
        <v>1.31</v>
      </c>
      <c r="M88" s="8"/>
    </row>
    <row r="89" spans="3:13">
      <c r="C89" t="s">
        <v>3</v>
      </c>
      <c r="D89" t="s">
        <v>97</v>
      </c>
      <c r="E89">
        <v>1980</v>
      </c>
      <c r="F89" s="6">
        <v>0.99529030664272899</v>
      </c>
      <c r="G89" s="6" t="s">
        <v>202</v>
      </c>
      <c r="H89">
        <f>IF(Table19[[#This Row],[Lifetime Option]]="fixed",Table19[[#This Row],[End of life (fixed)]]-Table19[[#This Row],[Start year]],Table210[Generic  Lifetime])</f>
        <v>70</v>
      </c>
      <c r="J89">
        <f>IF(Table19[[#This Row],[Lifetime Option]]="fixed",Table19[[#This Row],[End of life (fixed)]],Table19[[#This Row],[Start year]]+Table210[Generic  Lifetime])</f>
        <v>2050</v>
      </c>
      <c r="K89">
        <v>0.91</v>
      </c>
      <c r="M89" s="8"/>
    </row>
    <row r="90" spans="3:13">
      <c r="C90" t="s">
        <v>3</v>
      </c>
      <c r="D90" t="s">
        <v>98</v>
      </c>
      <c r="E90">
        <v>1980</v>
      </c>
      <c r="F90" s="6">
        <v>0.99529030664272899</v>
      </c>
      <c r="G90" s="6" t="s">
        <v>202</v>
      </c>
      <c r="H90">
        <f>IF(Table19[[#This Row],[Lifetime Option]]="fixed",Table19[[#This Row],[End of life (fixed)]]-Table19[[#This Row],[Start year]],Table210[Generic  Lifetime])</f>
        <v>70</v>
      </c>
      <c r="J90">
        <f>IF(Table19[[#This Row],[Lifetime Option]]="fixed",Table19[[#This Row],[End of life (fixed)]],Table19[[#This Row],[Start year]]+Table210[Generic  Lifetime])</f>
        <v>2050</v>
      </c>
      <c r="K90">
        <v>0.91</v>
      </c>
      <c r="M90" s="8"/>
    </row>
    <row r="91" spans="3:13">
      <c r="C91" t="s">
        <v>3</v>
      </c>
      <c r="D91" t="s">
        <v>99</v>
      </c>
      <c r="E91">
        <v>1980</v>
      </c>
      <c r="F91" s="6">
        <v>0.99529030664272899</v>
      </c>
      <c r="G91" s="6" t="s">
        <v>202</v>
      </c>
      <c r="H91">
        <f>IF(Table19[[#This Row],[Lifetime Option]]="fixed",Table19[[#This Row],[End of life (fixed)]]-Table19[[#This Row],[Start year]],Table210[Generic  Lifetime])</f>
        <v>70</v>
      </c>
      <c r="J91">
        <f>IF(Table19[[#This Row],[Lifetime Option]]="fixed",Table19[[#This Row],[End of life (fixed)]],Table19[[#This Row],[Start year]]+Table210[Generic  Lifetime])</f>
        <v>2050</v>
      </c>
      <c r="K91">
        <v>0.91</v>
      </c>
      <c r="M91" s="8"/>
    </row>
    <row r="92" spans="3:13">
      <c r="C92" t="s">
        <v>3</v>
      </c>
      <c r="D92" t="s">
        <v>100</v>
      </c>
      <c r="E92">
        <v>1981</v>
      </c>
      <c r="F92" s="6">
        <v>0.99529030664272899</v>
      </c>
      <c r="G92" s="6" t="s">
        <v>202</v>
      </c>
      <c r="H92">
        <f>IF(Table19[[#This Row],[Lifetime Option]]="fixed",Table19[[#This Row],[End of life (fixed)]]-Table19[[#This Row],[Start year]],Table210[Generic  Lifetime])</f>
        <v>70</v>
      </c>
      <c r="J92">
        <f>IF(Table19[[#This Row],[Lifetime Option]]="fixed",Table19[[#This Row],[End of life (fixed)]],Table19[[#This Row],[Start year]]+Table210[Generic  Lifetime])</f>
        <v>2051</v>
      </c>
      <c r="K92">
        <v>0.91</v>
      </c>
      <c r="M92" s="8"/>
    </row>
    <row r="93" spans="3:13">
      <c r="C93" t="s">
        <v>3</v>
      </c>
      <c r="D93" t="s">
        <v>101</v>
      </c>
      <c r="E93">
        <v>1984</v>
      </c>
      <c r="F93" s="6">
        <v>1.3866501974865399</v>
      </c>
      <c r="G93" s="6" t="s">
        <v>202</v>
      </c>
      <c r="H93">
        <f>IF(Table19[[#This Row],[Lifetime Option]]="fixed",Table19[[#This Row],[End of life (fixed)]]-Table19[[#This Row],[Start year]],Table210[Generic  Lifetime])</f>
        <v>70</v>
      </c>
      <c r="J93">
        <f>IF(Table19[[#This Row],[Lifetime Option]]="fixed",Table19[[#This Row],[End of life (fixed)]],Table19[[#This Row],[Start year]]+Table210[Generic  Lifetime])</f>
        <v>2054</v>
      </c>
      <c r="K93">
        <v>0.91</v>
      </c>
      <c r="M93" s="8"/>
    </row>
    <row r="94" spans="3:13">
      <c r="C94" t="s">
        <v>3</v>
      </c>
      <c r="D94" t="s">
        <v>102</v>
      </c>
      <c r="E94">
        <v>1985</v>
      </c>
      <c r="F94" s="6">
        <v>1.38665019748653</v>
      </c>
      <c r="G94" s="6" t="s">
        <v>202</v>
      </c>
      <c r="H94">
        <f>IF(Table19[[#This Row],[Lifetime Option]]="fixed",Table19[[#This Row],[End of life (fixed)]]-Table19[[#This Row],[Start year]],Table210[Generic  Lifetime])</f>
        <v>70</v>
      </c>
      <c r="J94">
        <f>IF(Table19[[#This Row],[Lifetime Option]]="fixed",Table19[[#This Row],[End of life (fixed)]],Table19[[#This Row],[Start year]]+Table210[Generic  Lifetime])</f>
        <v>2055</v>
      </c>
      <c r="K94">
        <v>0.91</v>
      </c>
      <c r="M94" s="8"/>
    </row>
    <row r="95" spans="3:13">
      <c r="C95" t="s">
        <v>3</v>
      </c>
      <c r="D95" t="s">
        <v>103</v>
      </c>
      <c r="E95">
        <v>1987</v>
      </c>
      <c r="F95" s="6">
        <v>1.0181256484149901</v>
      </c>
      <c r="G95" s="6" t="s">
        <v>202</v>
      </c>
      <c r="H95">
        <f>IF(Table19[[#This Row],[Lifetime Option]]="fixed",Table19[[#This Row],[End of life (fixed)]]-Table19[[#This Row],[Start year]],Table210[Generic  Lifetime])</f>
        <v>70</v>
      </c>
      <c r="J95">
        <f>IF(Table19[[#This Row],[Lifetime Option]]="fixed",Table19[[#This Row],[End of life (fixed)]],Table19[[#This Row],[Start year]]+Table210[Generic  Lifetime])</f>
        <v>2057</v>
      </c>
      <c r="K95">
        <v>1.31</v>
      </c>
      <c r="M95" s="8"/>
    </row>
    <row r="96" spans="3:13">
      <c r="C96" t="s">
        <v>3</v>
      </c>
      <c r="D96" t="s">
        <v>104</v>
      </c>
      <c r="E96">
        <v>1988</v>
      </c>
      <c r="F96" s="6">
        <v>1.0181256484149901</v>
      </c>
      <c r="G96" s="6" t="s">
        <v>202</v>
      </c>
      <c r="H96">
        <f>IF(Table19[[#This Row],[Lifetime Option]]="fixed",Table19[[#This Row],[End of life (fixed)]]-Table19[[#This Row],[Start year]],Table210[Generic  Lifetime])</f>
        <v>70</v>
      </c>
      <c r="J96">
        <f>IF(Table19[[#This Row],[Lifetime Option]]="fixed",Table19[[#This Row],[End of life (fixed)]],Table19[[#This Row],[Start year]]+Table210[Generic  Lifetime])</f>
        <v>2058</v>
      </c>
      <c r="K96">
        <v>1.31</v>
      </c>
      <c r="M96" s="8"/>
    </row>
    <row r="97" spans="3:13">
      <c r="C97" t="s">
        <v>3</v>
      </c>
      <c r="D97" t="s">
        <v>105</v>
      </c>
      <c r="E97">
        <v>1984</v>
      </c>
      <c r="F97" s="6">
        <v>1.0323181556195999</v>
      </c>
      <c r="G97" s="6" t="s">
        <v>202</v>
      </c>
      <c r="H97">
        <f>IF(Table19[[#This Row],[Lifetime Option]]="fixed",Table19[[#This Row],[End of life (fixed)]]-Table19[[#This Row],[Start year]],Table210[Generic  Lifetime])</f>
        <v>70</v>
      </c>
      <c r="J97">
        <f>IF(Table19[[#This Row],[Lifetime Option]]="fixed",Table19[[#This Row],[End of life (fixed)]],Table19[[#This Row],[Start year]]+Table210[Generic  Lifetime])</f>
        <v>2054</v>
      </c>
      <c r="K97">
        <v>1.33</v>
      </c>
      <c r="M97" s="8"/>
    </row>
    <row r="98" spans="3:13">
      <c r="C98" t="s">
        <v>3</v>
      </c>
      <c r="D98" t="s">
        <v>106</v>
      </c>
      <c r="E98">
        <v>1984</v>
      </c>
      <c r="F98" s="6">
        <v>1.0323181556195999</v>
      </c>
      <c r="G98" s="6" t="s">
        <v>202</v>
      </c>
      <c r="H98">
        <f>IF(Table19[[#This Row],[Lifetime Option]]="fixed",Table19[[#This Row],[End of life (fixed)]]-Table19[[#This Row],[Start year]],Table210[Generic  Lifetime])</f>
        <v>70</v>
      </c>
      <c r="J98">
        <f>IF(Table19[[#This Row],[Lifetime Option]]="fixed",Table19[[#This Row],[End of life (fixed)]],Table19[[#This Row],[Start year]]+Table210[Generic  Lifetime])</f>
        <v>2054</v>
      </c>
      <c r="K98">
        <v>1.33</v>
      </c>
      <c r="M98" s="8"/>
    </row>
    <row r="99" spans="3:13">
      <c r="C99" t="s">
        <v>3</v>
      </c>
      <c r="D99" t="s">
        <v>107</v>
      </c>
      <c r="E99">
        <v>1985</v>
      </c>
      <c r="F99" s="6">
        <v>1.0323181556195999</v>
      </c>
      <c r="G99" s="6" t="s">
        <v>202</v>
      </c>
      <c r="H99">
        <f>IF(Table19[[#This Row],[Lifetime Option]]="fixed",Table19[[#This Row],[End of life (fixed)]]-Table19[[#This Row],[Start year]],Table210[Generic  Lifetime])</f>
        <v>70</v>
      </c>
      <c r="J99">
        <f>IF(Table19[[#This Row],[Lifetime Option]]="fixed",Table19[[#This Row],[End of life (fixed)]],Table19[[#This Row],[Start year]]+Table210[Generic  Lifetime])</f>
        <v>2055</v>
      </c>
      <c r="K99">
        <v>1.33</v>
      </c>
      <c r="M99" s="8"/>
    </row>
    <row r="100" spans="3:13">
      <c r="C100" t="s">
        <v>3</v>
      </c>
      <c r="D100" t="s">
        <v>108</v>
      </c>
      <c r="E100">
        <v>1986</v>
      </c>
      <c r="F100" s="6">
        <v>1.0323181556195999</v>
      </c>
      <c r="G100" s="6" t="s">
        <v>202</v>
      </c>
      <c r="H100">
        <f>IF(Table19[[#This Row],[Lifetime Option]]="fixed",Table19[[#This Row],[End of life (fixed)]]-Table19[[#This Row],[Start year]],Table210[Generic  Lifetime])</f>
        <v>70</v>
      </c>
      <c r="J100">
        <f>IF(Table19[[#This Row],[Lifetime Option]]="fixed",Table19[[#This Row],[End of life (fixed)]],Table19[[#This Row],[Start year]]+Table210[Generic  Lifetime])</f>
        <v>2056</v>
      </c>
      <c r="K100">
        <v>1.33</v>
      </c>
      <c r="M100" s="8"/>
    </row>
    <row r="101" spans="3:13">
      <c r="C101" t="s">
        <v>3</v>
      </c>
      <c r="D101" t="s">
        <v>109</v>
      </c>
      <c r="E101">
        <v>1990</v>
      </c>
      <c r="F101" s="6">
        <v>1.0323181556195999</v>
      </c>
      <c r="G101" s="6" t="s">
        <v>202</v>
      </c>
      <c r="H101">
        <f>IF(Table19[[#This Row],[Lifetime Option]]="fixed",Table19[[#This Row],[End of life (fixed)]]-Table19[[#This Row],[Start year]],Table210[Generic  Lifetime])</f>
        <v>70</v>
      </c>
      <c r="J101">
        <f>IF(Table19[[#This Row],[Lifetime Option]]="fixed",Table19[[#This Row],[End of life (fixed)]],Table19[[#This Row],[Start year]]+Table210[Generic  Lifetime])</f>
        <v>2060</v>
      </c>
      <c r="K101">
        <v>1.33</v>
      </c>
      <c r="M101" s="8"/>
    </row>
    <row r="102" spans="3:13">
      <c r="C102" t="s">
        <v>3</v>
      </c>
      <c r="D102" t="s">
        <v>110</v>
      </c>
      <c r="E102">
        <v>1992</v>
      </c>
      <c r="F102" s="6">
        <v>1.0323181556195999</v>
      </c>
      <c r="G102" s="6" t="s">
        <v>202</v>
      </c>
      <c r="H102">
        <f>IF(Table19[[#This Row],[Lifetime Option]]="fixed",Table19[[#This Row],[End of life (fixed)]]-Table19[[#This Row],[Start year]],Table210[Generic  Lifetime])</f>
        <v>70</v>
      </c>
      <c r="J102">
        <f>IF(Table19[[#This Row],[Lifetime Option]]="fixed",Table19[[#This Row],[End of life (fixed)]],Table19[[#This Row],[Start year]]+Table210[Generic  Lifetime])</f>
        <v>2062</v>
      </c>
      <c r="K102">
        <v>1.33</v>
      </c>
      <c r="M102" s="8"/>
    </row>
    <row r="103" spans="3:13">
      <c r="C103" t="s">
        <v>3</v>
      </c>
      <c r="D103" t="s">
        <v>111</v>
      </c>
      <c r="E103">
        <v>1973</v>
      </c>
      <c r="F103" s="6">
        <v>2.85</v>
      </c>
      <c r="G103" s="6" t="s">
        <v>202</v>
      </c>
      <c r="H103">
        <f>IF(Table19[[#This Row],[Lifetime Option]]="fixed",Table19[[#This Row],[End of life (fixed)]]-Table19[[#This Row],[Start year]],Table210[Generic  Lifetime])</f>
        <v>70</v>
      </c>
      <c r="J103">
        <f>IF(Table19[[#This Row],[Lifetime Option]]="fixed",Table19[[#This Row],[End of life (fixed)]],Table19[[#This Row],[Start year]]+Table210[Generic  Lifetime])</f>
        <v>2043</v>
      </c>
      <c r="K103">
        <v>0.13</v>
      </c>
      <c r="M103" s="8"/>
    </row>
    <row r="104" spans="3:13">
      <c r="C104" t="s">
        <v>3</v>
      </c>
      <c r="D104" t="s">
        <v>112</v>
      </c>
      <c r="E104">
        <v>1985</v>
      </c>
      <c r="F104" s="6">
        <v>1.0315711815562001</v>
      </c>
      <c r="G104" s="6" t="s">
        <v>202</v>
      </c>
      <c r="H104">
        <f>IF(Table19[[#This Row],[Lifetime Option]]="fixed",Table19[[#This Row],[End of life (fixed)]]-Table19[[#This Row],[Start year]],Table210[Generic  Lifetime])</f>
        <v>70</v>
      </c>
      <c r="J104">
        <f>IF(Table19[[#This Row],[Lifetime Option]]="fixed",Table19[[#This Row],[End of life (fixed)]],Table19[[#This Row],[Start year]]+Table210[Generic  Lifetime])</f>
        <v>2055</v>
      </c>
      <c r="K104">
        <v>1.335</v>
      </c>
      <c r="M104" s="8"/>
    </row>
    <row r="105" spans="3:13">
      <c r="C105" t="s">
        <v>3</v>
      </c>
      <c r="D105" t="s">
        <v>113</v>
      </c>
      <c r="E105">
        <v>1986</v>
      </c>
      <c r="F105" s="6">
        <v>1.0315711815562001</v>
      </c>
      <c r="G105" s="6" t="s">
        <v>202</v>
      </c>
      <c r="H105">
        <f>IF(Table19[[#This Row],[Lifetime Option]]="fixed",Table19[[#This Row],[End of life (fixed)]]-Table19[[#This Row],[Start year]],Table210[Generic  Lifetime])</f>
        <v>70</v>
      </c>
      <c r="J105">
        <f>IF(Table19[[#This Row],[Lifetime Option]]="fixed",Table19[[#This Row],[End of life (fixed)]],Table19[[#This Row],[Start year]]+Table210[Generic  Lifetime])</f>
        <v>2056</v>
      </c>
      <c r="K105">
        <v>1.335</v>
      </c>
      <c r="M105" s="8"/>
    </row>
    <row r="106" spans="3:13">
      <c r="C106" t="s">
        <v>3</v>
      </c>
      <c r="D106" t="s">
        <v>114</v>
      </c>
      <c r="E106">
        <v>1981</v>
      </c>
      <c r="F106" s="6">
        <v>1.0005231684021501</v>
      </c>
      <c r="G106" s="6" t="s">
        <v>202</v>
      </c>
      <c r="H106">
        <f>IF(Table19[[#This Row],[Lifetime Option]]="fixed",Table19[[#This Row],[End of life (fixed)]]-Table19[[#This Row],[Start year]],Table210[Generic  Lifetime])</f>
        <v>70</v>
      </c>
      <c r="J106">
        <f>IF(Table19[[#This Row],[Lifetime Option]]="fixed",Table19[[#This Row],[End of life (fixed)]],Table19[[#This Row],[Start year]]+Table210[Generic  Lifetime])</f>
        <v>2051</v>
      </c>
      <c r="K106">
        <v>0.91500000000000004</v>
      </c>
      <c r="M106" s="8"/>
    </row>
    <row r="107" spans="3:13">
      <c r="C107" t="s">
        <v>3</v>
      </c>
      <c r="D107" t="s">
        <v>115</v>
      </c>
      <c r="E107">
        <v>1981</v>
      </c>
      <c r="F107" s="6">
        <v>1.0005231684021501</v>
      </c>
      <c r="G107" s="6" t="s">
        <v>202</v>
      </c>
      <c r="H107">
        <f>IF(Table19[[#This Row],[Lifetime Option]]="fixed",Table19[[#This Row],[End of life (fixed)]]-Table19[[#This Row],[Start year]],Table210[Generic  Lifetime])</f>
        <v>70</v>
      </c>
      <c r="J107">
        <f>IF(Table19[[#This Row],[Lifetime Option]]="fixed",Table19[[#This Row],[End of life (fixed)]],Table19[[#This Row],[Start year]]+Table210[Generic  Lifetime])</f>
        <v>2051</v>
      </c>
      <c r="K107">
        <v>0.91500000000000004</v>
      </c>
      <c r="M107" s="8"/>
    </row>
    <row r="108" spans="3:13">
      <c r="C108" t="s">
        <v>3</v>
      </c>
      <c r="D108" t="s">
        <v>116</v>
      </c>
      <c r="E108">
        <v>1980</v>
      </c>
      <c r="F108" s="6">
        <v>1.2443461400359099</v>
      </c>
      <c r="G108" s="6" t="s">
        <v>202</v>
      </c>
      <c r="H108">
        <f>IF(Table19[[#This Row],[Lifetime Option]]="fixed",Table19[[#This Row],[End of life (fixed)]]-Table19[[#This Row],[Start year]],Table210[Generic  Lifetime])</f>
        <v>70</v>
      </c>
      <c r="J108">
        <f>IF(Table19[[#This Row],[Lifetime Option]]="fixed",Table19[[#This Row],[End of life (fixed)]],Table19[[#This Row],[Start year]]+Table210[Generic  Lifetime])</f>
        <v>2050</v>
      </c>
      <c r="K108">
        <v>0.91500000000000004</v>
      </c>
      <c r="M108" s="8"/>
    </row>
    <row r="109" spans="3:13">
      <c r="C109" t="s">
        <v>3</v>
      </c>
      <c r="D109" t="s">
        <v>117</v>
      </c>
      <c r="E109">
        <v>1980</v>
      </c>
      <c r="F109" s="6">
        <v>0.99947659605026895</v>
      </c>
      <c r="G109" s="6" t="s">
        <v>202</v>
      </c>
      <c r="H109">
        <f>IF(Table19[[#This Row],[Lifetime Option]]="fixed",Table19[[#This Row],[End of life (fixed)]]-Table19[[#This Row],[Start year]],Table210[Generic  Lifetime])</f>
        <v>70</v>
      </c>
      <c r="J109">
        <f>IF(Table19[[#This Row],[Lifetime Option]]="fixed",Table19[[#This Row],[End of life (fixed)]],Table19[[#This Row],[Start year]]+Table210[Generic  Lifetime])</f>
        <v>2050</v>
      </c>
      <c r="K109">
        <v>0.91500000000000004</v>
      </c>
      <c r="M109" s="8"/>
    </row>
    <row r="110" spans="3:13">
      <c r="C110" t="s">
        <v>3</v>
      </c>
      <c r="D110" t="s">
        <v>118</v>
      </c>
      <c r="E110">
        <v>1981</v>
      </c>
      <c r="F110" s="6">
        <v>0.99947659605026895</v>
      </c>
      <c r="G110" s="6" t="s">
        <v>202</v>
      </c>
      <c r="H110">
        <f>IF(Table19[[#This Row],[Lifetime Option]]="fixed",Table19[[#This Row],[End of life (fixed)]]-Table19[[#This Row],[Start year]],Table210[Generic  Lifetime])</f>
        <v>70</v>
      </c>
      <c r="J110">
        <f>IF(Table19[[#This Row],[Lifetime Option]]="fixed",Table19[[#This Row],[End of life (fixed)]],Table19[[#This Row],[Start year]]+Table210[Generic  Lifetime])</f>
        <v>2051</v>
      </c>
      <c r="K110">
        <v>0.91500000000000004</v>
      </c>
      <c r="M110" s="8"/>
    </row>
    <row r="111" spans="3:13">
      <c r="C111" t="s">
        <v>3</v>
      </c>
      <c r="D111" t="s">
        <v>119</v>
      </c>
      <c r="E111">
        <v>1981</v>
      </c>
      <c r="F111" s="6">
        <v>0.99947659605026895</v>
      </c>
      <c r="G111" s="6" t="s">
        <v>202</v>
      </c>
      <c r="H111">
        <f>IF(Table19[[#This Row],[Lifetime Option]]="fixed",Table19[[#This Row],[End of life (fixed)]]-Table19[[#This Row],[Start year]],Table210[Generic  Lifetime])</f>
        <v>70</v>
      </c>
      <c r="J111">
        <f>IF(Table19[[#This Row],[Lifetime Option]]="fixed",Table19[[#This Row],[End of life (fixed)]],Table19[[#This Row],[Start year]]+Table210[Generic  Lifetime])</f>
        <v>2051</v>
      </c>
      <c r="K111">
        <v>0.91500000000000004</v>
      </c>
      <c r="M111" s="8"/>
    </row>
    <row r="112" spans="3:13">
      <c r="C112" t="s">
        <v>120</v>
      </c>
      <c r="D112" t="s">
        <v>121</v>
      </c>
      <c r="E112">
        <v>1982</v>
      </c>
      <c r="F112" s="6">
        <v>1.07636363636364</v>
      </c>
      <c r="G112" s="6" t="s">
        <v>202</v>
      </c>
      <c r="H112">
        <f>IF(Table19[[#This Row],[Lifetime Option]]="fixed",Table19[[#This Row],[End of life (fixed)]]-Table19[[#This Row],[Start year]],Table210[Generic  Lifetime])</f>
        <v>70</v>
      </c>
      <c r="J112">
        <f>IF(Table19[[#This Row],[Lifetime Option]]="fixed",Table19[[#This Row],[End of life (fixed)]],Table19[[#This Row],[Start year]]+Table210[Generic  Lifetime])</f>
        <v>2052</v>
      </c>
      <c r="K112">
        <v>0.47</v>
      </c>
      <c r="M112" s="8"/>
    </row>
    <row r="113" spans="3:13">
      <c r="C113" t="s">
        <v>120</v>
      </c>
      <c r="D113" t="s">
        <v>122</v>
      </c>
      <c r="E113">
        <v>1984</v>
      </c>
      <c r="F113" s="6">
        <v>1.07636363636364</v>
      </c>
      <c r="G113" s="6" t="s">
        <v>202</v>
      </c>
      <c r="H113">
        <f>IF(Table19[[#This Row],[Lifetime Option]]="fixed",Table19[[#This Row],[End of life (fixed)]]-Table19[[#This Row],[Start year]],Table210[Generic  Lifetime])</f>
        <v>70</v>
      </c>
      <c r="J113">
        <f>IF(Table19[[#This Row],[Lifetime Option]]="fixed",Table19[[#This Row],[End of life (fixed)]],Table19[[#This Row],[Start year]]+Table210[Generic  Lifetime])</f>
        <v>2054</v>
      </c>
      <c r="K113">
        <v>0.47299999999999998</v>
      </c>
      <c r="M113" s="8"/>
    </row>
    <row r="114" spans="3:13">
      <c r="C114" t="s">
        <v>120</v>
      </c>
      <c r="D114" t="s">
        <v>123</v>
      </c>
      <c r="E114">
        <v>1986</v>
      </c>
      <c r="F114" s="6">
        <v>1.07636363636364</v>
      </c>
      <c r="G114" s="6" t="s">
        <v>202</v>
      </c>
      <c r="H114">
        <f>IF(Table19[[#This Row],[Lifetime Option]]="fixed",Table19[[#This Row],[End of life (fixed)]]-Table19[[#This Row],[Start year]],Table210[Generic  Lifetime])</f>
        <v>70</v>
      </c>
      <c r="J114">
        <f>IF(Table19[[#This Row],[Lifetime Option]]="fixed",Table19[[#This Row],[End of life (fixed)]],Table19[[#This Row],[Start year]]+Table210[Generic  Lifetime])</f>
        <v>2056</v>
      </c>
      <c r="K114">
        <v>0.47299999999999998</v>
      </c>
      <c r="M114" s="8"/>
    </row>
    <row r="115" spans="3:13">
      <c r="C115" t="s">
        <v>120</v>
      </c>
      <c r="D115" t="s">
        <v>124</v>
      </c>
      <c r="E115">
        <v>1987</v>
      </c>
      <c r="F115" s="6">
        <v>1.07636363636364</v>
      </c>
      <c r="G115" s="6" t="s">
        <v>202</v>
      </c>
      <c r="H115">
        <f>IF(Table19[[#This Row],[Lifetime Option]]="fixed",Table19[[#This Row],[End of life (fixed)]]-Table19[[#This Row],[Start year]],Table210[Generic  Lifetime])</f>
        <v>70</v>
      </c>
      <c r="J115">
        <f>IF(Table19[[#This Row],[Lifetime Option]]="fixed",Table19[[#This Row],[End of life (fixed)]],Table19[[#This Row],[Start year]]+Table210[Generic  Lifetime])</f>
        <v>2057</v>
      </c>
      <c r="K115">
        <v>0.47299999999999998</v>
      </c>
      <c r="M115" s="8"/>
    </row>
    <row r="116" spans="3:13">
      <c r="C116" t="s">
        <v>125</v>
      </c>
      <c r="D116" t="s">
        <v>126</v>
      </c>
      <c r="E116">
        <v>1983</v>
      </c>
      <c r="F116" s="6">
        <v>0.66</v>
      </c>
      <c r="G116" s="6" t="s">
        <v>201</v>
      </c>
      <c r="H116">
        <f>IF(Table19[[#This Row],[Lifetime Option]]="fixed",Table19[[#This Row],[End of life (fixed)]]-Table19[[#This Row],[Start year]],Table210[Generic  Lifetime])</f>
        <v>21</v>
      </c>
      <c r="I116">
        <v>2004</v>
      </c>
      <c r="J116">
        <f>IF(Table19[[#This Row],[Lifetime Option]]="fixed",Table19[[#This Row],[End of life (fixed)]],Table19[[#This Row],[Start year]]+Table210[Generic  Lifetime])</f>
        <v>2004</v>
      </c>
      <c r="K116">
        <v>1.1850000000000001</v>
      </c>
      <c r="L116" t="s">
        <v>186</v>
      </c>
      <c r="M116" s="8"/>
    </row>
    <row r="117" spans="3:13">
      <c r="C117" t="s">
        <v>125</v>
      </c>
      <c r="D117" t="s">
        <v>127</v>
      </c>
      <c r="E117">
        <v>1987</v>
      </c>
      <c r="F117" s="6">
        <v>0.66</v>
      </c>
      <c r="G117" s="6" t="s">
        <v>201</v>
      </c>
      <c r="H117">
        <f>IF(Table19[[#This Row],[Lifetime Option]]="fixed",Table19[[#This Row],[End of life (fixed)]]-Table19[[#This Row],[Start year]],Table210[Generic  Lifetime])</f>
        <v>22</v>
      </c>
      <c r="I117">
        <v>2009</v>
      </c>
      <c r="J117">
        <f>IF(Table19[[#This Row],[Lifetime Option]]="fixed",Table19[[#This Row],[End of life (fixed)]],Table19[[#This Row],[Start year]]+Table210[Generic  Lifetime])</f>
        <v>2009</v>
      </c>
      <c r="K117">
        <v>1.1850000000000001</v>
      </c>
      <c r="L117" t="s">
        <v>186</v>
      </c>
      <c r="M117" s="8"/>
    </row>
    <row r="118" spans="3:13">
      <c r="C118" t="s">
        <v>128</v>
      </c>
      <c r="D118" t="s">
        <v>129</v>
      </c>
      <c r="E118">
        <v>1973</v>
      </c>
      <c r="F118" s="6">
        <v>1.2703836017569501</v>
      </c>
      <c r="G118" s="6" t="s">
        <v>201</v>
      </c>
      <c r="H118">
        <f>IF(Table19[[#This Row],[Lifetime Option]]="fixed",Table19[[#This Row],[End of life (fixed)]]-Table19[[#This Row],[Start year]],Table210[Generic  Lifetime])</f>
        <v>61</v>
      </c>
      <c r="I118">
        <v>2034</v>
      </c>
      <c r="J118">
        <f>IF(Table19[[#This Row],[Lifetime Option]]="fixed",Table19[[#This Row],[End of life (fixed)]],Table19[[#This Row],[Start year]]+Table210[Generic  Lifetime])</f>
        <v>2034</v>
      </c>
      <c r="K118">
        <v>0.48199999999999998</v>
      </c>
      <c r="M118" s="8"/>
    </row>
    <row r="119" spans="3:13">
      <c r="C119" t="s">
        <v>130</v>
      </c>
      <c r="D119" t="s">
        <v>131</v>
      </c>
      <c r="E119">
        <v>1996</v>
      </c>
      <c r="F119" s="6">
        <v>0.19866451376146799</v>
      </c>
      <c r="G119" s="6" t="s">
        <v>202</v>
      </c>
      <c r="H119">
        <f>IF(Table19[[#This Row],[Lifetime Option]]="fixed",Table19[[#This Row],[End of life (fixed)]]-Table19[[#This Row],[Start year]],Table210[Generic  Lifetime])</f>
        <v>70</v>
      </c>
      <c r="J119">
        <f>IF(Table19[[#This Row],[Lifetime Option]]="fixed",Table19[[#This Row],[End of life (fixed)]],Table19[[#This Row],[Start year]]+Table210[Generic  Lifetime])</f>
        <v>2066</v>
      </c>
      <c r="K119">
        <v>0.65</v>
      </c>
      <c r="M119" s="8"/>
    </row>
    <row r="120" spans="3:13">
      <c r="C120" t="s">
        <v>130</v>
      </c>
      <c r="D120" t="s">
        <v>132</v>
      </c>
      <c r="E120">
        <v>2007</v>
      </c>
      <c r="F120" s="6">
        <v>0.19866451376146799</v>
      </c>
      <c r="G120" s="6" t="s">
        <v>202</v>
      </c>
      <c r="H120">
        <f>IF(Table19[[#This Row],[Lifetime Option]]="fixed",Table19[[#This Row],[End of life (fixed)]]-Table19[[#This Row],[Start year]],Table210[Generic  Lifetime])</f>
        <v>70</v>
      </c>
      <c r="J120">
        <f>IF(Table19[[#This Row],[Lifetime Option]]="fixed",Table19[[#This Row],[End of life (fixed)]],Table19[[#This Row],[Start year]]+Table210[Generic  Lifetime])</f>
        <v>2077</v>
      </c>
      <c r="K120">
        <v>0.65</v>
      </c>
      <c r="M120" s="8"/>
    </row>
    <row r="121" spans="3:13">
      <c r="C121" t="s">
        <v>133</v>
      </c>
      <c r="D121" t="s">
        <v>134</v>
      </c>
      <c r="E121">
        <v>1980</v>
      </c>
      <c r="F121" s="6">
        <v>1.2802426229508199</v>
      </c>
      <c r="G121" s="6" t="s">
        <v>202</v>
      </c>
      <c r="H121">
        <f>IF(Table19[[#This Row],[Lifetime Option]]="fixed",Table19[[#This Row],[End of life (fixed)]]-Table19[[#This Row],[Start year]],Table210[Generic  Lifetime])</f>
        <v>70</v>
      </c>
      <c r="J121">
        <f>IF(Table19[[#This Row],[Lifetime Option]]="fixed",Table19[[#This Row],[End of life (fixed)]],Table19[[#This Row],[Start year]]+Table210[Generic  Lifetime])</f>
        <v>2050</v>
      </c>
      <c r="K121">
        <v>0.98399999999999999</v>
      </c>
      <c r="M121" s="8"/>
    </row>
    <row r="122" spans="3:13">
      <c r="C122" t="s">
        <v>133</v>
      </c>
      <c r="D122" t="s">
        <v>135</v>
      </c>
      <c r="E122">
        <v>1981</v>
      </c>
      <c r="F122" s="6">
        <v>1.27404590163934</v>
      </c>
      <c r="G122" s="6" t="s">
        <v>202</v>
      </c>
      <c r="H122">
        <f>IF(Table19[[#This Row],[Lifetime Option]]="fixed",Table19[[#This Row],[End of life (fixed)]]-Table19[[#This Row],[Start year]],Table210[Generic  Lifetime])</f>
        <v>70</v>
      </c>
      <c r="J122">
        <f>IF(Table19[[#This Row],[Lifetime Option]]="fixed",Table19[[#This Row],[End of life (fixed)]],Table19[[#This Row],[Start year]]+Table210[Generic  Lifetime])</f>
        <v>2051</v>
      </c>
      <c r="K122">
        <v>0.996</v>
      </c>
      <c r="M122" s="8"/>
    </row>
    <row r="123" spans="3:13">
      <c r="C123" t="s">
        <v>133</v>
      </c>
      <c r="D123" t="s">
        <v>136</v>
      </c>
      <c r="E123">
        <v>1985</v>
      </c>
      <c r="F123" s="6">
        <v>1.3327592727272699</v>
      </c>
      <c r="G123" s="6" t="s">
        <v>202</v>
      </c>
      <c r="H123">
        <f>IF(Table19[[#This Row],[Lifetime Option]]="fixed",Table19[[#This Row],[End of life (fixed)]]-Table19[[#This Row],[Start year]],Table210[Generic  Lifetime])</f>
        <v>70</v>
      </c>
      <c r="J123">
        <f>IF(Table19[[#This Row],[Lifetime Option]]="fixed",Table19[[#This Row],[End of life (fixed)]],Table19[[#This Row],[Start year]]+Table210[Generic  Lifetime])</f>
        <v>2055</v>
      </c>
      <c r="K123">
        <v>1.17</v>
      </c>
      <c r="M123" s="8"/>
    </row>
    <row r="124" spans="3:13">
      <c r="C124" t="s">
        <v>133</v>
      </c>
      <c r="D124" t="s">
        <v>137</v>
      </c>
      <c r="E124">
        <v>1971</v>
      </c>
      <c r="F124" s="6">
        <v>1.3911970909090901</v>
      </c>
      <c r="G124" s="6" t="s">
        <v>201</v>
      </c>
      <c r="H124">
        <f>IF(Table19[[#This Row],[Lifetime Option]]="fixed",Table19[[#This Row],[End of life (fixed)]]-Table19[[#This Row],[Start year]],Table210[Generic  Lifetime])</f>
        <v>47</v>
      </c>
      <c r="I124">
        <v>2018</v>
      </c>
      <c r="J124">
        <f>IF(Table19[[#This Row],[Lifetime Option]]="fixed",Table19[[#This Row],[End of life (fixed)]],Table19[[#This Row],[Start year]]+Table210[Generic  Lifetime])</f>
        <v>2018</v>
      </c>
      <c r="K124">
        <v>0.47299999999999998</v>
      </c>
      <c r="L124" t="s">
        <v>208</v>
      </c>
      <c r="M124" s="7" t="s">
        <v>176</v>
      </c>
    </row>
    <row r="125" spans="3:13">
      <c r="C125" t="s">
        <v>133</v>
      </c>
      <c r="D125" t="s">
        <v>138</v>
      </c>
      <c r="E125">
        <v>1974</v>
      </c>
      <c r="F125" s="6">
        <v>1.4277599999999999</v>
      </c>
      <c r="G125" s="6" t="s">
        <v>201</v>
      </c>
      <c r="H125">
        <f>IF(Table19[[#This Row],[Lifetime Option]]="fixed",Table19[[#This Row],[End of life (fixed)]]-Table19[[#This Row],[Start year]],Table210[Generic  Lifetime])</f>
        <v>46</v>
      </c>
      <c r="I125">
        <v>2020</v>
      </c>
      <c r="J125">
        <f>IF(Table19[[#This Row],[Lifetime Option]]="fixed",Table19[[#This Row],[End of life (fixed)]],Table19[[#This Row],[Start year]]+Table210[Generic  Lifetime])</f>
        <v>2020</v>
      </c>
      <c r="K125">
        <v>0.63800000000000001</v>
      </c>
      <c r="L125" t="s">
        <v>208</v>
      </c>
      <c r="M125" s="8"/>
    </row>
    <row r="126" spans="3:13">
      <c r="C126" t="s">
        <v>133</v>
      </c>
      <c r="D126" t="s">
        <v>139</v>
      </c>
      <c r="E126">
        <v>1985</v>
      </c>
      <c r="F126" s="6">
        <v>1.0279384615384599</v>
      </c>
      <c r="G126" s="6" t="s">
        <v>202</v>
      </c>
      <c r="H126">
        <f>IF(Table19[[#This Row],[Lifetime Option]]="fixed",Table19[[#This Row],[End of life (fixed)]]-Table19[[#This Row],[Start year]],Table210[Generic  Lifetime])</f>
        <v>70</v>
      </c>
      <c r="J126">
        <f>IF(Table19[[#This Row],[Lifetime Option]]="fixed",Table19[[#This Row],[End of life (fixed)]],Table19[[#This Row],[Start year]]+Table210[Generic  Lifetime])</f>
        <v>2055</v>
      </c>
      <c r="K126">
        <v>1.4</v>
      </c>
      <c r="M126" s="8"/>
    </row>
    <row r="127" spans="3:13">
      <c r="C127" t="s">
        <v>133</v>
      </c>
      <c r="D127" t="s">
        <v>140</v>
      </c>
      <c r="E127">
        <v>1974</v>
      </c>
      <c r="F127" s="6">
        <v>1.24541858267717</v>
      </c>
      <c r="G127" s="6" t="s">
        <v>201</v>
      </c>
      <c r="H127">
        <f>IF(Table19[[#This Row],[Lifetime Option]]="fixed",Table19[[#This Row],[End of life (fixed)]]-Table19[[#This Row],[Start year]],Table210[Generic  Lifetime])</f>
        <v>46</v>
      </c>
      <c r="I127">
        <v>2020</v>
      </c>
      <c r="J127">
        <f>IF(Table19[[#This Row],[Lifetime Option]]="fixed",Table19[[#This Row],[End of life (fixed)]],Table19[[#This Row],[Start year]]+Table210[Generic  Lifetime])</f>
        <v>2020</v>
      </c>
      <c r="K127">
        <v>0.878</v>
      </c>
      <c r="L127" t="s">
        <v>194</v>
      </c>
      <c r="M127" s="9" t="s">
        <v>182</v>
      </c>
    </row>
    <row r="128" spans="3:13">
      <c r="C128" t="s">
        <v>133</v>
      </c>
      <c r="D128" t="s">
        <v>141</v>
      </c>
      <c r="E128">
        <v>1974</v>
      </c>
      <c r="F128" s="6">
        <v>1.3999073684210499</v>
      </c>
      <c r="G128" s="6" t="s">
        <v>201</v>
      </c>
      <c r="H128">
        <f>IF(Table19[[#This Row],[Lifetime Option]]="fixed",Table19[[#This Row],[End of life (fixed)]]-Table19[[#This Row],[Start year]],Table210[Generic  Lifetime])</f>
        <v>46</v>
      </c>
      <c r="I128">
        <v>2020</v>
      </c>
      <c r="J128">
        <f>IF(Table19[[#This Row],[Lifetime Option]]="fixed",Table19[[#This Row],[End of life (fixed)]],Table19[[#This Row],[Start year]]+Table210[Generic  Lifetime])</f>
        <v>2020</v>
      </c>
      <c r="K128">
        <v>0.86499999999999999</v>
      </c>
      <c r="L128" t="s">
        <v>194</v>
      </c>
      <c r="M128" s="9" t="s">
        <v>182</v>
      </c>
    </row>
    <row r="129" spans="3:13">
      <c r="C129" t="s">
        <v>133</v>
      </c>
      <c r="D129" t="s">
        <v>142</v>
      </c>
      <c r="E129">
        <v>1980</v>
      </c>
      <c r="F129" s="6">
        <v>1.39706181818182</v>
      </c>
      <c r="G129" s="6" t="s">
        <v>202</v>
      </c>
      <c r="H129">
        <f>IF(Table19[[#This Row],[Lifetime Option]]="fixed",Table19[[#This Row],[End of life (fixed)]]-Table19[[#This Row],[Start year]],Table210[Generic  Lifetime])</f>
        <v>70</v>
      </c>
      <c r="J129">
        <f>IF(Table19[[#This Row],[Lifetime Option]]="fixed",Table19[[#This Row],[End of life (fixed)]],Table19[[#This Row],[Start year]]+Table210[Generic  Lifetime])</f>
        <v>2050</v>
      </c>
      <c r="K129">
        <v>1.0640000000000001</v>
      </c>
      <c r="M129" s="7" t="s">
        <v>182</v>
      </c>
    </row>
    <row r="130" spans="3:13">
      <c r="C130" t="s">
        <v>133</v>
      </c>
      <c r="D130" t="s">
        <v>143</v>
      </c>
      <c r="E130">
        <v>1982</v>
      </c>
      <c r="F130" s="6">
        <v>1.4050041081081099</v>
      </c>
      <c r="G130" s="6" t="s">
        <v>202</v>
      </c>
      <c r="H130">
        <f>IF(Table19[[#This Row],[Lifetime Option]]="fixed",Table19[[#This Row],[End of life (fixed)]]-Table19[[#This Row],[Start year]],Table210[Generic  Lifetime])</f>
        <v>70</v>
      </c>
      <c r="J130">
        <f>IF(Table19[[#This Row],[Lifetime Option]]="fixed",Table19[[#This Row],[End of life (fixed)]],Table19[[#This Row],[Start year]]+Table210[Generic  Lifetime])</f>
        <v>2052</v>
      </c>
      <c r="K130">
        <v>0.94</v>
      </c>
      <c r="M130" s="7" t="s">
        <v>182</v>
      </c>
    </row>
    <row r="131" spans="3:13">
      <c r="C131" t="s">
        <v>144</v>
      </c>
      <c r="D131" t="s">
        <v>145</v>
      </c>
      <c r="E131">
        <v>1981</v>
      </c>
      <c r="F131" s="6">
        <v>1.3869532453360101</v>
      </c>
      <c r="G131" s="6" t="s">
        <v>202</v>
      </c>
      <c r="H131">
        <f>IF(Table19[[#This Row],[Lifetime Option]]="fixed",Table19[[#This Row],[End of life (fixed)]]-Table19[[#This Row],[Start year]],Table210[Generic  Lifetime])</f>
        <v>70</v>
      </c>
      <c r="I131">
        <f t="shared" ref="I131" si="0">E131+H131</f>
        <v>2051</v>
      </c>
      <c r="J131">
        <f>IF(Table19[[#This Row],[Lifetime Option]]="fixed",Table19[[#This Row],[End of life (fixed)]],Table19[[#This Row],[Start year]]+Table210[Generic  Lifetime])</f>
        <v>2051</v>
      </c>
      <c r="K131">
        <v>0.68799999999999994</v>
      </c>
      <c r="L131" t="s">
        <v>189</v>
      </c>
      <c r="M131" s="7" t="s">
        <v>188</v>
      </c>
    </row>
    <row r="132" spans="3:13">
      <c r="C132" t="s">
        <v>146</v>
      </c>
      <c r="D132" t="s">
        <v>147</v>
      </c>
      <c r="E132">
        <v>1978</v>
      </c>
      <c r="F132" s="6">
        <v>1</v>
      </c>
      <c r="G132" s="6" t="s">
        <v>201</v>
      </c>
      <c r="H132">
        <f>IF(Table19[[#This Row],[Lifetime Option]]="fixed",Table19[[#This Row],[End of life (fixed)]]-Table19[[#This Row],[Start year]],Table210[Generic  Lifetime])</f>
        <v>28</v>
      </c>
      <c r="I132">
        <v>2006</v>
      </c>
      <c r="J132">
        <f>IF(Table19[[#This Row],[Lifetime Option]]="fixed",Table19[[#This Row],[End of life (fixed)]],Table19[[#This Row],[Start year]]+Table210[Generic  Lifetime])</f>
        <v>2006</v>
      </c>
      <c r="K132">
        <v>0.40799999999999997</v>
      </c>
      <c r="L132" t="s">
        <v>178</v>
      </c>
      <c r="M132" s="8"/>
    </row>
    <row r="133" spans="3:13">
      <c r="C133" t="s">
        <v>146</v>
      </c>
      <c r="D133" t="s">
        <v>148</v>
      </c>
      <c r="E133">
        <v>1980</v>
      </c>
      <c r="F133" s="6">
        <v>1</v>
      </c>
      <c r="G133" s="6" t="s">
        <v>201</v>
      </c>
      <c r="H133">
        <f>IF(Table19[[#This Row],[Lifetime Option]]="fixed",Table19[[#This Row],[End of life (fixed)]]-Table19[[#This Row],[Start year]],Table210[Generic  Lifetime])</f>
        <v>28</v>
      </c>
      <c r="I133">
        <v>2008</v>
      </c>
      <c r="J133">
        <f>IF(Table19[[#This Row],[Lifetime Option]]="fixed",Table19[[#This Row],[End of life (fixed)]],Table19[[#This Row],[Start year]]+Table210[Generic  Lifetime])</f>
        <v>2008</v>
      </c>
      <c r="K133">
        <v>0.40799999999999997</v>
      </c>
      <c r="L133" t="s">
        <v>178</v>
      </c>
      <c r="M133" s="8"/>
    </row>
    <row r="134" spans="3:13">
      <c r="C134" t="s">
        <v>146</v>
      </c>
      <c r="D134" t="s">
        <v>149</v>
      </c>
      <c r="E134">
        <v>1984</v>
      </c>
      <c r="F134" s="6">
        <v>1.3644269204622701</v>
      </c>
      <c r="G134" s="6" t="s">
        <v>202</v>
      </c>
      <c r="H134">
        <f>IF(Table19[[#This Row],[Lifetime Option]]="fixed",Table19[[#This Row],[End of life (fixed)]]-Table19[[#This Row],[Start year]],Table210[Generic  Lifetime])</f>
        <v>70</v>
      </c>
      <c r="I134">
        <f>E134+H134</f>
        <v>2054</v>
      </c>
      <c r="J134">
        <f>IF(Table19[[#This Row],[Lifetime Option]]="fixed",Table19[[#This Row],[End of life (fixed)]],Table19[[#This Row],[Start year]]+Table210[Generic  Lifetime])</f>
        <v>2054</v>
      </c>
      <c r="K134">
        <v>0.47199999999999998</v>
      </c>
      <c r="L134" t="s">
        <v>190</v>
      </c>
      <c r="M134" s="7" t="s">
        <v>183</v>
      </c>
    </row>
    <row r="135" spans="3:13">
      <c r="C135" t="s">
        <v>146</v>
      </c>
      <c r="D135" t="s">
        <v>150</v>
      </c>
      <c r="E135">
        <v>1985</v>
      </c>
      <c r="F135" s="6">
        <v>1.3644269204622701</v>
      </c>
      <c r="G135" s="6" t="s">
        <v>202</v>
      </c>
      <c r="H135">
        <f>IF(Table19[[#This Row],[Lifetime Option]]="fixed",Table19[[#This Row],[End of life (fixed)]]-Table19[[#This Row],[Start year]],Table210[Generic  Lifetime])</f>
        <v>70</v>
      </c>
      <c r="I135">
        <f t="shared" ref="I135:I137" si="1">E135+H135</f>
        <v>2055</v>
      </c>
      <c r="J135">
        <f>IF(Table19[[#This Row],[Lifetime Option]]="fixed",Table19[[#This Row],[End of life (fixed)]],Table19[[#This Row],[Start year]]+Table210[Generic  Lifetime])</f>
        <v>2055</v>
      </c>
      <c r="K135">
        <v>0.47199999999999998</v>
      </c>
      <c r="L135" t="s">
        <v>190</v>
      </c>
      <c r="M135" s="7" t="s">
        <v>183</v>
      </c>
    </row>
    <row r="136" spans="3:13">
      <c r="C136" t="s">
        <v>146</v>
      </c>
      <c r="D136" t="s">
        <v>151</v>
      </c>
      <c r="E136">
        <v>1998</v>
      </c>
      <c r="F136" s="6">
        <v>1.2146512576478601</v>
      </c>
      <c r="G136" s="6" t="s">
        <v>202</v>
      </c>
      <c r="H136">
        <f>IF(Table19[[#This Row],[Lifetime Option]]="fixed",Table19[[#This Row],[End of life (fixed)]]-Table19[[#This Row],[Start year]],Table210[Generic  Lifetime])</f>
        <v>70</v>
      </c>
      <c r="I136">
        <f t="shared" si="1"/>
        <v>2068</v>
      </c>
      <c r="J136">
        <f>IF(Table19[[#This Row],[Lifetime Option]]="fixed",Table19[[#This Row],[End of life (fixed)]],Table19[[#This Row],[Start year]]+Table210[Generic  Lifetime])</f>
        <v>2068</v>
      </c>
      <c r="K136">
        <v>0.436</v>
      </c>
      <c r="M136" s="8"/>
    </row>
    <row r="137" spans="3:13">
      <c r="C137" t="s">
        <v>146</v>
      </c>
      <c r="D137" t="s">
        <v>152</v>
      </c>
      <c r="E137">
        <v>1999</v>
      </c>
      <c r="F137" s="6">
        <v>1.2146512576478601</v>
      </c>
      <c r="G137" s="6" t="s">
        <v>202</v>
      </c>
      <c r="H137">
        <f>IF(Table19[[#This Row],[Lifetime Option]]="fixed",Table19[[#This Row],[End of life (fixed)]]-Table19[[#This Row],[Start year]],Table210[Generic  Lifetime])</f>
        <v>70</v>
      </c>
      <c r="I137">
        <f t="shared" si="1"/>
        <v>2069</v>
      </c>
      <c r="J137">
        <f>IF(Table19[[#This Row],[Lifetime Option]]="fixed",Table19[[#This Row],[End of life (fixed)]],Table19[[#This Row],[Start year]]+Table210[Generic  Lifetime])</f>
        <v>2069</v>
      </c>
      <c r="K137">
        <v>0.436</v>
      </c>
      <c r="M137" s="8"/>
    </row>
    <row r="138" spans="3:13">
      <c r="C138" t="s">
        <v>153</v>
      </c>
      <c r="D138" t="s">
        <v>154</v>
      </c>
      <c r="E138">
        <v>1983</v>
      </c>
      <c r="F138" s="6">
        <v>0.67305599999999999</v>
      </c>
      <c r="G138" s="6" t="s">
        <v>201</v>
      </c>
      <c r="H138">
        <f>IF(Table19[[#This Row],[Lifetime Option]]="fixed",Table19[[#This Row],[End of life (fixed)]]-Table19[[#This Row],[Start year]],Table210[Generic  Lifetime])</f>
        <v>45</v>
      </c>
      <c r="I138">
        <v>2028</v>
      </c>
      <c r="J138">
        <f>IF(Table19[[#This Row],[Lifetime Option]]="fixed",Table19[[#This Row],[End of life (fixed)]],Table19[[#This Row],[Start year]]+Table210[Generic  Lifetime])</f>
        <v>2028</v>
      </c>
      <c r="K138">
        <v>0.52</v>
      </c>
      <c r="M138" s="7" t="s">
        <v>192</v>
      </c>
    </row>
    <row r="139" spans="3:13">
      <c r="C139" t="s">
        <v>153</v>
      </c>
      <c r="D139" t="s">
        <v>155</v>
      </c>
      <c r="E139">
        <v>1985</v>
      </c>
      <c r="F139" s="6">
        <v>0.63763199999999998</v>
      </c>
      <c r="G139" s="6" t="s">
        <v>201</v>
      </c>
      <c r="H139">
        <f>IF(Table19[[#This Row],[Lifetime Option]]="fixed",Table19[[#This Row],[End of life (fixed)]]-Table19[[#This Row],[Start year]],Table210[Generic  Lifetime])</f>
        <v>43</v>
      </c>
      <c r="I139">
        <v>2028</v>
      </c>
      <c r="J139">
        <f>IF(Table19[[#This Row],[Lifetime Option]]="fixed",Table19[[#This Row],[End of life (fixed)]],Table19[[#This Row],[Start year]]+Table210[Generic  Lifetime])</f>
        <v>2028</v>
      </c>
      <c r="K139">
        <v>0.52</v>
      </c>
      <c r="M139" s="8"/>
    </row>
    <row r="140" spans="3:13">
      <c r="C140" t="s">
        <v>153</v>
      </c>
      <c r="D140" t="s">
        <v>156</v>
      </c>
      <c r="E140">
        <v>1983</v>
      </c>
      <c r="F140" s="6">
        <v>0.90547200000000005</v>
      </c>
      <c r="G140" s="6" t="s">
        <v>201</v>
      </c>
      <c r="H140">
        <f>IF(Table19[[#This Row],[Lifetime Option]]="fixed",Table19[[#This Row],[End of life (fixed)]]-Table19[[#This Row],[Start year]],Table210[Generic  Lifetime])</f>
        <v>36</v>
      </c>
      <c r="I140">
        <v>2019</v>
      </c>
      <c r="J140">
        <f>IF(Table19[[#This Row],[Lifetime Option]]="fixed",Table19[[#This Row],[End of life (fixed)]],Table19[[#This Row],[Start year]]+Table210[Generic  Lifetime])</f>
        <v>2019</v>
      </c>
      <c r="K140">
        <v>0.59499999999999997</v>
      </c>
      <c r="M140" s="8"/>
    </row>
    <row r="141" spans="3:13">
      <c r="C141" t="s">
        <v>153</v>
      </c>
      <c r="D141" t="s">
        <v>157</v>
      </c>
      <c r="E141">
        <v>1984</v>
      </c>
      <c r="F141" s="6">
        <v>0.90547200000000005</v>
      </c>
      <c r="G141" s="6" t="s">
        <v>201</v>
      </c>
      <c r="H141">
        <f>IF(Table19[[#This Row],[Lifetime Option]]="fixed",Table19[[#This Row],[End of life (fixed)]]-Table19[[#This Row],[Start year]],Table210[Generic  Lifetime])</f>
        <v>35</v>
      </c>
      <c r="I141">
        <v>2019</v>
      </c>
      <c r="J141">
        <f>IF(Table19[[#This Row],[Lifetime Option]]="fixed",Table19[[#This Row],[End of life (fixed)]],Table19[[#This Row],[Start year]]+Table210[Generic  Lifetime])</f>
        <v>2019</v>
      </c>
      <c r="K141">
        <v>0.58499999999999996</v>
      </c>
      <c r="M141" s="8"/>
    </row>
    <row r="142" spans="3:13">
      <c r="C142" t="s">
        <v>153</v>
      </c>
      <c r="D142" t="s">
        <v>158</v>
      </c>
      <c r="E142">
        <v>1983</v>
      </c>
      <c r="F142" s="6">
        <v>0.86399999999999999</v>
      </c>
      <c r="G142" s="6" t="s">
        <v>201</v>
      </c>
      <c r="H142">
        <f>IF(Table19[[#This Row],[Lifetime Option]]="fixed",Table19[[#This Row],[End of life (fixed)]]-Table19[[#This Row],[Start year]],Table210[Generic  Lifetime])</f>
        <v>36</v>
      </c>
      <c r="I142">
        <v>2019</v>
      </c>
      <c r="J142">
        <f>IF(Table19[[#This Row],[Lifetime Option]]="fixed",Table19[[#This Row],[End of life (fixed)]],Table19[[#This Row],[Start year]]+Table210[Generic  Lifetime])</f>
        <v>2019</v>
      </c>
      <c r="K142">
        <v>0.58499999999999996</v>
      </c>
      <c r="M142" s="8"/>
    </row>
    <row r="143" spans="3:13">
      <c r="C143" t="s">
        <v>153</v>
      </c>
      <c r="D143" t="s">
        <v>159</v>
      </c>
      <c r="E143">
        <v>1984</v>
      </c>
      <c r="F143" s="6">
        <v>0.86399999999999999</v>
      </c>
      <c r="G143" s="6" t="s">
        <v>201</v>
      </c>
      <c r="H143">
        <f>IF(Table19[[#This Row],[Lifetime Option]]="fixed",Table19[[#This Row],[End of life (fixed)]]-Table19[[#This Row],[Start year]],Table210[Generic  Lifetime])</f>
        <v>35</v>
      </c>
      <c r="I143">
        <v>2019</v>
      </c>
      <c r="J143">
        <f>IF(Table19[[#This Row],[Lifetime Option]]="fixed",Table19[[#This Row],[End of life (fixed)]],Table19[[#This Row],[Start year]]+Table210[Generic  Lifetime])</f>
        <v>2019</v>
      </c>
      <c r="K143">
        <v>0.57499999999999996</v>
      </c>
      <c r="M143" s="8"/>
    </row>
    <row r="144" spans="3:13">
      <c r="C144" t="s">
        <v>153</v>
      </c>
      <c r="D144" t="s">
        <v>160</v>
      </c>
      <c r="E144">
        <v>1988</v>
      </c>
      <c r="F144" s="6">
        <v>1.0234219354838701</v>
      </c>
      <c r="G144" s="6" t="s">
        <v>201</v>
      </c>
      <c r="H144">
        <f>IF(Table19[[#This Row],[Lifetime Option]]="fixed",Table19[[#This Row],[End of life (fixed)]]-Table19[[#This Row],[Start year]],Table210[Generic  Lifetime])</f>
        <v>35</v>
      </c>
      <c r="I144">
        <v>2023</v>
      </c>
      <c r="J144">
        <f>IF(Table19[[#This Row],[Lifetime Option]]="fixed",Table19[[#This Row],[End of life (fixed)]],Table19[[#This Row],[Start year]]+Table210[Generic  Lifetime])</f>
        <v>2023</v>
      </c>
      <c r="K144">
        <v>0.61</v>
      </c>
      <c r="M144" s="8"/>
    </row>
    <row r="145" spans="3:13">
      <c r="C145" t="s">
        <v>153</v>
      </c>
      <c r="D145" t="s">
        <v>161</v>
      </c>
      <c r="E145">
        <v>1988</v>
      </c>
      <c r="F145" s="6">
        <v>1.0234219354838701</v>
      </c>
      <c r="G145" s="6" t="s">
        <v>201</v>
      </c>
      <c r="H145">
        <f>IF(Table19[[#This Row],[Lifetime Option]]="fixed",Table19[[#This Row],[End of life (fixed)]]-Table19[[#This Row],[Start year]],Table210[Generic  Lifetime])</f>
        <v>35</v>
      </c>
      <c r="I145">
        <v>2023</v>
      </c>
      <c r="J145">
        <f>IF(Table19[[#This Row],[Lifetime Option]]="fixed",Table19[[#This Row],[End of life (fixed)]],Table19[[#This Row],[Start year]]+Table210[Generic  Lifetime])</f>
        <v>2023</v>
      </c>
      <c r="K145">
        <v>0.61</v>
      </c>
      <c r="M145" s="8"/>
    </row>
    <row r="146" spans="3:13">
      <c r="C146" t="s">
        <v>153</v>
      </c>
      <c r="D146" t="s">
        <v>162</v>
      </c>
      <c r="E146">
        <v>1976</v>
      </c>
      <c r="F146" s="6">
        <v>1.0227469879518101</v>
      </c>
      <c r="G146" s="6" t="s">
        <v>201</v>
      </c>
      <c r="H146">
        <f>IF(Table19[[#This Row],[Lifetime Option]]="fixed",Table19[[#This Row],[End of life (fixed)]]-Table19[[#This Row],[Start year]],Table210[Generic  Lifetime])</f>
        <v>47</v>
      </c>
      <c r="I146">
        <v>2023</v>
      </c>
      <c r="J146">
        <f>IF(Table19[[#This Row],[Lifetime Option]]="fixed",Table19[[#This Row],[End of life (fixed)]],Table19[[#This Row],[Start year]]+Table210[Generic  Lifetime])</f>
        <v>2023</v>
      </c>
      <c r="K146">
        <v>0.435</v>
      </c>
      <c r="M146" s="8"/>
    </row>
    <row r="147" spans="3:13">
      <c r="C147" t="s">
        <v>153</v>
      </c>
      <c r="D147" t="s">
        <v>163</v>
      </c>
      <c r="E147">
        <v>1976</v>
      </c>
      <c r="F147" s="6">
        <v>1.0227469879518101</v>
      </c>
      <c r="G147" s="6" t="s">
        <v>201</v>
      </c>
      <c r="H147">
        <f>IF(Table19[[#This Row],[Lifetime Option]]="fixed",Table19[[#This Row],[End of life (fixed)]]-Table19[[#This Row],[Start year]],Table210[Generic  Lifetime])</f>
        <v>47</v>
      </c>
      <c r="I147">
        <v>2023</v>
      </c>
      <c r="J147">
        <f>IF(Table19[[#This Row],[Lifetime Option]]="fixed",Table19[[#This Row],[End of life (fixed)]],Table19[[#This Row],[Start year]]+Table210[Generic  Lifetime])</f>
        <v>2023</v>
      </c>
      <c r="K147">
        <v>0.435</v>
      </c>
      <c r="M147" s="8"/>
    </row>
    <row r="148" spans="3:13">
      <c r="C148" t="s">
        <v>153</v>
      </c>
      <c r="D148" t="s">
        <v>164</v>
      </c>
      <c r="E148">
        <v>1976</v>
      </c>
      <c r="F148" s="6">
        <v>0.78106524064171101</v>
      </c>
      <c r="G148" s="6" t="s">
        <v>201</v>
      </c>
      <c r="H148">
        <f>IF(Table19[[#This Row],[Lifetime Option]]="fixed",Table19[[#This Row],[End of life (fixed)]]-Table19[[#This Row],[Start year]],Table210[Generic  Lifetime])</f>
        <v>47</v>
      </c>
      <c r="I148">
        <v>2023</v>
      </c>
      <c r="J148">
        <f>IF(Table19[[#This Row],[Lifetime Option]]="fixed",Table19[[#This Row],[End of life (fixed)]],Table19[[#This Row],[Start year]]+Table210[Generic  Lifetime])</f>
        <v>2023</v>
      </c>
      <c r="K148">
        <v>0.46</v>
      </c>
      <c r="M148" s="8"/>
    </row>
    <row r="149" spans="3:13">
      <c r="C149" t="s">
        <v>153</v>
      </c>
      <c r="D149" t="s">
        <v>165</v>
      </c>
      <c r="E149">
        <v>1977</v>
      </c>
      <c r="F149" s="6">
        <v>0.78106524064171101</v>
      </c>
      <c r="G149" s="6" t="s">
        <v>201</v>
      </c>
      <c r="H149">
        <f>IF(Table19[[#This Row],[Lifetime Option]]="fixed",Table19[[#This Row],[End of life (fixed)]]-Table19[[#This Row],[Start year]],Table210[Generic  Lifetime])</f>
        <v>46</v>
      </c>
      <c r="I149">
        <v>2023</v>
      </c>
      <c r="J149">
        <f>IF(Table19[[#This Row],[Lifetime Option]]="fixed",Table19[[#This Row],[End of life (fixed)]],Table19[[#This Row],[Start year]]+Table210[Generic  Lifetime])</f>
        <v>2023</v>
      </c>
      <c r="K149">
        <v>0.43</v>
      </c>
      <c r="M149" s="8"/>
    </row>
    <row r="150" spans="3:13">
      <c r="C150" t="s">
        <v>153</v>
      </c>
      <c r="D150" t="s">
        <v>166</v>
      </c>
      <c r="E150">
        <v>1967</v>
      </c>
      <c r="F150" s="6">
        <v>0.14781501369863001</v>
      </c>
      <c r="G150" s="6" t="s">
        <v>201</v>
      </c>
      <c r="H150">
        <f>IF(Table19[[#This Row],[Lifetime Option]]="fixed",Table19[[#This Row],[End of life (fixed)]]-Table19[[#This Row],[Start year]],Table210[Generic  Lifetime])</f>
        <v>45</v>
      </c>
      <c r="I150">
        <v>2012</v>
      </c>
      <c r="J150">
        <f>IF(Table19[[#This Row],[Lifetime Option]]="fixed",Table19[[#This Row],[End of life (fixed)]],Table19[[#This Row],[Start year]]+Table210[Generic  Lifetime])</f>
        <v>2012</v>
      </c>
      <c r="K150">
        <v>0.217</v>
      </c>
      <c r="L150" t="s">
        <v>186</v>
      </c>
      <c r="M150" s="7" t="s">
        <v>193</v>
      </c>
    </row>
    <row r="151" spans="3:13">
      <c r="C151" t="s">
        <v>153</v>
      </c>
      <c r="D151" t="s">
        <v>167</v>
      </c>
      <c r="E151">
        <v>1995</v>
      </c>
      <c r="F151" s="6">
        <v>1.04058394160584</v>
      </c>
      <c r="G151" s="6" t="s">
        <v>201</v>
      </c>
      <c r="H151">
        <f>IF(Table19[[#This Row],[Lifetime Option]]="fixed",Table19[[#This Row],[End of life (fixed)]]-Table19[[#This Row],[Start year]],Table210[Generic  Lifetime])</f>
        <v>40</v>
      </c>
      <c r="I151">
        <v>2035</v>
      </c>
      <c r="J151">
        <f>IF(Table19[[#This Row],[Lifetime Option]]="fixed",Table19[[#This Row],[End of life (fixed)]],Table19[[#This Row],[Start year]]+Table210[Generic  Lifetime])</f>
        <v>2035</v>
      </c>
      <c r="K151">
        <v>1.1910000000000001</v>
      </c>
      <c r="M151" s="8"/>
    </row>
    <row r="152" spans="3:13">
      <c r="C152" t="s">
        <v>153</v>
      </c>
      <c r="D152" t="s">
        <v>168</v>
      </c>
      <c r="E152">
        <v>1988</v>
      </c>
      <c r="F152" s="6">
        <v>1.0710299445471301</v>
      </c>
      <c r="G152" s="6" t="s">
        <v>201</v>
      </c>
      <c r="H152">
        <f>IF(Table19[[#This Row],[Lifetime Option]]="fixed",Table19[[#This Row],[End of life (fixed)]]-Table19[[#This Row],[Start year]],Table210[Generic  Lifetime])</f>
        <v>35</v>
      </c>
      <c r="I152">
        <v>2023</v>
      </c>
      <c r="J152">
        <f>IF(Table19[[#This Row],[Lifetime Option]]="fixed",Table19[[#This Row],[End of life (fixed)]],Table19[[#This Row],[Start year]]+Table210[Generic  Lifetime])</f>
        <v>2023</v>
      </c>
      <c r="K152">
        <v>0.59499999999999997</v>
      </c>
      <c r="M152" s="8"/>
    </row>
    <row r="153" spans="3:13">
      <c r="C153" t="s">
        <v>153</v>
      </c>
      <c r="D153" t="s">
        <v>169</v>
      </c>
      <c r="E153">
        <v>1989</v>
      </c>
      <c r="F153" s="6">
        <v>1.0710299445471401</v>
      </c>
      <c r="G153" s="6" t="s">
        <v>201</v>
      </c>
      <c r="H153">
        <f>IF(Table19[[#This Row],[Lifetime Option]]="fixed",Table19[[#This Row],[End of life (fixed)]]-Table19[[#This Row],[Start year]],Table210[Generic  Lifetime])</f>
        <v>34</v>
      </c>
      <c r="I153">
        <v>2023</v>
      </c>
      <c r="J153">
        <f>IF(Table19[[#This Row],[Lifetime Option]]="fixed",Table19[[#This Row],[End of life (fixed)]],Table19[[#This Row],[Start year]]+Table210[Generic  Lifetime])</f>
        <v>2023</v>
      </c>
      <c r="K153">
        <v>0.59499999999999997</v>
      </c>
      <c r="M153" s="8"/>
    </row>
    <row r="154" spans="3:13">
      <c r="C154" t="s">
        <v>153</v>
      </c>
      <c r="D154" t="s">
        <v>170</v>
      </c>
      <c r="E154">
        <v>1971</v>
      </c>
      <c r="F154" s="6">
        <v>1.3122</v>
      </c>
      <c r="G154" s="6" t="s">
        <v>201</v>
      </c>
      <c r="H154">
        <f>IF(Table19[[#This Row],[Lifetime Option]]="fixed",Table19[[#This Row],[End of life (fixed)]]-Table19[[#This Row],[Start year]],Table210[Generic  Lifetime])</f>
        <v>44</v>
      </c>
      <c r="I154">
        <v>2015</v>
      </c>
      <c r="J154">
        <f>IF(Table19[[#This Row],[Lifetime Option]]="fixed",Table19[[#This Row],[End of life (fixed)]],Table19[[#This Row],[Start year]]+Table210[Generic  Lifetime])</f>
        <v>2015</v>
      </c>
      <c r="K154">
        <v>0.49</v>
      </c>
      <c r="M154" s="8"/>
    </row>
    <row r="155" spans="3:13">
      <c r="C155" t="s">
        <v>153</v>
      </c>
      <c r="D155" t="s">
        <v>171</v>
      </c>
      <c r="E155">
        <v>1971</v>
      </c>
      <c r="F155" s="6">
        <v>1.3122</v>
      </c>
      <c r="G155" s="6" t="s">
        <v>201</v>
      </c>
      <c r="H155">
        <f>IF(Table19[[#This Row],[Lifetime Option]]="fixed",Table19[[#This Row],[End of life (fixed)]]-Table19[[#This Row],[Start year]],Table210[Generic  Lifetime])</f>
        <v>41</v>
      </c>
      <c r="I155">
        <v>2012</v>
      </c>
      <c r="J155">
        <f>IF(Table19[[#This Row],[Lifetime Option]]="fixed",Table19[[#This Row],[End of life (fixed)]],Table19[[#This Row],[Start year]]+Table210[Generic  Lifetime])</f>
        <v>2012</v>
      </c>
      <c r="K155">
        <v>0.49</v>
      </c>
      <c r="M155" s="8"/>
    </row>
  </sheetData>
  <hyperlinks>
    <hyperlink ref="M2" r:id="rId1" xr:uid="{E08EA7C3-D936-4260-9EF6-6AF2D561CA6A}"/>
    <hyperlink ref="M3" r:id="rId2" xr:uid="{DED66C50-9719-416D-9E6D-8D2B54C6C965}"/>
    <hyperlink ref="M4" r:id="rId3" xr:uid="{8256CBE8-BBE6-4553-8151-3DD03B5C88A2}"/>
    <hyperlink ref="M7" r:id="rId4" xr:uid="{578C019C-D866-4B7C-8956-E17A5AC8B292}"/>
    <hyperlink ref="M6" r:id="rId5" location=".Vdb00Y7DVE4 " xr:uid="{BAB84D46-91CC-49FF-A84D-F67739C4EC0D}"/>
    <hyperlink ref="M124" r:id="rId6" xr:uid="{6C69D05A-6A27-4600-AC48-70D94E1C8998}"/>
    <hyperlink ref="M11" r:id="rId7" xr:uid="{42493EF6-4376-4E0E-A6F9-F395C1841271}"/>
    <hyperlink ref="M12" r:id="rId8" xr:uid="{A8D91CEA-87C7-433F-821D-A735B3C9ECA0}"/>
    <hyperlink ref="M53" r:id="rId9" xr:uid="{864CC6AD-1AD8-4C62-8384-510D86927EFA}"/>
    <hyperlink ref="M18" r:id="rId10" xr:uid="{302D3ACE-D9AA-4564-ADF9-21ABD1970AD1}"/>
    <hyperlink ref="M129" r:id="rId11" xr:uid="{09228A0C-4B2D-486E-B55B-25988DE48CFE}"/>
    <hyperlink ref="M130" r:id="rId12" xr:uid="{26B580CA-3D28-4C0D-9FF9-0D5DDD133A02}"/>
    <hyperlink ref="M134" r:id="rId13" xr:uid="{0D84F6CD-9B11-4575-BF6A-2188EE5CD234}"/>
    <hyperlink ref="M135" r:id="rId14" xr:uid="{E86AF851-D900-4BE6-B512-067CF7F0E420}"/>
    <hyperlink ref="M131" r:id="rId15" xr:uid="{93C8555D-0250-490E-9F5E-1098A1B65ED3}"/>
    <hyperlink ref="M138" r:id="rId16" xr:uid="{86B2F8DB-51C8-49E4-A22B-D75D8E0F1C54}"/>
    <hyperlink ref="M150" r:id="rId17" xr:uid="{E38F9370-5C6D-432E-9EAC-9A5FEF925C76}"/>
    <hyperlink ref="M127" r:id="rId18" xr:uid="{FDFD5258-55CC-4A53-8A46-81915DC70143}"/>
    <hyperlink ref="M128" r:id="rId19" xr:uid="{48B2225C-A33C-4483-A743-93124B2C844D}"/>
    <hyperlink ref="M13" r:id="rId20" xr:uid="{7CCB20BE-6184-4881-B66A-3844401C3983}"/>
    <hyperlink ref="M14:M17" r:id="rId21" display="http://www.world-nuclear.org/info/Country-Profiles/Countries-O-S/Switzerland/" xr:uid="{70F70278-3A25-493C-9D93-9939FB533EA1}"/>
  </hyperlinks>
  <pageMargins left="0.70866141732283472" right="0.70866141732283472" top="0.74803149606299213" bottom="0.74803149606299213" header="0.31496062992125984" footer="0.31496062992125984"/>
  <pageSetup paperSize="9" scale="53" fitToHeight="0" orientation="landscape" horizontalDpi="1200" verticalDpi="1200" r:id="rId22"/>
  <legacyDrawing r:id="rId23"/>
  <tableParts count="2">
    <tablePart r:id="rId24"/>
    <tablePart r:id="rId2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62711B-8EC2-42C7-AF62-16B57139BE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DE1595-A379-464E-B535-8ED10C26867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7E7A370-8378-4806-9E63-C7F256219E9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Note</vt:lpstr>
      <vt:lpstr>Update</vt:lpstr>
      <vt:lpstr>Update (70 year)</vt:lpstr>
      <vt:lpstr>ShutdownCurve</vt:lpstr>
      <vt:lpstr>Existing plants_SCEN40yrs</vt:lpstr>
      <vt:lpstr>Existing plants_SCEN50yrs</vt:lpstr>
      <vt:lpstr>Existing plants_SCEN60yrs</vt:lpstr>
      <vt:lpstr>Existing plants_SCEN70yrs</vt:lpstr>
    </vt:vector>
  </TitlesOfParts>
  <Company>JRC Petten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ese-veda04</dc:creator>
  <cp:lastModifiedBy>Danish Hameed</cp:lastModifiedBy>
  <cp:lastPrinted>2015-09-09T09:04:40Z</cp:lastPrinted>
  <dcterms:created xsi:type="dcterms:W3CDTF">2015-08-06T10:02:28Z</dcterms:created>
  <dcterms:modified xsi:type="dcterms:W3CDTF">2024-12-11T00:03:22Z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39922595024108</vt:r8>
  </property>
  <property fmtid="{D5CDD505-2E9C-101B-9397-08002B2CF9AE}" pid="3" name="ContentTypeId">
    <vt:lpwstr>0x01010074EFC6228ED6F043ACDD38E315A3264B</vt:lpwstr>
  </property>
</Properties>
</file>