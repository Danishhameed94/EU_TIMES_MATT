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07FF000C-9796-449C-874B-329BB2441EC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4" i="4" l="1"/>
  <c r="K33" i="4"/>
  <c r="K31" i="4"/>
  <c r="C34" i="4" l="1"/>
  <c r="P32" i="4"/>
  <c r="B34" i="4" s="1"/>
  <c r="J23" i="6"/>
  <c r="B33" i="4"/>
  <c r="B32" i="4"/>
  <c r="B31" i="4"/>
  <c r="B30" i="4"/>
  <c r="Q31" i="4"/>
  <c r="Q30" i="4"/>
  <c r="H7" i="2"/>
  <c r="H6" i="2"/>
  <c r="Z22" i="3"/>
  <c r="Z21" i="3"/>
  <c r="J19" i="4"/>
  <c r="J7" i="4"/>
  <c r="I22" i="3"/>
  <c r="Q32" i="4" l="1"/>
  <c r="I4" i="4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9" i="4" l="1"/>
  <c r="B38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<sst xmlns="http://schemas.openxmlformats.org/spreadsheetml/2006/main" count="16717" uniqueCount="247">
  <si>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</si>
  <si>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</si>
  <si>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</si>
  <si>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</si>
  <si>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</si>
  <si>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</si>
  <si>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</si>
  <si>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</si>
  <si>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</si>
  <si>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</si>
  <si>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</si>
  <si>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</si>
  <si>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</si>
  <si>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</si>
  <si>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</si>
  <si>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</si>
  <si>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</si>
  <si>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</si>
  <si>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</si>
  <si>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</si>
  <si>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</si>
  <si>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</si>
  <si>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</si>
  <si>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</si>
  <si>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</si>
  <si>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</si>
  <si>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</si>
  <si>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</si>
  <si>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</si>
  <si>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</si>
  <si>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</si>
  <si>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</si>
  <si>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</si>
  <si>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</si>
  <si>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</si>
  <si>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</si>
  <si>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</si>
  <si>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</si>
  <si>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</si>
  <si>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</si>
  <si>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</si>
  <si>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</si>
  <si>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</si>
  <si>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</si>
  <si>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</si>
  <si>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</si>
  <si>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</si>
  <si>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</si>
  <si>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</si>
  <si>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</si>
  <si>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</si>
  <si>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</si>
  <si>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</si>
  <si>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</si>
  <si>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</si>
  <si>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</si>
  <si>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</si>
  <si>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</si>
  <si>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</si>
  <si>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</si>
  <si>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</si>
  <si>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</si>
  <si>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</si>
  <si>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</si>
  <si>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</si>
  <si>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</si>
  <si>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</si>
  <si>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</si>
  <si>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</si>
  <si>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</si>
  <si>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</si>
  <si>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</si>
  <si>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</si>
  <si>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</si>
  <si>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</si>
  <si>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</si>
  <si>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</si>
  <si>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</si>
  <si>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</si>
  <si>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</si>
  <si>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</si>
  <si>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</si>
  <si>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</si>
  <si>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</si>
  <si>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</si>
  <si>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</si>
  <si>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</si>
  <si>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</si>
  <si>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</si>
  <si>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</si>
  <si>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</si>
  <si>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</si>
  <si>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</si>
  <si>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</si>
  <si>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</si>
  <si>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</si>
  <si>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</si>
  <si>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</si>
  <si>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</si>
  <si>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</si>
  <si>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</si>
  <si>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</si>
  <si>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</si>
  <si>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</si>
  <si>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</si>
  <si>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</si>
  <si>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</si>
  <si>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</si>
  <si>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</si>
  <si>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</si>
  <si>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</si>
  <si>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</si>
  <si>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</si>
  <si>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</si>
  <si>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</si>
  <si>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</si>
  <si>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</si>
  <si>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</si>
  <si>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</si>
  <si>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</si>
  <si>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</si>
  <si>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</si>
  <si>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</si>
  <si>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</si>
  <si>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</si>
  <si>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</si>
  <si>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</si>
  <si>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</si>
  <si>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</si>
  <si>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</si>
  <si>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</si>
  <si>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</si>
  <si>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</si>
  <si>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</si>
  <si>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</si>
  <si>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</si>
  <si>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</si>
  <si>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</si>
  <si>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</si>
  <si>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</si>
  <si>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</si>
  <si>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</si>
  <si>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</si>
  <si>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</si>
  <si>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</si>
  <si>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</si>
  <si>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</si>
  <si>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</si>
  <si>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</si>
  <si>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</si>
  <si>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</si>
  <si>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</si>
  <si>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</si>
  <si>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</si>
  <si>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</si>
  <si>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</si>
  <si>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</si>
  <si>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</si>
  <si>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</si>
  <si>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</si>
  <si>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</si>
  <si>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</si>
  <si>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</si>
  <si>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</si>
  <si>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</si>
  <si>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</si>
  <si>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</si>
  <si>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</si>
  <si>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</si>
  <si>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</si>
  <si>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</si>
  <si>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</si>
  <si>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</si>
  <si>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</si>
  <si>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</si>
  <si>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</si>
  <si>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</si>
  <si>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</si>
  <si>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</si>
  <si>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</si>
  <si>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</si>
  <si>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</si>
  <si>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</si>
  <si>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</si>
  <si>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</si>
  <si>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</si>
  <si>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</si>
  <si>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</si>
  <si>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</si>
  <si>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</si>
  <si>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</si>
  <si>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</si>
  <si>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</si>
  <si>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</si>
  <si>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</si>
  <si>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</si>
  <si>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</si>
  <si>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</si>
  <si>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</si>
  <si>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</si>
  <si>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</si>
  <si>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</si>
  <si>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</si>
  <si>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</si>
  <si>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</si>
  <si>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</si>
  <si>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</si>
  <si>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</si>
  <si>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</si>
  <si>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</si>
  <si>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</si>
  <si>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</si>
  <si>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</si>
  <si>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</si>
  <si>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</si>
  <si>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</si>
  <si>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</si>
  <si>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</si>
  <si>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</si>
  <si>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</si>
  <si>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</si>
  <si>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</si>
  <si>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</si>
  <si>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</si>
  <si>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</si>
  <si>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</si>
  <si>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</si>
  <si>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</si>
  <si>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</si>
  <si>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</si>
  <si>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</si>
  <si>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</si>
  <si>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</si>
  <si>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</si>
  <si>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</si>
  <si>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</si>
  <si>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</si>
  <si>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</si>
  <si>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</si>
  <si>
    <t>CR_SOL</t>
  </si>
  <si>
    <t>SUP_SOLCRM</t>
  </si>
  <si>
    <t>DUMMY</t>
  </si>
  <si>
    <t>NEPP_PV</t>
  </si>
  <si>
    <t>Supply of Critical raw material_PV</t>
  </si>
  <si>
    <t>CREE_WINON</t>
  </si>
  <si>
    <t>CREE_WINOFF</t>
  </si>
  <si>
    <t>CREE_PV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</si>
</sst>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u/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9">
    <xf numFmtId="0" fontId="0" fillId="0" borderId="0" xfId="0"/>
    <xf numFmtId="0" fontId="1" fillId="0" borderId="0" xfId="39"/>
    <xf numFmtId="0" fontId="2" fillId="0" borderId="0" xfId="39" applyFont="1"/>
    <xf numFmtId="165" fontId="1" fillId="0" borderId="0" xfId="39" applyNumberFormat="1"/>
    <xf numFmtId="165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165" fontId="30" fillId="0" borderId="0" xfId="39" applyNumberFormat="1" applyFont="1"/>
    <xf numFmtId="0" fontId="30" fillId="0" borderId="0" xfId="39" applyFont="1"/>
    <xf numFmtId="165" fontId="29" fillId="0" borderId="0" xfId="0" applyNumberFormat="1" applyFont="1"/>
    <xf numFmtId="0" fontId="23" fillId="0" borderId="0" xfId="0" applyFont="1"/>
    <xf numFmtId="0" fontId="1" fillId="28" borderId="0" xfId="39" applyFill="1"/>
    <xf numFmtId="0" fontId="31" fillId="0" borderId="0" xfId="39" applyFont="1"/>
    <xf numFmtId="2" fontId="30" fillId="0" borderId="0" xfId="39" applyNumberFormat="1" applyFont="1"/>
    <xf numFmtId="166" fontId="30" fillId="0" borderId="0" xfId="39" applyNumberFormat="1" applyFont="1"/>
    <xf numFmtId="1" fontId="30" fillId="0" borderId="0" xfId="39" applyNumberFormat="1" applyFont="1"/>
    <xf numFmtId="2" fontId="1" fillId="0" borderId="0" xfId="39" applyNumberForma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Ellenőrzőcella" xfId="25" xr:uid="{00000000-0005-0000-0000-000018000000}"/>
    <cellStyle name="Ezres_vegleges_en" xfId="26" xr:uid="{00000000-0005-0000-0000-000019000000}"/>
    <cellStyle name="Figyelmeztetés" xfId="27" xr:uid="{00000000-0005-0000-0000-00001A000000}"/>
    <cellStyle name="Good" xfId="49" builtinId="26"/>
    <cellStyle name="Hivatkozott cella" xfId="28" xr:uid="{00000000-0005-0000-0000-00001C000000}"/>
    <cellStyle name="Input" xfId="50" builtinId="20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al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e" xfId="51" builtinId="10"/>
    <cellStyle name="Összesen" xfId="43" xr:uid="{00000000-0005-0000-0000-000030000000}"/>
    <cellStyle name="Percent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7"/>
  <sheetViews>
    <sheetView tabSelected="1" zoomScale="90" zoomScaleNormal="90" workbookViewId="0">
      <pane xSplit="4" ySplit="2" topLeftCell="E26" activePane="bottomRight" state="frozen"/>
      <selection pane="topRight" activeCell="E1" sqref="E1"/>
      <selection pane="bottomLeft" activeCell="A3" sqref="A3"/>
      <selection pane="bottomRight" activeCell="J38" sqref="J38"/>
    </sheetView>
  </sheetViews>
  <sheetFormatPr defaultColWidth="9.140625" defaultRowHeight="12.75" x14ac:dyDescent="0.2"/>
  <cols>
    <col min="1" max="1" width="2" style="1" bestFit="1" customWidth="1"/>
    <col min="2" max="2" width="23.28515625" style="1" bestFit="1" customWidth="1"/>
    <col min="3" max="3" width="9.28515625" style="1" bestFit="1" customWidth="1"/>
    <col min="4" max="4" width="15.5703125" style="1" bestFit="1" customWidth="1"/>
    <col min="5" max="5" width="6.140625" style="1" bestFit="1" customWidth="1"/>
    <col min="6" max="6" width="4.85546875" style="1" bestFit="1" customWidth="1"/>
    <col min="7" max="7" width="6.5703125" style="1" bestFit="1" customWidth="1"/>
    <col min="8" max="8" width="17" style="1" bestFit="1" customWidth="1"/>
    <col min="9" max="9" width="6.140625" style="1" bestFit="1" customWidth="1"/>
    <col min="10" max="10" width="13.85546875" style="1" bestFit="1" customWidth="1"/>
    <col min="11" max="11" width="6.7109375" style="1" bestFit="1" customWidth="1"/>
    <col min="12" max="12" width="5.5703125" style="1" bestFit="1" customWidth="1"/>
    <col min="13" max="13" width="9.42578125" style="1" bestFit="1" customWidth="1"/>
    <col min="14" max="14" width="2" style="1" bestFit="1" customWidth="1"/>
    <col min="15" max="15" width="11.5703125" style="1" bestFit="1" customWidth="1"/>
    <col min="16" max="16" width="23.28515625" style="1" bestFit="1" customWidth="1"/>
    <col min="17" max="17" width="39.5703125" style="1" bestFit="1" customWidth="1"/>
    <col min="18" max="18" width="4.5703125" style="1" bestFit="1" customWidth="1"/>
    <col min="19" max="19" width="5" style="1" bestFit="1" customWidth="1"/>
    <col min="20" max="20" width="8.85546875" style="1" bestFit="1" customWidth="1"/>
    <col min="21" max="21" width="7.28515625" style="1" bestFit="1" customWidth="1"/>
    <col min="22" max="24" width="9.140625" style="1"/>
    <col min="25" max="25" width="10.7109375" style="1" bestFit="1" customWidth="1"/>
    <col min="26" max="16384" width="9.140625" style="1"/>
  </cols>
  <sheetData>
    <row r="1" spans="2:30" x14ac:dyDescent="0.2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">
      <c r="B2" s="1" t="s">
        <v>2</v>
      </c>
      <c r="C2" s="1" t="s">
        <v>3</v>
      </c>
      <c r="D2" s="1" t="s">
        <v>4</v>
      </c>
      <c r="E2" s="1" t="s">
        <v>5</v>
      </c>
      <c r="F2" s="1" t="s">
        <v>55</v>
      </c>
      <c r="G2" s="1" t="s">
        <v>53</v>
      </c>
      <c r="H2" s="1" t="s">
        <v>228</v>
      </c>
      <c r="I2" s="1" t="s">
        <v>57</v>
      </c>
      <c r="J2" s="1" t="s">
        <v>54</v>
      </c>
      <c r="K2" s="1" t="s">
        <v>6</v>
      </c>
      <c r="L2" s="1" t="s">
        <v>58</v>
      </c>
      <c r="M2" s="1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5" x14ac:dyDescent="0.25">
      <c r="B3" s="1" t="str">
        <f>P3</f>
        <v>ECHP_biomass_thermal</v>
      </c>
      <c r="C3" s="1" t="s">
        <v>52</v>
      </c>
      <c r="D3" s="1" t="s">
        <v>14</v>
      </c>
      <c r="E3" s="1">
        <v>25</v>
      </c>
      <c r="F3" s="1">
        <v>200</v>
      </c>
      <c r="G3" s="1">
        <v>30</v>
      </c>
      <c r="H3" s="1">
        <v>2</v>
      </c>
      <c r="I3" s="1">
        <f t="shared" ref="I3:I27" si="0">IFERROR(VLOOKUP(G3,$B$45:$C$47,2,FALSE),"")</f>
        <v>2</v>
      </c>
      <c r="J3" s="1">
        <v>0.85</v>
      </c>
      <c r="L3" s="22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5" x14ac:dyDescent="0.25">
      <c r="B4" s="1" t="str">
        <f t="shared" ref="B4:B25" si="1">P4</f>
        <v>ECHP_coal_thermal</v>
      </c>
      <c r="C4" s="1" t="s">
        <v>21</v>
      </c>
      <c r="D4" s="1" t="s">
        <v>14</v>
      </c>
      <c r="E4" s="1">
        <v>25</v>
      </c>
      <c r="F4" s="1">
        <v>200</v>
      </c>
      <c r="G4" s="1">
        <v>30</v>
      </c>
      <c r="H4" s="1">
        <v>2</v>
      </c>
      <c r="I4" s="1">
        <f t="shared" si="0"/>
        <v>2</v>
      </c>
      <c r="J4" s="1">
        <v>0.85</v>
      </c>
      <c r="L4" s="22">
        <v>11</v>
      </c>
      <c r="M4" s="1">
        <v>1.2</v>
      </c>
      <c r="O4" s="3" t="s">
        <v>15</v>
      </c>
      <c r="P4" s="3" t="s">
        <v>23</v>
      </c>
      <c r="Q4" s="3" t="str">
        <f t="shared" ref="Q4:Q11" si="2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3">X4</f>
        <v>ELCDST</v>
      </c>
      <c r="Z4" s="3" t="s">
        <v>17</v>
      </c>
      <c r="AA4" s="3"/>
      <c r="AB4" s="3"/>
      <c r="AC4" s="3"/>
      <c r="AD4" s="3"/>
    </row>
    <row r="5" spans="2:30" ht="15" x14ac:dyDescent="0.25">
      <c r="B5" s="1" t="str">
        <f t="shared" si="1"/>
        <v>ECHP_HFO_thermal</v>
      </c>
      <c r="C5" s="1" t="s">
        <v>24</v>
      </c>
      <c r="D5" s="1" t="s">
        <v>14</v>
      </c>
      <c r="E5" s="1">
        <v>25</v>
      </c>
      <c r="F5" s="1">
        <v>200</v>
      </c>
      <c r="G5" s="1">
        <v>18</v>
      </c>
      <c r="H5" s="1">
        <v>2</v>
      </c>
      <c r="I5" s="1">
        <f t="shared" si="0"/>
        <v>4</v>
      </c>
      <c r="J5" s="1">
        <v>0.9</v>
      </c>
      <c r="L5" s="22">
        <v>11</v>
      </c>
      <c r="M5" s="1">
        <v>1.2</v>
      </c>
      <c r="O5" s="3" t="s">
        <v>15</v>
      </c>
      <c r="P5" s="3" t="s">
        <v>25</v>
      </c>
      <c r="Q5" s="3" t="str">
        <f t="shared" si="2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3"/>
        <v>ELCSOL</v>
      </c>
      <c r="Z5" s="3" t="s">
        <v>17</v>
      </c>
      <c r="AA5" s="3"/>
      <c r="AB5" s="3"/>
      <c r="AC5" s="3"/>
      <c r="AD5" s="3"/>
    </row>
    <row r="6" spans="2:30" ht="15" x14ac:dyDescent="0.25">
      <c r="B6" s="1" t="str">
        <f t="shared" si="1"/>
        <v>ECHP_LFO_thermal</v>
      </c>
      <c r="C6" s="1" t="s">
        <v>26</v>
      </c>
      <c r="D6" s="1" t="s">
        <v>14</v>
      </c>
      <c r="E6" s="1">
        <v>25</v>
      </c>
      <c r="F6" s="1">
        <v>200</v>
      </c>
      <c r="G6" s="1">
        <v>18</v>
      </c>
      <c r="H6" s="1">
        <v>2</v>
      </c>
      <c r="I6" s="1">
        <f t="shared" si="0"/>
        <v>4</v>
      </c>
      <c r="J6" s="1">
        <v>0.9</v>
      </c>
      <c r="L6" s="22">
        <v>11</v>
      </c>
      <c r="M6" s="1">
        <v>1.2</v>
      </c>
      <c r="O6" s="3" t="s">
        <v>15</v>
      </c>
      <c r="P6" s="3" t="s">
        <v>27</v>
      </c>
      <c r="Q6" s="3" t="str">
        <f t="shared" si="2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3"/>
        <v>ELCWIN</v>
      </c>
      <c r="Z6" s="3" t="s">
        <v>17</v>
      </c>
      <c r="AA6" s="3"/>
      <c r="AB6" s="3"/>
      <c r="AC6" s="3"/>
      <c r="AD6" s="3"/>
    </row>
    <row r="7" spans="2:30" ht="15" x14ac:dyDescent="0.25">
      <c r="B7" s="23" t="str">
        <f t="shared" si="1"/>
        <v>ECHP_lignite_thermal</v>
      </c>
      <c r="C7" s="1" t="s">
        <v>28</v>
      </c>
      <c r="D7" s="1" t="s">
        <v>14</v>
      </c>
      <c r="E7" s="1">
        <v>25</v>
      </c>
      <c r="F7" s="1">
        <v>200</v>
      </c>
      <c r="G7" s="1">
        <v>30</v>
      </c>
      <c r="H7" s="1">
        <v>2</v>
      </c>
      <c r="I7" s="1">
        <f t="shared" si="0"/>
        <v>2</v>
      </c>
      <c r="J7" s="23">
        <f>0.91</f>
        <v>0.91</v>
      </c>
      <c r="L7" s="22">
        <v>11</v>
      </c>
      <c r="M7" s="1">
        <v>1.2</v>
      </c>
      <c r="O7" s="3" t="s">
        <v>15</v>
      </c>
      <c r="P7" s="3" t="s">
        <v>29</v>
      </c>
      <c r="Q7" s="3" t="str">
        <f t="shared" si="2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5" x14ac:dyDescent="0.25">
      <c r="B8" s="1" t="str">
        <f t="shared" si="1"/>
        <v>ECHP_naturalgas_CCGT</v>
      </c>
      <c r="C8" s="1" t="s">
        <v>30</v>
      </c>
      <c r="D8" s="1" t="s">
        <v>14</v>
      </c>
      <c r="E8" s="1">
        <v>25</v>
      </c>
      <c r="F8" s="1">
        <v>200</v>
      </c>
      <c r="G8" s="1">
        <v>23</v>
      </c>
      <c r="H8" s="1">
        <v>2</v>
      </c>
      <c r="I8" s="1">
        <f t="shared" si="0"/>
        <v>3</v>
      </c>
      <c r="J8" s="1">
        <v>0.9</v>
      </c>
      <c r="L8" s="22">
        <v>11</v>
      </c>
      <c r="M8" s="1">
        <v>1.2</v>
      </c>
      <c r="O8" s="3" t="s">
        <v>15</v>
      </c>
      <c r="P8" s="3" t="s">
        <v>31</v>
      </c>
      <c r="Q8" s="3" t="str">
        <f t="shared" si="2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3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5" x14ac:dyDescent="0.25">
      <c r="B9" s="1" t="str">
        <f t="shared" si="1"/>
        <v>ECHP_naturalgas_OCGT</v>
      </c>
      <c r="C9" s="1" t="s">
        <v>30</v>
      </c>
      <c r="D9" s="1" t="s">
        <v>14</v>
      </c>
      <c r="E9" s="1">
        <v>25</v>
      </c>
      <c r="F9" s="1">
        <v>200</v>
      </c>
      <c r="G9" s="1">
        <v>18</v>
      </c>
      <c r="H9" s="1">
        <v>2</v>
      </c>
      <c r="I9" s="1">
        <f t="shared" si="0"/>
        <v>4</v>
      </c>
      <c r="J9" s="1">
        <v>0.9</v>
      </c>
      <c r="L9" s="22">
        <v>11</v>
      </c>
      <c r="M9" s="1">
        <v>1.2</v>
      </c>
      <c r="O9" s="3" t="s">
        <v>15</v>
      </c>
      <c r="P9" s="3" t="s">
        <v>32</v>
      </c>
      <c r="Q9" s="3" t="str">
        <f t="shared" si="2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3"/>
        <v>ELCHYD</v>
      </c>
      <c r="Z9" s="3" t="s">
        <v>17</v>
      </c>
    </row>
    <row r="10" spans="2:30" ht="15" x14ac:dyDescent="0.25">
      <c r="B10" s="1" t="str">
        <f t="shared" si="1"/>
        <v>ECHP_naturalgas_thermal</v>
      </c>
      <c r="C10" s="1" t="s">
        <v>30</v>
      </c>
      <c r="D10" s="1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 t="shared" si="0"/>
        <v>4</v>
      </c>
      <c r="J10" s="1">
        <v>0.9</v>
      </c>
      <c r="L10" s="22">
        <v>11</v>
      </c>
      <c r="M10" s="1">
        <v>1.2</v>
      </c>
      <c r="O10" s="3" t="s">
        <v>15</v>
      </c>
      <c r="P10" s="3" t="s">
        <v>33</v>
      </c>
      <c r="Q10" s="3" t="str">
        <f t="shared" si="2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 s="22"/>
    </row>
    <row r="11" spans="2:30" ht="15" x14ac:dyDescent="0.25">
      <c r="B11" s="1" t="str">
        <f t="shared" si="1"/>
        <v>ECHP_PV</v>
      </c>
      <c r="C11" s="1" t="s">
        <v>34</v>
      </c>
      <c r="D11" s="1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 t="shared" si="0"/>
        <v/>
      </c>
      <c r="K11" s="1">
        <v>1</v>
      </c>
      <c r="L11" s="22"/>
      <c r="M11" s="1">
        <v>1.2</v>
      </c>
      <c r="O11" s="3" t="s">
        <v>15</v>
      </c>
      <c r="P11" s="3" t="s">
        <v>35</v>
      </c>
      <c r="Q11" s="3" t="str">
        <f t="shared" si="2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 s="22"/>
    </row>
    <row r="12" spans="2:30" ht="15" x14ac:dyDescent="0.25">
      <c r="B12" s="1" t="str">
        <f t="shared" si="1"/>
        <v>EEPP_biomass_CCGT</v>
      </c>
      <c r="C12" s="1" t="s">
        <v>52</v>
      </c>
      <c r="D12" s="1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 t="shared" si="0"/>
        <v>3</v>
      </c>
      <c r="J12" s="1">
        <v>0.9</v>
      </c>
      <c r="L12" s="2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 s="22"/>
    </row>
    <row r="13" spans="2:30" ht="15" x14ac:dyDescent="0.25">
      <c r="B13" s="1" t="str">
        <f t="shared" si="1"/>
        <v>EEPP_biomass_thermal</v>
      </c>
      <c r="C13" s="1" t="s">
        <v>52</v>
      </c>
      <c r="D13" s="1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 t="shared" si="0"/>
        <v>2</v>
      </c>
      <c r="J13" s="1">
        <v>0.9</v>
      </c>
      <c r="L13" s="22">
        <v>11</v>
      </c>
      <c r="O13" s="3" t="s">
        <v>37</v>
      </c>
      <c r="P13" s="3" t="s">
        <v>39</v>
      </c>
      <c r="Q13" s="3" t="str">
        <f t="shared" ref="Q13:Q23" si="4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 s="22"/>
    </row>
    <row r="14" spans="2:30" ht="15" x14ac:dyDescent="0.25">
      <c r="B14" s="1" t="str">
        <f t="shared" si="1"/>
        <v>EEPP_coal_CCGT</v>
      </c>
      <c r="C14" s="1" t="s">
        <v>21</v>
      </c>
      <c r="D14" s="1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 t="shared" si="0"/>
        <v>2</v>
      </c>
      <c r="J14" s="1">
        <v>0.85</v>
      </c>
      <c r="L14" s="22">
        <v>11</v>
      </c>
      <c r="O14" s="3" t="s">
        <v>37</v>
      </c>
      <c r="P14" s="3" t="s">
        <v>40</v>
      </c>
      <c r="Q14" s="3" t="str">
        <f t="shared" si="4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 s="22"/>
    </row>
    <row r="15" spans="2:30" ht="15" x14ac:dyDescent="0.25">
      <c r="B15" s="1" t="str">
        <f t="shared" si="1"/>
        <v>EEPP_coal_thermal</v>
      </c>
      <c r="C15" s="1" t="s">
        <v>21</v>
      </c>
      <c r="D15" s="1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 t="shared" si="0"/>
        <v>2</v>
      </c>
      <c r="J15" s="1">
        <v>0.85</v>
      </c>
      <c r="L15" s="22">
        <v>11</v>
      </c>
      <c r="O15" s="3" t="s">
        <v>37</v>
      </c>
      <c r="P15" s="3" t="s">
        <v>41</v>
      </c>
      <c r="Q15" s="3" t="str">
        <f t="shared" si="4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 s="22"/>
    </row>
    <row r="16" spans="2:30" ht="15" x14ac:dyDescent="0.25">
      <c r="B16" s="1" t="str">
        <f t="shared" si="1"/>
        <v>EEPP_geothermal</v>
      </c>
      <c r="C16" s="1" t="s">
        <v>42</v>
      </c>
      <c r="D16" s="1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 t="shared" si="0"/>
        <v>2</v>
      </c>
      <c r="J16" s="1">
        <v>0.9</v>
      </c>
      <c r="K16" s="1">
        <v>1</v>
      </c>
      <c r="L16" s="22"/>
      <c r="O16" s="3" t="s">
        <v>37</v>
      </c>
      <c r="P16" s="3" t="s">
        <v>43</v>
      </c>
      <c r="Q16" s="3" t="str">
        <f t="shared" si="4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 s="22"/>
    </row>
    <row r="17" spans="2:24" ht="15" x14ac:dyDescent="0.25">
      <c r="B17" s="1" t="str">
        <f t="shared" si="1"/>
        <v>EEPP_HFO_thermal</v>
      </c>
      <c r="C17" s="1" t="s">
        <v>24</v>
      </c>
      <c r="D17" s="1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 t="shared" si="0"/>
        <v>4</v>
      </c>
      <c r="J17" s="1">
        <v>0.9</v>
      </c>
      <c r="L17" s="22">
        <v>11</v>
      </c>
      <c r="O17" s="3" t="s">
        <v>37</v>
      </c>
      <c r="P17" s="3" t="s">
        <v>44</v>
      </c>
      <c r="Q17" s="3" t="str">
        <f t="shared" si="4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 s="22"/>
    </row>
    <row r="18" spans="2:24" ht="15" x14ac:dyDescent="0.25">
      <c r="B18" s="1" t="str">
        <f t="shared" si="1"/>
        <v>EEPP_LFO_thermal</v>
      </c>
      <c r="C18" s="1" t="s">
        <v>26</v>
      </c>
      <c r="D18" s="1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 t="shared" si="0"/>
        <v>4</v>
      </c>
      <c r="J18" s="1">
        <v>0.9</v>
      </c>
      <c r="L18" s="22">
        <v>11</v>
      </c>
      <c r="O18" s="3" t="s">
        <v>37</v>
      </c>
      <c r="P18" s="3" t="s">
        <v>45</v>
      </c>
      <c r="Q18" s="3" t="str">
        <f t="shared" si="4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 s="22"/>
    </row>
    <row r="19" spans="2:24" ht="15" x14ac:dyDescent="0.25">
      <c r="B19" s="23" t="str">
        <f t="shared" si="1"/>
        <v>EEPP_lignite_thermal</v>
      </c>
      <c r="C19" s="1" t="s">
        <v>28</v>
      </c>
      <c r="D19" s="1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 t="shared" si="0"/>
        <v>2</v>
      </c>
      <c r="J19" s="23">
        <f>0.9</f>
        <v>0.9</v>
      </c>
      <c r="L19" s="22">
        <v>11</v>
      </c>
      <c r="O19" s="3" t="s">
        <v>37</v>
      </c>
      <c r="P19" s="3" t="s">
        <v>46</v>
      </c>
      <c r="Q19" s="3" t="str">
        <f t="shared" si="4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 s="22"/>
    </row>
    <row r="20" spans="2:24" ht="15" x14ac:dyDescent="0.25">
      <c r="B20" s="1" t="str">
        <f t="shared" si="1"/>
        <v>EEPP_naturalgas_CCGT</v>
      </c>
      <c r="C20" s="1" t="s">
        <v>30</v>
      </c>
      <c r="D20" s="1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 t="shared" si="0"/>
        <v>3</v>
      </c>
      <c r="J20" s="1">
        <v>0.9</v>
      </c>
      <c r="L20" s="22">
        <v>11</v>
      </c>
      <c r="O20" s="3" t="s">
        <v>37</v>
      </c>
      <c r="P20" s="3" t="s">
        <v>47</v>
      </c>
      <c r="Q20" s="3" t="str">
        <f t="shared" si="4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 s="22"/>
    </row>
    <row r="21" spans="2:24" ht="15" x14ac:dyDescent="0.25">
      <c r="B21" s="1" t="str">
        <f t="shared" si="1"/>
        <v>EEPP_naturalgas_OCGT</v>
      </c>
      <c r="C21" s="1" t="s">
        <v>30</v>
      </c>
      <c r="D21" s="1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 t="shared" si="0"/>
        <v>4</v>
      </c>
      <c r="J21" s="1">
        <v>0.9</v>
      </c>
      <c r="L21" s="22">
        <v>11</v>
      </c>
      <c r="O21" s="3" t="s">
        <v>37</v>
      </c>
      <c r="P21" s="3" t="s">
        <v>48</v>
      </c>
      <c r="Q21" s="3" t="str">
        <f t="shared" si="4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 s="22"/>
    </row>
    <row r="22" spans="2:24" ht="15" x14ac:dyDescent="0.25">
      <c r="B22" s="1" t="str">
        <f t="shared" si="1"/>
        <v>EEPP_naturalgas_thermal</v>
      </c>
      <c r="C22" s="1" t="s">
        <v>30</v>
      </c>
      <c r="D22" s="1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 t="shared" si="0"/>
        <v>4</v>
      </c>
      <c r="J22" s="1">
        <v>0.9</v>
      </c>
      <c r="L22" s="22">
        <v>11</v>
      </c>
      <c r="O22" s="3" t="s">
        <v>37</v>
      </c>
      <c r="P22" s="3" t="s">
        <v>49</v>
      </c>
      <c r="Q22" s="3" t="str">
        <f t="shared" si="4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 s="22"/>
    </row>
    <row r="23" spans="2:24" ht="15" x14ac:dyDescent="0.25">
      <c r="B23" s="1" t="str">
        <f t="shared" si="1"/>
        <v>EEPP_PV</v>
      </c>
      <c r="C23" s="1" t="s">
        <v>34</v>
      </c>
      <c r="D23" s="1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 t="shared" si="0"/>
        <v/>
      </c>
      <c r="K23" s="1">
        <v>1</v>
      </c>
      <c r="L23" s="22"/>
      <c r="O23" s="3" t="s">
        <v>37</v>
      </c>
      <c r="P23" s="3" t="s">
        <v>50</v>
      </c>
      <c r="Q23" s="3" t="str">
        <f t="shared" si="4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 s="22"/>
    </row>
    <row r="24" spans="2:24" ht="15" x14ac:dyDescent="0.25">
      <c r="B24" s="1" t="str">
        <f t="shared" si="1"/>
        <v>EEPP_CSP</v>
      </c>
      <c r="C24" s="1" t="s">
        <v>34</v>
      </c>
      <c r="D24" s="1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 t="shared" si="0"/>
        <v/>
      </c>
      <c r="J24" s="1">
        <v>0.8</v>
      </c>
      <c r="K24" s="1">
        <v>1</v>
      </c>
      <c r="L24" s="22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 s="22"/>
    </row>
    <row r="25" spans="2:24" ht="15" x14ac:dyDescent="0.25">
      <c r="B25" s="1" t="str">
        <f t="shared" si="1"/>
        <v>EEPP_windOFF</v>
      </c>
      <c r="C25" s="1" t="s">
        <v>51</v>
      </c>
      <c r="D25" s="1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 t="shared" si="0"/>
        <v/>
      </c>
      <c r="K25" s="1">
        <v>1</v>
      </c>
      <c r="L25" s="22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 s="22"/>
    </row>
    <row r="26" spans="2:24" ht="15" x14ac:dyDescent="0.25">
      <c r="B26" s="1" t="str">
        <f>P26</f>
        <v>EEPP_windON</v>
      </c>
      <c r="C26" s="1" t="s">
        <v>51</v>
      </c>
      <c r="D26" s="1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 t="shared" si="0"/>
        <v/>
      </c>
      <c r="K26" s="1">
        <v>1</v>
      </c>
      <c r="L26" s="22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 s="22"/>
    </row>
    <row r="27" spans="2:24" ht="15" x14ac:dyDescent="0.25">
      <c r="B27" s="1" t="str">
        <f t="shared" ref="B27" si="5">P27</f>
        <v>EEPP_OCE</v>
      </c>
      <c r="C27" s="1" t="s">
        <v>226</v>
      </c>
      <c r="D27" s="1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 t="shared" si="0"/>
        <v/>
      </c>
      <c r="K27" s="1">
        <v>1</v>
      </c>
      <c r="L27" s="22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 s="22"/>
    </row>
    <row r="28" spans="2:24" x14ac:dyDescent="0.2">
      <c r="B28" s="1" t="str">
        <f t="shared" ref="B28:B29" si="6">P28</f>
        <v>EUHYDDAM00</v>
      </c>
      <c r="C28" s="1" t="s">
        <v>78</v>
      </c>
      <c r="D28" s="1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">
      <c r="B29" s="1" t="str">
        <f t="shared" si="6"/>
        <v>EUHYDRUN00</v>
      </c>
      <c r="C29" s="1" t="s">
        <v>78</v>
      </c>
      <c r="D29" s="1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5" x14ac:dyDescent="0.25">
      <c r="B30" s="20" t="str">
        <f>P30</f>
        <v>NEPP_windON</v>
      </c>
      <c r="C30" s="20" t="s">
        <v>51</v>
      </c>
      <c r="D30" s="20" t="s">
        <v>36</v>
      </c>
      <c r="E30" s="20"/>
      <c r="F30" s="20">
        <v>30</v>
      </c>
      <c r="G30" s="20"/>
      <c r="H30" s="1">
        <v>2</v>
      </c>
      <c r="I30" s="20"/>
      <c r="J30" s="20"/>
      <c r="K30" s="27">
        <v>1</v>
      </c>
      <c r="L30" s="20"/>
      <c r="M30" s="20"/>
      <c r="N30" s="20"/>
      <c r="O30" s="19" t="s">
        <v>37</v>
      </c>
      <c r="P30" s="17" t="s">
        <v>237</v>
      </c>
      <c r="Q30" s="19" t="str">
        <f>"New Electricity plant - " &amp; MID(P30,6,50)&amp;" - onshore"</f>
        <v>New Electricity plant - windON - onshore</v>
      </c>
      <c r="R30" s="19" t="s">
        <v>17</v>
      </c>
      <c r="S30" s="19" t="s">
        <v>18</v>
      </c>
      <c r="T30" s="19" t="s">
        <v>19</v>
      </c>
      <c r="U30" s="19" t="s">
        <v>20</v>
      </c>
      <c r="V30" s="20"/>
    </row>
    <row r="31" spans="2:24" ht="15" x14ac:dyDescent="0.25">
      <c r="B31" s="20" t="str">
        <f>P30</f>
        <v>NEPP_windON</v>
      </c>
      <c r="C31" s="20" t="s">
        <v>236</v>
      </c>
      <c r="D31" s="20" t="s">
        <v>36</v>
      </c>
      <c r="E31" s="20"/>
      <c r="F31" s="20">
        <v>30</v>
      </c>
      <c r="G31" s="20"/>
      <c r="H31" s="20">
        <v>2</v>
      </c>
      <c r="I31" s="20"/>
      <c r="J31" s="20"/>
      <c r="K31" s="25">
        <f>-J42/FuelTech!G25</f>
        <v>-0.9512937595129376</v>
      </c>
      <c r="L31" s="20"/>
      <c r="M31" s="20"/>
      <c r="N31" s="20"/>
      <c r="O31" s="19" t="s">
        <v>37</v>
      </c>
      <c r="P31" s="17" t="s">
        <v>238</v>
      </c>
      <c r="Q31" s="19" t="str">
        <f>"New Electricity plant - " &amp; MID(P31,6,50)&amp;" - offshore"</f>
        <v>New Electricity plant - windOFF - offshore</v>
      </c>
      <c r="R31" s="19" t="s">
        <v>17</v>
      </c>
      <c r="S31" s="19" t="s">
        <v>18</v>
      </c>
      <c r="T31" s="19" t="s">
        <v>19</v>
      </c>
      <c r="U31" s="19" t="s">
        <v>20</v>
      </c>
      <c r="V31" s="20"/>
    </row>
    <row r="32" spans="2:24" ht="15" x14ac:dyDescent="0.25">
      <c r="B32" s="20" t="str">
        <f>P31</f>
        <v>NEPP_windOFF</v>
      </c>
      <c r="C32" s="20" t="s">
        <v>51</v>
      </c>
      <c r="D32" s="20" t="s">
        <v>36</v>
      </c>
      <c r="E32" s="20"/>
      <c r="F32" s="20">
        <v>30</v>
      </c>
      <c r="G32" s="20"/>
      <c r="H32" s="20">
        <v>2</v>
      </c>
      <c r="I32" s="20"/>
      <c r="J32" s="20"/>
      <c r="K32" s="27">
        <v>1</v>
      </c>
      <c r="L32" s="20"/>
      <c r="M32" s="24"/>
      <c r="N32" s="20"/>
      <c r="O32" s="19" t="s">
        <v>37</v>
      </c>
      <c r="P32" s="17" t="str">
        <f>FuelTech!C27</f>
        <v>NEPP_PV</v>
      </c>
      <c r="Q32" s="19" t="str">
        <f>"New Electricity plant - "&amp;MID(P32,6,50)&amp;""</f>
        <v>New Electricity plant - PV</v>
      </c>
      <c r="R32" s="19" t="s">
        <v>17</v>
      </c>
      <c r="S32" s="19" t="s">
        <v>18</v>
      </c>
      <c r="T32" s="19" t="s">
        <v>19</v>
      </c>
      <c r="U32" s="19" t="s">
        <v>20</v>
      </c>
      <c r="V32" s="20"/>
    </row>
    <row r="33" spans="2:22" ht="15" x14ac:dyDescent="0.25">
      <c r="B33" s="20" t="str">
        <f>P31</f>
        <v>NEPP_windOFF</v>
      </c>
      <c r="C33" s="20" t="s">
        <v>236</v>
      </c>
      <c r="D33" s="20" t="s">
        <v>36</v>
      </c>
      <c r="E33" s="20"/>
      <c r="F33" s="20">
        <v>30</v>
      </c>
      <c r="G33" s="20"/>
      <c r="H33" s="20">
        <v>2</v>
      </c>
      <c r="I33" s="20"/>
      <c r="J33" s="20"/>
      <c r="K33" s="26">
        <f>-J43/FuelTech!G26</f>
        <v>-3.8051750380517504</v>
      </c>
      <c r="L33" s="20"/>
      <c r="M33" s="20"/>
      <c r="N33" s="20"/>
      <c r="O33" s="19"/>
      <c r="P33" s="17"/>
      <c r="Q33" s="19"/>
      <c r="R33" s="19"/>
      <c r="S33" s="19"/>
      <c r="T33" s="19"/>
      <c r="U33" s="19"/>
      <c r="V33" s="20"/>
    </row>
    <row r="34" spans="2:22" ht="15" x14ac:dyDescent="0.25">
      <c r="B34" s="20" t="str">
        <f>P32</f>
        <v>NEPP_PV</v>
      </c>
      <c r="C34" s="17" t="str">
        <f>FuelTech!E24</f>
        <v>CR_SOL</v>
      </c>
      <c r="D34" s="20" t="s">
        <v>36</v>
      </c>
      <c r="E34" s="20"/>
      <c r="F34" s="20">
        <v>30</v>
      </c>
      <c r="G34" s="20"/>
      <c r="H34" s="20">
        <v>2</v>
      </c>
      <c r="I34" s="20"/>
      <c r="J34" s="20"/>
      <c r="K34" s="25">
        <f>-ELC_ExistingStock!J44/FuelTech!G27</f>
        <v>-19.025875190258752</v>
      </c>
      <c r="L34" s="20"/>
      <c r="M34" s="20"/>
      <c r="N34" s="20"/>
      <c r="O34" s="19"/>
      <c r="P34" s="17"/>
      <c r="Q34" s="19"/>
      <c r="R34" s="19"/>
      <c r="S34" s="19"/>
      <c r="T34" s="19"/>
      <c r="U34" s="19"/>
      <c r="V34" s="20"/>
    </row>
    <row r="35" spans="2:22" ht="15" x14ac:dyDescent="0.25">
      <c r="B35" s="20" t="s">
        <v>242</v>
      </c>
      <c r="C35" s="20" t="s">
        <v>34</v>
      </c>
      <c r="D35" s="20" t="s">
        <v>36</v>
      </c>
      <c r="E35" s="20"/>
      <c r="F35" s="20">
        <v>30</v>
      </c>
      <c r="G35" s="20"/>
      <c r="H35" s="20">
        <v>2</v>
      </c>
      <c r="I35" s="20"/>
      <c r="J35" s="20"/>
      <c r="K35" s="27">
        <v>1</v>
      </c>
      <c r="L35" s="20"/>
      <c r="M35" s="24"/>
      <c r="N35" s="20"/>
      <c r="O35" s="19"/>
      <c r="P35" s="17"/>
      <c r="Q35" s="19"/>
      <c r="R35" s="19"/>
      <c r="S35" s="19"/>
      <c r="T35" s="19"/>
      <c r="U35" s="19"/>
      <c r="V35" s="20"/>
    </row>
    <row r="36" spans="2:22" ht="15" x14ac:dyDescent="0.25">
      <c r="B36" s="20"/>
      <c r="C36" s="20"/>
      <c r="D36" s="20"/>
      <c r="E36" s="20"/>
      <c r="F36" s="20"/>
      <c r="G36" s="20"/>
      <c r="I36" s="20"/>
      <c r="J36" s="20"/>
      <c r="K36" s="27"/>
      <c r="L36" s="20"/>
      <c r="M36" s="24"/>
      <c r="N36" s="20"/>
      <c r="O36" s="19"/>
      <c r="P36" s="17"/>
      <c r="Q36" s="19"/>
      <c r="R36" s="19"/>
      <c r="S36" s="19"/>
      <c r="T36" s="19"/>
      <c r="U36" s="19"/>
      <c r="V36" s="20"/>
    </row>
    <row r="37" spans="2:22" x14ac:dyDescent="0.2">
      <c r="B37" s="1" t="s">
        <v>224</v>
      </c>
      <c r="D37" s="2"/>
      <c r="O37" s="3"/>
      <c r="R37" s="3"/>
      <c r="S37" s="3"/>
      <c r="T37" s="3"/>
      <c r="U37" s="3"/>
    </row>
    <row r="38" spans="2:22" x14ac:dyDescent="0.2">
      <c r="B38" s="1" t="str">
        <f>P39</f>
        <v>EEPP_HYDPS</v>
      </c>
      <c r="C38" s="1" t="s">
        <v>36</v>
      </c>
      <c r="D38" s="1" t="s">
        <v>36</v>
      </c>
      <c r="F38" s="1">
        <v>100</v>
      </c>
      <c r="O38" s="3"/>
      <c r="R38" s="3"/>
      <c r="S38" s="3"/>
      <c r="T38" s="3"/>
      <c r="U38" s="3"/>
    </row>
    <row r="39" spans="2:22" x14ac:dyDescent="0.2">
      <c r="J39" s="28"/>
      <c r="O39" s="1" t="s">
        <v>114</v>
      </c>
      <c r="P39" s="1" t="s">
        <v>115</v>
      </c>
      <c r="Q39" s="1" t="str">
        <f>"Existing Pumped Storage Plants - "&amp;MID(P39,8,55)</f>
        <v>Existing Pumped Storage Plants - DPS</v>
      </c>
      <c r="R39" s="3" t="s">
        <v>17</v>
      </c>
      <c r="S39" s="3" t="s">
        <v>18</v>
      </c>
      <c r="T39" s="3" t="s">
        <v>19</v>
      </c>
      <c r="U39" s="3" t="s">
        <v>20</v>
      </c>
    </row>
    <row r="42" spans="2:22" ht="15" x14ac:dyDescent="0.25">
      <c r="I42" s="1" t="s">
        <v>244</v>
      </c>
      <c r="J42" s="1">
        <v>30</v>
      </c>
      <c r="P42"/>
    </row>
    <row r="43" spans="2:22" ht="15" x14ac:dyDescent="0.25">
      <c r="I43" s="1" t="s">
        <v>245</v>
      </c>
      <c r="J43" s="1">
        <v>120</v>
      </c>
      <c r="P43"/>
    </row>
    <row r="44" spans="2:22" ht="15" x14ac:dyDescent="0.25">
      <c r="B44" s="1" t="s">
        <v>227</v>
      </c>
      <c r="I44" s="1" t="s">
        <v>246</v>
      </c>
      <c r="J44" s="1">
        <v>600</v>
      </c>
      <c r="P44"/>
    </row>
    <row r="45" spans="2:22" ht="15" x14ac:dyDescent="0.25">
      <c r="B45" s="5">
        <v>23</v>
      </c>
      <c r="C45" s="5">
        <v>3</v>
      </c>
      <c r="P45"/>
    </row>
    <row r="46" spans="2:22" ht="15" x14ac:dyDescent="0.25">
      <c r="B46" s="5">
        <v>18</v>
      </c>
      <c r="C46" s="5">
        <v>4</v>
      </c>
      <c r="P46"/>
    </row>
    <row r="47" spans="2:22" ht="15" x14ac:dyDescent="0.25">
      <c r="B47" s="5">
        <v>30</v>
      </c>
      <c r="C47" s="5">
        <v>2</v>
      </c>
      <c r="P47"/>
    </row>
    <row r="48" spans="2:22" ht="15" x14ac:dyDescent="0.25">
      <c r="P48"/>
    </row>
    <row r="49" spans="16:16" ht="15" x14ac:dyDescent="0.25">
      <c r="P49"/>
    </row>
    <row r="50" spans="16:16" ht="15" x14ac:dyDescent="0.25">
      <c r="P50"/>
    </row>
    <row r="51" spans="16:16" ht="15" x14ac:dyDescent="0.25">
      <c r="P51"/>
    </row>
    <row r="52" spans="16:16" ht="15" x14ac:dyDescent="0.25">
      <c r="P52"/>
    </row>
    <row r="53" spans="16:16" ht="15" x14ac:dyDescent="0.25">
      <c r="P53"/>
    </row>
    <row r="54" spans="16:16" ht="15" x14ac:dyDescent="0.25">
      <c r="P54"/>
    </row>
    <row r="55" spans="16:16" ht="15" x14ac:dyDescent="0.25">
      <c r="P55"/>
    </row>
    <row r="56" spans="16:16" ht="15" x14ac:dyDescent="0.25">
      <c r="P56"/>
    </row>
    <row r="57" spans="16:16" ht="15" x14ac:dyDescent="0.25">
      <c r="P57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8"/>
  <sheetViews>
    <sheetView topLeftCell="A10" workbookViewId="0">
      <selection activeCell="J27" sqref="J27"/>
    </sheetView>
  </sheetViews>
  <sheetFormatPr defaultRowHeight="15" x14ac:dyDescent="0.25"/>
  <cols>
    <col min="3" max="3" width="14" bestFit="1" customWidth="1"/>
    <col min="4" max="4" width="9.42578125" bestFit="1" customWidth="1"/>
    <col min="5" max="5" width="11.140625" bestFit="1" customWidth="1"/>
    <col min="6" max="6" width="4" bestFit="1" customWidth="1"/>
    <col min="10" max="10" width="14" bestFit="1" customWidth="1"/>
    <col min="11" max="11" width="59" bestFit="1" customWidth="1"/>
    <col min="12" max="12" width="4.5703125" bestFit="1" customWidth="1"/>
    <col min="13" max="13" width="5" bestFit="1" customWidth="1"/>
    <col min="14" max="14" width="8.5703125" bestFit="1" customWidth="1"/>
    <col min="15" max="15" width="10.28515625" bestFit="1" customWidth="1"/>
    <col min="259" max="259" width="10.5703125" bestFit="1" customWidth="1"/>
    <col min="260" max="260" width="14.85546875" bestFit="1" customWidth="1"/>
    <col min="261" max="261" width="11.140625" bestFit="1" customWidth="1"/>
    <col min="515" max="515" width="10.5703125" bestFit="1" customWidth="1"/>
    <col min="516" max="516" width="14.85546875" bestFit="1" customWidth="1"/>
    <col min="517" max="517" width="11.140625" bestFit="1" customWidth="1"/>
    <col min="771" max="771" width="10.5703125" bestFit="1" customWidth="1"/>
    <col min="772" max="772" width="14.85546875" bestFit="1" customWidth="1"/>
    <col min="773" max="773" width="11.140625" bestFit="1" customWidth="1"/>
    <col min="1027" max="1027" width="10.5703125" bestFit="1" customWidth="1"/>
    <col min="1028" max="1028" width="14.85546875" bestFit="1" customWidth="1"/>
    <col min="1029" max="1029" width="11.140625" bestFit="1" customWidth="1"/>
    <col min="1283" max="1283" width="10.5703125" bestFit="1" customWidth="1"/>
    <col min="1284" max="1284" width="14.85546875" bestFit="1" customWidth="1"/>
    <col min="1285" max="1285" width="11.140625" bestFit="1" customWidth="1"/>
    <col min="1539" max="1539" width="10.5703125" bestFit="1" customWidth="1"/>
    <col min="1540" max="1540" width="14.85546875" bestFit="1" customWidth="1"/>
    <col min="1541" max="1541" width="11.140625" bestFit="1" customWidth="1"/>
    <col min="1795" max="1795" width="10.5703125" bestFit="1" customWidth="1"/>
    <col min="1796" max="1796" width="14.85546875" bestFit="1" customWidth="1"/>
    <col min="1797" max="1797" width="11.140625" bestFit="1" customWidth="1"/>
    <col min="2051" max="2051" width="10.5703125" bestFit="1" customWidth="1"/>
    <col min="2052" max="2052" width="14.85546875" bestFit="1" customWidth="1"/>
    <col min="2053" max="2053" width="11.140625" bestFit="1" customWidth="1"/>
    <col min="2307" max="2307" width="10.5703125" bestFit="1" customWidth="1"/>
    <col min="2308" max="2308" width="14.85546875" bestFit="1" customWidth="1"/>
    <col min="2309" max="2309" width="11.140625" bestFit="1" customWidth="1"/>
    <col min="2563" max="2563" width="10.5703125" bestFit="1" customWidth="1"/>
    <col min="2564" max="2564" width="14.85546875" bestFit="1" customWidth="1"/>
    <col min="2565" max="2565" width="11.140625" bestFit="1" customWidth="1"/>
    <col min="2819" max="2819" width="10.5703125" bestFit="1" customWidth="1"/>
    <col min="2820" max="2820" width="14.85546875" bestFit="1" customWidth="1"/>
    <col min="2821" max="2821" width="11.140625" bestFit="1" customWidth="1"/>
    <col min="3075" max="3075" width="10.5703125" bestFit="1" customWidth="1"/>
    <col min="3076" max="3076" width="14.85546875" bestFit="1" customWidth="1"/>
    <col min="3077" max="3077" width="11.140625" bestFit="1" customWidth="1"/>
    <col min="3331" max="3331" width="10.5703125" bestFit="1" customWidth="1"/>
    <col min="3332" max="3332" width="14.85546875" bestFit="1" customWidth="1"/>
    <col min="3333" max="3333" width="11.140625" bestFit="1" customWidth="1"/>
    <col min="3587" max="3587" width="10.5703125" bestFit="1" customWidth="1"/>
    <col min="3588" max="3588" width="14.85546875" bestFit="1" customWidth="1"/>
    <col min="3589" max="3589" width="11.140625" bestFit="1" customWidth="1"/>
    <col min="3843" max="3843" width="10.5703125" bestFit="1" customWidth="1"/>
    <col min="3844" max="3844" width="14.85546875" bestFit="1" customWidth="1"/>
    <col min="3845" max="3845" width="11.140625" bestFit="1" customWidth="1"/>
    <col min="4099" max="4099" width="10.5703125" bestFit="1" customWidth="1"/>
    <col min="4100" max="4100" width="14.85546875" bestFit="1" customWidth="1"/>
    <col min="4101" max="4101" width="11.140625" bestFit="1" customWidth="1"/>
    <col min="4355" max="4355" width="10.5703125" bestFit="1" customWidth="1"/>
    <col min="4356" max="4356" width="14.85546875" bestFit="1" customWidth="1"/>
    <col min="4357" max="4357" width="11.140625" bestFit="1" customWidth="1"/>
    <col min="4611" max="4611" width="10.5703125" bestFit="1" customWidth="1"/>
    <col min="4612" max="4612" width="14.85546875" bestFit="1" customWidth="1"/>
    <col min="4613" max="4613" width="11.140625" bestFit="1" customWidth="1"/>
    <col min="4867" max="4867" width="10.5703125" bestFit="1" customWidth="1"/>
    <col min="4868" max="4868" width="14.85546875" bestFit="1" customWidth="1"/>
    <col min="4869" max="4869" width="11.140625" bestFit="1" customWidth="1"/>
    <col min="5123" max="5123" width="10.5703125" bestFit="1" customWidth="1"/>
    <col min="5124" max="5124" width="14.85546875" bestFit="1" customWidth="1"/>
    <col min="5125" max="5125" width="11.140625" bestFit="1" customWidth="1"/>
    <col min="5379" max="5379" width="10.5703125" bestFit="1" customWidth="1"/>
    <col min="5380" max="5380" width="14.85546875" bestFit="1" customWidth="1"/>
    <col min="5381" max="5381" width="11.140625" bestFit="1" customWidth="1"/>
    <col min="5635" max="5635" width="10.5703125" bestFit="1" customWidth="1"/>
    <col min="5636" max="5636" width="14.85546875" bestFit="1" customWidth="1"/>
    <col min="5637" max="5637" width="11.140625" bestFit="1" customWidth="1"/>
    <col min="5891" max="5891" width="10.5703125" bestFit="1" customWidth="1"/>
    <col min="5892" max="5892" width="14.85546875" bestFit="1" customWidth="1"/>
    <col min="5893" max="5893" width="11.140625" bestFit="1" customWidth="1"/>
    <col min="6147" max="6147" width="10.5703125" bestFit="1" customWidth="1"/>
    <col min="6148" max="6148" width="14.85546875" bestFit="1" customWidth="1"/>
    <col min="6149" max="6149" width="11.140625" bestFit="1" customWidth="1"/>
    <col min="6403" max="6403" width="10.5703125" bestFit="1" customWidth="1"/>
    <col min="6404" max="6404" width="14.85546875" bestFit="1" customWidth="1"/>
    <col min="6405" max="6405" width="11.140625" bestFit="1" customWidth="1"/>
    <col min="6659" max="6659" width="10.5703125" bestFit="1" customWidth="1"/>
    <col min="6660" max="6660" width="14.85546875" bestFit="1" customWidth="1"/>
    <col min="6661" max="6661" width="11.140625" bestFit="1" customWidth="1"/>
    <col min="6915" max="6915" width="10.5703125" bestFit="1" customWidth="1"/>
    <col min="6916" max="6916" width="14.85546875" bestFit="1" customWidth="1"/>
    <col min="6917" max="6917" width="11.140625" bestFit="1" customWidth="1"/>
    <col min="7171" max="7171" width="10.5703125" bestFit="1" customWidth="1"/>
    <col min="7172" max="7172" width="14.85546875" bestFit="1" customWidth="1"/>
    <col min="7173" max="7173" width="11.140625" bestFit="1" customWidth="1"/>
    <col min="7427" max="7427" width="10.5703125" bestFit="1" customWidth="1"/>
    <col min="7428" max="7428" width="14.85546875" bestFit="1" customWidth="1"/>
    <col min="7429" max="7429" width="11.140625" bestFit="1" customWidth="1"/>
    <col min="7683" max="7683" width="10.5703125" bestFit="1" customWidth="1"/>
    <col min="7684" max="7684" width="14.85546875" bestFit="1" customWidth="1"/>
    <col min="7685" max="7685" width="11.140625" bestFit="1" customWidth="1"/>
    <col min="7939" max="7939" width="10.5703125" bestFit="1" customWidth="1"/>
    <col min="7940" max="7940" width="14.85546875" bestFit="1" customWidth="1"/>
    <col min="7941" max="7941" width="11.140625" bestFit="1" customWidth="1"/>
    <col min="8195" max="8195" width="10.5703125" bestFit="1" customWidth="1"/>
    <col min="8196" max="8196" width="14.85546875" bestFit="1" customWidth="1"/>
    <col min="8197" max="8197" width="11.140625" bestFit="1" customWidth="1"/>
    <col min="8451" max="8451" width="10.5703125" bestFit="1" customWidth="1"/>
    <col min="8452" max="8452" width="14.85546875" bestFit="1" customWidth="1"/>
    <col min="8453" max="8453" width="11.140625" bestFit="1" customWidth="1"/>
    <col min="8707" max="8707" width="10.5703125" bestFit="1" customWidth="1"/>
    <col min="8708" max="8708" width="14.85546875" bestFit="1" customWidth="1"/>
    <col min="8709" max="8709" width="11.140625" bestFit="1" customWidth="1"/>
    <col min="8963" max="8963" width="10.5703125" bestFit="1" customWidth="1"/>
    <col min="8964" max="8964" width="14.85546875" bestFit="1" customWidth="1"/>
    <col min="8965" max="8965" width="11.140625" bestFit="1" customWidth="1"/>
    <col min="9219" max="9219" width="10.5703125" bestFit="1" customWidth="1"/>
    <col min="9220" max="9220" width="14.85546875" bestFit="1" customWidth="1"/>
    <col min="9221" max="9221" width="11.140625" bestFit="1" customWidth="1"/>
    <col min="9475" max="9475" width="10.5703125" bestFit="1" customWidth="1"/>
    <col min="9476" max="9476" width="14.85546875" bestFit="1" customWidth="1"/>
    <col min="9477" max="9477" width="11.140625" bestFit="1" customWidth="1"/>
    <col min="9731" max="9731" width="10.5703125" bestFit="1" customWidth="1"/>
    <col min="9732" max="9732" width="14.85546875" bestFit="1" customWidth="1"/>
    <col min="9733" max="9733" width="11.140625" bestFit="1" customWidth="1"/>
    <col min="9987" max="9987" width="10.5703125" bestFit="1" customWidth="1"/>
    <col min="9988" max="9988" width="14.85546875" bestFit="1" customWidth="1"/>
    <col min="9989" max="9989" width="11.140625" bestFit="1" customWidth="1"/>
    <col min="10243" max="10243" width="10.5703125" bestFit="1" customWidth="1"/>
    <col min="10244" max="10244" width="14.85546875" bestFit="1" customWidth="1"/>
    <col min="10245" max="10245" width="11.140625" bestFit="1" customWidth="1"/>
    <col min="10499" max="10499" width="10.5703125" bestFit="1" customWidth="1"/>
    <col min="10500" max="10500" width="14.85546875" bestFit="1" customWidth="1"/>
    <col min="10501" max="10501" width="11.140625" bestFit="1" customWidth="1"/>
    <col min="10755" max="10755" width="10.5703125" bestFit="1" customWidth="1"/>
    <col min="10756" max="10756" width="14.85546875" bestFit="1" customWidth="1"/>
    <col min="10757" max="10757" width="11.140625" bestFit="1" customWidth="1"/>
    <col min="11011" max="11011" width="10.5703125" bestFit="1" customWidth="1"/>
    <col min="11012" max="11012" width="14.85546875" bestFit="1" customWidth="1"/>
    <col min="11013" max="11013" width="11.140625" bestFit="1" customWidth="1"/>
    <col min="11267" max="11267" width="10.5703125" bestFit="1" customWidth="1"/>
    <col min="11268" max="11268" width="14.85546875" bestFit="1" customWidth="1"/>
    <col min="11269" max="11269" width="11.140625" bestFit="1" customWidth="1"/>
    <col min="11523" max="11523" width="10.5703125" bestFit="1" customWidth="1"/>
    <col min="11524" max="11524" width="14.85546875" bestFit="1" customWidth="1"/>
    <col min="11525" max="11525" width="11.140625" bestFit="1" customWidth="1"/>
    <col min="11779" max="11779" width="10.5703125" bestFit="1" customWidth="1"/>
    <col min="11780" max="11780" width="14.85546875" bestFit="1" customWidth="1"/>
    <col min="11781" max="11781" width="11.140625" bestFit="1" customWidth="1"/>
    <col min="12035" max="12035" width="10.5703125" bestFit="1" customWidth="1"/>
    <col min="12036" max="12036" width="14.85546875" bestFit="1" customWidth="1"/>
    <col min="12037" max="12037" width="11.140625" bestFit="1" customWidth="1"/>
    <col min="12291" max="12291" width="10.5703125" bestFit="1" customWidth="1"/>
    <col min="12292" max="12292" width="14.85546875" bestFit="1" customWidth="1"/>
    <col min="12293" max="12293" width="11.140625" bestFit="1" customWidth="1"/>
    <col min="12547" max="12547" width="10.5703125" bestFit="1" customWidth="1"/>
    <col min="12548" max="12548" width="14.85546875" bestFit="1" customWidth="1"/>
    <col min="12549" max="12549" width="11.140625" bestFit="1" customWidth="1"/>
    <col min="12803" max="12803" width="10.5703125" bestFit="1" customWidth="1"/>
    <col min="12804" max="12804" width="14.85546875" bestFit="1" customWidth="1"/>
    <col min="12805" max="12805" width="11.140625" bestFit="1" customWidth="1"/>
    <col min="13059" max="13059" width="10.5703125" bestFit="1" customWidth="1"/>
    <col min="13060" max="13060" width="14.85546875" bestFit="1" customWidth="1"/>
    <col min="13061" max="13061" width="11.140625" bestFit="1" customWidth="1"/>
    <col min="13315" max="13315" width="10.5703125" bestFit="1" customWidth="1"/>
    <col min="13316" max="13316" width="14.85546875" bestFit="1" customWidth="1"/>
    <col min="13317" max="13317" width="11.140625" bestFit="1" customWidth="1"/>
    <col min="13571" max="13571" width="10.5703125" bestFit="1" customWidth="1"/>
    <col min="13572" max="13572" width="14.85546875" bestFit="1" customWidth="1"/>
    <col min="13573" max="13573" width="11.140625" bestFit="1" customWidth="1"/>
    <col min="13827" max="13827" width="10.5703125" bestFit="1" customWidth="1"/>
    <col min="13828" max="13828" width="14.85546875" bestFit="1" customWidth="1"/>
    <col min="13829" max="13829" width="11.140625" bestFit="1" customWidth="1"/>
    <col min="14083" max="14083" width="10.5703125" bestFit="1" customWidth="1"/>
    <col min="14084" max="14084" width="14.85546875" bestFit="1" customWidth="1"/>
    <col min="14085" max="14085" width="11.140625" bestFit="1" customWidth="1"/>
    <col min="14339" max="14339" width="10.5703125" bestFit="1" customWidth="1"/>
    <col min="14340" max="14340" width="14.85546875" bestFit="1" customWidth="1"/>
    <col min="14341" max="14341" width="11.140625" bestFit="1" customWidth="1"/>
    <col min="14595" max="14595" width="10.5703125" bestFit="1" customWidth="1"/>
    <col min="14596" max="14596" width="14.85546875" bestFit="1" customWidth="1"/>
    <col min="14597" max="14597" width="11.140625" bestFit="1" customWidth="1"/>
    <col min="14851" max="14851" width="10.5703125" bestFit="1" customWidth="1"/>
    <col min="14852" max="14852" width="14.85546875" bestFit="1" customWidth="1"/>
    <col min="14853" max="14853" width="11.140625" bestFit="1" customWidth="1"/>
    <col min="15107" max="15107" width="10.5703125" bestFit="1" customWidth="1"/>
    <col min="15108" max="15108" width="14.85546875" bestFit="1" customWidth="1"/>
    <col min="15109" max="15109" width="11.140625" bestFit="1" customWidth="1"/>
    <col min="15363" max="15363" width="10.5703125" bestFit="1" customWidth="1"/>
    <col min="15364" max="15364" width="14.85546875" bestFit="1" customWidth="1"/>
    <col min="15365" max="15365" width="11.140625" bestFit="1" customWidth="1"/>
    <col min="15619" max="15619" width="10.5703125" bestFit="1" customWidth="1"/>
    <col min="15620" max="15620" width="14.85546875" bestFit="1" customWidth="1"/>
    <col min="15621" max="15621" width="11.140625" bestFit="1" customWidth="1"/>
    <col min="15875" max="15875" width="10.5703125" bestFit="1" customWidth="1"/>
    <col min="15876" max="15876" width="14.85546875" bestFit="1" customWidth="1"/>
    <col min="15877" max="15877" width="11.140625" bestFit="1" customWidth="1"/>
    <col min="16131" max="16131" width="10.5703125" bestFit="1" customWidth="1"/>
    <col min="16132" max="16132" width="14.85546875" bestFit="1" customWidth="1"/>
    <col min="16133" max="16133" width="11.140625" bestFit="1" customWidth="1"/>
  </cols>
  <sheetData>
    <row r="3" spans="3:15" x14ac:dyDescent="0.25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25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25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25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25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25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25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25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25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25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25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25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25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25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25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25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25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25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25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25">
      <c r="C22" t="s">
        <v>222</v>
      </c>
      <c r="D22" t="s">
        <v>102</v>
      </c>
      <c r="E22" t="s">
        <v>101</v>
      </c>
      <c r="G22">
        <v>31.536000000000001</v>
      </c>
      <c r="J22" s="17" t="s">
        <v>234</v>
      </c>
      <c r="K22" s="17" t="s">
        <v>235</v>
      </c>
      <c r="L22" s="21" t="s">
        <v>17</v>
      </c>
      <c r="M22" s="21" t="s">
        <v>81</v>
      </c>
    </row>
    <row r="23" spans="3:15" x14ac:dyDescent="0.25">
      <c r="C23" s="17" t="s">
        <v>234</v>
      </c>
      <c r="D23" s="17" t="s">
        <v>241</v>
      </c>
      <c r="E23" s="17" t="s">
        <v>236</v>
      </c>
      <c r="F23" s="17">
        <v>1</v>
      </c>
      <c r="J23" s="17" t="str">
        <f>C24</f>
        <v>SUP_SOLCRM</v>
      </c>
      <c r="K23" s="17" t="s">
        <v>243</v>
      </c>
      <c r="L23" s="21" t="s">
        <v>17</v>
      </c>
      <c r="M23" s="21" t="s">
        <v>81</v>
      </c>
    </row>
    <row r="24" spans="3:15" x14ac:dyDescent="0.25">
      <c r="C24" s="17" t="s">
        <v>240</v>
      </c>
      <c r="D24" s="17" t="s">
        <v>241</v>
      </c>
      <c r="E24" s="17" t="s">
        <v>239</v>
      </c>
      <c r="F24" s="17">
        <v>1</v>
      </c>
    </row>
    <row r="25" spans="3:15" x14ac:dyDescent="0.25">
      <c r="C25" s="20" t="s">
        <v>237</v>
      </c>
      <c r="D25" s="20" t="s">
        <v>51</v>
      </c>
      <c r="E25" s="20" t="s">
        <v>36</v>
      </c>
      <c r="F25" s="17"/>
      <c r="G25" s="17">
        <v>31.536000000000001</v>
      </c>
    </row>
    <row r="26" spans="3:15" x14ac:dyDescent="0.25">
      <c r="C26" s="20" t="s">
        <v>237</v>
      </c>
      <c r="D26" s="20" t="s">
        <v>51</v>
      </c>
      <c r="E26" s="20" t="s">
        <v>36</v>
      </c>
      <c r="F26" s="17"/>
      <c r="G26" s="17">
        <v>31.536000000000001</v>
      </c>
    </row>
    <row r="27" spans="3:15" x14ac:dyDescent="0.25">
      <c r="C27" s="20" t="s">
        <v>242</v>
      </c>
      <c r="D27" s="17" t="s">
        <v>34</v>
      </c>
      <c r="E27" s="20" t="s">
        <v>36</v>
      </c>
      <c r="F27" s="17"/>
      <c r="G27" s="17">
        <v>31.536000000000001</v>
      </c>
    </row>
    <row r="28" spans="3:15" x14ac:dyDescent="0.25">
      <c r="C28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workbookViewId="0">
      <selection activeCell="K5" sqref="K5"/>
    </sheetView>
  </sheetViews>
  <sheetFormatPr defaultRowHeight="15" x14ac:dyDescent="0.25"/>
  <cols>
    <col min="3" max="3" width="12" bestFit="1" customWidth="1"/>
    <col min="4" max="4" width="7.85546875" bestFit="1" customWidth="1"/>
    <col min="5" max="5" width="7.42578125" bestFit="1" customWidth="1"/>
    <col min="6" max="6" width="7.28515625" bestFit="1" customWidth="1"/>
    <col min="7" max="7" width="7.7109375" bestFit="1" customWidth="1"/>
    <col min="8" max="8" width="8" bestFit="1" customWidth="1"/>
    <col min="9" max="9" width="8.7109375" bestFit="1" customWidth="1"/>
    <col min="10" max="10" width="7.42578125" bestFit="1" customWidth="1"/>
    <col min="11" max="11" width="8.42578125" bestFit="1" customWidth="1"/>
    <col min="12" max="12" width="7.140625" bestFit="1" customWidth="1"/>
  </cols>
  <sheetData>
    <row r="3" spans="3:26" x14ac:dyDescent="0.25">
      <c r="C3" t="s">
        <v>104</v>
      </c>
    </row>
    <row r="4" spans="3:26" x14ac:dyDescent="0.25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25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25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25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25">
      <c r="E11" t="s">
        <v>231</v>
      </c>
    </row>
    <row r="12" spans="3:26" x14ac:dyDescent="0.25">
      <c r="E12" t="s">
        <v>232</v>
      </c>
    </row>
    <row r="13" spans="3:26" x14ac:dyDescent="0.25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5" x14ac:dyDescent="0.25"/>
  <cols>
    <col min="2" max="2" width="16.85546875" bestFit="1" customWidth="1"/>
    <col min="3" max="3" width="9.28515625" bestFit="1" customWidth="1"/>
    <col min="4" max="4" width="8.42578125" bestFit="1" customWidth="1"/>
    <col min="5" max="5" width="5" bestFit="1" customWidth="1"/>
    <col min="6" max="6" width="11.140625" bestFit="1" customWidth="1"/>
    <col min="7" max="7" width="9.140625" customWidth="1"/>
    <col min="8" max="29" width="5.140625" bestFit="1" customWidth="1"/>
    <col min="30" max="30" width="5.85546875" customWidth="1"/>
    <col min="31" max="31" width="4.28515625" customWidth="1"/>
    <col min="32" max="35" width="5.140625" bestFit="1" customWidth="1"/>
    <col min="36" max="36" width="5" bestFit="1" customWidth="1"/>
  </cols>
  <sheetData>
    <row r="1" spans="1:36" x14ac:dyDescent="0.25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25">
      <c r="G3" t="s">
        <v>118</v>
      </c>
    </row>
    <row r="4" spans="1:36" x14ac:dyDescent="0.25">
      <c r="G4" t="s">
        <v>119</v>
      </c>
    </row>
    <row r="5" spans="1:36" x14ac:dyDescent="0.25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25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25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25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25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25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25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25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25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25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25">
      <c r="A16" s="4" t="s">
        <v>1</v>
      </c>
      <c r="B16" s="4"/>
      <c r="C16" s="4"/>
      <c r="D16" s="4"/>
      <c r="E16" s="4"/>
      <c r="F16" s="4"/>
      <c r="G16" s="4"/>
    </row>
    <row r="17" spans="1:36" x14ac:dyDescent="0.25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25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25">
      <c r="G20" t="s">
        <v>157</v>
      </c>
    </row>
    <row r="21" spans="1:36" x14ac:dyDescent="0.25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25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25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25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25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25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25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25">
      <c r="C28" t="s">
        <v>54</v>
      </c>
      <c r="I28">
        <v>0.3</v>
      </c>
    </row>
    <row r="29" spans="1:36" x14ac:dyDescent="0.25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25">
      <c r="C30" t="s">
        <v>55</v>
      </c>
      <c r="I30">
        <v>50</v>
      </c>
    </row>
    <row r="31" spans="1:36" x14ac:dyDescent="0.25">
      <c r="C31" t="s">
        <v>103</v>
      </c>
      <c r="I31">
        <v>31.536000000000001</v>
      </c>
    </row>
    <row r="32" spans="1:36" x14ac:dyDescent="0.25">
      <c r="C32" t="s">
        <v>158</v>
      </c>
      <c r="H32">
        <v>2</v>
      </c>
    </row>
    <row r="33" spans="5:36" x14ac:dyDescent="0.25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25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25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25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25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25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25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25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25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25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25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25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25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25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25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25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25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25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25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25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25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25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25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25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25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25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25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25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25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25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25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25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25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25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25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25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25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25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25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25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25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25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5" x14ac:dyDescent="0.25"/>
  <cols>
    <col min="4" max="4" width="14" bestFit="1" customWidth="1"/>
    <col min="5" max="5" width="3.28515625" bestFit="1" customWidth="1"/>
    <col min="6" max="6" width="3.140625" bestFit="1" customWidth="1"/>
    <col min="7" max="7" width="3.42578125" bestFit="1" customWidth="1"/>
    <col min="8" max="8" width="3.140625" bestFit="1" customWidth="1"/>
    <col min="9" max="9" width="4" bestFit="1" customWidth="1"/>
    <col min="10" max="10" width="3.42578125" bestFit="1" customWidth="1"/>
    <col min="11" max="12" width="3" bestFit="1" customWidth="1"/>
    <col min="13" max="13" width="3.140625" bestFit="1" customWidth="1"/>
    <col min="14" max="14" width="3.42578125" bestFit="1" customWidth="1"/>
    <col min="15" max="15" width="3.5703125" bestFit="1" customWidth="1"/>
    <col min="16" max="16" width="3" bestFit="1" customWidth="1"/>
    <col min="17" max="17" width="2.5703125" bestFit="1" customWidth="1"/>
    <col min="18" max="18" width="3" bestFit="1" customWidth="1"/>
    <col min="19" max="20" width="3.140625" bestFit="1" customWidth="1"/>
    <col min="21" max="21" width="4" bestFit="1" customWidth="1"/>
    <col min="22" max="22" width="3.85546875" bestFit="1" customWidth="1"/>
    <col min="23" max="23" width="3.28515625" bestFit="1" customWidth="1"/>
    <col min="24" max="24" width="3.85546875" bestFit="1" customWidth="1"/>
    <col min="25" max="25" width="4" bestFit="1" customWidth="1"/>
    <col min="26" max="26" width="3.5703125" bestFit="1" customWidth="1"/>
    <col min="27" max="27" width="3.140625" bestFit="1" customWidth="1"/>
    <col min="28" max="28" width="3" bestFit="1" customWidth="1"/>
    <col min="29" max="29" width="2.5703125" bestFit="1" customWidth="1"/>
    <col min="30" max="30" width="3.140625" bestFit="1" customWidth="1"/>
    <col min="31" max="31" width="4" bestFit="1" customWidth="1"/>
    <col min="33" max="33" width="32" bestFit="1" customWidth="1"/>
    <col min="34" max="34" width="8.7109375" bestFit="1" customWidth="1"/>
    <col min="35" max="62" width="5.5703125" bestFit="1" customWidth="1"/>
  </cols>
  <sheetData>
    <row r="4" spans="3:62" x14ac:dyDescent="0.25">
      <c r="C4" t="s">
        <v>159</v>
      </c>
      <c r="D4" t="s">
        <v>118</v>
      </c>
    </row>
    <row r="5" spans="3:62" x14ac:dyDescent="0.25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25">
      <c r="C6" t="s">
        <v>169</v>
      </c>
    </row>
    <row r="7" spans="3:62" x14ac:dyDescent="0.25">
      <c r="C7" t="s">
        <v>170</v>
      </c>
      <c r="AG7" s="7" t="s">
        <v>171</v>
      </c>
    </row>
    <row r="8" spans="3:62" x14ac:dyDescent="0.25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25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25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25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25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25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25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25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25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25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25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25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25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25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25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25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25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25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25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25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25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25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25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25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25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25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25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25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25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25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25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25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25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25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25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25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25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25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25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25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25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25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25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25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25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25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25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25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25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25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25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25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25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25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25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25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25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25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25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25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25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25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25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25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25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25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25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25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25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25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25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25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25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25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25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25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25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25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25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25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25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25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25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25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25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25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25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25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25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25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25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25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25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25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25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25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25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25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25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25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25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25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25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25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25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25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25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25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25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25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25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25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25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25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25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25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25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25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25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25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25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25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25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25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25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25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25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25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25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5" x14ac:dyDescent="0.25"/>
  <cols>
    <col min="1" max="1" width="37.7109375" customWidth="1"/>
    <col min="2" max="2" width="16.28515625" customWidth="1"/>
    <col min="3" max="3" width="5.5703125" customWidth="1"/>
    <col min="4" max="4" width="4.5703125" customWidth="1"/>
    <col min="5" max="5" width="5.5703125" customWidth="1"/>
    <col min="6" max="6" width="4.5703125" customWidth="1"/>
    <col min="7" max="7" width="5.5703125" customWidth="1"/>
    <col min="8" max="8" width="6.5703125" customWidth="1"/>
    <col min="9" max="10" width="5.5703125" customWidth="1"/>
    <col min="11" max="12" width="4.5703125" customWidth="1"/>
    <col min="13" max="14" width="5.5703125" customWidth="1"/>
    <col min="15" max="15" width="4.5703125" customWidth="1"/>
    <col min="16" max="16" width="5.5703125" customWidth="1"/>
    <col min="17" max="17" width="4.5703125" customWidth="1"/>
    <col min="18" max="18" width="5.5703125" customWidth="1"/>
    <col min="19" max="19" width="4.5703125" customWidth="1"/>
    <col min="20" max="20" width="5.5703125" customWidth="1"/>
    <col min="21" max="21" width="4.5703125" customWidth="1"/>
    <col min="22" max="22" width="5.5703125" customWidth="1"/>
    <col min="23" max="26" width="4.5703125" customWidth="1"/>
    <col min="27" max="28" width="5.5703125" customWidth="1"/>
    <col min="29" max="29" width="6.5703125" customWidth="1"/>
    <col min="30" max="30" width="4.5703125" customWidth="1"/>
    <col min="31" max="33" width="5.5703125" customWidth="1"/>
    <col min="34" max="34" width="4.5703125" customWidth="1"/>
    <col min="35" max="35" width="5.5703125" customWidth="1"/>
    <col min="36" max="36" width="4.5703125" customWidth="1"/>
    <col min="37" max="38" width="6.5703125" customWidth="1"/>
    <col min="39" max="39" width="4.5703125" customWidth="1"/>
    <col min="40" max="40" width="11.28515625" bestFit="1" customWidth="1"/>
  </cols>
  <sheetData>
    <row r="3" spans="1:39" x14ac:dyDescent="0.25">
      <c r="A3" t="s">
        <v>159</v>
      </c>
      <c r="B3" t="s">
        <v>118</v>
      </c>
    </row>
    <row r="4" spans="1:39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25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25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25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25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25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25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25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25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25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5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25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25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25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25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25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25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25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25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25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25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25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25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25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25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25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25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25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25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25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25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25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25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25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25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25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25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25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25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25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25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25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25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25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25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25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25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25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25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25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25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25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25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25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25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25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25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25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25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25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25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25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25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25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25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25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25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25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25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25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25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25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25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25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25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25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25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25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25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25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25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25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25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25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25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25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25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25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25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25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25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25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25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25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25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25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25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25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25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25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25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25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25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25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25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25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25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25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25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25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25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25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25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25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25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25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25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25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25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25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25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25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25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25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25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5" x14ac:dyDescent="0.25"/>
  <sheetData>
    <row r="1" spans="1:70" x14ac:dyDescent="0.25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25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25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25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25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25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25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25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25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25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25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25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25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25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25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25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25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25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25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25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25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25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25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25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25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25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25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25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25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25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25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25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25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25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25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25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25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25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25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25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25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25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25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25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25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25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25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25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25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25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25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25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25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25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25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25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25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25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25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25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25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25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25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25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25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25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25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25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25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25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25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25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25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25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25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25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25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25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25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25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25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25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25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25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25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25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25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25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25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25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25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25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25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25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25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25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25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25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25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25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25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25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25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25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25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25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25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25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25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25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25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25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25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25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25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25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25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25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25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25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25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25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25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25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25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25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25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25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25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25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25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25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25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25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25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25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25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25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25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25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25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25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25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25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25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25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25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25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25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25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25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25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25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25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25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25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25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25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25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25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25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25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25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25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25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25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25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25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25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25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25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25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25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25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25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25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25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25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25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25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25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25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25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25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25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25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25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25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25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25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25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25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25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25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25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25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25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25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25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25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25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25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25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25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25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25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25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25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25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25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25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25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25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25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25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25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25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25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25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25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25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25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25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25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25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25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25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25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25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25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25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25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25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25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25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25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25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25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25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25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25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25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25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25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25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25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25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25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25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25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25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25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25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25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25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25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25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25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25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25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25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25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25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25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25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25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25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25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25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25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25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25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25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25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25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25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25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25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25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25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25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25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25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25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25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25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25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25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25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25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25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25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25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25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25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25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25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25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25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25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25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25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25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25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25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25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25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25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25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25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25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25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25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25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25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25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25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25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25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25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25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25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25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25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25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25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25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25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25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25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25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25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25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25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25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25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25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25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25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25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25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25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25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25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25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25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25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25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25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25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25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25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25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25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25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25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25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25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25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25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25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25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25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25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25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25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25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25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25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25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25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25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25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25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25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25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25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25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25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25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25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25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25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25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25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25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25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25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25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25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25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25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25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25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25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25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25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25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25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25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25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25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25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25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25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25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25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25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25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25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25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25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25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25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25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25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25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25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25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25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25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25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25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25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25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25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25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25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25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25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25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25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25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25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25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25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25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25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25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25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25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25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25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25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25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25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25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25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25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25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25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25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25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25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25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25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25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25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25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25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25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25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25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25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25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25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25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25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25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25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25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25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25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25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25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25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25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25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25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25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25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25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25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25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25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25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25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25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25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25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25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25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25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25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25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25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25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25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25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25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25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25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25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25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25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25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25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25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25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25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25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25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25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25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25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25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25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25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25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25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25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25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25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25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25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25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25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25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25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25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25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25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25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25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25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25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25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25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25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25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25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25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25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25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25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25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25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25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25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25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25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25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25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25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25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25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25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25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25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25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25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25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25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25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25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25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25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25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25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25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25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25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25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25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25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25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25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25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25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25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25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25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25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25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25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25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25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25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25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25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25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25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25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25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25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25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25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25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25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25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25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25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25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25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25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25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25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25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25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25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25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25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25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25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25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25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25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25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25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25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25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25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25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25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25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25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25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25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25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25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25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25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25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25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25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25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25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25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25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25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25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25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25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25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25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25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25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25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25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25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25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25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25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25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25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25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25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25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25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25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25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25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25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25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25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25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25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25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25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25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25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25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25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25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25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25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25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25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25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25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25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25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25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25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25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25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25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25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25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25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25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25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25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25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25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25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25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25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25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25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25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25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25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25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25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25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25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25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25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25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25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25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25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25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25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25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25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25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25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25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25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25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25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25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25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25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25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25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25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25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25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25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25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25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25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25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25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25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25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25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25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25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25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25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25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25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25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25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25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25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25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25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25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25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25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25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25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25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25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25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25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25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25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25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25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25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25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25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25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25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25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25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25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25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25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25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25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25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25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25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25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25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25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25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25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25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25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25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25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25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25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25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25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25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25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25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25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25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25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25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25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25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25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25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25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25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25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25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25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25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25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25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25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25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25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25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25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25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25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25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25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25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25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25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25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25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25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25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25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25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25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25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25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25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25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25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25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25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25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25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25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25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25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25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25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25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25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25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25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25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25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25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25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25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25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25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25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25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25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25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25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25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25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25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25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25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25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25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25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25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25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25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25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25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25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25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25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25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25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25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25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25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25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25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25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25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25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25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25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25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25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25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25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25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25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25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25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25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25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25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25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25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25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25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25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25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25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25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25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25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25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25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25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25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25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25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25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25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25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25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25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25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25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25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25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25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25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25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25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25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25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25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25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25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25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25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25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25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25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25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25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25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25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25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25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25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25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25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25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25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25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25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25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25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25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25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25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25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25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25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25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25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25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25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25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25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25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25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25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25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25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25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25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25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25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25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25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25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25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25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25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25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25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25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25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25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25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25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25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25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25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25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25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25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25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25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25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25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25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25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25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25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25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25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25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25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25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25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25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25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25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25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25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25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25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25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25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25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25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25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25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25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25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25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25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25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25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25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25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25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25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25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25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25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25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25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25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25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25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25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25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25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25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25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25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25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25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25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25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25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25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25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25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25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25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25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25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25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25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25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25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25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25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25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25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25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25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25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25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25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25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25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25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25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25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25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25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25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25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25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25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25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25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25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25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25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25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25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25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25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25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25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25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25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25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25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25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25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25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25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25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25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25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25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25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25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25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25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25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25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25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25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25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25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25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25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25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25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25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25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25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25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25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25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25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25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25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25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25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25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25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25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25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25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25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25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25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25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25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25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25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25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25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25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25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25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25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25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25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25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25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25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25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25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25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25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25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25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25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25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25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25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25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25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25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25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25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25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25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25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25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25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25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25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25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25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25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25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25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25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25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25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25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25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25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25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25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25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25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25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25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25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25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25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25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25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25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25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25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25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25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25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25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25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25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25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25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25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25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25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25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25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25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25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25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25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25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25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25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25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25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25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25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25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25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25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25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25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25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25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25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25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25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25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25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25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25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25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25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25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25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25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25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25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25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25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25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25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25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25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25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25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25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25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25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25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25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25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25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25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25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25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25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25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25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25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25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25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25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25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25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25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25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25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25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25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25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25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25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25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25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25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25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25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25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25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25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25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25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25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25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25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25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25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25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25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25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25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25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25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25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25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25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25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25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25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25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25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25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25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25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25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25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25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25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25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25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25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25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25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25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25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25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25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25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25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25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25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25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25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25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25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25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25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25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25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25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25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25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25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25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25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25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25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25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25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25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25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25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25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25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25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25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25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25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25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25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25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25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25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25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25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25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25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25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25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25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25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25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25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25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25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25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25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25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25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25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25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25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25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25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25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25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25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25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25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25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25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25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25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25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25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25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25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25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25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25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25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25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25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25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25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25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25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25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25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25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25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25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25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25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25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25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25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25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25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25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25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25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25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25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25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25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25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25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25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25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25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25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25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25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25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25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25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25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25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25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25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25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25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25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25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25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25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25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25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25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25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25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25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25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25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25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25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25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25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25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25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25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25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25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25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25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25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25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25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25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25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25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25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25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25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25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25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25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25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25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25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25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25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25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25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25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25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25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25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25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25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25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25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25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25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25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25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25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25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25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25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25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25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25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25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25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25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25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25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25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25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25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25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25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25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25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25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25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25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25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25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25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25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25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25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25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25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25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25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25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25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25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25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25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25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25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25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25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25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25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25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25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25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25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25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25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25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25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25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25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25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25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25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25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25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25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25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25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25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25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25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25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25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25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25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25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25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25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25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25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25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25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25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25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25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25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25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25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25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25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25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25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25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25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25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25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25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25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25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25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25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25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25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25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25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25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25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25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25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25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25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25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25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25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25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25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25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25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25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25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25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25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25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25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25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25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25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25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25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25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25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25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25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25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25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25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25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25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25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25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25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25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25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25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25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25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25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25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25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25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25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25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25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25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25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25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25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25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25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25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25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25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25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25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25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25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25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25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25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25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25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25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25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25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25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25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25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25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25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25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25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25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25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25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25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25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25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25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25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25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25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25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25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25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25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25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25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25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25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25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25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25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25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25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25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25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25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25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25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25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25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25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25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25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25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25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25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25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25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25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25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25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25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25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25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25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25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25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25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25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25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25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25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25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25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25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25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25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25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25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25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25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25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25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25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25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25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25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25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25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25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25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25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25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25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25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25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25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25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25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25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25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25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25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25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25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25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25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25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25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25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25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25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25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25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25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25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25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25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25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25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25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25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25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25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25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25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25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25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25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25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25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25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25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25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25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25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25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25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25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25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25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25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25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25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25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25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25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25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25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25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25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25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25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25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25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25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25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25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25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25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25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25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25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25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25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25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25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25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25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25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25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25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25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25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25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25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25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25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25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25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25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25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25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25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25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25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25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25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25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25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25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25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25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25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25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25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25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25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25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25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25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25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25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25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25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25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25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25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25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25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25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25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25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25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25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25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25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25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25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25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25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25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25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25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25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25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25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25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25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25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25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25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25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25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25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25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25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25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25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25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25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25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25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25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25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25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25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25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25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25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25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25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25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25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25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25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25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25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25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25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25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25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25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25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25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25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25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25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25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25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25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25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25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25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25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25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25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25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25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25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25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25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25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25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25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25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25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25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25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25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25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25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25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25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25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25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25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25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25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25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25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25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25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25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25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25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25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25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25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25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25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25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25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25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25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25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25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25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25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25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25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25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25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25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25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25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25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25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25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25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25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25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25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25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25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25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25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25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25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25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25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25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25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25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25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25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25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25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25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25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25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25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25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25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25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25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25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25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25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25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25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25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25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25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25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25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25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25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25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25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25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25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25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25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25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25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25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25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25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25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25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25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25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25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25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25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25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25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25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25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25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25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25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25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25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25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25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25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25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25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25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25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25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25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25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25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25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25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25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25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25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25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25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25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25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25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25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25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25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25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25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25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25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25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25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25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25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25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25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25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25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25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25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25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25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25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25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25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25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25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25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25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25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25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25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25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25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25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25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25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25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25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25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25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25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25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25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25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25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25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25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25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25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25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25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25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25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25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25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25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25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25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25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25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25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25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25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25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25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25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25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25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25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25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25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25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25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25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25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25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25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25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25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25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25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25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25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25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25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25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25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25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25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25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25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25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25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25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25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25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25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25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25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25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25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25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25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25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25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25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25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25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25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25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25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25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25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25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25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25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25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25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25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25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25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25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25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25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25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25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25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25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25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25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25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25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25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25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25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25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25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25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25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25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25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25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25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25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25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25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25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25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25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25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25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25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25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25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25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25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25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25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25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25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25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25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25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25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25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25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25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25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25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25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25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25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25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25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25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25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25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25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25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25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25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25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25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25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25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25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25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25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25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25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25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25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25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25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25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25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25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25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25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25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25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25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25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25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25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25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25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25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25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25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25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25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25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25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25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25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25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25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25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25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25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25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25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25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25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25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25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25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25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25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25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25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25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25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25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25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25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25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25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25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25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25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25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25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25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25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25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25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25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25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25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25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25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25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25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25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25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25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25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25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25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25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25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25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25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25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25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25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25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25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25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25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25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25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25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25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25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25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25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25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25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25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25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25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25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25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25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25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25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25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25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25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25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25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25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25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25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25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25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25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25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25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25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25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25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25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25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25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25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25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25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25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25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25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25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25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25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25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25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25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25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25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25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25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25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25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25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25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25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25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25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25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25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25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25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25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25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25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25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25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25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25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25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25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25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25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25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25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25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25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25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25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25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25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25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25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25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25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25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25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25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25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25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25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25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25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25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25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25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25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25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25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25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25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25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25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25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25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25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25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25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25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25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25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25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25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25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25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25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25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25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25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25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25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25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25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25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25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25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25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25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25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25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25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25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25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25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25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25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25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25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25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25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25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25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25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25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25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25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25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25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25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25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25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25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25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25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25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25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25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25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25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25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25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25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25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25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25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25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25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25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25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25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25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25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25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25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25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25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25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25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25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25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25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25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25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25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25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25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25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25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25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25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25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25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25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25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25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25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25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25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25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25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25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25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25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25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25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25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25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25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25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25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25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25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25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25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25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25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25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25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25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25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25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25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25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25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25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25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25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25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25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25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25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25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25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25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25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25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25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25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25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25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25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25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25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25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25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25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25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25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25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25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25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25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25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25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25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25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25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25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25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25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25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25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25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25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25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25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25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25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25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25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25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25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25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25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25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25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25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25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25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25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25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25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25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25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25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25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25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25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25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25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25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25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25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25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25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25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25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25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25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25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25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25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25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25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25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25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25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25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25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25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25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25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25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25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25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25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25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25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25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25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25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25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25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25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25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25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25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25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25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25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25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25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25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25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25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25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25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25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25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25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25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25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25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25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25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25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25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25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25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25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25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25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25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25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25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25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25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25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25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25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25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25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25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25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25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25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25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25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25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25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25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25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25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25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25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25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25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25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25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25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25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25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25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25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25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25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25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25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25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25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25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25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25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25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25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25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25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25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25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25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25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25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25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25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25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25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25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25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25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25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25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25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25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25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25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25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25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25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25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25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25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25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25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25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25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25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25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25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25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25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25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25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25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25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25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25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25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25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25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25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25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25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25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25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25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25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25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25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25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25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25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25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25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25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25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25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25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25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25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25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25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25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25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25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25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25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25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25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25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25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25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25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25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25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25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25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25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25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25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25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25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25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25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25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25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25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25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25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25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25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25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25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25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25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25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25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25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25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25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25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25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25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25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25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25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25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25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25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25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25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25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25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25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25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25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25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25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25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25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25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25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25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25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25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25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25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25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25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25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25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25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25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25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25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25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25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25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25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25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25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25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25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25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25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25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25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25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25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25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25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25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25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25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25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25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25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25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25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25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25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25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25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25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25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25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25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25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25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25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25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25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25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25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25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25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25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25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25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25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25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25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25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25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25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25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25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25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25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25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25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25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25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25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25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25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25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25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25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25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25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25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25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25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25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25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25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25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25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25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25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25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25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25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25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25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25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25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25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25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25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25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25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25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25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25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25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25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25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25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25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25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25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25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25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25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25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25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25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25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25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25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25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25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25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25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25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25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25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25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25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25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25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25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25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25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25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25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25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25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25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25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25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25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25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25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25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25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25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25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25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25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25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25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25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25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25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25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25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25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25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25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25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25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25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25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25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25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25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25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25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25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25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25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25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25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25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25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25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25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25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25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25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25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25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25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25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25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25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25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25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25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25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25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25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25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25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25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25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25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25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25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25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25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25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25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25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25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25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25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25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25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25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25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25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25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25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25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25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25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25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25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25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25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25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25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25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25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25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25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25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25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25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25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25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25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25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25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25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25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25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25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25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25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25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25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25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25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25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25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25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25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25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25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25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25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25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25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25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25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25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25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25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25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25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25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25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25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25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25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25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25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25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25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25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25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25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25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25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25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25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25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25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25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25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25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25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25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25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25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25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25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25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25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25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25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25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25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25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25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25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25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25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25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25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25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25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25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25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25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25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25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25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25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25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25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25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25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25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25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25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25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25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25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25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25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25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25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25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25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25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25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25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25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25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25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25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25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25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25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25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25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25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25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25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25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25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25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25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25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25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25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25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25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25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25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25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25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25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25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25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25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25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25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25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25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25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25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25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25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25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25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25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25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25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25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25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25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25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25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25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25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25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25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25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25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25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25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25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25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25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25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25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25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25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25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25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25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25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25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25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25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25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25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25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25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25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25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25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25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25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25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25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25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25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25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25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25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25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25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25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25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25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25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25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25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25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25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25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25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25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25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25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25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25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25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25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25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25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25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25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25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25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25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25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25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25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25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25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25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25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25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25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25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25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25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25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25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25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25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25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25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25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25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25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25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25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25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25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25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25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25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25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25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25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25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25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25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25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25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25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25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25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25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25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25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25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25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25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25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25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25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25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25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25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25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25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25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25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25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25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25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25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25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25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25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25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25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25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25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25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25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25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25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25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25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25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25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25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25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25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25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25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25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25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25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25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25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25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25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25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25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25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25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25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25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25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25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25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25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25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25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25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25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25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25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25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25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25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25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25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25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25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25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25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25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25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25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25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25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25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25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25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25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25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25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25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25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25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25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25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25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25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25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25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25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25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25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25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25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25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25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25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25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25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25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25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25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25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25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25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25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25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25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25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25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25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25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25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25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25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25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25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25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25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25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25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25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25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25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25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25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25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25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25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25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25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25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25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25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25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25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25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25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25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25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25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25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25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25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25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25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25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25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25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25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25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25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25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25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25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25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25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25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25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25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25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25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25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25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25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25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25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25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25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25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25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25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25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25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25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25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25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25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25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25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25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25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25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25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25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25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25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25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25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25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25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25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25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25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25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25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25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25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25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25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25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25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25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25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25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25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25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25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25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25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25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25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25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25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25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25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25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25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25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25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25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25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25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25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25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25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25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25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25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25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25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25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25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25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25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25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25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25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25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25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25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25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25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25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25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25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25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25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25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25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25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25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25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25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25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25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25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25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25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25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25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25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25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25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25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25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25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25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25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25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25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25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25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25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25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25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25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25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25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25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25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25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25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25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25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25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25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25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25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25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25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25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25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25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25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25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25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25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25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25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25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25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25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25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25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25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25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25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25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25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25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25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25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25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25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25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25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25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25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25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25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25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25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25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25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25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25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25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25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25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25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25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25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25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25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25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25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25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25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25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25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25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25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25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25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25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25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25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25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25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25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25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25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25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25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25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25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25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25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25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25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25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25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25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25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25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25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25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25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25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25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25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25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25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25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25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25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25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25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25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25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25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25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25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25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25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25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25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25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25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25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25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25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25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25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25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25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25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25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25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25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25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25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25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25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25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25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25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25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25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25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25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25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25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25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25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25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25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25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25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25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25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25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25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25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25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25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25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25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25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25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25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25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25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25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25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25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25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25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25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25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25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25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25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25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25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25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25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25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25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25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25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25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25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25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25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25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25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25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25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25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25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25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25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25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25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25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25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25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25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25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25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25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25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25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25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25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25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25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25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25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25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25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25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25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25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25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25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25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25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25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25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25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25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25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25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25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25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25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25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25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25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25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25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25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25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25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25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25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25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25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25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25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25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25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25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25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25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25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25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25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25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25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25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25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25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25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25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25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25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25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25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25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25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25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25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25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25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25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25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25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25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25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25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25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25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25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25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25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25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25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25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25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25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25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25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25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25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25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25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25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25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25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25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25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25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25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25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25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25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25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25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25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25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25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25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25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25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25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25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25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25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25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25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25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25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25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25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25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25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25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25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25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25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25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25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25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25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25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25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25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25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25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25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25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25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25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25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25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25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25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25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25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25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25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25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25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25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25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25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25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25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25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25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25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25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25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25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25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25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25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25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25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25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25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25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25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25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25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25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25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25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25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25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25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25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25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25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25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25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25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2026-01-29T08:39:15Z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