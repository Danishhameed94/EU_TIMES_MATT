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uliana.barbosa\Downloads\EU_TIMES_MATT-main\EU_TIMES_MATT-main\"/>
    </mc:Choice>
  </mc:AlternateContent>
  <xr:revisionPtr revIDLastSave="0" documentId="13_ncr:1_{71F391EC-E060-4945-A9F7-38DD6B38BBD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3" i="4" l="1"/>
  <c r="B32" i="4"/>
  <c r="B31" i="4"/>
  <c r="B30" i="4"/>
  <c r="Q31" i="4"/>
  <c r="Q30" i="4"/>
  <c r="H7" i="2"/>
  <c r="H6" i="2"/>
  <c r="Z22" i="3"/>
  <c r="Z21" i="3"/>
  <c r="J19" i="4"/>
  <c r="J7" i="4"/>
  <c r="I22" i="3"/>
  <c r="I4" i="4" l="1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8" i="4" l="1"/>
  <c r="B37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<sst xmlns="http://schemas.openxmlformats.org/spreadsheetml/2006/main" count="16689" uniqueCount="239">
  <si>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</si>
  <si>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</si>
  <si>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</si>
  <si>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</si>
  <si>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</si>
  <si>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</si>
  <si>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</si>
  <si>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</si>
  <si>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</si>
  <si>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</si>
  <si>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</si>
  <si>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</si>
  <si>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</si>
  <si>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</si>
  <si>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</si>
  <si>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</si>
  <si>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</si>
  <si>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</si>
  <si>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</si>
  <si>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</si>
  <si>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</si>
  <si>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</si>
  <si>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</si>
  <si>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</si>
  <si>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</si>
  <si>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</si>
  <si>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</si>
  <si>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</si>
  <si>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</si>
  <si>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</si>
  <si>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</si>
  <si>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</si>
  <si>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</si>
  <si>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</si>
  <si>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</si>
  <si>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</si>
  <si>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</si>
  <si>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</si>
  <si>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</si>
  <si>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</si>
  <si>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</si>
  <si>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</si>
  <si>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</si>
  <si>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</si>
  <si>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</si>
  <si>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</si>
  <si>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</si>
  <si>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</si>
  <si>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</si>
  <si>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</si>
  <si>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</si>
  <si>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</si>
  <si>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</si>
  <si>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</si>
  <si>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</si>
  <si>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</si>
  <si>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</si>
  <si>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</si>
  <si>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</si>
  <si>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</si>
  <si>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</si>
  <si>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</si>
  <si>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</si>
  <si>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</si>
  <si>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</si>
  <si>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</si>
  <si>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</si>
  <si>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</si>
  <si>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</si>
  <si>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</si>
  <si>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</si>
  <si>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</si>
  <si>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</si>
  <si>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</si>
  <si>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</si>
  <si>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</si>
  <si>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</si>
  <si>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</si>
  <si>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</si>
  <si>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</si>
  <si>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</si>
  <si>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</si>
  <si>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</si>
  <si>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</si>
  <si>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</si>
  <si>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</si>
  <si>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</si>
  <si>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</si>
  <si>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</si>
  <si>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</si>
  <si>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</si>
  <si>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</si>
  <si>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</si>
  <si>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</si>
  <si>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</si>
  <si>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</si>
  <si>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</si>
  <si>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</si>
  <si>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</si>
  <si>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</si>
  <si>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</si>
  <si>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</si>
  <si>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</si>
  <si>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</si>
  <si>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</si>
  <si>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</si>
  <si>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</si>
  <si>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</si>
  <si>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</si>
  <si>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</si>
  <si>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</si>
  <si>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</si>
  <si>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</si>
  <si>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</si>
  <si>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</si>
  <si>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</si>
  <si>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</si>
  <si>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</si>
  <si>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</si>
  <si>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</si>
  <si>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</si>
  <si>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</si>
  <si>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</si>
  <si>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</si>
  <si>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</si>
  <si>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</si>
  <si>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</si>
  <si>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</si>
  <si>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</si>
  <si>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</si>
  <si>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</si>
  <si>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</si>
  <si>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</si>
  <si>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</si>
  <si>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</si>
  <si>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</si>
  <si>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</si>
  <si>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</si>
  <si>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</si>
  <si>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</si>
  <si>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</si>
  <si>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</si>
  <si>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</si>
  <si>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</si>
  <si>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</si>
  <si>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</si>
  <si>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</si>
  <si>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</si>
  <si>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</si>
  <si>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</si>
  <si>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</si>
  <si>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</si>
  <si>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</si>
  <si>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</si>
  <si>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</si>
  <si>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</si>
  <si>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</si>
  <si>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</si>
  <si>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</si>
  <si>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</si>
  <si>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</si>
  <si>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</si>
  <si>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</si>
  <si>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</si>
  <si>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</si>
  <si>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</si>
  <si>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</si>
  <si>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</si>
  <si>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</si>
  <si>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</si>
  <si>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</si>
  <si>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</si>
  <si>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</si>
  <si>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</si>
  <si>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</si>
  <si>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</si>
  <si>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</si>
  <si>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</si>
  <si>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</si>
  <si>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</si>
  <si>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</si>
  <si>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</si>
  <si>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</si>
  <si>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</si>
  <si>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</si>
  <si>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</si>
  <si>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</si>
  <si>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</si>
  <si>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</si>
  <si>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</si>
  <si>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</si>
  <si>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</si>
  <si>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</si>
  <si>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</si>
  <si>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</si>
  <si>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</si>
  <si>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</si>
  <si>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</si>
  <si>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</si>
  <si>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</si>
  <si>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</si>
  <si>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</si>
  <si>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</si>
  <si>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</si>
  <si>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</si>
  <si>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</si>
  <si>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</si>
  <si>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</si>
  <si>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</si>
  <si>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</si>
  <si>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</si>
  <si>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</si>
  <si>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</si>
  <si>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</si>
  <si>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</si>
  <si>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</si>
  <si>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</si>
  <si>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</si>
  <si>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</si>
  <si>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</si>
  <si>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</si>
  <si>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</si>
  <si>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</si>
  <si>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</si>
  <si>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</si>
  <si>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</si>
  <si>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</si>
  <si>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</si>
  <si>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</si>
  <si>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</si>
  <si>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</si>
  <si>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</si>
  <si>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</si>
  <si>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</si>
  <si>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SUP_REE</t>
  </si>
  <si>
    <t>Supply of Rare Earths (Nd/Pr)</t>
  </si>
  <si>
    <t>CR_REE</t>
  </si>
  <si>
    <t>NEPP_windON</t>
  </si>
  <si>
    <t>NEPP_windOFF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</si>
</sst>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3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u/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5">
    <xf numFmtId="0" fontId="0" fillId="0" borderId="0" xfId="0"/>
    <xf numFmtId="0" fontId="1" fillId="0" borderId="0" xfId="39"/>
    <xf numFmtId="0" fontId="2" fillId="0" borderId="0" xfId="39" applyFont="1"/>
    <xf numFmtId="164" fontId="1" fillId="0" borderId="0" xfId="39" applyNumberFormat="1"/>
    <xf numFmtId="164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164" fontId="30" fillId="0" borderId="0" xfId="39" applyNumberFormat="1" applyFont="1"/>
    <xf numFmtId="0" fontId="30" fillId="0" borderId="0" xfId="39" applyFont="1"/>
    <xf numFmtId="164" fontId="29" fillId="0" borderId="0" xfId="0" applyNumberFormat="1" applyFont="1"/>
    <xf numFmtId="0" fontId="23" fillId="0" borderId="0" xfId="0" applyFont="1"/>
    <xf numFmtId="0" fontId="1" fillId="28" borderId="0" xfId="39" applyFill="1"/>
    <xf numFmtId="0" fontId="31" fillId="0" borderId="0" xfId="39" applyFont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Correto" xfId="49" builtinId="26"/>
    <cellStyle name="Ellenőrzőcella" xfId="25" xr:uid="{00000000-0005-0000-0000-000018000000}"/>
    <cellStyle name="Entrada" xfId="50" builtinId="20"/>
    <cellStyle name="Ezres_vegleges_en" xfId="26" xr:uid="{00000000-0005-0000-0000-000019000000}"/>
    <cellStyle name="Figyelmeztetés" xfId="27" xr:uid="{00000000-0005-0000-0000-00001A000000}"/>
    <cellStyle name="Hivatkozott cella" xfId="28" xr:uid="{00000000-0005-0000-0000-00001C000000}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o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a" xfId="51" builtinId="10"/>
    <cellStyle name="Összesen" xfId="43" xr:uid="{00000000-0005-0000-0000-000030000000}"/>
    <cellStyle name="Percentagem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6"/>
  <sheetViews>
    <sheetView tabSelected="1" zoomScale="90" zoomScaleNormal="90" workbookViewId="0">
      <pane xSplit="4" ySplit="2" topLeftCell="E11" activePane="bottomRight" state="frozen"/>
      <selection pane="topRight" activeCell="E1" sqref="E1"/>
      <selection pane="bottomLeft" activeCell="A3" sqref="A3"/>
      <selection pane="bottomRight" activeCell="M32" sqref="M32"/>
    </sheetView>
  </sheetViews>
  <sheetFormatPr defaultColWidth="9.109375" defaultRowHeight="13.2" x14ac:dyDescent="0.25"/>
  <cols>
    <col min="1" max="1" width="2" style="1" bestFit="1" customWidth="1"/>
    <col min="2" max="2" width="23.33203125" style="1" bestFit="1" customWidth="1"/>
    <col min="3" max="3" width="9.33203125" style="1" bestFit="1" customWidth="1"/>
    <col min="4" max="4" width="15.5546875" style="1" bestFit="1" customWidth="1"/>
    <col min="5" max="5" width="6.109375" style="1" bestFit="1" customWidth="1"/>
    <col min="6" max="6" width="4.88671875" style="1" bestFit="1" customWidth="1"/>
    <col min="7" max="7" width="6.5546875" style="1" bestFit="1" customWidth="1"/>
    <col min="8" max="8" width="17" style="1" bestFit="1" customWidth="1"/>
    <col min="9" max="9" width="6.109375" style="1" bestFit="1" customWidth="1"/>
    <col min="10" max="10" width="5" style="1" bestFit="1" customWidth="1"/>
    <col min="11" max="11" width="4.5546875" style="1" bestFit="1" customWidth="1"/>
    <col min="12" max="12" width="5.5546875" style="1" bestFit="1" customWidth="1"/>
    <col min="13" max="13" width="9.44140625" style="1" bestFit="1" customWidth="1"/>
    <col min="14" max="14" width="2" style="1" bestFit="1" customWidth="1"/>
    <col min="15" max="15" width="11.5546875" style="1" bestFit="1" customWidth="1"/>
    <col min="16" max="16" width="23.33203125" style="1" bestFit="1" customWidth="1"/>
    <col min="17" max="17" width="39.5546875" style="1" bestFit="1" customWidth="1"/>
    <col min="18" max="18" width="4.5546875" style="1" bestFit="1" customWidth="1"/>
    <col min="19" max="19" width="5" style="1" bestFit="1" customWidth="1"/>
    <col min="20" max="20" width="8.88671875" style="1" bestFit="1" customWidth="1"/>
    <col min="21" max="21" width="7.33203125" style="1" bestFit="1" customWidth="1"/>
    <col min="22" max="24" width="9.109375" style="1"/>
    <col min="25" max="25" width="10.6640625" style="1" bestFit="1" customWidth="1"/>
    <col min="26" max="16384" width="9.109375" style="1"/>
  </cols>
  <sheetData>
    <row r="1" spans="2:30" x14ac:dyDescent="0.25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x14ac:dyDescent="0.25">
      <c r="B2" s="1" t="s">
        <v>2</v>
      </c>
      <c r="C2" s="1" t="s">
        <v>3</v>
      </c>
      <c r="D2" s="1" t="s">
        <v>4</v>
      </c>
      <c r="E2" s="1" t="s">
        <v>5</v>
      </c>
      <c r="F2" s="1" t="s">
        <v>55</v>
      </c>
      <c r="G2" s="1" t="s">
        <v>53</v>
      </c>
      <c r="H2" s="1" t="s">
        <v>228</v>
      </c>
      <c r="I2" s="1" t="s">
        <v>57</v>
      </c>
      <c r="J2" s="1" t="s">
        <v>54</v>
      </c>
      <c r="K2" s="1" t="s">
        <v>6</v>
      </c>
      <c r="L2" s="1" t="s">
        <v>58</v>
      </c>
      <c r="M2" s="1" t="s">
        <v>7</v>
      </c>
      <c r="O2" s="3" t="s">
        <v>8</v>
      </c>
      <c r="P2" s="3" t="s">
        <v>2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13</v>
      </c>
      <c r="W2" s="3" t="s">
        <v>63</v>
      </c>
      <c r="X2" s="3" t="s">
        <v>64</v>
      </c>
      <c r="Y2" s="3" t="s">
        <v>65</v>
      </c>
      <c r="Z2" s="3" t="s">
        <v>66</v>
      </c>
      <c r="AA2" s="3" t="s">
        <v>67</v>
      </c>
      <c r="AB2" s="3" t="s">
        <v>68</v>
      </c>
      <c r="AC2" s="3" t="s">
        <v>69</v>
      </c>
      <c r="AD2" s="3" t="s">
        <v>70</v>
      </c>
    </row>
    <row r="3" spans="2:30" ht="14.4" x14ac:dyDescent="0.3">
      <c r="B3" s="1" t="str">
        <f>P3</f>
        <v>ECHP_biomass_thermal</v>
      </c>
      <c r="C3" s="1" t="s">
        <v>52</v>
      </c>
      <c r="D3" s="1" t="s">
        <v>14</v>
      </c>
      <c r="E3" s="1">
        <v>25</v>
      </c>
      <c r="F3" s="1">
        <v>200</v>
      </c>
      <c r="G3" s="1">
        <v>30</v>
      </c>
      <c r="H3" s="1">
        <v>2</v>
      </c>
      <c r="I3" s="1">
        <f t="shared" ref="I3:I27" si="0">IFERROR(VLOOKUP(G3,$B$44:$C$46,2,FALSE),"")</f>
        <v>2</v>
      </c>
      <c r="J3" s="1">
        <v>0.85</v>
      </c>
      <c r="L3" s="22">
        <v>11</v>
      </c>
      <c r="M3" s="1">
        <v>1.2</v>
      </c>
      <c r="O3" s="3" t="s">
        <v>15</v>
      </c>
      <c r="P3" s="3" t="s">
        <v>16</v>
      </c>
      <c r="Q3" s="3" t="str">
        <f>"Existing CHP plant - " &amp; MID(P3,6,50)</f>
        <v>Existing CHP plant - biomass_thermal</v>
      </c>
      <c r="R3" s="3" t="s">
        <v>17</v>
      </c>
      <c r="S3" s="3" t="s">
        <v>18</v>
      </c>
      <c r="T3" s="3" t="s">
        <v>19</v>
      </c>
      <c r="U3" s="3" t="s">
        <v>20</v>
      </c>
      <c r="W3" s="3" t="s">
        <v>71</v>
      </c>
      <c r="X3" s="3" t="s">
        <v>52</v>
      </c>
      <c r="Y3" s="3" t="str">
        <f>X3</f>
        <v>ELCWOO</v>
      </c>
      <c r="Z3" s="3" t="s">
        <v>17</v>
      </c>
      <c r="AA3" s="3"/>
      <c r="AB3" s="3"/>
      <c r="AC3" s="3"/>
      <c r="AD3" s="3"/>
    </row>
    <row r="4" spans="2:30" ht="14.4" x14ac:dyDescent="0.3">
      <c r="B4" s="1" t="str">
        <f t="shared" ref="B4:B25" si="1">P4</f>
        <v>ECHP_coal_thermal</v>
      </c>
      <c r="C4" s="1" t="s">
        <v>21</v>
      </c>
      <c r="D4" s="1" t="s">
        <v>14</v>
      </c>
      <c r="E4" s="1">
        <v>25</v>
      </c>
      <c r="F4" s="1">
        <v>200</v>
      </c>
      <c r="G4" s="1">
        <v>30</v>
      </c>
      <c r="H4" s="1">
        <v>2</v>
      </c>
      <c r="I4" s="1">
        <f t="shared" si="0"/>
        <v>2</v>
      </c>
      <c r="J4" s="1">
        <v>0.85</v>
      </c>
      <c r="L4" s="22">
        <v>11</v>
      </c>
      <c r="M4" s="1">
        <v>1.2</v>
      </c>
      <c r="O4" s="3" t="s">
        <v>15</v>
      </c>
      <c r="P4" s="3" t="s">
        <v>23</v>
      </c>
      <c r="Q4" s="3" t="str">
        <f t="shared" ref="Q4:Q11" si="2">"Existing CHP plant - " &amp; MID(P4,6,50)</f>
        <v>Existing CHP plant - coal_thermal</v>
      </c>
      <c r="R4" s="3" t="s">
        <v>17</v>
      </c>
      <c r="S4" s="3" t="s">
        <v>18</v>
      </c>
      <c r="T4" s="3" t="s">
        <v>19</v>
      </c>
      <c r="U4" s="3" t="s">
        <v>20</v>
      </c>
      <c r="W4" s="3"/>
      <c r="X4" s="3" t="s">
        <v>26</v>
      </c>
      <c r="Y4" s="3" t="str">
        <f t="shared" ref="Y4:Y9" si="3">X4</f>
        <v>ELCDST</v>
      </c>
      <c r="Z4" s="3" t="s">
        <v>17</v>
      </c>
      <c r="AA4" s="3"/>
      <c r="AB4" s="3"/>
      <c r="AC4" s="3"/>
      <c r="AD4" s="3"/>
    </row>
    <row r="5" spans="2:30" ht="14.4" x14ac:dyDescent="0.3">
      <c r="B5" s="1" t="str">
        <f t="shared" si="1"/>
        <v>ECHP_HFO_thermal</v>
      </c>
      <c r="C5" s="1" t="s">
        <v>24</v>
      </c>
      <c r="D5" s="1" t="s">
        <v>14</v>
      </c>
      <c r="E5" s="1">
        <v>25</v>
      </c>
      <c r="F5" s="1">
        <v>200</v>
      </c>
      <c r="G5" s="1">
        <v>18</v>
      </c>
      <c r="H5" s="1">
        <v>2</v>
      </c>
      <c r="I5" s="1">
        <f t="shared" si="0"/>
        <v>4</v>
      </c>
      <c r="J5" s="1">
        <v>0.9</v>
      </c>
      <c r="L5" s="22">
        <v>11</v>
      </c>
      <c r="M5" s="1">
        <v>1.2</v>
      </c>
      <c r="O5" s="3" t="s">
        <v>15</v>
      </c>
      <c r="P5" s="3" t="s">
        <v>25</v>
      </c>
      <c r="Q5" s="3" t="str">
        <f t="shared" si="2"/>
        <v>Existing CHP plant - HFO_thermal</v>
      </c>
      <c r="R5" s="3" t="s">
        <v>17</v>
      </c>
      <c r="S5" s="3" t="s">
        <v>18</v>
      </c>
      <c r="T5" s="3" t="s">
        <v>19</v>
      </c>
      <c r="U5" s="3" t="s">
        <v>20</v>
      </c>
      <c r="W5" s="3"/>
      <c r="X5" s="3" t="s">
        <v>34</v>
      </c>
      <c r="Y5" s="3" t="str">
        <f t="shared" si="3"/>
        <v>ELCSOL</v>
      </c>
      <c r="Z5" s="3" t="s">
        <v>17</v>
      </c>
      <c r="AA5" s="3"/>
      <c r="AB5" s="3"/>
      <c r="AC5" s="3"/>
      <c r="AD5" s="3"/>
    </row>
    <row r="6" spans="2:30" ht="14.4" x14ac:dyDescent="0.3">
      <c r="B6" s="1" t="str">
        <f t="shared" si="1"/>
        <v>ECHP_LFO_thermal</v>
      </c>
      <c r="C6" s="1" t="s">
        <v>26</v>
      </c>
      <c r="D6" s="1" t="s">
        <v>14</v>
      </c>
      <c r="E6" s="1">
        <v>25</v>
      </c>
      <c r="F6" s="1">
        <v>200</v>
      </c>
      <c r="G6" s="1">
        <v>18</v>
      </c>
      <c r="H6" s="1">
        <v>2</v>
      </c>
      <c r="I6" s="1">
        <f t="shared" si="0"/>
        <v>4</v>
      </c>
      <c r="J6" s="1">
        <v>0.9</v>
      </c>
      <c r="L6" s="22">
        <v>11</v>
      </c>
      <c r="M6" s="1">
        <v>1.2</v>
      </c>
      <c r="O6" s="3" t="s">
        <v>15</v>
      </c>
      <c r="P6" s="3" t="s">
        <v>27</v>
      </c>
      <c r="Q6" s="3" t="str">
        <f t="shared" si="2"/>
        <v>Existing CHP plant - LFO_thermal</v>
      </c>
      <c r="R6" s="3" t="s">
        <v>17</v>
      </c>
      <c r="S6" s="3" t="s">
        <v>18</v>
      </c>
      <c r="T6" s="3" t="s">
        <v>19</v>
      </c>
      <c r="U6" s="3" t="s">
        <v>20</v>
      </c>
      <c r="W6" s="3"/>
      <c r="X6" s="3" t="s">
        <v>51</v>
      </c>
      <c r="Y6" s="3" t="str">
        <f t="shared" si="3"/>
        <v>ELCWIN</v>
      </c>
      <c r="Z6" s="3" t="s">
        <v>17</v>
      </c>
      <c r="AA6" s="3"/>
      <c r="AB6" s="3"/>
      <c r="AC6" s="3"/>
      <c r="AD6" s="3"/>
    </row>
    <row r="7" spans="2:30" ht="14.4" x14ac:dyDescent="0.3">
      <c r="B7" s="23" t="str">
        <f t="shared" si="1"/>
        <v>ECHP_lignite_thermal</v>
      </c>
      <c r="C7" s="1" t="s">
        <v>28</v>
      </c>
      <c r="D7" s="1" t="s">
        <v>14</v>
      </c>
      <c r="E7" s="1">
        <v>25</v>
      </c>
      <c r="F7" s="1">
        <v>200</v>
      </c>
      <c r="G7" s="1">
        <v>30</v>
      </c>
      <c r="H7" s="1">
        <v>2</v>
      </c>
      <c r="I7" s="1">
        <f t="shared" si="0"/>
        <v>2</v>
      </c>
      <c r="J7" s="23">
        <f>0.91</f>
        <v>0.91</v>
      </c>
      <c r="L7" s="22">
        <v>11</v>
      </c>
      <c r="M7" s="1">
        <v>1.2</v>
      </c>
      <c r="O7" s="3" t="s">
        <v>15</v>
      </c>
      <c r="P7" s="3" t="s">
        <v>29</v>
      </c>
      <c r="Q7" s="3" t="str">
        <f t="shared" si="2"/>
        <v>Existing CHP plant - lignite_thermal</v>
      </c>
      <c r="R7" s="3" t="s">
        <v>17</v>
      </c>
      <c r="S7" s="3" t="s">
        <v>18</v>
      </c>
      <c r="T7" s="3" t="s">
        <v>19</v>
      </c>
      <c r="U7" s="3" t="s">
        <v>20</v>
      </c>
      <c r="W7" s="3"/>
      <c r="X7" s="3" t="s">
        <v>36</v>
      </c>
      <c r="Y7" s="3" t="s">
        <v>93</v>
      </c>
      <c r="Z7" s="3" t="s">
        <v>17</v>
      </c>
      <c r="AA7" s="3"/>
      <c r="AB7" s="3" t="s">
        <v>19</v>
      </c>
      <c r="AC7" s="3" t="s">
        <v>91</v>
      </c>
      <c r="AD7" s="3" t="s">
        <v>72</v>
      </c>
    </row>
    <row r="8" spans="2:30" ht="14.4" x14ac:dyDescent="0.3">
      <c r="B8" s="1" t="str">
        <f t="shared" si="1"/>
        <v>ECHP_naturalgas_CCGT</v>
      </c>
      <c r="C8" s="1" t="s">
        <v>30</v>
      </c>
      <c r="D8" s="1" t="s">
        <v>14</v>
      </c>
      <c r="E8" s="1">
        <v>25</v>
      </c>
      <c r="F8" s="1">
        <v>200</v>
      </c>
      <c r="G8" s="1">
        <v>23</v>
      </c>
      <c r="H8" s="1">
        <v>2</v>
      </c>
      <c r="I8" s="1">
        <f t="shared" si="0"/>
        <v>3</v>
      </c>
      <c r="J8" s="1">
        <v>0.9</v>
      </c>
      <c r="L8" s="22">
        <v>11</v>
      </c>
      <c r="M8" s="1">
        <v>1.2</v>
      </c>
      <c r="O8" s="3" t="s">
        <v>15</v>
      </c>
      <c r="P8" s="3" t="s">
        <v>31</v>
      </c>
      <c r="Q8" s="3" t="str">
        <f t="shared" si="2"/>
        <v>Existing CHP plant - naturalgas_CCGT</v>
      </c>
      <c r="R8" s="3" t="s">
        <v>17</v>
      </c>
      <c r="S8" s="3" t="s">
        <v>18</v>
      </c>
      <c r="T8" s="3" t="s">
        <v>19</v>
      </c>
      <c r="U8" s="3" t="s">
        <v>20</v>
      </c>
      <c r="W8" s="3"/>
      <c r="X8" s="3" t="s">
        <v>62</v>
      </c>
      <c r="Y8" s="3" t="str">
        <f t="shared" si="3"/>
        <v>HETHTH</v>
      </c>
      <c r="Z8" s="3" t="s">
        <v>17</v>
      </c>
      <c r="AA8" s="3"/>
      <c r="AB8" s="3" t="s">
        <v>22</v>
      </c>
      <c r="AC8" s="3" t="s">
        <v>91</v>
      </c>
      <c r="AD8" s="3" t="s">
        <v>73</v>
      </c>
    </row>
    <row r="9" spans="2:30" ht="14.4" x14ac:dyDescent="0.3">
      <c r="B9" s="1" t="str">
        <f t="shared" si="1"/>
        <v>ECHP_naturalgas_OCGT</v>
      </c>
      <c r="C9" s="1" t="s">
        <v>30</v>
      </c>
      <c r="D9" s="1" t="s">
        <v>14</v>
      </c>
      <c r="E9" s="1">
        <v>25</v>
      </c>
      <c r="F9" s="1">
        <v>200</v>
      </c>
      <c r="G9" s="1">
        <v>18</v>
      </c>
      <c r="H9" s="1">
        <v>2</v>
      </c>
      <c r="I9" s="1">
        <f t="shared" si="0"/>
        <v>4</v>
      </c>
      <c r="J9" s="1">
        <v>0.9</v>
      </c>
      <c r="L9" s="22">
        <v>11</v>
      </c>
      <c r="M9" s="1">
        <v>1.2</v>
      </c>
      <c r="O9" s="3" t="s">
        <v>15</v>
      </c>
      <c r="P9" s="3" t="s">
        <v>32</v>
      </c>
      <c r="Q9" s="3" t="str">
        <f t="shared" si="2"/>
        <v>Existing CHP plant - naturalgas_OCGT</v>
      </c>
      <c r="R9" s="3" t="s">
        <v>17</v>
      </c>
      <c r="S9" s="3" t="s">
        <v>18</v>
      </c>
      <c r="T9" s="3" t="s">
        <v>19</v>
      </c>
      <c r="U9" s="3" t="s">
        <v>20</v>
      </c>
      <c r="X9" s="3" t="s">
        <v>78</v>
      </c>
      <c r="Y9" s="1" t="str">
        <f t="shared" si="3"/>
        <v>ELCHYD</v>
      </c>
      <c r="Z9" s="3" t="s">
        <v>17</v>
      </c>
    </row>
    <row r="10" spans="2:30" ht="14.4" x14ac:dyDescent="0.3">
      <c r="B10" s="1" t="str">
        <f t="shared" si="1"/>
        <v>ECHP_naturalgas_thermal</v>
      </c>
      <c r="C10" s="1" t="s">
        <v>30</v>
      </c>
      <c r="D10" s="1" t="s">
        <v>14</v>
      </c>
      <c r="E10" s="1">
        <v>25</v>
      </c>
      <c r="F10" s="1">
        <v>200</v>
      </c>
      <c r="G10" s="1">
        <v>18</v>
      </c>
      <c r="H10" s="1">
        <v>2</v>
      </c>
      <c r="I10" s="1">
        <f t="shared" si="0"/>
        <v>4</v>
      </c>
      <c r="J10" s="1">
        <v>0.9</v>
      </c>
      <c r="L10" s="22">
        <v>11</v>
      </c>
      <c r="M10" s="1">
        <v>1.2</v>
      </c>
      <c r="O10" s="3" t="s">
        <v>15</v>
      </c>
      <c r="P10" s="3" t="s">
        <v>33</v>
      </c>
      <c r="Q10" s="3" t="str">
        <f t="shared" si="2"/>
        <v>Existing CHP plant - naturalgas_thermal</v>
      </c>
      <c r="R10" s="3" t="s">
        <v>17</v>
      </c>
      <c r="S10" s="3" t="s">
        <v>18</v>
      </c>
      <c r="T10" s="3" t="s">
        <v>19</v>
      </c>
      <c r="U10" s="3" t="s">
        <v>20</v>
      </c>
      <c r="X10" s="22"/>
    </row>
    <row r="11" spans="2:30" ht="14.4" x14ac:dyDescent="0.3">
      <c r="B11" s="1" t="str">
        <f t="shared" si="1"/>
        <v>ECHP_PV</v>
      </c>
      <c r="C11" s="1" t="s">
        <v>34</v>
      </c>
      <c r="D11" s="1" t="s">
        <v>14</v>
      </c>
      <c r="E11" s="1">
        <v>25</v>
      </c>
      <c r="F11" s="1">
        <v>30</v>
      </c>
      <c r="G11" s="1">
        <v>15</v>
      </c>
      <c r="H11" s="1">
        <v>2</v>
      </c>
      <c r="I11" s="1" t="str">
        <f t="shared" si="0"/>
        <v/>
      </c>
      <c r="K11" s="1">
        <v>1</v>
      </c>
      <c r="L11" s="22"/>
      <c r="M11" s="1">
        <v>1.2</v>
      </c>
      <c r="O11" s="3" t="s">
        <v>15</v>
      </c>
      <c r="P11" s="3" t="s">
        <v>35</v>
      </c>
      <c r="Q11" s="3" t="str">
        <f t="shared" si="2"/>
        <v>Existing CHP plant - PV</v>
      </c>
      <c r="R11" s="3" t="s">
        <v>17</v>
      </c>
      <c r="S11" s="3" t="s">
        <v>18</v>
      </c>
      <c r="T11" s="3" t="s">
        <v>19</v>
      </c>
      <c r="U11" s="3" t="s">
        <v>20</v>
      </c>
      <c r="X11" s="22"/>
    </row>
    <row r="12" spans="2:30" ht="14.4" x14ac:dyDescent="0.3">
      <c r="B12" s="1" t="str">
        <f t="shared" si="1"/>
        <v>EEPP_biomass_CCGT</v>
      </c>
      <c r="C12" s="1" t="s">
        <v>52</v>
      </c>
      <c r="D12" s="1" t="s">
        <v>36</v>
      </c>
      <c r="E12" s="1">
        <v>25</v>
      </c>
      <c r="F12" s="1">
        <v>200</v>
      </c>
      <c r="G12" s="1">
        <v>23</v>
      </c>
      <c r="H12" s="1">
        <v>2</v>
      </c>
      <c r="I12" s="1">
        <f t="shared" si="0"/>
        <v>3</v>
      </c>
      <c r="J12" s="1">
        <v>0.9</v>
      </c>
      <c r="L12" s="22">
        <v>11</v>
      </c>
      <c r="O12" s="3" t="s">
        <v>37</v>
      </c>
      <c r="P12" s="3" t="s">
        <v>38</v>
      </c>
      <c r="Q12" s="3" t="str">
        <f>"Existing Electricity plant - " &amp; MID(P12,6,50)</f>
        <v>Existing Electricity plant - biomass_CCGT</v>
      </c>
      <c r="R12" s="3" t="s">
        <v>17</v>
      </c>
      <c r="S12" s="3" t="s">
        <v>18</v>
      </c>
      <c r="T12" s="3" t="s">
        <v>19</v>
      </c>
      <c r="U12" s="3" t="s">
        <v>20</v>
      </c>
      <c r="X12" s="22"/>
    </row>
    <row r="13" spans="2:30" ht="14.4" x14ac:dyDescent="0.3">
      <c r="B13" s="1" t="str">
        <f t="shared" si="1"/>
        <v>EEPP_biomass_thermal</v>
      </c>
      <c r="C13" s="1" t="s">
        <v>52</v>
      </c>
      <c r="D13" s="1" t="s">
        <v>36</v>
      </c>
      <c r="E13" s="1">
        <v>25</v>
      </c>
      <c r="F13" s="1">
        <v>200</v>
      </c>
      <c r="G13" s="1">
        <v>30</v>
      </c>
      <c r="H13" s="1">
        <v>2</v>
      </c>
      <c r="I13" s="1">
        <f t="shared" si="0"/>
        <v>2</v>
      </c>
      <c r="J13" s="1">
        <v>0.9</v>
      </c>
      <c r="L13" s="22">
        <v>11</v>
      </c>
      <c r="O13" s="3" t="s">
        <v>37</v>
      </c>
      <c r="P13" s="3" t="s">
        <v>39</v>
      </c>
      <c r="Q13" s="3" t="str">
        <f t="shared" ref="Q13:Q23" si="4">"Existing Electricity plant - " &amp; MID(P13,6,50)</f>
        <v>Existing Electricity plant - biomass_thermal</v>
      </c>
      <c r="R13" s="3" t="s">
        <v>17</v>
      </c>
      <c r="S13" s="3" t="s">
        <v>18</v>
      </c>
      <c r="T13" s="3" t="s">
        <v>19</v>
      </c>
      <c r="U13" s="3" t="s">
        <v>20</v>
      </c>
      <c r="X13" s="22"/>
    </row>
    <row r="14" spans="2:30" ht="14.4" x14ac:dyDescent="0.3">
      <c r="B14" s="1" t="str">
        <f t="shared" si="1"/>
        <v>EEPP_coal_CCGT</v>
      </c>
      <c r="C14" s="1" t="s">
        <v>21</v>
      </c>
      <c r="D14" s="1" t="s">
        <v>36</v>
      </c>
      <c r="E14" s="1">
        <v>25</v>
      </c>
      <c r="F14" s="1">
        <v>200</v>
      </c>
      <c r="G14" s="1">
        <v>30</v>
      </c>
      <c r="H14" s="1">
        <v>2</v>
      </c>
      <c r="I14" s="1">
        <f t="shared" si="0"/>
        <v>2</v>
      </c>
      <c r="J14" s="1">
        <v>0.85</v>
      </c>
      <c r="L14" s="22">
        <v>11</v>
      </c>
      <c r="O14" s="3" t="s">
        <v>37</v>
      </c>
      <c r="P14" s="3" t="s">
        <v>40</v>
      </c>
      <c r="Q14" s="3" t="str">
        <f t="shared" si="4"/>
        <v>Existing Electricity plant - coal_CCGT</v>
      </c>
      <c r="R14" s="3" t="s">
        <v>17</v>
      </c>
      <c r="S14" s="3" t="s">
        <v>18</v>
      </c>
      <c r="T14" s="3" t="s">
        <v>19</v>
      </c>
      <c r="U14" s="3" t="s">
        <v>20</v>
      </c>
      <c r="X14" s="22"/>
    </row>
    <row r="15" spans="2:30" ht="14.4" x14ac:dyDescent="0.3">
      <c r="B15" s="1" t="str">
        <f t="shared" si="1"/>
        <v>EEPP_coal_thermal</v>
      </c>
      <c r="C15" s="1" t="s">
        <v>21</v>
      </c>
      <c r="D15" s="1" t="s">
        <v>36</v>
      </c>
      <c r="E15" s="1">
        <v>25</v>
      </c>
      <c r="F15" s="1">
        <v>200</v>
      </c>
      <c r="G15" s="1">
        <v>30</v>
      </c>
      <c r="H15" s="1">
        <v>2</v>
      </c>
      <c r="I15" s="1">
        <f t="shared" si="0"/>
        <v>2</v>
      </c>
      <c r="J15" s="1">
        <v>0.85</v>
      </c>
      <c r="L15" s="22">
        <v>11</v>
      </c>
      <c r="O15" s="3" t="s">
        <v>37</v>
      </c>
      <c r="P15" s="3" t="s">
        <v>41</v>
      </c>
      <c r="Q15" s="3" t="str">
        <f t="shared" si="4"/>
        <v>Existing Electricity plant - coal_thermal</v>
      </c>
      <c r="R15" s="3" t="s">
        <v>17</v>
      </c>
      <c r="S15" s="3" t="s">
        <v>18</v>
      </c>
      <c r="T15" s="3" t="s">
        <v>19</v>
      </c>
      <c r="U15" s="3" t="s">
        <v>20</v>
      </c>
      <c r="X15" s="22"/>
    </row>
    <row r="16" spans="2:30" ht="14.4" x14ac:dyDescent="0.3">
      <c r="B16" s="1" t="str">
        <f t="shared" si="1"/>
        <v>EEPP_geothermal</v>
      </c>
      <c r="C16" s="1" t="s">
        <v>42</v>
      </c>
      <c r="D16" s="1" t="s">
        <v>36</v>
      </c>
      <c r="E16" s="1">
        <v>25</v>
      </c>
      <c r="F16" s="1">
        <v>200</v>
      </c>
      <c r="G16" s="1">
        <v>30</v>
      </c>
      <c r="H16" s="1">
        <v>2</v>
      </c>
      <c r="I16" s="1">
        <f t="shared" si="0"/>
        <v>2</v>
      </c>
      <c r="J16" s="1">
        <v>0.9</v>
      </c>
      <c r="K16" s="1">
        <v>1</v>
      </c>
      <c r="L16" s="22"/>
      <c r="O16" s="3" t="s">
        <v>37</v>
      </c>
      <c r="P16" s="3" t="s">
        <v>43</v>
      </c>
      <c r="Q16" s="3" t="str">
        <f t="shared" si="4"/>
        <v>Existing Electricity plant - geothermal</v>
      </c>
      <c r="R16" s="3" t="s">
        <v>17</v>
      </c>
      <c r="S16" s="3" t="s">
        <v>18</v>
      </c>
      <c r="T16" s="3" t="s">
        <v>19</v>
      </c>
      <c r="U16" s="3" t="s">
        <v>20</v>
      </c>
      <c r="X16" s="22"/>
    </row>
    <row r="17" spans="2:24" ht="14.4" x14ac:dyDescent="0.3">
      <c r="B17" s="1" t="str">
        <f t="shared" si="1"/>
        <v>EEPP_HFO_thermal</v>
      </c>
      <c r="C17" s="1" t="s">
        <v>24</v>
      </c>
      <c r="D17" s="1" t="s">
        <v>36</v>
      </c>
      <c r="E17" s="1">
        <v>25</v>
      </c>
      <c r="F17" s="1">
        <v>200</v>
      </c>
      <c r="G17" s="1">
        <v>18</v>
      </c>
      <c r="H17" s="1">
        <v>2</v>
      </c>
      <c r="I17" s="1">
        <f t="shared" si="0"/>
        <v>4</v>
      </c>
      <c r="J17" s="1">
        <v>0.9</v>
      </c>
      <c r="L17" s="22">
        <v>11</v>
      </c>
      <c r="O17" s="3" t="s">
        <v>37</v>
      </c>
      <c r="P17" s="3" t="s">
        <v>44</v>
      </c>
      <c r="Q17" s="3" t="str">
        <f t="shared" si="4"/>
        <v>Existing Electricity plant - HFO_thermal</v>
      </c>
      <c r="R17" s="3" t="s">
        <v>17</v>
      </c>
      <c r="S17" s="3" t="s">
        <v>18</v>
      </c>
      <c r="T17" s="3" t="s">
        <v>19</v>
      </c>
      <c r="U17" s="3" t="s">
        <v>20</v>
      </c>
      <c r="X17" s="22"/>
    </row>
    <row r="18" spans="2:24" ht="14.4" x14ac:dyDescent="0.3">
      <c r="B18" s="1" t="str">
        <f t="shared" si="1"/>
        <v>EEPP_LFO_thermal</v>
      </c>
      <c r="C18" s="1" t="s">
        <v>26</v>
      </c>
      <c r="D18" s="1" t="s">
        <v>36</v>
      </c>
      <c r="E18" s="1">
        <v>25</v>
      </c>
      <c r="F18" s="1">
        <v>200</v>
      </c>
      <c r="G18" s="1">
        <v>18</v>
      </c>
      <c r="H18" s="1">
        <v>2</v>
      </c>
      <c r="I18" s="1">
        <f t="shared" si="0"/>
        <v>4</v>
      </c>
      <c r="J18" s="1">
        <v>0.9</v>
      </c>
      <c r="L18" s="22">
        <v>11</v>
      </c>
      <c r="O18" s="3" t="s">
        <v>37</v>
      </c>
      <c r="P18" s="3" t="s">
        <v>45</v>
      </c>
      <c r="Q18" s="3" t="str">
        <f t="shared" si="4"/>
        <v>Existing Electricity plant - LFO_thermal</v>
      </c>
      <c r="R18" s="3" t="s">
        <v>17</v>
      </c>
      <c r="S18" s="3" t="s">
        <v>18</v>
      </c>
      <c r="T18" s="3" t="s">
        <v>19</v>
      </c>
      <c r="U18" s="3" t="s">
        <v>20</v>
      </c>
      <c r="X18" s="22"/>
    </row>
    <row r="19" spans="2:24" ht="14.4" x14ac:dyDescent="0.3">
      <c r="B19" s="23" t="str">
        <f t="shared" si="1"/>
        <v>EEPP_lignite_thermal</v>
      </c>
      <c r="C19" s="1" t="s">
        <v>28</v>
      </c>
      <c r="D19" s="1" t="s">
        <v>36</v>
      </c>
      <c r="E19" s="1">
        <v>25</v>
      </c>
      <c r="F19" s="1">
        <v>200</v>
      </c>
      <c r="G19" s="1">
        <v>30</v>
      </c>
      <c r="H19" s="1">
        <v>2</v>
      </c>
      <c r="I19" s="1">
        <f t="shared" si="0"/>
        <v>2</v>
      </c>
      <c r="J19" s="23">
        <f>0.9</f>
        <v>0.9</v>
      </c>
      <c r="L19" s="22">
        <v>11</v>
      </c>
      <c r="O19" s="3" t="s">
        <v>37</v>
      </c>
      <c r="P19" s="3" t="s">
        <v>46</v>
      </c>
      <c r="Q19" s="3" t="str">
        <f t="shared" si="4"/>
        <v>Existing Electricity plant - lignite_thermal</v>
      </c>
      <c r="R19" s="3" t="s">
        <v>17</v>
      </c>
      <c r="S19" s="3" t="s">
        <v>18</v>
      </c>
      <c r="T19" s="3" t="s">
        <v>19</v>
      </c>
      <c r="U19" s="3" t="s">
        <v>20</v>
      </c>
      <c r="X19" s="22"/>
    </row>
    <row r="20" spans="2:24" ht="14.4" x14ac:dyDescent="0.3">
      <c r="B20" s="1" t="str">
        <f t="shared" si="1"/>
        <v>EEPP_naturalgas_CCGT</v>
      </c>
      <c r="C20" s="1" t="s">
        <v>30</v>
      </c>
      <c r="D20" s="1" t="s">
        <v>36</v>
      </c>
      <c r="E20" s="1">
        <v>25</v>
      </c>
      <c r="F20" s="1">
        <v>200</v>
      </c>
      <c r="G20" s="1">
        <v>23</v>
      </c>
      <c r="H20" s="1">
        <v>2</v>
      </c>
      <c r="I20" s="1">
        <f t="shared" si="0"/>
        <v>3</v>
      </c>
      <c r="J20" s="1">
        <v>0.9</v>
      </c>
      <c r="L20" s="22">
        <v>11</v>
      </c>
      <c r="O20" s="3" t="s">
        <v>37</v>
      </c>
      <c r="P20" s="3" t="s">
        <v>47</v>
      </c>
      <c r="Q20" s="3" t="str">
        <f t="shared" si="4"/>
        <v>Existing Electricity plant - naturalgas_CCGT</v>
      </c>
      <c r="R20" s="3" t="s">
        <v>17</v>
      </c>
      <c r="S20" s="3" t="s">
        <v>18</v>
      </c>
      <c r="T20" s="3" t="s">
        <v>19</v>
      </c>
      <c r="U20" s="3" t="s">
        <v>20</v>
      </c>
      <c r="X20" s="22"/>
    </row>
    <row r="21" spans="2:24" ht="14.4" x14ac:dyDescent="0.3">
      <c r="B21" s="1" t="str">
        <f t="shared" si="1"/>
        <v>EEPP_naturalgas_OCGT</v>
      </c>
      <c r="C21" s="1" t="s">
        <v>30</v>
      </c>
      <c r="D21" s="1" t="s">
        <v>36</v>
      </c>
      <c r="E21" s="1">
        <v>25</v>
      </c>
      <c r="F21" s="1">
        <v>200</v>
      </c>
      <c r="G21" s="1">
        <v>18</v>
      </c>
      <c r="H21" s="1">
        <v>2</v>
      </c>
      <c r="I21" s="1">
        <f t="shared" si="0"/>
        <v>4</v>
      </c>
      <c r="J21" s="1">
        <v>0.9</v>
      </c>
      <c r="L21" s="22">
        <v>11</v>
      </c>
      <c r="O21" s="3" t="s">
        <v>37</v>
      </c>
      <c r="P21" s="3" t="s">
        <v>48</v>
      </c>
      <c r="Q21" s="3" t="str">
        <f t="shared" si="4"/>
        <v>Existing Electricity plant - naturalgas_OCGT</v>
      </c>
      <c r="R21" s="3" t="s">
        <v>17</v>
      </c>
      <c r="S21" s="3" t="s">
        <v>18</v>
      </c>
      <c r="T21" s="3" t="s">
        <v>19</v>
      </c>
      <c r="U21" s="3" t="s">
        <v>20</v>
      </c>
      <c r="X21" s="22"/>
    </row>
    <row r="22" spans="2:24" ht="14.4" x14ac:dyDescent="0.3">
      <c r="B22" s="1" t="str">
        <f t="shared" si="1"/>
        <v>EEPP_naturalgas_thermal</v>
      </c>
      <c r="C22" s="1" t="s">
        <v>30</v>
      </c>
      <c r="D22" s="1" t="s">
        <v>36</v>
      </c>
      <c r="E22" s="1">
        <v>25</v>
      </c>
      <c r="F22" s="1">
        <v>200</v>
      </c>
      <c r="G22" s="1">
        <v>18</v>
      </c>
      <c r="H22" s="1">
        <v>2</v>
      </c>
      <c r="I22" s="1">
        <f t="shared" si="0"/>
        <v>4</v>
      </c>
      <c r="J22" s="1">
        <v>0.9</v>
      </c>
      <c r="L22" s="22">
        <v>11</v>
      </c>
      <c r="O22" s="3" t="s">
        <v>37</v>
      </c>
      <c r="P22" s="3" t="s">
        <v>49</v>
      </c>
      <c r="Q22" s="3" t="str">
        <f t="shared" si="4"/>
        <v>Existing Electricity plant - naturalgas_thermal</v>
      </c>
      <c r="R22" s="3" t="s">
        <v>17</v>
      </c>
      <c r="S22" s="3" t="s">
        <v>18</v>
      </c>
      <c r="T22" s="3" t="s">
        <v>19</v>
      </c>
      <c r="U22" s="3" t="s">
        <v>20</v>
      </c>
      <c r="X22" s="22"/>
    </row>
    <row r="23" spans="2:24" ht="14.4" x14ac:dyDescent="0.3">
      <c r="B23" s="1" t="str">
        <f t="shared" si="1"/>
        <v>EEPP_PV</v>
      </c>
      <c r="C23" s="1" t="s">
        <v>34</v>
      </c>
      <c r="D23" s="1" t="s">
        <v>36</v>
      </c>
      <c r="E23" s="1">
        <v>25</v>
      </c>
      <c r="F23" s="1">
        <v>30</v>
      </c>
      <c r="G23" s="1">
        <v>15</v>
      </c>
      <c r="H23" s="1">
        <v>2</v>
      </c>
      <c r="I23" s="1" t="str">
        <f t="shared" si="0"/>
        <v/>
      </c>
      <c r="K23" s="1">
        <v>1</v>
      </c>
      <c r="L23" s="22"/>
      <c r="O23" s="3" t="s">
        <v>37</v>
      </c>
      <c r="P23" s="3" t="s">
        <v>50</v>
      </c>
      <c r="Q23" s="3" t="str">
        <f t="shared" si="4"/>
        <v>Existing Electricity plant - PV</v>
      </c>
      <c r="R23" s="3" t="s">
        <v>17</v>
      </c>
      <c r="S23" s="3" t="s">
        <v>18</v>
      </c>
      <c r="T23" s="3" t="s">
        <v>19</v>
      </c>
      <c r="U23" s="3" t="s">
        <v>20</v>
      </c>
      <c r="X23" s="22"/>
    </row>
    <row r="24" spans="2:24" ht="14.4" x14ac:dyDescent="0.3">
      <c r="B24" s="1" t="str">
        <f t="shared" si="1"/>
        <v>EEPP_CSP</v>
      </c>
      <c r="C24" s="1" t="s">
        <v>34</v>
      </c>
      <c r="D24" s="1" t="s">
        <v>36</v>
      </c>
      <c r="E24" s="1">
        <v>25</v>
      </c>
      <c r="F24" s="1">
        <v>30</v>
      </c>
      <c r="G24" s="1">
        <v>15</v>
      </c>
      <c r="H24" s="1">
        <v>2</v>
      </c>
      <c r="I24" s="1" t="str">
        <f t="shared" si="0"/>
        <v/>
      </c>
      <c r="J24" s="1">
        <v>0.8</v>
      </c>
      <c r="K24" s="1">
        <v>1</v>
      </c>
      <c r="L24" s="22"/>
      <c r="O24" s="3" t="s">
        <v>37</v>
      </c>
      <c r="P24" s="3" t="s">
        <v>59</v>
      </c>
      <c r="Q24" s="3" t="str">
        <f>"Existing Electricity plant - " &amp; MID(P24,6,50)</f>
        <v>Existing Electricity plant - CSP</v>
      </c>
      <c r="R24" s="3" t="s">
        <v>17</v>
      </c>
      <c r="S24" s="3" t="s">
        <v>18</v>
      </c>
      <c r="T24" s="3" t="s">
        <v>19</v>
      </c>
      <c r="U24" s="3" t="s">
        <v>20</v>
      </c>
      <c r="X24" s="22"/>
    </row>
    <row r="25" spans="2:24" ht="14.4" x14ac:dyDescent="0.3">
      <c r="B25" s="1" t="str">
        <f t="shared" si="1"/>
        <v>EEPP_windOFF</v>
      </c>
      <c r="C25" s="1" t="s">
        <v>51</v>
      </c>
      <c r="D25" s="1" t="s">
        <v>36</v>
      </c>
      <c r="E25" s="1">
        <v>25</v>
      </c>
      <c r="F25" s="1">
        <v>30</v>
      </c>
      <c r="G25" s="1">
        <v>15</v>
      </c>
      <c r="H25" s="1">
        <v>2</v>
      </c>
      <c r="I25" s="1" t="str">
        <f t="shared" si="0"/>
        <v/>
      </c>
      <c r="K25" s="1">
        <v>1</v>
      </c>
      <c r="L25" s="22"/>
      <c r="O25" s="3" t="s">
        <v>37</v>
      </c>
      <c r="P25" s="3" t="s">
        <v>60</v>
      </c>
      <c r="Q25" s="3" t="str">
        <f>"Existing Electricity plant - " &amp; MID(P25,6,50)&amp;" - offshore"</f>
        <v>Existing Electricity plant - windOFF - offshore</v>
      </c>
      <c r="R25" s="3" t="s">
        <v>17</v>
      </c>
      <c r="S25" s="3" t="s">
        <v>18</v>
      </c>
      <c r="T25" s="3" t="s">
        <v>19</v>
      </c>
      <c r="U25" s="3" t="s">
        <v>20</v>
      </c>
      <c r="X25" s="22"/>
    </row>
    <row r="26" spans="2:24" ht="14.4" x14ac:dyDescent="0.3">
      <c r="B26" s="1" t="str">
        <f>P26</f>
        <v>EEPP_windON</v>
      </c>
      <c r="C26" s="1" t="s">
        <v>51</v>
      </c>
      <c r="D26" s="1" t="s">
        <v>36</v>
      </c>
      <c r="E26" s="1">
        <v>25</v>
      </c>
      <c r="F26" s="1">
        <v>30</v>
      </c>
      <c r="G26" s="1">
        <v>15</v>
      </c>
      <c r="H26" s="1">
        <v>2</v>
      </c>
      <c r="I26" s="1" t="str">
        <f t="shared" si="0"/>
        <v/>
      </c>
      <c r="K26" s="1">
        <v>1</v>
      </c>
      <c r="L26" s="22"/>
      <c r="O26" s="3" t="s">
        <v>37</v>
      </c>
      <c r="P26" s="3" t="s">
        <v>61</v>
      </c>
      <c r="Q26" s="3" t="str">
        <f>"Existing Electricity plant - " &amp; MID(P26,6,50)&amp;" - onshore"</f>
        <v>Existing Electricity plant - windON - onshore</v>
      </c>
      <c r="R26" s="3" t="s">
        <v>17</v>
      </c>
      <c r="S26" s="3" t="s">
        <v>18</v>
      </c>
      <c r="T26" s="3" t="s">
        <v>19</v>
      </c>
      <c r="U26" s="3" t="s">
        <v>20</v>
      </c>
      <c r="X26" s="22"/>
    </row>
    <row r="27" spans="2:24" ht="14.4" x14ac:dyDescent="0.3">
      <c r="B27" s="1" t="str">
        <f t="shared" ref="B27" si="5">P27</f>
        <v>EEPP_OCE</v>
      </c>
      <c r="C27" s="1" t="s">
        <v>226</v>
      </c>
      <c r="D27" s="1" t="s">
        <v>36</v>
      </c>
      <c r="E27" s="1">
        <v>25</v>
      </c>
      <c r="F27" s="1">
        <v>30</v>
      </c>
      <c r="G27" s="1">
        <v>15</v>
      </c>
      <c r="H27" s="1">
        <v>2</v>
      </c>
      <c r="I27" s="1" t="str">
        <f t="shared" si="0"/>
        <v/>
      </c>
      <c r="K27" s="1">
        <v>1</v>
      </c>
      <c r="L27" s="22"/>
      <c r="O27" s="3" t="s">
        <v>37</v>
      </c>
      <c r="P27" s="3" t="s">
        <v>225</v>
      </c>
      <c r="Q27" s="3" t="str">
        <f>"Existing Electricity plant - " &amp; MID(P27,6,50)&amp;" - offshore"</f>
        <v>Existing Electricity plant - OCE - offshore</v>
      </c>
      <c r="R27" s="3" t="s">
        <v>17</v>
      </c>
      <c r="S27" s="3" t="s">
        <v>18</v>
      </c>
      <c r="T27" s="3" t="s">
        <v>19</v>
      </c>
      <c r="U27" s="3" t="s">
        <v>20</v>
      </c>
      <c r="X27" s="22"/>
    </row>
    <row r="28" spans="2:24" x14ac:dyDescent="0.25">
      <c r="B28" s="1" t="str">
        <f t="shared" ref="B28:B29" si="6">P28</f>
        <v>EUHYDDAM00</v>
      </c>
      <c r="C28" s="1" t="s">
        <v>78</v>
      </c>
      <c r="D28" s="1" t="s">
        <v>36</v>
      </c>
      <c r="E28" s="1">
        <v>50</v>
      </c>
      <c r="F28" s="1">
        <v>100</v>
      </c>
      <c r="H28" s="1">
        <v>2</v>
      </c>
      <c r="K28" s="1">
        <v>1</v>
      </c>
      <c r="O28" s="3" t="s">
        <v>37</v>
      </c>
      <c r="P28" s="1" t="s">
        <v>74</v>
      </c>
      <c r="Q28" s="1" t="s">
        <v>76</v>
      </c>
      <c r="R28" s="3" t="s">
        <v>17</v>
      </c>
      <c r="S28" s="3" t="s">
        <v>18</v>
      </c>
      <c r="T28" s="3" t="s">
        <v>19</v>
      </c>
      <c r="U28" s="3" t="s">
        <v>20</v>
      </c>
    </row>
    <row r="29" spans="2:24" x14ac:dyDescent="0.25">
      <c r="B29" s="1" t="str">
        <f t="shared" si="6"/>
        <v>EUHYDRUN00</v>
      </c>
      <c r="C29" s="1" t="s">
        <v>78</v>
      </c>
      <c r="D29" s="1" t="s">
        <v>36</v>
      </c>
      <c r="E29" s="1">
        <v>50</v>
      </c>
      <c r="F29" s="1">
        <v>100</v>
      </c>
      <c r="H29" s="1">
        <v>2</v>
      </c>
      <c r="K29" s="1">
        <v>1</v>
      </c>
      <c r="O29" s="3" t="s">
        <v>37</v>
      </c>
      <c r="P29" s="1" t="s">
        <v>75</v>
      </c>
      <c r="Q29" s="1" t="s">
        <v>77</v>
      </c>
      <c r="R29" s="3" t="s">
        <v>17</v>
      </c>
      <c r="S29" s="3" t="s">
        <v>18</v>
      </c>
      <c r="T29" s="3" t="s">
        <v>19</v>
      </c>
      <c r="U29" s="3" t="s">
        <v>20</v>
      </c>
    </row>
    <row r="30" spans="2:24" ht="14.4" x14ac:dyDescent="0.3">
      <c r="B30" s="20" t="str">
        <f>P30</f>
        <v>NEPP_windON</v>
      </c>
      <c r="C30" s="20" t="s">
        <v>51</v>
      </c>
      <c r="D30" s="20" t="s">
        <v>36</v>
      </c>
      <c r="E30" s="20"/>
      <c r="F30" s="20">
        <v>30</v>
      </c>
      <c r="G30" s="20"/>
      <c r="I30" s="20"/>
      <c r="J30" s="20"/>
      <c r="K30" s="20">
        <v>1</v>
      </c>
      <c r="L30" s="20"/>
      <c r="M30" s="20"/>
      <c r="N30" s="20"/>
      <c r="O30" s="19" t="s">
        <v>37</v>
      </c>
      <c r="P30" s="17" t="s">
        <v>237</v>
      </c>
      <c r="Q30" s="19" t="str">
        <f>"New Electricity plant - " &amp; MID(P30,6,50)&amp;" - onshore"</f>
        <v>New Electricity plant - windON - onshore</v>
      </c>
      <c r="R30" s="19" t="s">
        <v>17</v>
      </c>
      <c r="S30" s="19" t="s">
        <v>18</v>
      </c>
      <c r="T30" s="3" t="s">
        <v>19</v>
      </c>
      <c r="U30" s="3" t="s">
        <v>20</v>
      </c>
      <c r="V30" s="20"/>
    </row>
    <row r="31" spans="2:24" ht="14.4" x14ac:dyDescent="0.3">
      <c r="B31" s="20" t="str">
        <f>P30</f>
        <v>NEPP_windON</v>
      </c>
      <c r="C31" s="20" t="s">
        <v>236</v>
      </c>
      <c r="D31" s="20" t="s">
        <v>36</v>
      </c>
      <c r="E31" s="20"/>
      <c r="F31" s="20">
        <v>30</v>
      </c>
      <c r="G31" s="20"/>
      <c r="H31" s="20">
        <v>30</v>
      </c>
      <c r="I31" s="20"/>
      <c r="J31" s="20"/>
      <c r="K31" s="20">
        <v>1</v>
      </c>
      <c r="L31" s="20"/>
      <c r="M31" s="20"/>
      <c r="N31" s="20"/>
      <c r="O31" s="19" t="s">
        <v>37</v>
      </c>
      <c r="P31" s="17" t="s">
        <v>238</v>
      </c>
      <c r="Q31" s="19" t="str">
        <f>"New Electricity plant - " &amp; MID(P31,6,50)&amp;" - offshore"</f>
        <v>New Electricity plant - windOFF - offshore</v>
      </c>
      <c r="R31" s="19" t="s">
        <v>17</v>
      </c>
      <c r="S31" s="19" t="s">
        <v>18</v>
      </c>
      <c r="T31" s="3" t="s">
        <v>19</v>
      </c>
      <c r="U31" s="3" t="s">
        <v>20</v>
      </c>
      <c r="V31" s="20"/>
    </row>
    <row r="32" spans="2:24" ht="14.4" x14ac:dyDescent="0.3">
      <c r="B32" s="20" t="str">
        <f>P31</f>
        <v>NEPP_windOFF</v>
      </c>
      <c r="C32" s="20" t="s">
        <v>51</v>
      </c>
      <c r="D32" s="20" t="s">
        <v>36</v>
      </c>
      <c r="E32" s="20"/>
      <c r="F32" s="20">
        <v>30</v>
      </c>
      <c r="G32" s="20"/>
      <c r="I32" s="20"/>
      <c r="J32" s="20"/>
      <c r="K32" s="20">
        <v>1</v>
      </c>
      <c r="L32" s="20"/>
      <c r="M32" s="24"/>
      <c r="N32" s="20"/>
      <c r="O32" s="19"/>
      <c r="P32" s="17"/>
      <c r="Q32" s="19"/>
      <c r="R32" s="19"/>
      <c r="S32" s="19"/>
      <c r="T32" s="19"/>
      <c r="U32" s="19"/>
      <c r="V32" s="20"/>
    </row>
    <row r="33" spans="2:22" ht="14.4" x14ac:dyDescent="0.3">
      <c r="B33" s="20" t="str">
        <f>P31</f>
        <v>NEPP_windOFF</v>
      </c>
      <c r="C33" s="20" t="s">
        <v>236</v>
      </c>
      <c r="D33" s="20" t="s">
        <v>36</v>
      </c>
      <c r="E33" s="20"/>
      <c r="F33" s="20">
        <v>30</v>
      </c>
      <c r="G33" s="20"/>
      <c r="H33" s="20">
        <v>120</v>
      </c>
      <c r="I33" s="20"/>
      <c r="J33" s="20"/>
      <c r="K33" s="20">
        <v>1</v>
      </c>
      <c r="L33" s="20"/>
      <c r="M33" s="20"/>
      <c r="N33" s="20"/>
      <c r="O33" s="19"/>
      <c r="P33" s="17"/>
      <c r="Q33" s="19"/>
      <c r="R33" s="19"/>
      <c r="S33" s="19"/>
      <c r="T33" s="19"/>
      <c r="U33" s="19"/>
      <c r="V33" s="20"/>
    </row>
    <row r="34" spans="2:22" ht="14.4" x14ac:dyDescent="0.3">
      <c r="B34" s="20"/>
      <c r="C34" s="17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19"/>
      <c r="P34" s="17"/>
      <c r="Q34" s="19"/>
      <c r="R34" s="19"/>
      <c r="S34" s="19"/>
      <c r="T34" s="19"/>
      <c r="U34" s="19"/>
      <c r="V34" s="20"/>
    </row>
    <row r="35" spans="2:22" ht="14.4" x14ac:dyDescent="0.3">
      <c r="D35" s="2"/>
      <c r="N35" s="20"/>
      <c r="O35" s="19"/>
      <c r="P35" s="17"/>
      <c r="Q35" s="19"/>
      <c r="R35" s="19"/>
      <c r="S35" s="19"/>
      <c r="T35" s="19"/>
      <c r="U35" s="19"/>
      <c r="V35" s="20"/>
    </row>
    <row r="36" spans="2:22" x14ac:dyDescent="0.25">
      <c r="B36" s="1" t="s">
        <v>224</v>
      </c>
      <c r="D36" s="2"/>
      <c r="O36" s="3"/>
      <c r="R36" s="3"/>
      <c r="S36" s="3"/>
      <c r="T36" s="3"/>
      <c r="U36" s="3"/>
    </row>
    <row r="37" spans="2:22" x14ac:dyDescent="0.25">
      <c r="B37" s="1" t="str">
        <f>P38</f>
        <v>EEPP_HYDPS</v>
      </c>
      <c r="C37" s="1" t="s">
        <v>36</v>
      </c>
      <c r="D37" s="1" t="s">
        <v>36</v>
      </c>
      <c r="F37" s="1">
        <v>100</v>
      </c>
      <c r="O37" s="3"/>
      <c r="R37" s="3"/>
      <c r="S37" s="3"/>
      <c r="T37" s="3"/>
      <c r="U37" s="3"/>
    </row>
    <row r="38" spans="2:22" x14ac:dyDescent="0.25">
      <c r="O38" s="1" t="s">
        <v>114</v>
      </c>
      <c r="P38" s="1" t="s">
        <v>115</v>
      </c>
      <c r="Q38" s="1" t="str">
        <f>"Existing Pumped Storage Plants - "&amp;MID(P38,8,55)</f>
        <v>Existing Pumped Storage Plants - DPS</v>
      </c>
      <c r="R38" s="3" t="s">
        <v>17</v>
      </c>
      <c r="S38" s="3" t="s">
        <v>18</v>
      </c>
      <c r="T38" s="3" t="s">
        <v>19</v>
      </c>
      <c r="U38" s="3" t="s">
        <v>20</v>
      </c>
    </row>
    <row r="41" spans="2:22" ht="14.4" x14ac:dyDescent="0.3">
      <c r="P41"/>
    </row>
    <row r="42" spans="2:22" ht="14.4" x14ac:dyDescent="0.3">
      <c r="P42"/>
    </row>
    <row r="43" spans="2:22" ht="14.4" x14ac:dyDescent="0.3">
      <c r="B43" s="1" t="s">
        <v>227</v>
      </c>
      <c r="P43"/>
    </row>
    <row r="44" spans="2:22" ht="14.4" x14ac:dyDescent="0.3">
      <c r="B44" s="5">
        <v>23</v>
      </c>
      <c r="C44" s="5">
        <v>3</v>
      </c>
      <c r="P44"/>
    </row>
    <row r="45" spans="2:22" ht="14.4" x14ac:dyDescent="0.3">
      <c r="B45" s="5">
        <v>18</v>
      </c>
      <c r="C45" s="5">
        <v>4</v>
      </c>
      <c r="P45"/>
    </row>
    <row r="46" spans="2:22" ht="14.4" x14ac:dyDescent="0.3">
      <c r="B46" s="5">
        <v>30</v>
      </c>
      <c r="C46" s="5">
        <v>2</v>
      </c>
      <c r="P46"/>
    </row>
    <row r="47" spans="2:22" ht="14.4" x14ac:dyDescent="0.3">
      <c r="P47"/>
    </row>
    <row r="48" spans="2:22" ht="14.4" x14ac:dyDescent="0.3">
      <c r="P48"/>
    </row>
    <row r="49" spans="16:16" ht="14.4" x14ac:dyDescent="0.3">
      <c r="P49"/>
    </row>
    <row r="50" spans="16:16" ht="14.4" x14ac:dyDescent="0.3">
      <c r="P50"/>
    </row>
    <row r="51" spans="16:16" ht="14.4" x14ac:dyDescent="0.3">
      <c r="P51"/>
    </row>
    <row r="52" spans="16:16" ht="14.4" x14ac:dyDescent="0.3">
      <c r="P52"/>
    </row>
    <row r="53" spans="16:16" ht="14.4" x14ac:dyDescent="0.3">
      <c r="P53"/>
    </row>
    <row r="54" spans="16:16" ht="14.4" x14ac:dyDescent="0.3">
      <c r="P54"/>
    </row>
    <row r="55" spans="16:16" ht="14.4" x14ac:dyDescent="0.3">
      <c r="P55"/>
    </row>
    <row r="56" spans="16:16" ht="14.4" x14ac:dyDescent="0.3">
      <c r="P56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4"/>
  <sheetViews>
    <sheetView topLeftCell="A2" workbookViewId="0">
      <selection activeCell="K24" sqref="K24"/>
    </sheetView>
  </sheetViews>
  <sheetFormatPr defaultRowHeight="14.4" x14ac:dyDescent="0.3"/>
  <cols>
    <col min="3" max="3" width="14" bestFit="1" customWidth="1"/>
    <col min="4" max="4" width="9.44140625" bestFit="1" customWidth="1"/>
    <col min="5" max="5" width="11.109375" bestFit="1" customWidth="1"/>
    <col min="6" max="6" width="4" bestFit="1" customWidth="1"/>
    <col min="10" max="10" width="14" bestFit="1" customWidth="1"/>
    <col min="11" max="11" width="59" bestFit="1" customWidth="1"/>
    <col min="12" max="12" width="4.5546875" bestFit="1" customWidth="1"/>
    <col min="13" max="13" width="5" bestFit="1" customWidth="1"/>
    <col min="14" max="14" width="8.5546875" bestFit="1" customWidth="1"/>
    <col min="15" max="15" width="10.33203125" bestFit="1" customWidth="1"/>
    <col min="259" max="259" width="10.5546875" bestFit="1" customWidth="1"/>
    <col min="260" max="260" width="14.88671875" bestFit="1" customWidth="1"/>
    <col min="261" max="261" width="11.109375" bestFit="1" customWidth="1"/>
    <col min="515" max="515" width="10.5546875" bestFit="1" customWidth="1"/>
    <col min="516" max="516" width="14.88671875" bestFit="1" customWidth="1"/>
    <col min="517" max="517" width="11.109375" bestFit="1" customWidth="1"/>
    <col min="771" max="771" width="10.5546875" bestFit="1" customWidth="1"/>
    <col min="772" max="772" width="14.88671875" bestFit="1" customWidth="1"/>
    <col min="773" max="773" width="11.109375" bestFit="1" customWidth="1"/>
    <col min="1027" max="1027" width="10.5546875" bestFit="1" customWidth="1"/>
    <col min="1028" max="1028" width="14.88671875" bestFit="1" customWidth="1"/>
    <col min="1029" max="1029" width="11.109375" bestFit="1" customWidth="1"/>
    <col min="1283" max="1283" width="10.5546875" bestFit="1" customWidth="1"/>
    <col min="1284" max="1284" width="14.88671875" bestFit="1" customWidth="1"/>
    <col min="1285" max="1285" width="11.109375" bestFit="1" customWidth="1"/>
    <col min="1539" max="1539" width="10.5546875" bestFit="1" customWidth="1"/>
    <col min="1540" max="1540" width="14.88671875" bestFit="1" customWidth="1"/>
    <col min="1541" max="1541" width="11.109375" bestFit="1" customWidth="1"/>
    <col min="1795" max="1795" width="10.5546875" bestFit="1" customWidth="1"/>
    <col min="1796" max="1796" width="14.88671875" bestFit="1" customWidth="1"/>
    <col min="1797" max="1797" width="11.109375" bestFit="1" customWidth="1"/>
    <col min="2051" max="2051" width="10.5546875" bestFit="1" customWidth="1"/>
    <col min="2052" max="2052" width="14.88671875" bestFit="1" customWidth="1"/>
    <col min="2053" max="2053" width="11.109375" bestFit="1" customWidth="1"/>
    <col min="2307" max="2307" width="10.5546875" bestFit="1" customWidth="1"/>
    <col min="2308" max="2308" width="14.88671875" bestFit="1" customWidth="1"/>
    <col min="2309" max="2309" width="11.109375" bestFit="1" customWidth="1"/>
    <col min="2563" max="2563" width="10.5546875" bestFit="1" customWidth="1"/>
    <col min="2564" max="2564" width="14.88671875" bestFit="1" customWidth="1"/>
    <col min="2565" max="2565" width="11.109375" bestFit="1" customWidth="1"/>
    <col min="2819" max="2819" width="10.5546875" bestFit="1" customWidth="1"/>
    <col min="2820" max="2820" width="14.88671875" bestFit="1" customWidth="1"/>
    <col min="2821" max="2821" width="11.109375" bestFit="1" customWidth="1"/>
    <col min="3075" max="3075" width="10.5546875" bestFit="1" customWidth="1"/>
    <col min="3076" max="3076" width="14.88671875" bestFit="1" customWidth="1"/>
    <col min="3077" max="3077" width="11.109375" bestFit="1" customWidth="1"/>
    <col min="3331" max="3331" width="10.5546875" bestFit="1" customWidth="1"/>
    <col min="3332" max="3332" width="14.88671875" bestFit="1" customWidth="1"/>
    <col min="3333" max="3333" width="11.109375" bestFit="1" customWidth="1"/>
    <col min="3587" max="3587" width="10.5546875" bestFit="1" customWidth="1"/>
    <col min="3588" max="3588" width="14.88671875" bestFit="1" customWidth="1"/>
    <col min="3589" max="3589" width="11.109375" bestFit="1" customWidth="1"/>
    <col min="3843" max="3843" width="10.5546875" bestFit="1" customWidth="1"/>
    <col min="3844" max="3844" width="14.88671875" bestFit="1" customWidth="1"/>
    <col min="3845" max="3845" width="11.109375" bestFit="1" customWidth="1"/>
    <col min="4099" max="4099" width="10.5546875" bestFit="1" customWidth="1"/>
    <col min="4100" max="4100" width="14.88671875" bestFit="1" customWidth="1"/>
    <col min="4101" max="4101" width="11.109375" bestFit="1" customWidth="1"/>
    <col min="4355" max="4355" width="10.5546875" bestFit="1" customWidth="1"/>
    <col min="4356" max="4356" width="14.88671875" bestFit="1" customWidth="1"/>
    <col min="4357" max="4357" width="11.109375" bestFit="1" customWidth="1"/>
    <col min="4611" max="4611" width="10.5546875" bestFit="1" customWidth="1"/>
    <col min="4612" max="4612" width="14.88671875" bestFit="1" customWidth="1"/>
    <col min="4613" max="4613" width="11.109375" bestFit="1" customWidth="1"/>
    <col min="4867" max="4867" width="10.5546875" bestFit="1" customWidth="1"/>
    <col min="4868" max="4868" width="14.88671875" bestFit="1" customWidth="1"/>
    <col min="4869" max="4869" width="11.109375" bestFit="1" customWidth="1"/>
    <col min="5123" max="5123" width="10.5546875" bestFit="1" customWidth="1"/>
    <col min="5124" max="5124" width="14.88671875" bestFit="1" customWidth="1"/>
    <col min="5125" max="5125" width="11.109375" bestFit="1" customWidth="1"/>
    <col min="5379" max="5379" width="10.5546875" bestFit="1" customWidth="1"/>
    <col min="5380" max="5380" width="14.88671875" bestFit="1" customWidth="1"/>
    <col min="5381" max="5381" width="11.109375" bestFit="1" customWidth="1"/>
    <col min="5635" max="5635" width="10.5546875" bestFit="1" customWidth="1"/>
    <col min="5636" max="5636" width="14.88671875" bestFit="1" customWidth="1"/>
    <col min="5637" max="5637" width="11.109375" bestFit="1" customWidth="1"/>
    <col min="5891" max="5891" width="10.5546875" bestFit="1" customWidth="1"/>
    <col min="5892" max="5892" width="14.88671875" bestFit="1" customWidth="1"/>
    <col min="5893" max="5893" width="11.109375" bestFit="1" customWidth="1"/>
    <col min="6147" max="6147" width="10.5546875" bestFit="1" customWidth="1"/>
    <col min="6148" max="6148" width="14.88671875" bestFit="1" customWidth="1"/>
    <col min="6149" max="6149" width="11.109375" bestFit="1" customWidth="1"/>
    <col min="6403" max="6403" width="10.5546875" bestFit="1" customWidth="1"/>
    <col min="6404" max="6404" width="14.88671875" bestFit="1" customWidth="1"/>
    <col min="6405" max="6405" width="11.109375" bestFit="1" customWidth="1"/>
    <col min="6659" max="6659" width="10.5546875" bestFit="1" customWidth="1"/>
    <col min="6660" max="6660" width="14.88671875" bestFit="1" customWidth="1"/>
    <col min="6661" max="6661" width="11.109375" bestFit="1" customWidth="1"/>
    <col min="6915" max="6915" width="10.5546875" bestFit="1" customWidth="1"/>
    <col min="6916" max="6916" width="14.88671875" bestFit="1" customWidth="1"/>
    <col min="6917" max="6917" width="11.109375" bestFit="1" customWidth="1"/>
    <col min="7171" max="7171" width="10.5546875" bestFit="1" customWidth="1"/>
    <col min="7172" max="7172" width="14.88671875" bestFit="1" customWidth="1"/>
    <col min="7173" max="7173" width="11.109375" bestFit="1" customWidth="1"/>
    <col min="7427" max="7427" width="10.5546875" bestFit="1" customWidth="1"/>
    <col min="7428" max="7428" width="14.88671875" bestFit="1" customWidth="1"/>
    <col min="7429" max="7429" width="11.109375" bestFit="1" customWidth="1"/>
    <col min="7683" max="7683" width="10.5546875" bestFit="1" customWidth="1"/>
    <col min="7684" max="7684" width="14.88671875" bestFit="1" customWidth="1"/>
    <col min="7685" max="7685" width="11.109375" bestFit="1" customWidth="1"/>
    <col min="7939" max="7939" width="10.5546875" bestFit="1" customWidth="1"/>
    <col min="7940" max="7940" width="14.88671875" bestFit="1" customWidth="1"/>
    <col min="7941" max="7941" width="11.109375" bestFit="1" customWidth="1"/>
    <col min="8195" max="8195" width="10.5546875" bestFit="1" customWidth="1"/>
    <col min="8196" max="8196" width="14.88671875" bestFit="1" customWidth="1"/>
    <col min="8197" max="8197" width="11.109375" bestFit="1" customWidth="1"/>
    <col min="8451" max="8451" width="10.5546875" bestFit="1" customWidth="1"/>
    <col min="8452" max="8452" width="14.88671875" bestFit="1" customWidth="1"/>
    <col min="8453" max="8453" width="11.109375" bestFit="1" customWidth="1"/>
    <col min="8707" max="8707" width="10.5546875" bestFit="1" customWidth="1"/>
    <col min="8708" max="8708" width="14.88671875" bestFit="1" customWidth="1"/>
    <col min="8709" max="8709" width="11.109375" bestFit="1" customWidth="1"/>
    <col min="8963" max="8963" width="10.5546875" bestFit="1" customWidth="1"/>
    <col min="8964" max="8964" width="14.88671875" bestFit="1" customWidth="1"/>
    <col min="8965" max="8965" width="11.109375" bestFit="1" customWidth="1"/>
    <col min="9219" max="9219" width="10.5546875" bestFit="1" customWidth="1"/>
    <col min="9220" max="9220" width="14.88671875" bestFit="1" customWidth="1"/>
    <col min="9221" max="9221" width="11.109375" bestFit="1" customWidth="1"/>
    <col min="9475" max="9475" width="10.5546875" bestFit="1" customWidth="1"/>
    <col min="9476" max="9476" width="14.88671875" bestFit="1" customWidth="1"/>
    <col min="9477" max="9477" width="11.109375" bestFit="1" customWidth="1"/>
    <col min="9731" max="9731" width="10.5546875" bestFit="1" customWidth="1"/>
    <col min="9732" max="9732" width="14.88671875" bestFit="1" customWidth="1"/>
    <col min="9733" max="9733" width="11.109375" bestFit="1" customWidth="1"/>
    <col min="9987" max="9987" width="10.5546875" bestFit="1" customWidth="1"/>
    <col min="9988" max="9988" width="14.88671875" bestFit="1" customWidth="1"/>
    <col min="9989" max="9989" width="11.109375" bestFit="1" customWidth="1"/>
    <col min="10243" max="10243" width="10.5546875" bestFit="1" customWidth="1"/>
    <col min="10244" max="10244" width="14.88671875" bestFit="1" customWidth="1"/>
    <col min="10245" max="10245" width="11.109375" bestFit="1" customWidth="1"/>
    <col min="10499" max="10499" width="10.5546875" bestFit="1" customWidth="1"/>
    <col min="10500" max="10500" width="14.88671875" bestFit="1" customWidth="1"/>
    <col min="10501" max="10501" width="11.109375" bestFit="1" customWidth="1"/>
    <col min="10755" max="10755" width="10.5546875" bestFit="1" customWidth="1"/>
    <col min="10756" max="10756" width="14.88671875" bestFit="1" customWidth="1"/>
    <col min="10757" max="10757" width="11.109375" bestFit="1" customWidth="1"/>
    <col min="11011" max="11011" width="10.5546875" bestFit="1" customWidth="1"/>
    <col min="11012" max="11012" width="14.88671875" bestFit="1" customWidth="1"/>
    <col min="11013" max="11013" width="11.109375" bestFit="1" customWidth="1"/>
    <col min="11267" max="11267" width="10.5546875" bestFit="1" customWidth="1"/>
    <col min="11268" max="11268" width="14.88671875" bestFit="1" customWidth="1"/>
    <col min="11269" max="11269" width="11.109375" bestFit="1" customWidth="1"/>
    <col min="11523" max="11523" width="10.5546875" bestFit="1" customWidth="1"/>
    <col min="11524" max="11524" width="14.88671875" bestFit="1" customWidth="1"/>
    <col min="11525" max="11525" width="11.109375" bestFit="1" customWidth="1"/>
    <col min="11779" max="11779" width="10.5546875" bestFit="1" customWidth="1"/>
    <col min="11780" max="11780" width="14.88671875" bestFit="1" customWidth="1"/>
    <col min="11781" max="11781" width="11.109375" bestFit="1" customWidth="1"/>
    <col min="12035" max="12035" width="10.5546875" bestFit="1" customWidth="1"/>
    <col min="12036" max="12036" width="14.88671875" bestFit="1" customWidth="1"/>
    <col min="12037" max="12037" width="11.109375" bestFit="1" customWidth="1"/>
    <col min="12291" max="12291" width="10.5546875" bestFit="1" customWidth="1"/>
    <col min="12292" max="12292" width="14.88671875" bestFit="1" customWidth="1"/>
    <col min="12293" max="12293" width="11.109375" bestFit="1" customWidth="1"/>
    <col min="12547" max="12547" width="10.5546875" bestFit="1" customWidth="1"/>
    <col min="12548" max="12548" width="14.88671875" bestFit="1" customWidth="1"/>
    <col min="12549" max="12549" width="11.109375" bestFit="1" customWidth="1"/>
    <col min="12803" max="12803" width="10.5546875" bestFit="1" customWidth="1"/>
    <col min="12804" max="12804" width="14.88671875" bestFit="1" customWidth="1"/>
    <col min="12805" max="12805" width="11.109375" bestFit="1" customWidth="1"/>
    <col min="13059" max="13059" width="10.5546875" bestFit="1" customWidth="1"/>
    <col min="13060" max="13060" width="14.88671875" bestFit="1" customWidth="1"/>
    <col min="13061" max="13061" width="11.109375" bestFit="1" customWidth="1"/>
    <col min="13315" max="13315" width="10.5546875" bestFit="1" customWidth="1"/>
    <col min="13316" max="13316" width="14.88671875" bestFit="1" customWidth="1"/>
    <col min="13317" max="13317" width="11.109375" bestFit="1" customWidth="1"/>
    <col min="13571" max="13571" width="10.5546875" bestFit="1" customWidth="1"/>
    <col min="13572" max="13572" width="14.88671875" bestFit="1" customWidth="1"/>
    <col min="13573" max="13573" width="11.109375" bestFit="1" customWidth="1"/>
    <col min="13827" max="13827" width="10.5546875" bestFit="1" customWidth="1"/>
    <col min="13828" max="13828" width="14.88671875" bestFit="1" customWidth="1"/>
    <col min="13829" max="13829" width="11.109375" bestFit="1" customWidth="1"/>
    <col min="14083" max="14083" width="10.5546875" bestFit="1" customWidth="1"/>
    <col min="14084" max="14084" width="14.88671875" bestFit="1" customWidth="1"/>
    <col min="14085" max="14085" width="11.109375" bestFit="1" customWidth="1"/>
    <col min="14339" max="14339" width="10.5546875" bestFit="1" customWidth="1"/>
    <col min="14340" max="14340" width="14.88671875" bestFit="1" customWidth="1"/>
    <col min="14341" max="14341" width="11.109375" bestFit="1" customWidth="1"/>
    <col min="14595" max="14595" width="10.5546875" bestFit="1" customWidth="1"/>
    <col min="14596" max="14596" width="14.88671875" bestFit="1" customWidth="1"/>
    <col min="14597" max="14597" width="11.109375" bestFit="1" customWidth="1"/>
    <col min="14851" max="14851" width="10.5546875" bestFit="1" customWidth="1"/>
    <col min="14852" max="14852" width="14.88671875" bestFit="1" customWidth="1"/>
    <col min="14853" max="14853" width="11.109375" bestFit="1" customWidth="1"/>
    <col min="15107" max="15107" width="10.5546875" bestFit="1" customWidth="1"/>
    <col min="15108" max="15108" width="14.88671875" bestFit="1" customWidth="1"/>
    <col min="15109" max="15109" width="11.109375" bestFit="1" customWidth="1"/>
    <col min="15363" max="15363" width="10.5546875" bestFit="1" customWidth="1"/>
    <col min="15364" max="15364" width="14.88671875" bestFit="1" customWidth="1"/>
    <col min="15365" max="15365" width="11.109375" bestFit="1" customWidth="1"/>
    <col min="15619" max="15619" width="10.5546875" bestFit="1" customWidth="1"/>
    <col min="15620" max="15620" width="14.88671875" bestFit="1" customWidth="1"/>
    <col min="15621" max="15621" width="11.109375" bestFit="1" customWidth="1"/>
    <col min="15875" max="15875" width="10.5546875" bestFit="1" customWidth="1"/>
    <col min="15876" max="15876" width="14.88671875" bestFit="1" customWidth="1"/>
    <col min="15877" max="15877" width="11.109375" bestFit="1" customWidth="1"/>
    <col min="16131" max="16131" width="10.5546875" bestFit="1" customWidth="1"/>
    <col min="16132" max="16132" width="14.88671875" bestFit="1" customWidth="1"/>
    <col min="16133" max="16133" width="11.109375" bestFit="1" customWidth="1"/>
  </cols>
  <sheetData>
    <row r="3" spans="3:15" x14ac:dyDescent="0.3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3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3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3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3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3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3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3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3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3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3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3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3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3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3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3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3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3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3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3">
      <c r="C22" t="s">
        <v>222</v>
      </c>
      <c r="D22" t="s">
        <v>102</v>
      </c>
      <c r="E22" t="s">
        <v>101</v>
      </c>
      <c r="G22">
        <v>31.536000000000001</v>
      </c>
      <c r="J22" s="17" t="s">
        <v>234</v>
      </c>
      <c r="K22" s="17" t="s">
        <v>235</v>
      </c>
      <c r="L22" s="21" t="s">
        <v>17</v>
      </c>
      <c r="M22" s="21" t="s">
        <v>81</v>
      </c>
    </row>
    <row r="23" spans="3:15" x14ac:dyDescent="0.3">
      <c r="C23" s="17" t="s">
        <v>234</v>
      </c>
      <c r="E23" s="17" t="s">
        <v>236</v>
      </c>
      <c r="F23" s="17">
        <v>1</v>
      </c>
      <c r="J23" s="17"/>
      <c r="K23" s="17"/>
      <c r="L23" s="21"/>
      <c r="M23" s="21"/>
    </row>
    <row r="24" spans="3:15" x14ac:dyDescent="0.3">
      <c r="C24" s="17"/>
      <c r="E24" s="17"/>
      <c r="F24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topLeftCell="E1" workbookViewId="0">
      <selection activeCell="K5" sqref="K5"/>
    </sheetView>
  </sheetViews>
  <sheetFormatPr defaultRowHeight="14.4" x14ac:dyDescent="0.3"/>
  <cols>
    <col min="3" max="3" width="12" bestFit="1" customWidth="1"/>
    <col min="4" max="4" width="7.88671875" bestFit="1" customWidth="1"/>
    <col min="5" max="5" width="7.44140625" bestFit="1" customWidth="1"/>
    <col min="6" max="6" width="7.33203125" bestFit="1" customWidth="1"/>
    <col min="7" max="7" width="7.6640625" bestFit="1" customWidth="1"/>
    <col min="8" max="8" width="8" bestFit="1" customWidth="1"/>
    <col min="9" max="9" width="8.6640625" bestFit="1" customWidth="1"/>
    <col min="10" max="10" width="7.44140625" bestFit="1" customWidth="1"/>
    <col min="11" max="11" width="8.44140625" bestFit="1" customWidth="1"/>
    <col min="12" max="12" width="7.109375" bestFit="1" customWidth="1"/>
  </cols>
  <sheetData>
    <row r="3" spans="3:26" x14ac:dyDescent="0.3">
      <c r="C3" t="s">
        <v>104</v>
      </c>
    </row>
    <row r="4" spans="3:26" x14ac:dyDescent="0.3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3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3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3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3">
      <c r="E11" t="s">
        <v>231</v>
      </c>
    </row>
    <row r="12" spans="3:26" x14ac:dyDescent="0.3">
      <c r="E12" t="s">
        <v>232</v>
      </c>
    </row>
    <row r="13" spans="3:26" x14ac:dyDescent="0.3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4.4" x14ac:dyDescent="0.3"/>
  <cols>
    <col min="2" max="2" width="16.88671875" bestFit="1" customWidth="1"/>
    <col min="3" max="3" width="9.33203125" bestFit="1" customWidth="1"/>
    <col min="4" max="4" width="8.44140625" bestFit="1" customWidth="1"/>
    <col min="5" max="5" width="5" bestFit="1" customWidth="1"/>
    <col min="6" max="6" width="11.109375" bestFit="1" customWidth="1"/>
    <col min="7" max="7" width="9.109375" customWidth="1"/>
    <col min="8" max="29" width="5.109375" bestFit="1" customWidth="1"/>
    <col min="30" max="30" width="5.88671875" customWidth="1"/>
    <col min="31" max="31" width="4.33203125" customWidth="1"/>
    <col min="32" max="35" width="5.109375" bestFit="1" customWidth="1"/>
    <col min="36" max="36" width="5" bestFit="1" customWidth="1"/>
  </cols>
  <sheetData>
    <row r="1" spans="1:36" x14ac:dyDescent="0.3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3">
      <c r="G3" t="s">
        <v>118</v>
      </c>
    </row>
    <row r="4" spans="1:36" x14ac:dyDescent="0.3">
      <c r="G4" t="s">
        <v>119</v>
      </c>
    </row>
    <row r="5" spans="1:36" x14ac:dyDescent="0.3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3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3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3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3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3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3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3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3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3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3">
      <c r="A16" s="4" t="s">
        <v>1</v>
      </c>
      <c r="B16" s="4"/>
      <c r="C16" s="4"/>
      <c r="D16" s="4"/>
      <c r="E16" s="4"/>
      <c r="F16" s="4"/>
      <c r="G16" s="4"/>
    </row>
    <row r="17" spans="1:36" x14ac:dyDescent="0.3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3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3">
      <c r="G20" t="s">
        <v>157</v>
      </c>
    </row>
    <row r="21" spans="1:36" x14ac:dyDescent="0.3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3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3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3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3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3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3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3">
      <c r="C28" t="s">
        <v>54</v>
      </c>
      <c r="I28">
        <v>0.3</v>
      </c>
    </row>
    <row r="29" spans="1:36" x14ac:dyDescent="0.3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3">
      <c r="C30" t="s">
        <v>55</v>
      </c>
      <c r="I30">
        <v>50</v>
      </c>
    </row>
    <row r="31" spans="1:36" x14ac:dyDescent="0.3">
      <c r="C31" t="s">
        <v>103</v>
      </c>
      <c r="I31">
        <v>31.536000000000001</v>
      </c>
    </row>
    <row r="32" spans="1:36" x14ac:dyDescent="0.3">
      <c r="C32" t="s">
        <v>158</v>
      </c>
      <c r="H32">
        <v>2</v>
      </c>
    </row>
    <row r="33" spans="5:36" x14ac:dyDescent="0.3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3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3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3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3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3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3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3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3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3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3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3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3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3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3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3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3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3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3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3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3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3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3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3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3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3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3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3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3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3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3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3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3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3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3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3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3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3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3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3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3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3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4.4" x14ac:dyDescent="0.3"/>
  <cols>
    <col min="4" max="4" width="14" bestFit="1" customWidth="1"/>
    <col min="5" max="5" width="3.33203125" bestFit="1" customWidth="1"/>
    <col min="6" max="6" width="3.109375" bestFit="1" customWidth="1"/>
    <col min="7" max="7" width="3.44140625" bestFit="1" customWidth="1"/>
    <col min="8" max="8" width="3.109375" bestFit="1" customWidth="1"/>
    <col min="9" max="9" width="4" bestFit="1" customWidth="1"/>
    <col min="10" max="10" width="3.44140625" bestFit="1" customWidth="1"/>
    <col min="11" max="12" width="3" bestFit="1" customWidth="1"/>
    <col min="13" max="13" width="3.109375" bestFit="1" customWidth="1"/>
    <col min="14" max="14" width="3.44140625" bestFit="1" customWidth="1"/>
    <col min="15" max="15" width="3.5546875" bestFit="1" customWidth="1"/>
    <col min="16" max="16" width="3" bestFit="1" customWidth="1"/>
    <col min="17" max="17" width="2.5546875" bestFit="1" customWidth="1"/>
    <col min="18" max="18" width="3" bestFit="1" customWidth="1"/>
    <col min="19" max="20" width="3.109375" bestFit="1" customWidth="1"/>
    <col min="21" max="21" width="4" bestFit="1" customWidth="1"/>
    <col min="22" max="22" width="3.88671875" bestFit="1" customWidth="1"/>
    <col min="23" max="23" width="3.33203125" bestFit="1" customWidth="1"/>
    <col min="24" max="24" width="3.88671875" bestFit="1" customWidth="1"/>
    <col min="25" max="25" width="4" bestFit="1" customWidth="1"/>
    <col min="26" max="26" width="3.5546875" bestFit="1" customWidth="1"/>
    <col min="27" max="27" width="3.109375" bestFit="1" customWidth="1"/>
    <col min="28" max="28" width="3" bestFit="1" customWidth="1"/>
    <col min="29" max="29" width="2.5546875" bestFit="1" customWidth="1"/>
    <col min="30" max="30" width="3.109375" bestFit="1" customWidth="1"/>
    <col min="31" max="31" width="4" bestFit="1" customWidth="1"/>
    <col min="33" max="33" width="32" bestFit="1" customWidth="1"/>
    <col min="34" max="34" width="8.6640625" bestFit="1" customWidth="1"/>
    <col min="35" max="62" width="5.5546875" bestFit="1" customWidth="1"/>
  </cols>
  <sheetData>
    <row r="4" spans="3:62" x14ac:dyDescent="0.3">
      <c r="C4" t="s">
        <v>159</v>
      </c>
      <c r="D4" t="s">
        <v>118</v>
      </c>
    </row>
    <row r="5" spans="3:62" x14ac:dyDescent="0.3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3">
      <c r="C6" t="s">
        <v>169</v>
      </c>
    </row>
    <row r="7" spans="3:62" x14ac:dyDescent="0.3">
      <c r="C7" t="s">
        <v>170</v>
      </c>
      <c r="AG7" s="7" t="s">
        <v>171</v>
      </c>
    </row>
    <row r="8" spans="3:62" x14ac:dyDescent="0.3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3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3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3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3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3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3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3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3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3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3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3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3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3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3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3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3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3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3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3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3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3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3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3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3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3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3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3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3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3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3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3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3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3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3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3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3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3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3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3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3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3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3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3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3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3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3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3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3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3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3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3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3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3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3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3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3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3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3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3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3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3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3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3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3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3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3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3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3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3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3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3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3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3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3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3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3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3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3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3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3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3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3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3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3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3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3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3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3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3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3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3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3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3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3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3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3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3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3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3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3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3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3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3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3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3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3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3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3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3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3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3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3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3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3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3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3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3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3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3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3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3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3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3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3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3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3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3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3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4.4" x14ac:dyDescent="0.3"/>
  <cols>
    <col min="1" max="1" width="37.6640625" customWidth="1"/>
    <col min="2" max="2" width="16.33203125" customWidth="1"/>
    <col min="3" max="3" width="5.5546875" customWidth="1"/>
    <col min="4" max="4" width="4.5546875" customWidth="1"/>
    <col min="5" max="5" width="5.5546875" customWidth="1"/>
    <col min="6" max="6" width="4.5546875" customWidth="1"/>
    <col min="7" max="7" width="5.5546875" customWidth="1"/>
    <col min="8" max="8" width="6.5546875" customWidth="1"/>
    <col min="9" max="10" width="5.5546875" customWidth="1"/>
    <col min="11" max="12" width="4.5546875" customWidth="1"/>
    <col min="13" max="14" width="5.5546875" customWidth="1"/>
    <col min="15" max="15" width="4.5546875" customWidth="1"/>
    <col min="16" max="16" width="5.5546875" customWidth="1"/>
    <col min="17" max="17" width="4.5546875" customWidth="1"/>
    <col min="18" max="18" width="5.5546875" customWidth="1"/>
    <col min="19" max="19" width="4.5546875" customWidth="1"/>
    <col min="20" max="20" width="5.5546875" customWidth="1"/>
    <col min="21" max="21" width="4.5546875" customWidth="1"/>
    <col min="22" max="22" width="5.5546875" customWidth="1"/>
    <col min="23" max="26" width="4.5546875" customWidth="1"/>
    <col min="27" max="28" width="5.5546875" customWidth="1"/>
    <col min="29" max="29" width="6.5546875" customWidth="1"/>
    <col min="30" max="30" width="4.5546875" customWidth="1"/>
    <col min="31" max="33" width="5.5546875" customWidth="1"/>
    <col min="34" max="34" width="4.5546875" customWidth="1"/>
    <col min="35" max="35" width="5.5546875" customWidth="1"/>
    <col min="36" max="36" width="4.5546875" customWidth="1"/>
    <col min="37" max="38" width="6.5546875" customWidth="1"/>
    <col min="39" max="39" width="4.5546875" customWidth="1"/>
    <col min="40" max="40" width="11.33203125" bestFit="1" customWidth="1"/>
  </cols>
  <sheetData>
    <row r="3" spans="1:39" x14ac:dyDescent="0.3">
      <c r="A3" t="s">
        <v>159</v>
      </c>
      <c r="B3" t="s">
        <v>118</v>
      </c>
    </row>
    <row r="4" spans="1:39" x14ac:dyDescent="0.3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3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3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3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3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3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3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3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3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3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3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3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3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3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3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3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3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3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3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3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3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3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3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3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3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3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3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3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3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3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3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3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3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3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3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3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3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3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3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3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3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3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3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3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3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3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3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3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3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3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3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3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3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3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3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3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3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3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3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3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3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3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3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3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3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3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3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3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3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3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3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3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3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3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3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3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3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3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3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3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3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3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3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3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3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3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3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3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3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3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3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3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3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3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3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3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3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3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3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3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3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3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3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3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3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3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3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3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3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3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3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3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3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3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3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3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3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3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3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3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3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3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3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3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3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3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3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3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3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3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3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3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4.4" x14ac:dyDescent="0.3"/>
  <sheetData>
    <row r="1" spans="1:70" x14ac:dyDescent="0.3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3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3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3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3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3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3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3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3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3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3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3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3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3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3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3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3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3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3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3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3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3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3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3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3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3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3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3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3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3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3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3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3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3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3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3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3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3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3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3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3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3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3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3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3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3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3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3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3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3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3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3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3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3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3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3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3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3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3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3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3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3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3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3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3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3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3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3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3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3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3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3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3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3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3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3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3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3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3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3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3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3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3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3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3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3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3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3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3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3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3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3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3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3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3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3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3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3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3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3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3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3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3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3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3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3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3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3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3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3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3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3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3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3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3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3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3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3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3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3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3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3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3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3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3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3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3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3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3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3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3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3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3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3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3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3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3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3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3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3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3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3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3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3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3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3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3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3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3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3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3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3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3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3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3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3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3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3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3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3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3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3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3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3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3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3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3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3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3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3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3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3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3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3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3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3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3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3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3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3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3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3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3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3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3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3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3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3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3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3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3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3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3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3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3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3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3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3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3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3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3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3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3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3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3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3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3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3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3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3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3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3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3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3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3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3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3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3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3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3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3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3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3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3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3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3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3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3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3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3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3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3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3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3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3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3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3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3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3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3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3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3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3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3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3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3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3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3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3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3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3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3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3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3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3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3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3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3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3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3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3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3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3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3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3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3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3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3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3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3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3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3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3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3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3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3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3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3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3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3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3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3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3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3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3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3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3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3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3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3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3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3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3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3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3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3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3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3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3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3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3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3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3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3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3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3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3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3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3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3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3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3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3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3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3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3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3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3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3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3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3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3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3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3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3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3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3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3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3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3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3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3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3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3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3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3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3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3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3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3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3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3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3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3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3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3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3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3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3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3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3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3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3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3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3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3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3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3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3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3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3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3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3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3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3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3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3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3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3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3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3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3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3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3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3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3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3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3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3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3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3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3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3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3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3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3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3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3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3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3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3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3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3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3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3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3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3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3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3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3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3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3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3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3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3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3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3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3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3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3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3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3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3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3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3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3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3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3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3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3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3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3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3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3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3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3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3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3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3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3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3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3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3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3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3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3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3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3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3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3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3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3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3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3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3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3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3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3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3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3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3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3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3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3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3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3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3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3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3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3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3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3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3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3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3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3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3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3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3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3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3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3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3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3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3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3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3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3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3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3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3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3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3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3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3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3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3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3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3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3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3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3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3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3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3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3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3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3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3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3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3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3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3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3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3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3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3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3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3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3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3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3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3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3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3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3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3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3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3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3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3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3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3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3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3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3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3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3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3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3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3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3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3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3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3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3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3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3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3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3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3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3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3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3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3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3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3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3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3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3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3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3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3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3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3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3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3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3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3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3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3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3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3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3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3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3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3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3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3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3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3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3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3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3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3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3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3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3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3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3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3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3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3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3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3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3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3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3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3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3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3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3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3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3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3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3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3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3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3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3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3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3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3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3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3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3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3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3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3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3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3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3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3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3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3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3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3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3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3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3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3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3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3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3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3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3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3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3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3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3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3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3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3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3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3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3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3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3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3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3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3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3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3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3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3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3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3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3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3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3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3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3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3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3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3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3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3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3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3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3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3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3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3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3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3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3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3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3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3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3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3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3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3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3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3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3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3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3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3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3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3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3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3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3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3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3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3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3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3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3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3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3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3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3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3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3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3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3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3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3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3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3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3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3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3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3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3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3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3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3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3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3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3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3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3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3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3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3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3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3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3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3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3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3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3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3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3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3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3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3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3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3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3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3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3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3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3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3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3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3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3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3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3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3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3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3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3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3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3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3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3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3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3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3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3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3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3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3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3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3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3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3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3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3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3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3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3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3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3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3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3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3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3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3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3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3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3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3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3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3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3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3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3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3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3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3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3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3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3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3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3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3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3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3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3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3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3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3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3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3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3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3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3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3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3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3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3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3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3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3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3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3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3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3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3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3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3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3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3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3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3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3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3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3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3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3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3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3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3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3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3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3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3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3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3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3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3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3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3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3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3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3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3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3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3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3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3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3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3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3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3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3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3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3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3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3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3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3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3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3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3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3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3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3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3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3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3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3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3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3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3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3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3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3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3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3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3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3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3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3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3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3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3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3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3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3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3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3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3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3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3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3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3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3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3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3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3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3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3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3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3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3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3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3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3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3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3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3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3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3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3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3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3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3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3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3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3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3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3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3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3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3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3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3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3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3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3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3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3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3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3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3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3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3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3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3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3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3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3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3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3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3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3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3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3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3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3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3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3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3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3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3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3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3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3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3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3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3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3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3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3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3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3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3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3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3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3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3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3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3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3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3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3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3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3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3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3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3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3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3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3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3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3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3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3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3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3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3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3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3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3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3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3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3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3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3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3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3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3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3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3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3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3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3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3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3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3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3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3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3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3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3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3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3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3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3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3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3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3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3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3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3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3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3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3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3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3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3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3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3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3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3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3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3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3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3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3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3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3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3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3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3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3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3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3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3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3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3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3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3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3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3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3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3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3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3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3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3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3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3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3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3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3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3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3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3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3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3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3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3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3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3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3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3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3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3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3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3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3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3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3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3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3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3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3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3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3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3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3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3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3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3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3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3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3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3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3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3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3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3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3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3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3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3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3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3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3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3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3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3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3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3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3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3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3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3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3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3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3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3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3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3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3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3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3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3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3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3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3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3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3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3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3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3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3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3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3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3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3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3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3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3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3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3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3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3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3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3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3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3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3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3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3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3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3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3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3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3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3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3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3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3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3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3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3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3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3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3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3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3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3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3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3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3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3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3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3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3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3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3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3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3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3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3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3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3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3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3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3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3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3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3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3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3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3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3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3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3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3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3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3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3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3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3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3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3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3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3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3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3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3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3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3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3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3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3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3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3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3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3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3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3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3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3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3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3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3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3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3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3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3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3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3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3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3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3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3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3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3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3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3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3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3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3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3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3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3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3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3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3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3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3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3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3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3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3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3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3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3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3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3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3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3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3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3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3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3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3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3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3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3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3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3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3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3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3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3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3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3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3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3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3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3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3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3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3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3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3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3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3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3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3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3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3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3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3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3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3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3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3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3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3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3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3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3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3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3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3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3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3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3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3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3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3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3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3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3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3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3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3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3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3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3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3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3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3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3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3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3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3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3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3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3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3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3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3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3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3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3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3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3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3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3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3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3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3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3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3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3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3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3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3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3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3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3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3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3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3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3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3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3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3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3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3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3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3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3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3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3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3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3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3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3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3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3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3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3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3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3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3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3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3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3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3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3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3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3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3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3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3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3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3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3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3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3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3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3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3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3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3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3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3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3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3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3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3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3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3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3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3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3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3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3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3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3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3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3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3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3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3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3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3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3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3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3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3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3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3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3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3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3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3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3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3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3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3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3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3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3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3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3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3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3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3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3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3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3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3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3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3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3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3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3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3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3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3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3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3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3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3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3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3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3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3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3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3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3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3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3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3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3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3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3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3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3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3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3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3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3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3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3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3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3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3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3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3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3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3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3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3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3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3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3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3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3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3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3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3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3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3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3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3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3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3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3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3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3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3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3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3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3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3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3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3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3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3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3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3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3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3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3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3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3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3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3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3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3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3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3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3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3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3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3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3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3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3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3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3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3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3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3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3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3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3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3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3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3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3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3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3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3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3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3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3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3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3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3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3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3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3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3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3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3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3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3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3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3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3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3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3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3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3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3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3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3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3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3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3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3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3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3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3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3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3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3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3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3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3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3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3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3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3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3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3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3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3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3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3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3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3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3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3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3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3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3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3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3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3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3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3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3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3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3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3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3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3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3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3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3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3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3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3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3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3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3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3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3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3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3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3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3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3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3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3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3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3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3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3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3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3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3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3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3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3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3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3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3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3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3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3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3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3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3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3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3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3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3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3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3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3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3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3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3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3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3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3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3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3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3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3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3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3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3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3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3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3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3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3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3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3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3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3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3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3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3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3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3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3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3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3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3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3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3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3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3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3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3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3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3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3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3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3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3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3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3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3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3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3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3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3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3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3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3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3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3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3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3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3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3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3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3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3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3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3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3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3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3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3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3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3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3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3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3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3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3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3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3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3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3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3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3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3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3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3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3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3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3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3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3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3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3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3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3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3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3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3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3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3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3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3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3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3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3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3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3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3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3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3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3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3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3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3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3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3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3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3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3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3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3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3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3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3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3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3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3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3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3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3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3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3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3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3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3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3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3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3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3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3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3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3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3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3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3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3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3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3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3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3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3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3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3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3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3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3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3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3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3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3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3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3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3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3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3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3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3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3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3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3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3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3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3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3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3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3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3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3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3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3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3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3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3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3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3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3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3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3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3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3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3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3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3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3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3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3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3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3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3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3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3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3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3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3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3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3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3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3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3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3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3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3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3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3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3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3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3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3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3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3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3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3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3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3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3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3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3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3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3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3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3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3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3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3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3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3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3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3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3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3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3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3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3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3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3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3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3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3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3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3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3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3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3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3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3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3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3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3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3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3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3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3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3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3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3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3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3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3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3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3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3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3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3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3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3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3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3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3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3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3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3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3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3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3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3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3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3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3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3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3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3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3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3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3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3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3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3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3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3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3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3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3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3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3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3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3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3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3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3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3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3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3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3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3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3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3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3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3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3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3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3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3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3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3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3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3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3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3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3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3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3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3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3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3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3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3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3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3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3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3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3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3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3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3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3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3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3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3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3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3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3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3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3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3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3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3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3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3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3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3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3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3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3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3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3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3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3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3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3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3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3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3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3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3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3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3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3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3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3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3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3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3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3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3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3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3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3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3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3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3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3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3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3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3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3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3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3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3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3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3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3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3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3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3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3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3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3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3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3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3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3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3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3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3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3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3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3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3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3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3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3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3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3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3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3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3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3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3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3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3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3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3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3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3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3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3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3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3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3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3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3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3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3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3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3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3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3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3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3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3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3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3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3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3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3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3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3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3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3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3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3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3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3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3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3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3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3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3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3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3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3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3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3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3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3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3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3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3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3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3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3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3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3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3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3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3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3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3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3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3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3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3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3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3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3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3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3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3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3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3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3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3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3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3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3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3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3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3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3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3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3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3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3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3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3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3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3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3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3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3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3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3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3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3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3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3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3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3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3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3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3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3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3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3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3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3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3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3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3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3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3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3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3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3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3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3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3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3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3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3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3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3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3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3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3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3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3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3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3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3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3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3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3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3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3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3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3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3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3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3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3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3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3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3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3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3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3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3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3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3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3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3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3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3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3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3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3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3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3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3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3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3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3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3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3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3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3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3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3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3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3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3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3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3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3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3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3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3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3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3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3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3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3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3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3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3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3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3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3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3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3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3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3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3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3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3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3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3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3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3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3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3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3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3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3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3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3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3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3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3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3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3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3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3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3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3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3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3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3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3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3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3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3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3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3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3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3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3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3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3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3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3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3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3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3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3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3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3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3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3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3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3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3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3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3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3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3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3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3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3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3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3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3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3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3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3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3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3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3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3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3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3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3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3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3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3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3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3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3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3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3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3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3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3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3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3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3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3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3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3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3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3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3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3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3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3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3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3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3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3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3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3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3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3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3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3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3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3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3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3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3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3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3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3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3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3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3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3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3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3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3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3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3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3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3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3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3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3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3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3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3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3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3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3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3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3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3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3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3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3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3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3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3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3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3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3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3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3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3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3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3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3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3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3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3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3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3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3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3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3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3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3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3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3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3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3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3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3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3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3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3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3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3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3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3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3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3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3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3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3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3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3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3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3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3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3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3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3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3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3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3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3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3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3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3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3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3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3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3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3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3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3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3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3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3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3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3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3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3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3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3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3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3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3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3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3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3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3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3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3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3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3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3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3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3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3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3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3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3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3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3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3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3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3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3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3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3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3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3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3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3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3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3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3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3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3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3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3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3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3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3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3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3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3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3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3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3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3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3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3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3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3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3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3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3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3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3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3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3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3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3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3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3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3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3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3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3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3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3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3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3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3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3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3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3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3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3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3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3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3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3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3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3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3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3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3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3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3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3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3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3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3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3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3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3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3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3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3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3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3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3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3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3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3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3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3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3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3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3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3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3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3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3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3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3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3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3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3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3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3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3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3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3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3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3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3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3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3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3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3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3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3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3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3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3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3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3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3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3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3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3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3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3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3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3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3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3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3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3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3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3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3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3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3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3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3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3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3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3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3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3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3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3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3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3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3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3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3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3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3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3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3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3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3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3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3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3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3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3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3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3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3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3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3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3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3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3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3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3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3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3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3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3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3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3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3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3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3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3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3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3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3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3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3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3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3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3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3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3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3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3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3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3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3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3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3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3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3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3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3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3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3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3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3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3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3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3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3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3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3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3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3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3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3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3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3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3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3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3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3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3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3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3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3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3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3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3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3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3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3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3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3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3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3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3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3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3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3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3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3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3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3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3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3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3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3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3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3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3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3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3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3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3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3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3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3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3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3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3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3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3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3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3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3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3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3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3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3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3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3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3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3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3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3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3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3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3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3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3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3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3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3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3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3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3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3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3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3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3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3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3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3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3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3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3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3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3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3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3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3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3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3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3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3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3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3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3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3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3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3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3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3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3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3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3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3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3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3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3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3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3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3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3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3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3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3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3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3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3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3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3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3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3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3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3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3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3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3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3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3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3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3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3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3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3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3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3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3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3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3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3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3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3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3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3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3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3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3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3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3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3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3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3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3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3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3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3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3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3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3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3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3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3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3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3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3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3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3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3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3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3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3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3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3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3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3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3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3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3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3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3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3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3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3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3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3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3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3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3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3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3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3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3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3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3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3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3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3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3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3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3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3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3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3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3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3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3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3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3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3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3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3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3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3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3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3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3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3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3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3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3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3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3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3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3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3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3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3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3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3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3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3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3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3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3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3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3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3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3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3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3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3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3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3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3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3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3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3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3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3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3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3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3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3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3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3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3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3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3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3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3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3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3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3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3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3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3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3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3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3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3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3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3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3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3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3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3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3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3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3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3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3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3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3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3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3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3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3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3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3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3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3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3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3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3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3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3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3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3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3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3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3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3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3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3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3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3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3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3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3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3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3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3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3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3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3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3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3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3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3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3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3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3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3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3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3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3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3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3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3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3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3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3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3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3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3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3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3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3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3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3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3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3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3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3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3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3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3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3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3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3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3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3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3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3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3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3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3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3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3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3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3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3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3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3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3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3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3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3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3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3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3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3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3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3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3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3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3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3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3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3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3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3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3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3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3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3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3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3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3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3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3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3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3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3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3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3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3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3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3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3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3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3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3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3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3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3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3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3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3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3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3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3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3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3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3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3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3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3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3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3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3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3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3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3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3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3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3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3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3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3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3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3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3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3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3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3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3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3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3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3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3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3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3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3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3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3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3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3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3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3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3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3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3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3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3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3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3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3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3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3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3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3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3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3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3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3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3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3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3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3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3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3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3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3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3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3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3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3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3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3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3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3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3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3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3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3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3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3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3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3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3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3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3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3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3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3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3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3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3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3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3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3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3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3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3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3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3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3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3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3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3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3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3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3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3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3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3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3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3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3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3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3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3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3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3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3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3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3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3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3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3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3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3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3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3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3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3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3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3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3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3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3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3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3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3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3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3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3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3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3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3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3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3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3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3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3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3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3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3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3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3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3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3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3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3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3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3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3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3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3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3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3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3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3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3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3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3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3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3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3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3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3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3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3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3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3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3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3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3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3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3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3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3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3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3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3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3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3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3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3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3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3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3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3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3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3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3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3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3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3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3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3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3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3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3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3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3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3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3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3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3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3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3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3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3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3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3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3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3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3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3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3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3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3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3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3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3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3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3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3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3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3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3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3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3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3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3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3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3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3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3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3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3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3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3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3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3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3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3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3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3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3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3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3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3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3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3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3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3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3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3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3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3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3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3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3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3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3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3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3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3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3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3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3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3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3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3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3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3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3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3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3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3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3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3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3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3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3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3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3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3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3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3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3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3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3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3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3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3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3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3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3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3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3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3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3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3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3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3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3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3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3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3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3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3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3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3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3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3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3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3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3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3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3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3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3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3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3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3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3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3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3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3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3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3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3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3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3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3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3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3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3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3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3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3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3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3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3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3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3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3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3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3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3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3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3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3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3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3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3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3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3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3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3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3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3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3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3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3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3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3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3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3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3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3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3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3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3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3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3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3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3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3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3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3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3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3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3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3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3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3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3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3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3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3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3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3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3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3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3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3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3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3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3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3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3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3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3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3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3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3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3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3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3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3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3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3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3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3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3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3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3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3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3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3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3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3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3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3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3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3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3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3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3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3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3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3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3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3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3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3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3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3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3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3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3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3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3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3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3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3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3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3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3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3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3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3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3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3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3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3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3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3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3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3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3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3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3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3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3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3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3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3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3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3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3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3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3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3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3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3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3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3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3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3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3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3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3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3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3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3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3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3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3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3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3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3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3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3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3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3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3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3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3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3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3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3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3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3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3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3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3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3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3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3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3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3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3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3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3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3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3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3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3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3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3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3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3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3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3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3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3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3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3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3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3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3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3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3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3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3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3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3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3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3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3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3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3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3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3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3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3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3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3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3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3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3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3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3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3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3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3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3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3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3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3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3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3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3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3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3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3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3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3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3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3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3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3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3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3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3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3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3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3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3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3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3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3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3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3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3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3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3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3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3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3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3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3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3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3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3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3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3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3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3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3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3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3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3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3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3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3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3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3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3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3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3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3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3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3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3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3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3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3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3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3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3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3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3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3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3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3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3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3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3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3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3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3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3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3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3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3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3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3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3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3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3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3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3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3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3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3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3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3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3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3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3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3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3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3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3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3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3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3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3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3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3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3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3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3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3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3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3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3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3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3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3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3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3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3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3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3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3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3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3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3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3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3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3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3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3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3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3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3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3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3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3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3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3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3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3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3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3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3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3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3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3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3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3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3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3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3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3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3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3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3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3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3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3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3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3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3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3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3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3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3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3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3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3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3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3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3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3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3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3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3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3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3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3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3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3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3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3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3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3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3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3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3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3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3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3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3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3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3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3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3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3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3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3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3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3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3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3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3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3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3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3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3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3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3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3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3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3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3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3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3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3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3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3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3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3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3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3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3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3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3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3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3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3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3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3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3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3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3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3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3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3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3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3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3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3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3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3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3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3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3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3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3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3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3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3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3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3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3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3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3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3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3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3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3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3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3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3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3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3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3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3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3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3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3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3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3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3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3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3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3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3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3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3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3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3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3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3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3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3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3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3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3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3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3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3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3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3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3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3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3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3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3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3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3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3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3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2026-01-28T13:45:29Z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